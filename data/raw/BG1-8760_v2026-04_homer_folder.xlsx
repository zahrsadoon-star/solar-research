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tenedumy-my.sharepoint.com/personal/se1085135_student_uniten_edu_my/Documents/Desktop/final thesess/data/البيانات المهمة/"/>
    </mc:Choice>
  </mc:AlternateContent>
  <xr:revisionPtr revIDLastSave="205" documentId="13_ncr:1_{BE6EEA53-5971-443D-BF39-A4C41A8507DA}" xr6:coauthVersionLast="47" xr6:coauthVersionMax="47" xr10:uidLastSave="{A537E1BF-EA49-44BE-9C98-48CD37761C92}"/>
  <bookViews>
    <workbookView xWindow="3390" yWindow="2730" windowWidth="19200" windowHeight="11170" firstSheet="1" activeTab="4" xr2:uid="{00000000-000D-0000-FFFF-FFFF00000000}"/>
  </bookViews>
  <sheets>
    <sheet name="Weekdays" sheetId="4" r:id="rId1"/>
    <sheet name="Weekends" sheetId="5" r:id="rId2"/>
    <sheet name="Sheet1" sheetId="3" r:id="rId3"/>
    <sheet name="Sheet2" sheetId="2" r:id="rId4"/>
    <sheet name="National Statu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3" i="6"/>
  <c r="A2754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3132" i="6"/>
  <c r="A3133" i="6"/>
  <c r="A3134" i="6"/>
  <c r="A3135" i="6"/>
  <c r="A3136" i="6"/>
  <c r="A3137" i="6"/>
  <c r="A3138" i="6"/>
  <c r="A3139" i="6"/>
  <c r="A3140" i="6"/>
  <c r="A3141" i="6"/>
  <c r="A3142" i="6"/>
  <c r="A3143" i="6"/>
  <c r="A3144" i="6"/>
  <c r="A3145" i="6"/>
  <c r="A3146" i="6"/>
  <c r="A3147" i="6"/>
  <c r="A3148" i="6"/>
  <c r="A3149" i="6"/>
  <c r="A3150" i="6"/>
  <c r="A3151" i="6"/>
  <c r="A3152" i="6"/>
  <c r="A3153" i="6"/>
  <c r="A3154" i="6"/>
  <c r="A3155" i="6"/>
  <c r="A3156" i="6"/>
  <c r="A3157" i="6"/>
  <c r="A3158" i="6"/>
  <c r="A3159" i="6"/>
  <c r="A3160" i="6"/>
  <c r="A3161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177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92" i="6"/>
  <c r="A3193" i="6"/>
  <c r="A3194" i="6"/>
  <c r="A3195" i="6"/>
  <c r="A3196" i="6"/>
  <c r="A3197" i="6"/>
  <c r="A3198" i="6"/>
  <c r="A3199" i="6"/>
  <c r="A3200" i="6"/>
  <c r="A3201" i="6"/>
  <c r="A3202" i="6"/>
  <c r="A3203" i="6"/>
  <c r="A3204" i="6"/>
  <c r="A3205" i="6"/>
  <c r="A3206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597" i="6"/>
  <c r="A3598" i="6"/>
  <c r="A3599" i="6"/>
  <c r="A3600" i="6"/>
  <c r="A3601" i="6"/>
  <c r="A3602" i="6"/>
  <c r="A3603" i="6"/>
  <c r="A3604" i="6"/>
  <c r="A3605" i="6"/>
  <c r="A3606" i="6"/>
  <c r="A3607" i="6"/>
  <c r="A3608" i="6"/>
  <c r="A3609" i="6"/>
  <c r="A3610" i="6"/>
  <c r="A3611" i="6"/>
  <c r="A3612" i="6"/>
  <c r="A3613" i="6"/>
  <c r="A3614" i="6"/>
  <c r="A3615" i="6"/>
  <c r="A3616" i="6"/>
  <c r="A3617" i="6"/>
  <c r="A3618" i="6"/>
  <c r="A3619" i="6"/>
  <c r="A3620" i="6"/>
  <c r="A3621" i="6"/>
  <c r="A3622" i="6"/>
  <c r="A3623" i="6"/>
  <c r="A3624" i="6"/>
  <c r="A3625" i="6"/>
  <c r="A3626" i="6"/>
  <c r="A3627" i="6"/>
  <c r="A3628" i="6"/>
  <c r="A3629" i="6"/>
  <c r="A3630" i="6"/>
  <c r="A3631" i="6"/>
  <c r="A3632" i="6"/>
  <c r="A3633" i="6"/>
  <c r="A3634" i="6"/>
  <c r="A3635" i="6"/>
  <c r="A3636" i="6"/>
  <c r="A3637" i="6"/>
  <c r="A3638" i="6"/>
  <c r="A3639" i="6"/>
  <c r="A3640" i="6"/>
  <c r="A3641" i="6"/>
  <c r="A3642" i="6"/>
  <c r="A3643" i="6"/>
  <c r="A3644" i="6"/>
  <c r="A3645" i="6"/>
  <c r="A3646" i="6"/>
  <c r="A3647" i="6"/>
  <c r="A3648" i="6"/>
  <c r="A3649" i="6"/>
  <c r="A3650" i="6"/>
  <c r="A3651" i="6"/>
  <c r="A3652" i="6"/>
  <c r="A3653" i="6"/>
  <c r="A3654" i="6"/>
  <c r="A3655" i="6"/>
  <c r="A3656" i="6"/>
  <c r="A3657" i="6"/>
  <c r="A3658" i="6"/>
  <c r="A3659" i="6"/>
  <c r="A3660" i="6"/>
  <c r="A3661" i="6"/>
  <c r="A3662" i="6"/>
  <c r="A3663" i="6"/>
  <c r="A3664" i="6"/>
  <c r="A3665" i="6"/>
  <c r="A3666" i="6"/>
  <c r="A3667" i="6"/>
  <c r="A3668" i="6"/>
  <c r="A3669" i="6"/>
  <c r="A3670" i="6"/>
  <c r="A3671" i="6"/>
  <c r="A3672" i="6"/>
  <c r="A3673" i="6"/>
  <c r="A3674" i="6"/>
  <c r="A3675" i="6"/>
  <c r="A3676" i="6"/>
  <c r="A3677" i="6"/>
  <c r="A3678" i="6"/>
  <c r="A3679" i="6"/>
  <c r="A3680" i="6"/>
  <c r="A3681" i="6"/>
  <c r="A3682" i="6"/>
  <c r="A3683" i="6"/>
  <c r="A3684" i="6"/>
  <c r="A3685" i="6"/>
  <c r="A3686" i="6"/>
  <c r="A3687" i="6"/>
  <c r="A3688" i="6"/>
  <c r="A3689" i="6"/>
  <c r="A3690" i="6"/>
  <c r="A3691" i="6"/>
  <c r="A3692" i="6"/>
  <c r="A3693" i="6"/>
  <c r="A3694" i="6"/>
  <c r="A3695" i="6"/>
  <c r="A3696" i="6"/>
  <c r="A3697" i="6"/>
  <c r="A3698" i="6"/>
  <c r="A3699" i="6"/>
  <c r="A3700" i="6"/>
  <c r="A3701" i="6"/>
  <c r="A3702" i="6"/>
  <c r="A3703" i="6"/>
  <c r="A3704" i="6"/>
  <c r="A3705" i="6"/>
  <c r="A3706" i="6"/>
  <c r="A3707" i="6"/>
  <c r="A3708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3947" i="6"/>
  <c r="A3948" i="6"/>
  <c r="A3949" i="6"/>
  <c r="A3950" i="6"/>
  <c r="A3951" i="6"/>
  <c r="A3952" i="6"/>
  <c r="A3953" i="6"/>
  <c r="A3954" i="6"/>
  <c r="A3955" i="6"/>
  <c r="A3956" i="6"/>
  <c r="A3957" i="6"/>
  <c r="A3958" i="6"/>
  <c r="A3959" i="6"/>
  <c r="A3960" i="6"/>
  <c r="A3961" i="6"/>
  <c r="A3962" i="6"/>
  <c r="A3963" i="6"/>
  <c r="A3964" i="6"/>
  <c r="A3965" i="6"/>
  <c r="A3966" i="6"/>
  <c r="A3967" i="6"/>
  <c r="A3968" i="6"/>
  <c r="A3969" i="6"/>
  <c r="A3970" i="6"/>
  <c r="A3971" i="6"/>
  <c r="A3972" i="6"/>
  <c r="A3973" i="6"/>
  <c r="A3974" i="6"/>
  <c r="A3975" i="6"/>
  <c r="A3976" i="6"/>
  <c r="A3977" i="6"/>
  <c r="A3978" i="6"/>
  <c r="A3979" i="6"/>
  <c r="A3980" i="6"/>
  <c r="A3981" i="6"/>
  <c r="A3982" i="6"/>
  <c r="A3983" i="6"/>
  <c r="A3984" i="6"/>
  <c r="A3985" i="6"/>
  <c r="A3986" i="6"/>
  <c r="A3987" i="6"/>
  <c r="A3988" i="6"/>
  <c r="A3989" i="6"/>
  <c r="A3990" i="6"/>
  <c r="A3991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007" i="6"/>
  <c r="A4008" i="6"/>
  <c r="A4009" i="6"/>
  <c r="A4010" i="6"/>
  <c r="A4011" i="6"/>
  <c r="A4012" i="6"/>
  <c r="A4013" i="6"/>
  <c r="A4014" i="6"/>
  <c r="A4015" i="6"/>
  <c r="A4016" i="6"/>
  <c r="A4017" i="6"/>
  <c r="A4018" i="6"/>
  <c r="A4019" i="6"/>
  <c r="A4020" i="6"/>
  <c r="A4021" i="6"/>
  <c r="A4022" i="6"/>
  <c r="A4023" i="6"/>
  <c r="A4024" i="6"/>
  <c r="A4025" i="6"/>
  <c r="A4026" i="6"/>
  <c r="A4027" i="6"/>
  <c r="A4028" i="6"/>
  <c r="A4029" i="6"/>
  <c r="A4030" i="6"/>
  <c r="A4031" i="6"/>
  <c r="A4032" i="6"/>
  <c r="A4033" i="6"/>
  <c r="A4034" i="6"/>
  <c r="A4035" i="6"/>
  <c r="A40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4657" i="6"/>
  <c r="A4658" i="6"/>
  <c r="A4659" i="6"/>
  <c r="A4660" i="6"/>
  <c r="A4661" i="6"/>
  <c r="A4662" i="6"/>
  <c r="A4663" i="6"/>
  <c r="A4664" i="6"/>
  <c r="A4665" i="6"/>
  <c r="A4666" i="6"/>
  <c r="A4667" i="6"/>
  <c r="A4668" i="6"/>
  <c r="A4669" i="6"/>
  <c r="A4670" i="6"/>
  <c r="A4671" i="6"/>
  <c r="A4672" i="6"/>
  <c r="A4673" i="6"/>
  <c r="A4674" i="6"/>
  <c r="A4675" i="6"/>
  <c r="A4676" i="6"/>
  <c r="A4677" i="6"/>
  <c r="A4678" i="6"/>
  <c r="A4679" i="6"/>
  <c r="A4680" i="6"/>
  <c r="A4681" i="6"/>
  <c r="A4682" i="6"/>
  <c r="A4683" i="6"/>
  <c r="A4684" i="6"/>
  <c r="A4685" i="6"/>
  <c r="A4686" i="6"/>
  <c r="A4687" i="6"/>
  <c r="A4688" i="6"/>
  <c r="A4689" i="6"/>
  <c r="A4690" i="6"/>
  <c r="A4691" i="6"/>
  <c r="A4692" i="6"/>
  <c r="A4693" i="6"/>
  <c r="A4694" i="6"/>
  <c r="A4695" i="6"/>
  <c r="A4696" i="6"/>
  <c r="A4697" i="6"/>
  <c r="A4698" i="6"/>
  <c r="A4699" i="6"/>
  <c r="A4700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4716" i="6"/>
  <c r="A4717" i="6"/>
  <c r="A4718" i="6"/>
  <c r="A4719" i="6"/>
  <c r="A4720" i="6"/>
  <c r="A4721" i="6"/>
  <c r="A4722" i="6"/>
  <c r="A4723" i="6"/>
  <c r="A4724" i="6"/>
  <c r="A4725" i="6"/>
  <c r="A4726" i="6"/>
  <c r="A4727" i="6"/>
  <c r="A4728" i="6"/>
  <c r="A4729" i="6"/>
  <c r="A4730" i="6"/>
  <c r="A4731" i="6"/>
  <c r="A4732" i="6"/>
  <c r="A4733" i="6"/>
  <c r="A4734" i="6"/>
  <c r="A4735" i="6"/>
  <c r="A4736" i="6"/>
  <c r="A4737" i="6"/>
  <c r="A4738" i="6"/>
  <c r="A4739" i="6"/>
  <c r="A4740" i="6"/>
  <c r="A4741" i="6"/>
  <c r="A4742" i="6"/>
  <c r="A4743" i="6"/>
  <c r="A4744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4940" i="6"/>
  <c r="A4941" i="6"/>
  <c r="A4942" i="6"/>
  <c r="A4943" i="6"/>
  <c r="A4944" i="6"/>
  <c r="A4945" i="6"/>
  <c r="A4946" i="6"/>
  <c r="A4947" i="6"/>
  <c r="A4948" i="6"/>
  <c r="A4949" i="6"/>
  <c r="A4950" i="6"/>
  <c r="A4951" i="6"/>
  <c r="A4952" i="6"/>
  <c r="A4953" i="6"/>
  <c r="A4954" i="6"/>
  <c r="A4955" i="6"/>
  <c r="A4956" i="6"/>
  <c r="A4957" i="6"/>
  <c r="A4958" i="6"/>
  <c r="A4959" i="6"/>
  <c r="A4960" i="6"/>
  <c r="A4961" i="6"/>
  <c r="A4962" i="6"/>
  <c r="A4963" i="6"/>
  <c r="A4964" i="6"/>
  <c r="A4965" i="6"/>
  <c r="A4966" i="6"/>
  <c r="A4967" i="6"/>
  <c r="A4968" i="6"/>
  <c r="A4969" i="6"/>
  <c r="A4970" i="6"/>
  <c r="A4971" i="6"/>
  <c r="A4972" i="6"/>
  <c r="A4973" i="6"/>
  <c r="A4974" i="6"/>
  <c r="A4975" i="6"/>
  <c r="A4976" i="6"/>
  <c r="A4977" i="6"/>
  <c r="A4978" i="6"/>
  <c r="A4979" i="6"/>
  <c r="A4980" i="6"/>
  <c r="A4981" i="6"/>
  <c r="A4982" i="6"/>
  <c r="A4983" i="6"/>
  <c r="A4984" i="6"/>
  <c r="A4985" i="6"/>
  <c r="A4986" i="6"/>
  <c r="A4987" i="6"/>
  <c r="A4988" i="6"/>
  <c r="A4989" i="6"/>
  <c r="A4990" i="6"/>
  <c r="A4991" i="6"/>
  <c r="A4992" i="6"/>
  <c r="A4993" i="6"/>
  <c r="A4994" i="6"/>
  <c r="A4995" i="6"/>
  <c r="A4996" i="6"/>
  <c r="A4997" i="6"/>
  <c r="A4998" i="6"/>
  <c r="A4999" i="6"/>
  <c r="A5000" i="6"/>
  <c r="A5001" i="6"/>
  <c r="A5002" i="6"/>
  <c r="A5003" i="6"/>
  <c r="A5004" i="6"/>
  <c r="A5005" i="6"/>
  <c r="A5006" i="6"/>
  <c r="A5007" i="6"/>
  <c r="A5008" i="6"/>
  <c r="A5009" i="6"/>
  <c r="A5010" i="6"/>
  <c r="A5011" i="6"/>
  <c r="A5012" i="6"/>
  <c r="A5013" i="6"/>
  <c r="A5014" i="6"/>
  <c r="A5015" i="6"/>
  <c r="A5016" i="6"/>
  <c r="A5017" i="6"/>
  <c r="A5018" i="6"/>
  <c r="A5019" i="6"/>
  <c r="A5020" i="6"/>
  <c r="A5021" i="6"/>
  <c r="A5022" i="6"/>
  <c r="A5023" i="6"/>
  <c r="A5024" i="6"/>
  <c r="A5025" i="6"/>
  <c r="A5026" i="6"/>
  <c r="A5027" i="6"/>
  <c r="A5028" i="6"/>
  <c r="A5029" i="6"/>
  <c r="A5030" i="6"/>
  <c r="A5031" i="6"/>
  <c r="A5032" i="6"/>
  <c r="A5033" i="6"/>
  <c r="A5034" i="6"/>
  <c r="A5035" i="6"/>
  <c r="A5036" i="6"/>
  <c r="A5037" i="6"/>
  <c r="A5038" i="6"/>
  <c r="A5039" i="6"/>
  <c r="A5040" i="6"/>
  <c r="A5041" i="6"/>
  <c r="A5042" i="6"/>
  <c r="A5043" i="6"/>
  <c r="A5044" i="6"/>
  <c r="A5045" i="6"/>
  <c r="A5046" i="6"/>
  <c r="A5047" i="6"/>
  <c r="A5048" i="6"/>
  <c r="A5049" i="6"/>
  <c r="A5050" i="6"/>
  <c r="A5051" i="6"/>
  <c r="A5052" i="6"/>
  <c r="A5053" i="6"/>
  <c r="A5054" i="6"/>
  <c r="A5055" i="6"/>
  <c r="A5056" i="6"/>
  <c r="A5057" i="6"/>
  <c r="A5058" i="6"/>
  <c r="A5059" i="6"/>
  <c r="A5060" i="6"/>
  <c r="A5061" i="6"/>
  <c r="A5062" i="6"/>
  <c r="A5063" i="6"/>
  <c r="A5064" i="6"/>
  <c r="A5065" i="6"/>
  <c r="A5066" i="6"/>
  <c r="A5067" i="6"/>
  <c r="A5068" i="6"/>
  <c r="A5069" i="6"/>
  <c r="A5070" i="6"/>
  <c r="A5071" i="6"/>
  <c r="A5072" i="6"/>
  <c r="A5073" i="6"/>
  <c r="A5074" i="6"/>
  <c r="A5075" i="6"/>
  <c r="A5076" i="6"/>
  <c r="A5077" i="6"/>
  <c r="A5078" i="6"/>
  <c r="A5079" i="6"/>
  <c r="A5080" i="6"/>
  <c r="A5081" i="6"/>
  <c r="A5082" i="6"/>
  <c r="A5083" i="6"/>
  <c r="A5084" i="6"/>
  <c r="A5085" i="6"/>
  <c r="A5086" i="6"/>
  <c r="A5087" i="6"/>
  <c r="A5088" i="6"/>
  <c r="A5089" i="6"/>
  <c r="A5090" i="6"/>
  <c r="A5091" i="6"/>
  <c r="A5092" i="6"/>
  <c r="A5093" i="6"/>
  <c r="A5094" i="6"/>
  <c r="A5095" i="6"/>
  <c r="A5096" i="6"/>
  <c r="A5097" i="6"/>
  <c r="A5098" i="6"/>
  <c r="A5099" i="6"/>
  <c r="A5100" i="6"/>
  <c r="A5101" i="6"/>
  <c r="A5102" i="6"/>
  <c r="A5103" i="6"/>
  <c r="A5104" i="6"/>
  <c r="A5105" i="6"/>
  <c r="A5106" i="6"/>
  <c r="A5107" i="6"/>
  <c r="A5108" i="6"/>
  <c r="A5109" i="6"/>
  <c r="A5110" i="6"/>
  <c r="A5111" i="6"/>
  <c r="A5112" i="6"/>
  <c r="A5113" i="6"/>
  <c r="A5114" i="6"/>
  <c r="A5115" i="6"/>
  <c r="A5116" i="6"/>
  <c r="A5117" i="6"/>
  <c r="A5118" i="6"/>
  <c r="A5119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372" i="6"/>
  <c r="A5373" i="6"/>
  <c r="A5374" i="6"/>
  <c r="A5375" i="6"/>
  <c r="A5376" i="6"/>
  <c r="A5377" i="6"/>
  <c r="A5378" i="6"/>
  <c r="A5379" i="6"/>
  <c r="A5380" i="6"/>
  <c r="A5381" i="6"/>
  <c r="A5382" i="6"/>
  <c r="A5383" i="6"/>
  <c r="A5384" i="6"/>
  <c r="A5385" i="6"/>
  <c r="A5386" i="6"/>
  <c r="A5387" i="6"/>
  <c r="A5388" i="6"/>
  <c r="A5389" i="6"/>
  <c r="A5390" i="6"/>
  <c r="A5391" i="6"/>
  <c r="A5392" i="6"/>
  <c r="A5393" i="6"/>
  <c r="A5394" i="6"/>
  <c r="A5395" i="6"/>
  <c r="A5396" i="6"/>
  <c r="A5397" i="6"/>
  <c r="A5398" i="6"/>
  <c r="A5399" i="6"/>
  <c r="A5400" i="6"/>
  <c r="A5401" i="6"/>
  <c r="A5402" i="6"/>
  <c r="A5403" i="6"/>
  <c r="A5404" i="6"/>
  <c r="A5405" i="6"/>
  <c r="A5406" i="6"/>
  <c r="A5407" i="6"/>
  <c r="A5408" i="6"/>
  <c r="A5409" i="6"/>
  <c r="A5410" i="6"/>
  <c r="A5411" i="6"/>
  <c r="A5412" i="6"/>
  <c r="A5413" i="6"/>
  <c r="A5414" i="6"/>
  <c r="A5415" i="6"/>
  <c r="A5416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432" i="6"/>
  <c r="A5433" i="6"/>
  <c r="A5434" i="6"/>
  <c r="A5435" i="6"/>
  <c r="A5436" i="6"/>
  <c r="A5437" i="6"/>
  <c r="A5438" i="6"/>
  <c r="A5439" i="6"/>
  <c r="A5440" i="6"/>
  <c r="A5441" i="6"/>
  <c r="A5442" i="6"/>
  <c r="A5443" i="6"/>
  <c r="A5444" i="6"/>
  <c r="A5445" i="6"/>
  <c r="A5446" i="6"/>
  <c r="A5447" i="6"/>
  <c r="A5448" i="6"/>
  <c r="A5449" i="6"/>
  <c r="A5450" i="6"/>
  <c r="A5451" i="6"/>
  <c r="A5452" i="6"/>
  <c r="A5453" i="6"/>
  <c r="A5454" i="6"/>
  <c r="A5455" i="6"/>
  <c r="A5456" i="6"/>
  <c r="A5457" i="6"/>
  <c r="A5458" i="6"/>
  <c r="A5459" i="6"/>
  <c r="A5460" i="6"/>
  <c r="A54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595" i="6"/>
  <c r="A5596" i="6"/>
  <c r="A5597" i="6"/>
  <c r="A5598" i="6"/>
  <c r="A5599" i="6"/>
  <c r="A5600" i="6"/>
  <c r="A5601" i="6"/>
  <c r="A5602" i="6"/>
  <c r="A5603" i="6"/>
  <c r="A5604" i="6"/>
  <c r="A5605" i="6"/>
  <c r="A5606" i="6"/>
  <c r="A5607" i="6"/>
  <c r="A5608" i="6"/>
  <c r="A5609" i="6"/>
  <c r="A5610" i="6"/>
  <c r="A5611" i="6"/>
  <c r="A5612" i="6"/>
  <c r="A5613" i="6"/>
  <c r="A5614" i="6"/>
  <c r="A5615" i="6"/>
  <c r="A5616" i="6"/>
  <c r="A5617" i="6"/>
  <c r="A5618" i="6"/>
  <c r="A5619" i="6"/>
  <c r="A5620" i="6"/>
  <c r="A5621" i="6"/>
  <c r="A5622" i="6"/>
  <c r="A5623" i="6"/>
  <c r="A5624" i="6"/>
  <c r="A5625" i="6"/>
  <c r="A5626" i="6"/>
  <c r="A5627" i="6"/>
  <c r="A5628" i="6"/>
  <c r="A5629" i="6"/>
  <c r="A5630" i="6"/>
  <c r="A5631" i="6"/>
  <c r="A5632" i="6"/>
  <c r="A5633" i="6"/>
  <c r="A5634" i="6"/>
  <c r="A5635" i="6"/>
  <c r="A5636" i="6"/>
  <c r="A5637" i="6"/>
  <c r="A5638" i="6"/>
  <c r="A5639" i="6"/>
  <c r="A5640" i="6"/>
  <c r="A5641" i="6"/>
  <c r="A5642" i="6"/>
  <c r="A5643" i="6"/>
  <c r="A5644" i="6"/>
  <c r="A5645" i="6"/>
  <c r="A5646" i="6"/>
  <c r="A5647" i="6"/>
  <c r="A5648" i="6"/>
  <c r="A5649" i="6"/>
  <c r="A5650" i="6"/>
  <c r="A5651" i="6"/>
  <c r="A5652" i="6"/>
  <c r="A5653" i="6"/>
  <c r="A5654" i="6"/>
  <c r="A5655" i="6"/>
  <c r="A5656" i="6"/>
  <c r="A5657" i="6"/>
  <c r="A5658" i="6"/>
  <c r="A5659" i="6"/>
  <c r="A5660" i="6"/>
  <c r="A5661" i="6"/>
  <c r="A5662" i="6"/>
  <c r="A5663" i="6"/>
  <c r="A5664" i="6"/>
  <c r="A5665" i="6"/>
  <c r="A5666" i="6"/>
  <c r="A5667" i="6"/>
  <c r="A5668" i="6"/>
  <c r="A5669" i="6"/>
  <c r="A5670" i="6"/>
  <c r="A5671" i="6"/>
  <c r="A5672" i="6"/>
  <c r="A5673" i="6"/>
  <c r="A5674" i="6"/>
  <c r="A5675" i="6"/>
  <c r="A5676" i="6"/>
  <c r="A5677" i="6"/>
  <c r="A5678" i="6"/>
  <c r="A5679" i="6"/>
  <c r="A5680" i="6"/>
  <c r="A5681" i="6"/>
  <c r="A5682" i="6"/>
  <c r="A5683" i="6"/>
  <c r="A5684" i="6"/>
  <c r="A5685" i="6"/>
  <c r="A5686" i="6"/>
  <c r="A5687" i="6"/>
  <c r="A5688" i="6"/>
  <c r="A5689" i="6"/>
  <c r="A5690" i="6"/>
  <c r="A5691" i="6"/>
  <c r="A5692" i="6"/>
  <c r="A5693" i="6"/>
  <c r="A5694" i="6"/>
  <c r="A5695" i="6"/>
  <c r="A5696" i="6"/>
  <c r="A5697" i="6"/>
  <c r="A5698" i="6"/>
  <c r="A5699" i="6"/>
  <c r="A5700" i="6"/>
  <c r="A5701" i="6"/>
  <c r="A5702" i="6"/>
  <c r="A5703" i="6"/>
  <c r="A5704" i="6"/>
  <c r="A5705" i="6"/>
  <c r="A5706" i="6"/>
  <c r="A5707" i="6"/>
  <c r="A5708" i="6"/>
  <c r="A5709" i="6"/>
  <c r="A5710" i="6"/>
  <c r="A5711" i="6"/>
  <c r="A5712" i="6"/>
  <c r="A5713" i="6"/>
  <c r="A5714" i="6"/>
  <c r="A5715" i="6"/>
  <c r="A5716" i="6"/>
  <c r="A5717" i="6"/>
  <c r="A5718" i="6"/>
  <c r="A5719" i="6"/>
  <c r="A5720" i="6"/>
  <c r="A5721" i="6"/>
  <c r="A5722" i="6"/>
  <c r="A5723" i="6"/>
  <c r="A5724" i="6"/>
  <c r="A5725" i="6"/>
  <c r="A5726" i="6"/>
  <c r="A5727" i="6"/>
  <c r="A5728" i="6"/>
  <c r="A5729" i="6"/>
  <c r="A5730" i="6"/>
  <c r="A5731" i="6"/>
  <c r="A5732" i="6"/>
  <c r="A5733" i="6"/>
  <c r="A5734" i="6"/>
  <c r="A5735" i="6"/>
  <c r="A5736" i="6"/>
  <c r="A5737" i="6"/>
  <c r="A5738" i="6"/>
  <c r="A5739" i="6"/>
  <c r="A5740" i="6"/>
  <c r="A5741" i="6"/>
  <c r="A5742" i="6"/>
  <c r="A5743" i="6"/>
  <c r="A5744" i="6"/>
  <c r="A5745" i="6"/>
  <c r="A5746" i="6"/>
  <c r="A5747" i="6"/>
  <c r="A5748" i="6"/>
  <c r="A5749" i="6"/>
  <c r="A5750" i="6"/>
  <c r="A5751" i="6"/>
  <c r="A5752" i="6"/>
  <c r="A5753" i="6"/>
  <c r="A5754" i="6"/>
  <c r="A5755" i="6"/>
  <c r="A5756" i="6"/>
  <c r="A5757" i="6"/>
  <c r="A5758" i="6"/>
  <c r="A5759" i="6"/>
  <c r="A5760" i="6"/>
  <c r="A5761" i="6"/>
  <c r="A5762" i="6"/>
  <c r="A5763" i="6"/>
  <c r="A5764" i="6"/>
  <c r="A5765" i="6"/>
  <c r="A5766" i="6"/>
  <c r="A5767" i="6"/>
  <c r="A5768" i="6"/>
  <c r="A5769" i="6"/>
  <c r="A5770" i="6"/>
  <c r="A5771" i="6"/>
  <c r="A5772" i="6"/>
  <c r="A5773" i="6"/>
  <c r="A5774" i="6"/>
  <c r="A5775" i="6"/>
  <c r="A5776" i="6"/>
  <c r="A5777" i="6"/>
  <c r="A5778" i="6"/>
  <c r="A5779" i="6"/>
  <c r="A5780" i="6"/>
  <c r="A5781" i="6"/>
  <c r="A5782" i="6"/>
  <c r="A5783" i="6"/>
  <c r="A5784" i="6"/>
  <c r="A5785" i="6"/>
  <c r="A5786" i="6"/>
  <c r="A5787" i="6"/>
  <c r="A5788" i="6"/>
  <c r="A5789" i="6"/>
  <c r="A5790" i="6"/>
  <c r="A5791" i="6"/>
  <c r="A5792" i="6"/>
  <c r="A5793" i="6"/>
  <c r="A5794" i="6"/>
  <c r="A5795" i="6"/>
  <c r="A5796" i="6"/>
  <c r="A5797" i="6"/>
  <c r="A5798" i="6"/>
  <c r="A5799" i="6"/>
  <c r="A5800" i="6"/>
  <c r="A5801" i="6"/>
  <c r="A5802" i="6"/>
  <c r="A5803" i="6"/>
  <c r="A5804" i="6"/>
  <c r="A5805" i="6"/>
  <c r="A5806" i="6"/>
  <c r="A5807" i="6"/>
  <c r="A5808" i="6"/>
  <c r="A5809" i="6"/>
  <c r="A5810" i="6"/>
  <c r="A5811" i="6"/>
  <c r="A5812" i="6"/>
  <c r="A5813" i="6"/>
  <c r="A5814" i="6"/>
  <c r="A5815" i="6"/>
  <c r="A5816" i="6"/>
  <c r="A5817" i="6"/>
  <c r="A5818" i="6"/>
  <c r="A5819" i="6"/>
  <c r="A5820" i="6"/>
  <c r="A5821" i="6"/>
  <c r="A5822" i="6"/>
  <c r="A5823" i="6"/>
  <c r="A5824" i="6"/>
  <c r="A5825" i="6"/>
  <c r="A5826" i="6"/>
  <c r="A5827" i="6"/>
  <c r="A5828" i="6"/>
  <c r="A5829" i="6"/>
  <c r="A5830" i="6"/>
  <c r="A5831" i="6"/>
  <c r="A5832" i="6"/>
  <c r="A5833" i="6"/>
  <c r="A5834" i="6"/>
  <c r="A5835" i="6"/>
  <c r="A5836" i="6"/>
  <c r="A5837" i="6"/>
  <c r="A5838" i="6"/>
  <c r="A5839" i="6"/>
  <c r="A5840" i="6"/>
  <c r="A5841" i="6"/>
  <c r="A5842" i="6"/>
  <c r="A5843" i="6"/>
  <c r="A5844" i="6"/>
  <c r="A5845" i="6"/>
  <c r="A5846" i="6"/>
  <c r="A5847" i="6"/>
  <c r="A5848" i="6"/>
  <c r="A5849" i="6"/>
  <c r="A5850" i="6"/>
  <c r="A5851" i="6"/>
  <c r="A5852" i="6"/>
  <c r="A5853" i="6"/>
  <c r="A5854" i="6"/>
  <c r="A5855" i="6"/>
  <c r="A5856" i="6"/>
  <c r="A5857" i="6"/>
  <c r="A5858" i="6"/>
  <c r="A5859" i="6"/>
  <c r="A5860" i="6"/>
  <c r="A5861" i="6"/>
  <c r="A5862" i="6"/>
  <c r="A5863" i="6"/>
  <c r="A5864" i="6"/>
  <c r="A5865" i="6"/>
  <c r="A5866" i="6"/>
  <c r="A5867" i="6"/>
  <c r="A5868" i="6"/>
  <c r="A5869" i="6"/>
  <c r="A5870" i="6"/>
  <c r="A5871" i="6"/>
  <c r="A5872" i="6"/>
  <c r="A5873" i="6"/>
  <c r="A5874" i="6"/>
  <c r="A5875" i="6"/>
  <c r="A5876" i="6"/>
  <c r="A5877" i="6"/>
  <c r="A5878" i="6"/>
  <c r="A5879" i="6"/>
  <c r="A5880" i="6"/>
  <c r="A5881" i="6"/>
  <c r="A5882" i="6"/>
  <c r="A5883" i="6"/>
  <c r="A5884" i="6"/>
  <c r="A5885" i="6"/>
  <c r="A5886" i="6"/>
  <c r="A5887" i="6"/>
  <c r="A5888" i="6"/>
  <c r="A5889" i="6"/>
  <c r="A5890" i="6"/>
  <c r="A5891" i="6"/>
  <c r="A5892" i="6"/>
  <c r="A5893" i="6"/>
  <c r="A5894" i="6"/>
  <c r="A5895" i="6"/>
  <c r="A5896" i="6"/>
  <c r="A5897" i="6"/>
  <c r="A5898" i="6"/>
  <c r="A5899" i="6"/>
  <c r="A5900" i="6"/>
  <c r="A5901" i="6"/>
  <c r="A5902" i="6"/>
  <c r="A5903" i="6"/>
  <c r="A5904" i="6"/>
  <c r="A5905" i="6"/>
  <c r="A5906" i="6"/>
  <c r="A5907" i="6"/>
  <c r="A5908" i="6"/>
  <c r="A5909" i="6"/>
  <c r="A5910" i="6"/>
  <c r="A5911" i="6"/>
  <c r="A5912" i="6"/>
  <c r="A5913" i="6"/>
  <c r="A5914" i="6"/>
  <c r="A5915" i="6"/>
  <c r="A5916" i="6"/>
  <c r="A5917" i="6"/>
  <c r="A5918" i="6"/>
  <c r="A5919" i="6"/>
  <c r="A5920" i="6"/>
  <c r="A5921" i="6"/>
  <c r="A5922" i="6"/>
  <c r="A5923" i="6"/>
  <c r="A5924" i="6"/>
  <c r="A5925" i="6"/>
  <c r="A5926" i="6"/>
  <c r="A5927" i="6"/>
  <c r="A5928" i="6"/>
  <c r="A5929" i="6"/>
  <c r="A5930" i="6"/>
  <c r="A5931" i="6"/>
  <c r="A5932" i="6"/>
  <c r="A5933" i="6"/>
  <c r="A5934" i="6"/>
  <c r="A5935" i="6"/>
  <c r="A5936" i="6"/>
  <c r="A5937" i="6"/>
  <c r="A5938" i="6"/>
  <c r="A5939" i="6"/>
  <c r="A5940" i="6"/>
  <c r="A5941" i="6"/>
  <c r="A5942" i="6"/>
  <c r="A5943" i="6"/>
  <c r="A5944" i="6"/>
  <c r="A5945" i="6"/>
  <c r="A5946" i="6"/>
  <c r="A5947" i="6"/>
  <c r="A5948" i="6"/>
  <c r="A5949" i="6"/>
  <c r="A5950" i="6"/>
  <c r="A5951" i="6"/>
  <c r="A5952" i="6"/>
  <c r="A5953" i="6"/>
  <c r="A5954" i="6"/>
  <c r="A5955" i="6"/>
  <c r="A5956" i="6"/>
  <c r="A5957" i="6"/>
  <c r="A5958" i="6"/>
  <c r="A5959" i="6"/>
  <c r="A5960" i="6"/>
  <c r="A5961" i="6"/>
  <c r="A5962" i="6"/>
  <c r="A5963" i="6"/>
  <c r="A5964" i="6"/>
  <c r="A5965" i="6"/>
  <c r="A5966" i="6"/>
  <c r="A5967" i="6"/>
  <c r="A5968" i="6"/>
  <c r="A5969" i="6"/>
  <c r="A5970" i="6"/>
  <c r="A5971" i="6"/>
  <c r="A5972" i="6"/>
  <c r="A5973" i="6"/>
  <c r="A5974" i="6"/>
  <c r="A5975" i="6"/>
  <c r="A5976" i="6"/>
  <c r="A5977" i="6"/>
  <c r="A5978" i="6"/>
  <c r="A5979" i="6"/>
  <c r="A5980" i="6"/>
  <c r="A5981" i="6"/>
  <c r="A5982" i="6"/>
  <c r="A5983" i="6"/>
  <c r="A5984" i="6"/>
  <c r="A5985" i="6"/>
  <c r="A5986" i="6"/>
  <c r="A5987" i="6"/>
  <c r="A5988" i="6"/>
  <c r="A5989" i="6"/>
  <c r="A5990" i="6"/>
  <c r="A5991" i="6"/>
  <c r="A5992" i="6"/>
  <c r="A5993" i="6"/>
  <c r="A5994" i="6"/>
  <c r="A5995" i="6"/>
  <c r="A5996" i="6"/>
  <c r="A5997" i="6"/>
  <c r="A5998" i="6"/>
  <c r="A5999" i="6"/>
  <c r="A6000" i="6"/>
  <c r="A6001" i="6"/>
  <c r="A6002" i="6"/>
  <c r="A6003" i="6"/>
  <c r="A6004" i="6"/>
  <c r="A6005" i="6"/>
  <c r="A6006" i="6"/>
  <c r="A6007" i="6"/>
  <c r="A6008" i="6"/>
  <c r="A6009" i="6"/>
  <c r="A6010" i="6"/>
  <c r="A6011" i="6"/>
  <c r="A6012" i="6"/>
  <c r="A6013" i="6"/>
  <c r="A6014" i="6"/>
  <c r="A6015" i="6"/>
  <c r="A6016" i="6"/>
  <c r="A6017" i="6"/>
  <c r="A6018" i="6"/>
  <c r="A6019" i="6"/>
  <c r="A6020" i="6"/>
  <c r="A6021" i="6"/>
  <c r="A6022" i="6"/>
  <c r="A6023" i="6"/>
  <c r="A6024" i="6"/>
  <c r="A6025" i="6"/>
  <c r="A6026" i="6"/>
  <c r="A6027" i="6"/>
  <c r="A6028" i="6"/>
  <c r="A6029" i="6"/>
  <c r="A6030" i="6"/>
  <c r="A6031" i="6"/>
  <c r="A6032" i="6"/>
  <c r="A6033" i="6"/>
  <c r="A6034" i="6"/>
  <c r="A6035" i="6"/>
  <c r="A6036" i="6"/>
  <c r="A6037" i="6"/>
  <c r="A6038" i="6"/>
  <c r="A6039" i="6"/>
  <c r="A6040" i="6"/>
  <c r="A6041" i="6"/>
  <c r="A6042" i="6"/>
  <c r="A6043" i="6"/>
  <c r="A6044" i="6"/>
  <c r="A6045" i="6"/>
  <c r="A6046" i="6"/>
  <c r="A6047" i="6"/>
  <c r="A6048" i="6"/>
  <c r="A6049" i="6"/>
  <c r="A6050" i="6"/>
  <c r="A6051" i="6"/>
  <c r="A6052" i="6"/>
  <c r="A6053" i="6"/>
  <c r="A6054" i="6"/>
  <c r="A6055" i="6"/>
  <c r="A6056" i="6"/>
  <c r="A6057" i="6"/>
  <c r="A6058" i="6"/>
  <c r="A6059" i="6"/>
  <c r="A6060" i="6"/>
  <c r="A6061" i="6"/>
  <c r="A6062" i="6"/>
  <c r="A6063" i="6"/>
  <c r="A6064" i="6"/>
  <c r="A6065" i="6"/>
  <c r="A6066" i="6"/>
  <c r="A6067" i="6"/>
  <c r="A6068" i="6"/>
  <c r="A6069" i="6"/>
  <c r="A6070" i="6"/>
  <c r="A6071" i="6"/>
  <c r="A6072" i="6"/>
  <c r="A6073" i="6"/>
  <c r="A6074" i="6"/>
  <c r="A6075" i="6"/>
  <c r="A6076" i="6"/>
  <c r="A6077" i="6"/>
  <c r="A6078" i="6"/>
  <c r="A6079" i="6"/>
  <c r="A6080" i="6"/>
  <c r="A6081" i="6"/>
  <c r="A6082" i="6"/>
  <c r="A6083" i="6"/>
  <c r="A6084" i="6"/>
  <c r="A6085" i="6"/>
  <c r="A6086" i="6"/>
  <c r="A6087" i="6"/>
  <c r="A6088" i="6"/>
  <c r="A6089" i="6"/>
  <c r="A6090" i="6"/>
  <c r="A6091" i="6"/>
  <c r="A6092" i="6"/>
  <c r="A6093" i="6"/>
  <c r="A6094" i="6"/>
  <c r="A6095" i="6"/>
  <c r="A6096" i="6"/>
  <c r="A6097" i="6"/>
  <c r="A6098" i="6"/>
  <c r="A6099" i="6"/>
  <c r="A6100" i="6"/>
  <c r="A6101" i="6"/>
  <c r="A6102" i="6"/>
  <c r="A6103" i="6"/>
  <c r="A6104" i="6"/>
  <c r="A6105" i="6"/>
  <c r="A6106" i="6"/>
  <c r="A6107" i="6"/>
  <c r="A6108" i="6"/>
  <c r="A6109" i="6"/>
  <c r="A6110" i="6"/>
  <c r="A6111" i="6"/>
  <c r="A6112" i="6"/>
  <c r="A6113" i="6"/>
  <c r="A6114" i="6"/>
  <c r="A6115" i="6"/>
  <c r="A6116" i="6"/>
  <c r="A6117" i="6"/>
  <c r="A6118" i="6"/>
  <c r="A6119" i="6"/>
  <c r="A6120" i="6"/>
  <c r="A6121" i="6"/>
  <c r="A6122" i="6"/>
  <c r="A6123" i="6"/>
  <c r="A6124" i="6"/>
  <c r="A6125" i="6"/>
  <c r="A6126" i="6"/>
  <c r="A6127" i="6"/>
  <c r="A6128" i="6"/>
  <c r="A6129" i="6"/>
  <c r="A6130" i="6"/>
  <c r="A6131" i="6"/>
  <c r="A6132" i="6"/>
  <c r="A6133" i="6"/>
  <c r="A6134" i="6"/>
  <c r="A6135" i="6"/>
  <c r="A6136" i="6"/>
  <c r="A6137" i="6"/>
  <c r="A6138" i="6"/>
  <c r="A6139" i="6"/>
  <c r="A6140" i="6"/>
  <c r="A6141" i="6"/>
  <c r="A6142" i="6"/>
  <c r="A6143" i="6"/>
  <c r="A6144" i="6"/>
  <c r="A6145" i="6"/>
  <c r="A6146" i="6"/>
  <c r="A6147" i="6"/>
  <c r="A6148" i="6"/>
  <c r="A6149" i="6"/>
  <c r="A6150" i="6"/>
  <c r="A6151" i="6"/>
  <c r="A6152" i="6"/>
  <c r="A6153" i="6"/>
  <c r="A6154" i="6"/>
  <c r="A6155" i="6"/>
  <c r="A6156" i="6"/>
  <c r="A6157" i="6"/>
  <c r="A6158" i="6"/>
  <c r="A6159" i="6"/>
  <c r="A6160" i="6"/>
  <c r="A6161" i="6"/>
  <c r="A6162" i="6"/>
  <c r="A6163" i="6"/>
  <c r="A6164" i="6"/>
  <c r="A6165" i="6"/>
  <c r="A6166" i="6"/>
  <c r="A6167" i="6"/>
  <c r="A6168" i="6"/>
  <c r="A6169" i="6"/>
  <c r="A6170" i="6"/>
  <c r="A6171" i="6"/>
  <c r="A6172" i="6"/>
  <c r="A6173" i="6"/>
  <c r="A6174" i="6"/>
  <c r="A6175" i="6"/>
  <c r="A6176" i="6"/>
  <c r="A6177" i="6"/>
  <c r="A6178" i="6"/>
  <c r="A6179" i="6"/>
  <c r="A6180" i="6"/>
  <c r="A6181" i="6"/>
  <c r="A6182" i="6"/>
  <c r="A6183" i="6"/>
  <c r="A6184" i="6"/>
  <c r="A6185" i="6"/>
  <c r="A6186" i="6"/>
  <c r="A6187" i="6"/>
  <c r="A6188" i="6"/>
  <c r="A6189" i="6"/>
  <c r="A6190" i="6"/>
  <c r="A6191" i="6"/>
  <c r="A6192" i="6"/>
  <c r="A6193" i="6"/>
  <c r="A6194" i="6"/>
  <c r="A6195" i="6"/>
  <c r="A6196" i="6"/>
  <c r="A6197" i="6"/>
  <c r="A6198" i="6"/>
  <c r="A6199" i="6"/>
  <c r="A6200" i="6"/>
  <c r="A6201" i="6"/>
  <c r="A6202" i="6"/>
  <c r="A6203" i="6"/>
  <c r="A6204" i="6"/>
  <c r="A6205" i="6"/>
  <c r="A6206" i="6"/>
  <c r="A6207" i="6"/>
  <c r="A6208" i="6"/>
  <c r="A6209" i="6"/>
  <c r="A6210" i="6"/>
  <c r="A6211" i="6"/>
  <c r="A6212" i="6"/>
  <c r="A6213" i="6"/>
  <c r="A6214" i="6"/>
  <c r="A6215" i="6"/>
  <c r="A6216" i="6"/>
  <c r="A6217" i="6"/>
  <c r="A6218" i="6"/>
  <c r="A6219" i="6"/>
  <c r="A6220" i="6"/>
  <c r="A6221" i="6"/>
  <c r="A6222" i="6"/>
  <c r="A6223" i="6"/>
  <c r="A6224" i="6"/>
  <c r="A6225" i="6"/>
  <c r="A6226" i="6"/>
  <c r="A6227" i="6"/>
  <c r="A6228" i="6"/>
  <c r="A6229" i="6"/>
  <c r="A6230" i="6"/>
  <c r="A6231" i="6"/>
  <c r="A6232" i="6"/>
  <c r="A6233" i="6"/>
  <c r="A6234" i="6"/>
  <c r="A6235" i="6"/>
  <c r="A6236" i="6"/>
  <c r="A6237" i="6"/>
  <c r="A6238" i="6"/>
  <c r="A6239" i="6"/>
  <c r="A6240" i="6"/>
  <c r="A6241" i="6"/>
  <c r="A6242" i="6"/>
  <c r="A6243" i="6"/>
  <c r="A6244" i="6"/>
  <c r="A6245" i="6"/>
  <c r="A6246" i="6"/>
  <c r="A6247" i="6"/>
  <c r="A6248" i="6"/>
  <c r="A6249" i="6"/>
  <c r="A6250" i="6"/>
  <c r="A6251" i="6"/>
  <c r="A6252" i="6"/>
  <c r="A6253" i="6"/>
  <c r="A6254" i="6"/>
  <c r="A6255" i="6"/>
  <c r="A6256" i="6"/>
  <c r="A6257" i="6"/>
  <c r="A6258" i="6"/>
  <c r="A6259" i="6"/>
  <c r="A6260" i="6"/>
  <c r="A6261" i="6"/>
  <c r="A6262" i="6"/>
  <c r="A6263" i="6"/>
  <c r="A6264" i="6"/>
  <c r="A6265" i="6"/>
  <c r="A6266" i="6"/>
  <c r="A6267" i="6"/>
  <c r="A6268" i="6"/>
  <c r="A6269" i="6"/>
  <c r="A6270" i="6"/>
  <c r="A6271" i="6"/>
  <c r="A6272" i="6"/>
  <c r="A6273" i="6"/>
  <c r="A6274" i="6"/>
  <c r="A6275" i="6"/>
  <c r="A6276" i="6"/>
  <c r="A6277" i="6"/>
  <c r="A6278" i="6"/>
  <c r="A6279" i="6"/>
  <c r="A6280" i="6"/>
  <c r="A6281" i="6"/>
  <c r="A6282" i="6"/>
  <c r="A6283" i="6"/>
  <c r="A6284" i="6"/>
  <c r="A6285" i="6"/>
  <c r="A6286" i="6"/>
  <c r="A6287" i="6"/>
  <c r="A6288" i="6"/>
  <c r="A6289" i="6"/>
  <c r="A6290" i="6"/>
  <c r="A6291" i="6"/>
  <c r="A6292" i="6"/>
  <c r="A6293" i="6"/>
  <c r="A6294" i="6"/>
  <c r="A6295" i="6"/>
  <c r="A6296" i="6"/>
  <c r="A6297" i="6"/>
  <c r="A6298" i="6"/>
  <c r="A6299" i="6"/>
  <c r="A6300" i="6"/>
  <c r="A6301" i="6"/>
  <c r="A6302" i="6"/>
  <c r="A6303" i="6"/>
  <c r="A6304" i="6"/>
  <c r="A6305" i="6"/>
  <c r="A6306" i="6"/>
  <c r="A6307" i="6"/>
  <c r="A6308" i="6"/>
  <c r="A6309" i="6"/>
  <c r="A6310" i="6"/>
  <c r="A6311" i="6"/>
  <c r="A6312" i="6"/>
  <c r="A6313" i="6"/>
  <c r="A6314" i="6"/>
  <c r="A6315" i="6"/>
  <c r="A6316" i="6"/>
  <c r="A6317" i="6"/>
  <c r="A6318" i="6"/>
  <c r="A6319" i="6"/>
  <c r="A6320" i="6"/>
  <c r="A6321" i="6"/>
  <c r="A6322" i="6"/>
  <c r="A6323" i="6"/>
  <c r="A6324" i="6"/>
  <c r="A6325" i="6"/>
  <c r="A6326" i="6"/>
  <c r="A6327" i="6"/>
  <c r="A6328" i="6"/>
  <c r="A6329" i="6"/>
  <c r="A6330" i="6"/>
  <c r="A6331" i="6"/>
  <c r="A6332" i="6"/>
  <c r="A6333" i="6"/>
  <c r="A6334" i="6"/>
  <c r="A6335" i="6"/>
  <c r="A6336" i="6"/>
  <c r="A6337" i="6"/>
  <c r="A6338" i="6"/>
  <c r="A6339" i="6"/>
  <c r="A6340" i="6"/>
  <c r="A6341" i="6"/>
  <c r="A6342" i="6"/>
  <c r="A6343" i="6"/>
  <c r="A6344" i="6"/>
  <c r="A6345" i="6"/>
  <c r="A6346" i="6"/>
  <c r="A6347" i="6"/>
  <c r="A6348" i="6"/>
  <c r="A6349" i="6"/>
  <c r="A6350" i="6"/>
  <c r="A6351" i="6"/>
  <c r="A6352" i="6"/>
  <c r="A6353" i="6"/>
  <c r="A6354" i="6"/>
  <c r="A6355" i="6"/>
  <c r="A6356" i="6"/>
  <c r="A6357" i="6"/>
  <c r="A6358" i="6"/>
  <c r="A6359" i="6"/>
  <c r="A6360" i="6"/>
  <c r="A6361" i="6"/>
  <c r="A6362" i="6"/>
  <c r="A6363" i="6"/>
  <c r="A6364" i="6"/>
  <c r="A6365" i="6"/>
  <c r="A6366" i="6"/>
  <c r="A6367" i="6"/>
  <c r="A6368" i="6"/>
  <c r="A6369" i="6"/>
  <c r="A6370" i="6"/>
  <c r="A6371" i="6"/>
  <c r="A6372" i="6"/>
  <c r="A6373" i="6"/>
  <c r="A6374" i="6"/>
  <c r="A6375" i="6"/>
  <c r="A6376" i="6"/>
  <c r="A6377" i="6"/>
  <c r="A6378" i="6"/>
  <c r="A6379" i="6"/>
  <c r="A6380" i="6"/>
  <c r="A6381" i="6"/>
  <c r="A6382" i="6"/>
  <c r="A6383" i="6"/>
  <c r="A6384" i="6"/>
  <c r="A6385" i="6"/>
  <c r="A6386" i="6"/>
  <c r="A6387" i="6"/>
  <c r="A6388" i="6"/>
  <c r="A6389" i="6"/>
  <c r="A6390" i="6"/>
  <c r="A6391" i="6"/>
  <c r="A6392" i="6"/>
  <c r="A6393" i="6"/>
  <c r="A6394" i="6"/>
  <c r="A6395" i="6"/>
  <c r="A6396" i="6"/>
  <c r="A6397" i="6"/>
  <c r="A6398" i="6"/>
  <c r="A6399" i="6"/>
  <c r="A6400" i="6"/>
  <c r="A6401" i="6"/>
  <c r="A6402" i="6"/>
  <c r="A6403" i="6"/>
  <c r="A6404" i="6"/>
  <c r="A6405" i="6"/>
  <c r="A6406" i="6"/>
  <c r="A6407" i="6"/>
  <c r="A6408" i="6"/>
  <c r="A6409" i="6"/>
  <c r="A6410" i="6"/>
  <c r="A6411" i="6"/>
  <c r="A6412" i="6"/>
  <c r="A6413" i="6"/>
  <c r="A6414" i="6"/>
  <c r="A6415" i="6"/>
  <c r="A6416" i="6"/>
  <c r="A6417" i="6"/>
  <c r="A6418" i="6"/>
  <c r="A6419" i="6"/>
  <c r="A6420" i="6"/>
  <c r="A6421" i="6"/>
  <c r="A6422" i="6"/>
  <c r="A6423" i="6"/>
  <c r="A6424" i="6"/>
  <c r="A6425" i="6"/>
  <c r="A6426" i="6"/>
  <c r="A6427" i="6"/>
  <c r="A6428" i="6"/>
  <c r="A6429" i="6"/>
  <c r="A6430" i="6"/>
  <c r="A6431" i="6"/>
  <c r="A6432" i="6"/>
  <c r="A6433" i="6"/>
  <c r="A6434" i="6"/>
  <c r="A6435" i="6"/>
  <c r="A6436" i="6"/>
  <c r="A6437" i="6"/>
  <c r="A6438" i="6"/>
  <c r="A6439" i="6"/>
  <c r="A6440" i="6"/>
  <c r="A6441" i="6"/>
  <c r="A6442" i="6"/>
  <c r="A6443" i="6"/>
  <c r="A6444" i="6"/>
  <c r="A6445" i="6"/>
  <c r="A6446" i="6"/>
  <c r="A6447" i="6"/>
  <c r="A6448" i="6"/>
  <c r="A6449" i="6"/>
  <c r="A6450" i="6"/>
  <c r="A6451" i="6"/>
  <c r="A6452" i="6"/>
  <c r="A6453" i="6"/>
  <c r="A6454" i="6"/>
  <c r="A6455" i="6"/>
  <c r="A6456" i="6"/>
  <c r="A6457" i="6"/>
  <c r="A6458" i="6"/>
  <c r="A6459" i="6"/>
  <c r="A6460" i="6"/>
  <c r="A6461" i="6"/>
  <c r="A6462" i="6"/>
  <c r="A6463" i="6"/>
  <c r="A6464" i="6"/>
  <c r="A6465" i="6"/>
  <c r="A6466" i="6"/>
  <c r="A6467" i="6"/>
  <c r="A6468" i="6"/>
  <c r="A6469" i="6"/>
  <c r="A6470" i="6"/>
  <c r="A6471" i="6"/>
  <c r="A6472" i="6"/>
  <c r="A6473" i="6"/>
  <c r="A6474" i="6"/>
  <c r="A6475" i="6"/>
  <c r="A6476" i="6"/>
  <c r="A6477" i="6"/>
  <c r="A6478" i="6"/>
  <c r="A6479" i="6"/>
  <c r="A6480" i="6"/>
  <c r="A6481" i="6"/>
  <c r="A6482" i="6"/>
  <c r="A6483" i="6"/>
  <c r="A6484" i="6"/>
  <c r="A6485" i="6"/>
  <c r="A6486" i="6"/>
  <c r="A6487" i="6"/>
  <c r="A6488" i="6"/>
  <c r="A6489" i="6"/>
  <c r="A6490" i="6"/>
  <c r="A6491" i="6"/>
  <c r="A6492" i="6"/>
  <c r="A6493" i="6"/>
  <c r="A6494" i="6"/>
  <c r="A6495" i="6"/>
  <c r="A6496" i="6"/>
  <c r="A6497" i="6"/>
  <c r="A6498" i="6"/>
  <c r="A6499" i="6"/>
  <c r="A6500" i="6"/>
  <c r="A6501" i="6"/>
  <c r="A6502" i="6"/>
  <c r="A6503" i="6"/>
  <c r="A6504" i="6"/>
  <c r="A6505" i="6"/>
  <c r="A6506" i="6"/>
  <c r="A6507" i="6"/>
  <c r="A6508" i="6"/>
  <c r="A6509" i="6"/>
  <c r="A6510" i="6"/>
  <c r="A6511" i="6"/>
  <c r="A6512" i="6"/>
  <c r="A6513" i="6"/>
  <c r="A6514" i="6"/>
  <c r="A6515" i="6"/>
  <c r="A6516" i="6"/>
  <c r="A6517" i="6"/>
  <c r="A6518" i="6"/>
  <c r="A6519" i="6"/>
  <c r="A6520" i="6"/>
  <c r="A6521" i="6"/>
  <c r="A6522" i="6"/>
  <c r="A6523" i="6"/>
  <c r="A6524" i="6"/>
  <c r="A6525" i="6"/>
  <c r="A6526" i="6"/>
  <c r="A6527" i="6"/>
  <c r="A6528" i="6"/>
  <c r="A6529" i="6"/>
  <c r="A6530" i="6"/>
  <c r="A6531" i="6"/>
  <c r="A6532" i="6"/>
  <c r="A6533" i="6"/>
  <c r="A6534" i="6"/>
  <c r="A6535" i="6"/>
  <c r="A6536" i="6"/>
  <c r="A6537" i="6"/>
  <c r="A6538" i="6"/>
  <c r="A6539" i="6"/>
  <c r="A6540" i="6"/>
  <c r="A6541" i="6"/>
  <c r="A6542" i="6"/>
  <c r="A6543" i="6"/>
  <c r="A6544" i="6"/>
  <c r="A6545" i="6"/>
  <c r="A6546" i="6"/>
  <c r="A6547" i="6"/>
  <c r="A6548" i="6"/>
  <c r="A6549" i="6"/>
  <c r="A6550" i="6"/>
  <c r="A6551" i="6"/>
  <c r="A6552" i="6"/>
  <c r="A6553" i="6"/>
  <c r="A6554" i="6"/>
  <c r="A6555" i="6"/>
  <c r="A6556" i="6"/>
  <c r="A6557" i="6"/>
  <c r="A6558" i="6"/>
  <c r="A6559" i="6"/>
  <c r="A6560" i="6"/>
  <c r="A6561" i="6"/>
  <c r="A6562" i="6"/>
  <c r="A6563" i="6"/>
  <c r="A6564" i="6"/>
  <c r="A6565" i="6"/>
  <c r="A6566" i="6"/>
  <c r="A6567" i="6"/>
  <c r="A6568" i="6"/>
  <c r="A6569" i="6"/>
  <c r="A6570" i="6"/>
  <c r="A6571" i="6"/>
  <c r="A6572" i="6"/>
  <c r="A6573" i="6"/>
  <c r="A6574" i="6"/>
  <c r="A6575" i="6"/>
  <c r="A6576" i="6"/>
  <c r="A6577" i="6"/>
  <c r="A6578" i="6"/>
  <c r="A6579" i="6"/>
  <c r="A6580" i="6"/>
  <c r="A6581" i="6"/>
  <c r="A6582" i="6"/>
  <c r="A6583" i="6"/>
  <c r="A6584" i="6"/>
  <c r="A6585" i="6"/>
  <c r="A6586" i="6"/>
  <c r="A6587" i="6"/>
  <c r="A6588" i="6"/>
  <c r="A6589" i="6"/>
  <c r="A6590" i="6"/>
  <c r="A6591" i="6"/>
  <c r="A6592" i="6"/>
  <c r="A6593" i="6"/>
  <c r="A6594" i="6"/>
  <c r="A6595" i="6"/>
  <c r="A6596" i="6"/>
  <c r="A6597" i="6"/>
  <c r="A6598" i="6"/>
  <c r="A6599" i="6"/>
  <c r="A6600" i="6"/>
  <c r="A6601" i="6"/>
  <c r="A6602" i="6"/>
  <c r="A6603" i="6"/>
  <c r="A6604" i="6"/>
  <c r="A6605" i="6"/>
  <c r="A6606" i="6"/>
  <c r="A6607" i="6"/>
  <c r="A6608" i="6"/>
  <c r="A6609" i="6"/>
  <c r="A6610" i="6"/>
  <c r="A6611" i="6"/>
  <c r="A6612" i="6"/>
  <c r="A6613" i="6"/>
  <c r="A6614" i="6"/>
  <c r="A6615" i="6"/>
  <c r="A6616" i="6"/>
  <c r="A6617" i="6"/>
  <c r="A6618" i="6"/>
  <c r="A6619" i="6"/>
  <c r="A6620" i="6"/>
  <c r="A6621" i="6"/>
  <c r="A6622" i="6"/>
  <c r="A6623" i="6"/>
  <c r="A6624" i="6"/>
  <c r="A6625" i="6"/>
  <c r="A6626" i="6"/>
  <c r="A6627" i="6"/>
  <c r="A6628" i="6"/>
  <c r="A6629" i="6"/>
  <c r="A6630" i="6"/>
  <c r="A6631" i="6"/>
  <c r="A6632" i="6"/>
  <c r="A6633" i="6"/>
  <c r="A6634" i="6"/>
  <c r="A6635" i="6"/>
  <c r="A6636" i="6"/>
  <c r="A6637" i="6"/>
  <c r="A6638" i="6"/>
  <c r="A6639" i="6"/>
  <c r="A6640" i="6"/>
  <c r="A6641" i="6"/>
  <c r="A6642" i="6"/>
  <c r="A6643" i="6"/>
  <c r="A6644" i="6"/>
  <c r="A6645" i="6"/>
  <c r="A6646" i="6"/>
  <c r="A6647" i="6"/>
  <c r="A6648" i="6"/>
  <c r="A6649" i="6"/>
  <c r="A6650" i="6"/>
  <c r="A6651" i="6"/>
  <c r="A6652" i="6"/>
  <c r="A6653" i="6"/>
  <c r="A6654" i="6"/>
  <c r="A6655" i="6"/>
  <c r="A6656" i="6"/>
  <c r="A6657" i="6"/>
  <c r="A6658" i="6"/>
  <c r="A6659" i="6"/>
  <c r="A6660" i="6"/>
  <c r="A6661" i="6"/>
  <c r="A6662" i="6"/>
  <c r="A6663" i="6"/>
  <c r="A6664" i="6"/>
  <c r="A6665" i="6"/>
  <c r="A6666" i="6"/>
  <c r="A6667" i="6"/>
  <c r="A6668" i="6"/>
  <c r="A6669" i="6"/>
  <c r="A6670" i="6"/>
  <c r="A6671" i="6"/>
  <c r="A6672" i="6"/>
  <c r="A6673" i="6"/>
  <c r="A6674" i="6"/>
  <c r="A6675" i="6"/>
  <c r="A6676" i="6"/>
  <c r="A6677" i="6"/>
  <c r="A6678" i="6"/>
  <c r="A6679" i="6"/>
  <c r="A6680" i="6"/>
  <c r="A6681" i="6"/>
  <c r="A6682" i="6"/>
  <c r="A6683" i="6"/>
  <c r="A6684" i="6"/>
  <c r="A6685" i="6"/>
  <c r="A6686" i="6"/>
  <c r="A6687" i="6"/>
  <c r="A6688" i="6"/>
  <c r="A6689" i="6"/>
  <c r="A6690" i="6"/>
  <c r="A6691" i="6"/>
  <c r="A6692" i="6"/>
  <c r="A6693" i="6"/>
  <c r="A6694" i="6"/>
  <c r="A6695" i="6"/>
  <c r="A6696" i="6"/>
  <c r="A6697" i="6"/>
  <c r="A6698" i="6"/>
  <c r="A6699" i="6"/>
  <c r="A6700" i="6"/>
  <c r="A6701" i="6"/>
  <c r="A6702" i="6"/>
  <c r="A6703" i="6"/>
  <c r="A6704" i="6"/>
  <c r="A6705" i="6"/>
  <c r="A6706" i="6"/>
  <c r="A6707" i="6"/>
  <c r="A6708" i="6"/>
  <c r="A6709" i="6"/>
  <c r="A6710" i="6"/>
  <c r="A6711" i="6"/>
  <c r="A6712" i="6"/>
  <c r="A6713" i="6"/>
  <c r="A6714" i="6"/>
  <c r="A6715" i="6"/>
  <c r="A6716" i="6"/>
  <c r="A6717" i="6"/>
  <c r="A6718" i="6"/>
  <c r="A6719" i="6"/>
  <c r="A6720" i="6"/>
  <c r="A6721" i="6"/>
  <c r="A6722" i="6"/>
  <c r="A6723" i="6"/>
  <c r="A6724" i="6"/>
  <c r="A6725" i="6"/>
  <c r="A6726" i="6"/>
  <c r="A6727" i="6"/>
  <c r="A6728" i="6"/>
  <c r="A6729" i="6"/>
  <c r="A6730" i="6"/>
  <c r="A6731" i="6"/>
  <c r="A6732" i="6"/>
  <c r="A6733" i="6"/>
  <c r="A6734" i="6"/>
  <c r="A6735" i="6"/>
  <c r="A6736" i="6"/>
  <c r="A6737" i="6"/>
  <c r="A6738" i="6"/>
  <c r="A6739" i="6"/>
  <c r="A6740" i="6"/>
  <c r="A6741" i="6"/>
  <c r="A6742" i="6"/>
  <c r="A6743" i="6"/>
  <c r="A6744" i="6"/>
  <c r="A6745" i="6"/>
  <c r="A6746" i="6"/>
  <c r="A6747" i="6"/>
  <c r="A6748" i="6"/>
  <c r="A6749" i="6"/>
  <c r="A6750" i="6"/>
  <c r="A6751" i="6"/>
  <c r="A6752" i="6"/>
  <c r="A6753" i="6"/>
  <c r="A6754" i="6"/>
  <c r="A6755" i="6"/>
  <c r="A6756" i="6"/>
  <c r="A6757" i="6"/>
  <c r="A6758" i="6"/>
  <c r="A6759" i="6"/>
  <c r="A6760" i="6"/>
  <c r="A6761" i="6"/>
  <c r="A6762" i="6"/>
  <c r="A6763" i="6"/>
  <c r="A6764" i="6"/>
  <c r="A6765" i="6"/>
  <c r="A6766" i="6"/>
  <c r="A6767" i="6"/>
  <c r="A6768" i="6"/>
  <c r="A6769" i="6"/>
  <c r="A6770" i="6"/>
  <c r="A6771" i="6"/>
  <c r="A6772" i="6"/>
  <c r="A6773" i="6"/>
  <c r="A6774" i="6"/>
  <c r="A6775" i="6"/>
  <c r="A6776" i="6"/>
  <c r="A6777" i="6"/>
  <c r="A6778" i="6"/>
  <c r="A6779" i="6"/>
  <c r="A6780" i="6"/>
  <c r="A6781" i="6"/>
  <c r="A6782" i="6"/>
  <c r="A6783" i="6"/>
  <c r="A6784" i="6"/>
  <c r="A6785" i="6"/>
  <c r="A6786" i="6"/>
  <c r="A6787" i="6"/>
  <c r="A6788" i="6"/>
  <c r="A6789" i="6"/>
  <c r="A6790" i="6"/>
  <c r="A6791" i="6"/>
  <c r="A6792" i="6"/>
  <c r="A6793" i="6"/>
  <c r="A6794" i="6"/>
  <c r="A6795" i="6"/>
  <c r="A6796" i="6"/>
  <c r="A6797" i="6"/>
  <c r="A6798" i="6"/>
  <c r="A6799" i="6"/>
  <c r="A6800" i="6"/>
  <c r="A6801" i="6"/>
  <c r="A6802" i="6"/>
  <c r="A6803" i="6"/>
  <c r="A6804" i="6"/>
  <c r="A6805" i="6"/>
  <c r="A6806" i="6"/>
  <c r="A6807" i="6"/>
  <c r="A6808" i="6"/>
  <c r="A6809" i="6"/>
  <c r="A6810" i="6"/>
  <c r="A6811" i="6"/>
  <c r="A6812" i="6"/>
  <c r="A6813" i="6"/>
  <c r="A6814" i="6"/>
  <c r="A6815" i="6"/>
  <c r="A6816" i="6"/>
  <c r="A6817" i="6"/>
  <c r="A6818" i="6"/>
  <c r="A6819" i="6"/>
  <c r="A6820" i="6"/>
  <c r="A6821" i="6"/>
  <c r="A6822" i="6"/>
  <c r="A6823" i="6"/>
  <c r="A6824" i="6"/>
  <c r="A6825" i="6"/>
  <c r="A6826" i="6"/>
  <c r="A6827" i="6"/>
  <c r="A6828" i="6"/>
  <c r="A6829" i="6"/>
  <c r="A6830" i="6"/>
  <c r="A6831" i="6"/>
  <c r="A6832" i="6"/>
  <c r="A6833" i="6"/>
  <c r="A6834" i="6"/>
  <c r="A6835" i="6"/>
  <c r="A6836" i="6"/>
  <c r="A6837" i="6"/>
  <c r="A6838" i="6"/>
  <c r="A6839" i="6"/>
  <c r="A6840" i="6"/>
  <c r="A6841" i="6"/>
  <c r="A6842" i="6"/>
  <c r="A6843" i="6"/>
  <c r="A6844" i="6"/>
  <c r="A6845" i="6"/>
  <c r="A6846" i="6"/>
  <c r="A6847" i="6"/>
  <c r="A6848" i="6"/>
  <c r="A6849" i="6"/>
  <c r="A6850" i="6"/>
  <c r="A6851" i="6"/>
  <c r="A6852" i="6"/>
  <c r="A6853" i="6"/>
  <c r="A6854" i="6"/>
  <c r="A6855" i="6"/>
  <c r="A6856" i="6"/>
  <c r="A6857" i="6"/>
  <c r="A6858" i="6"/>
  <c r="A6859" i="6"/>
  <c r="A6860" i="6"/>
  <c r="A6861" i="6"/>
  <c r="A6862" i="6"/>
  <c r="A6863" i="6"/>
  <c r="A6864" i="6"/>
  <c r="A6865" i="6"/>
  <c r="A6866" i="6"/>
  <c r="A6867" i="6"/>
  <c r="A6868" i="6"/>
  <c r="A6869" i="6"/>
  <c r="A6870" i="6"/>
  <c r="A6871" i="6"/>
  <c r="A6872" i="6"/>
  <c r="A6873" i="6"/>
  <c r="A6874" i="6"/>
  <c r="A6875" i="6"/>
  <c r="A6876" i="6"/>
  <c r="A6877" i="6"/>
  <c r="A6878" i="6"/>
  <c r="A6879" i="6"/>
  <c r="A6880" i="6"/>
  <c r="A6881" i="6"/>
  <c r="A6882" i="6"/>
  <c r="A6883" i="6"/>
  <c r="A6884" i="6"/>
  <c r="A6885" i="6"/>
  <c r="A6886" i="6"/>
  <c r="A6887" i="6"/>
  <c r="A6888" i="6"/>
  <c r="A6889" i="6"/>
  <c r="A6890" i="6"/>
  <c r="A6891" i="6"/>
  <c r="A6892" i="6"/>
  <c r="A6893" i="6"/>
  <c r="A6894" i="6"/>
  <c r="A6895" i="6"/>
  <c r="A6896" i="6"/>
  <c r="A6897" i="6"/>
  <c r="A6898" i="6"/>
  <c r="A6899" i="6"/>
  <c r="A6900" i="6"/>
  <c r="A6901" i="6"/>
  <c r="A6902" i="6"/>
  <c r="A6903" i="6"/>
  <c r="A6904" i="6"/>
  <c r="A6905" i="6"/>
  <c r="A6906" i="6"/>
  <c r="A6907" i="6"/>
  <c r="A6908" i="6"/>
  <c r="A6909" i="6"/>
  <c r="A6910" i="6"/>
  <c r="A6911" i="6"/>
  <c r="A6912" i="6"/>
  <c r="A6913" i="6"/>
  <c r="A6914" i="6"/>
  <c r="A6915" i="6"/>
  <c r="A6916" i="6"/>
  <c r="A6917" i="6"/>
  <c r="A6918" i="6"/>
  <c r="A6919" i="6"/>
  <c r="A6920" i="6"/>
  <c r="A6921" i="6"/>
  <c r="A6922" i="6"/>
  <c r="A6923" i="6"/>
  <c r="A6924" i="6"/>
  <c r="A6925" i="6"/>
  <c r="A6926" i="6"/>
  <c r="A6927" i="6"/>
  <c r="A6928" i="6"/>
  <c r="A6929" i="6"/>
  <c r="A6930" i="6"/>
  <c r="A6931" i="6"/>
  <c r="A6932" i="6"/>
  <c r="A6933" i="6"/>
  <c r="A6934" i="6"/>
  <c r="A6935" i="6"/>
  <c r="A6936" i="6"/>
  <c r="A6937" i="6"/>
  <c r="A6938" i="6"/>
  <c r="A6939" i="6"/>
  <c r="A6940" i="6"/>
  <c r="A6941" i="6"/>
  <c r="A6942" i="6"/>
  <c r="A6943" i="6"/>
  <c r="A6944" i="6"/>
  <c r="A6945" i="6"/>
  <c r="A6946" i="6"/>
  <c r="A6947" i="6"/>
  <c r="A6948" i="6"/>
  <c r="A6949" i="6"/>
  <c r="A6950" i="6"/>
  <c r="A6951" i="6"/>
  <c r="A6952" i="6"/>
  <c r="A6953" i="6"/>
  <c r="A6954" i="6"/>
  <c r="A6955" i="6"/>
  <c r="A6956" i="6"/>
  <c r="A6957" i="6"/>
  <c r="A6958" i="6"/>
  <c r="A6959" i="6"/>
  <c r="A6960" i="6"/>
  <c r="A6961" i="6"/>
  <c r="A6962" i="6"/>
  <c r="A6963" i="6"/>
  <c r="A6964" i="6"/>
  <c r="A6965" i="6"/>
  <c r="A6966" i="6"/>
  <c r="A6967" i="6"/>
  <c r="A6968" i="6"/>
  <c r="A6969" i="6"/>
  <c r="A6970" i="6"/>
  <c r="A6971" i="6"/>
  <c r="A6972" i="6"/>
  <c r="A6973" i="6"/>
  <c r="A6974" i="6"/>
  <c r="A6975" i="6"/>
  <c r="A6976" i="6"/>
  <c r="A6977" i="6"/>
  <c r="A6978" i="6"/>
  <c r="A6979" i="6"/>
  <c r="A6980" i="6"/>
  <c r="A6981" i="6"/>
  <c r="A6982" i="6"/>
  <c r="A6983" i="6"/>
  <c r="A6984" i="6"/>
  <c r="A6985" i="6"/>
  <c r="A6986" i="6"/>
  <c r="A6987" i="6"/>
  <c r="A6988" i="6"/>
  <c r="A6989" i="6"/>
  <c r="A6990" i="6"/>
  <c r="A6991" i="6"/>
  <c r="A6992" i="6"/>
  <c r="A6993" i="6"/>
  <c r="A6994" i="6"/>
  <c r="A6995" i="6"/>
  <c r="A6996" i="6"/>
  <c r="A6997" i="6"/>
  <c r="A6998" i="6"/>
  <c r="A6999" i="6"/>
  <c r="A7000" i="6"/>
  <c r="A7001" i="6"/>
  <c r="A7002" i="6"/>
  <c r="A7003" i="6"/>
  <c r="A7004" i="6"/>
  <c r="A7005" i="6"/>
  <c r="A7006" i="6"/>
  <c r="A7007" i="6"/>
  <c r="A7008" i="6"/>
  <c r="A7009" i="6"/>
  <c r="A7010" i="6"/>
  <c r="A7011" i="6"/>
  <c r="A7012" i="6"/>
  <c r="A7013" i="6"/>
  <c r="A7014" i="6"/>
  <c r="A7015" i="6"/>
  <c r="A7016" i="6"/>
  <c r="A7017" i="6"/>
  <c r="A7018" i="6"/>
  <c r="A7019" i="6"/>
  <c r="A7020" i="6"/>
  <c r="A7021" i="6"/>
  <c r="A7022" i="6"/>
  <c r="A7023" i="6"/>
  <c r="A7024" i="6"/>
  <c r="A7025" i="6"/>
  <c r="A7026" i="6"/>
  <c r="A7027" i="6"/>
  <c r="A7028" i="6"/>
  <c r="A7029" i="6"/>
  <c r="A7030" i="6"/>
  <c r="A7031" i="6"/>
  <c r="A7032" i="6"/>
  <c r="A7033" i="6"/>
  <c r="A7034" i="6"/>
  <c r="A7035" i="6"/>
  <c r="A7036" i="6"/>
  <c r="A7037" i="6"/>
  <c r="A7038" i="6"/>
  <c r="A7039" i="6"/>
  <c r="A7040" i="6"/>
  <c r="A7041" i="6"/>
  <c r="A7042" i="6"/>
  <c r="A7043" i="6"/>
  <c r="A7044" i="6"/>
  <c r="A7045" i="6"/>
  <c r="A7046" i="6"/>
  <c r="A7047" i="6"/>
  <c r="A7048" i="6"/>
  <c r="A7049" i="6"/>
  <c r="A7050" i="6"/>
  <c r="A7051" i="6"/>
  <c r="A7052" i="6"/>
  <c r="A7053" i="6"/>
  <c r="A7054" i="6"/>
  <c r="A7055" i="6"/>
  <c r="A7056" i="6"/>
  <c r="A7057" i="6"/>
  <c r="A7058" i="6"/>
  <c r="A7059" i="6"/>
  <c r="A7060" i="6"/>
  <c r="A7061" i="6"/>
  <c r="A7062" i="6"/>
  <c r="A7063" i="6"/>
  <c r="A7064" i="6"/>
  <c r="A7065" i="6"/>
  <c r="A7066" i="6"/>
  <c r="A7067" i="6"/>
  <c r="A7068" i="6"/>
  <c r="A7069" i="6"/>
  <c r="A7070" i="6"/>
  <c r="A7071" i="6"/>
  <c r="A7072" i="6"/>
  <c r="A7073" i="6"/>
  <c r="A7074" i="6"/>
  <c r="A7075" i="6"/>
  <c r="A7076" i="6"/>
  <c r="A7077" i="6"/>
  <c r="A7078" i="6"/>
  <c r="A7079" i="6"/>
  <c r="A7080" i="6"/>
  <c r="A7081" i="6"/>
  <c r="A7082" i="6"/>
  <c r="A7083" i="6"/>
  <c r="A7084" i="6"/>
  <c r="A7085" i="6"/>
  <c r="A7086" i="6"/>
  <c r="A7087" i="6"/>
  <c r="A7088" i="6"/>
  <c r="A7089" i="6"/>
  <c r="A7090" i="6"/>
  <c r="A7091" i="6"/>
  <c r="A7092" i="6"/>
  <c r="A7093" i="6"/>
  <c r="A7094" i="6"/>
  <c r="A7095" i="6"/>
  <c r="A7096" i="6"/>
  <c r="A7097" i="6"/>
  <c r="A7098" i="6"/>
  <c r="A7099" i="6"/>
  <c r="A7100" i="6"/>
  <c r="A7101" i="6"/>
  <c r="A7102" i="6"/>
  <c r="A7103" i="6"/>
  <c r="A7104" i="6"/>
  <c r="A7105" i="6"/>
  <c r="A7106" i="6"/>
  <c r="A7107" i="6"/>
  <c r="A7108" i="6"/>
  <c r="A7109" i="6"/>
  <c r="A7110" i="6"/>
  <c r="A7111" i="6"/>
  <c r="A7112" i="6"/>
  <c r="A7113" i="6"/>
  <c r="A7114" i="6"/>
  <c r="A7115" i="6"/>
  <c r="A7116" i="6"/>
  <c r="A7117" i="6"/>
  <c r="A7118" i="6"/>
  <c r="A7119" i="6"/>
  <c r="A7120" i="6"/>
  <c r="A7121" i="6"/>
  <c r="A7122" i="6"/>
  <c r="A7123" i="6"/>
  <c r="A7124" i="6"/>
  <c r="A7125" i="6"/>
  <c r="A7126" i="6"/>
  <c r="A7127" i="6"/>
  <c r="A7128" i="6"/>
  <c r="A7129" i="6"/>
  <c r="A7130" i="6"/>
  <c r="A7131" i="6"/>
  <c r="A7132" i="6"/>
  <c r="A7133" i="6"/>
  <c r="A7134" i="6"/>
  <c r="A7135" i="6"/>
  <c r="A7136" i="6"/>
  <c r="A7137" i="6"/>
  <c r="A7138" i="6"/>
  <c r="A7139" i="6"/>
  <c r="A7140" i="6"/>
  <c r="A7141" i="6"/>
  <c r="A7142" i="6"/>
  <c r="A7143" i="6"/>
  <c r="A7144" i="6"/>
  <c r="A7145" i="6"/>
  <c r="A7146" i="6"/>
  <c r="A7147" i="6"/>
  <c r="A7148" i="6"/>
  <c r="A7149" i="6"/>
  <c r="A7150" i="6"/>
  <c r="A7151" i="6"/>
  <c r="A7152" i="6"/>
  <c r="A7153" i="6"/>
  <c r="A7154" i="6"/>
  <c r="A7155" i="6"/>
  <c r="A7156" i="6"/>
  <c r="A7157" i="6"/>
  <c r="A7158" i="6"/>
  <c r="A7159" i="6"/>
  <c r="A7160" i="6"/>
  <c r="A7161" i="6"/>
  <c r="A7162" i="6"/>
  <c r="A7163" i="6"/>
  <c r="A7164" i="6"/>
  <c r="A7165" i="6"/>
  <c r="A7166" i="6"/>
  <c r="A7167" i="6"/>
  <c r="A7168" i="6"/>
  <c r="A7169" i="6"/>
  <c r="A7170" i="6"/>
  <c r="A7171" i="6"/>
  <c r="A7172" i="6"/>
  <c r="A7173" i="6"/>
  <c r="A7174" i="6"/>
  <c r="A7175" i="6"/>
  <c r="A7176" i="6"/>
  <c r="A7177" i="6"/>
  <c r="A7178" i="6"/>
  <c r="A7179" i="6"/>
  <c r="A7180" i="6"/>
  <c r="A7181" i="6"/>
  <c r="A7182" i="6"/>
  <c r="A7183" i="6"/>
  <c r="A7184" i="6"/>
  <c r="A7185" i="6"/>
  <c r="A7186" i="6"/>
  <c r="A7187" i="6"/>
  <c r="A7188" i="6"/>
  <c r="A7189" i="6"/>
  <c r="A7190" i="6"/>
  <c r="A7191" i="6"/>
  <c r="A7192" i="6"/>
  <c r="A7193" i="6"/>
  <c r="A7194" i="6"/>
  <c r="A7195" i="6"/>
  <c r="A7196" i="6"/>
  <c r="A7197" i="6"/>
  <c r="A7198" i="6"/>
  <c r="A7199" i="6"/>
  <c r="A7200" i="6"/>
  <c r="A7201" i="6"/>
  <c r="A7202" i="6"/>
  <c r="A7203" i="6"/>
  <c r="A7204" i="6"/>
  <c r="A7205" i="6"/>
  <c r="A7206" i="6"/>
  <c r="A7207" i="6"/>
  <c r="A7208" i="6"/>
  <c r="A7209" i="6"/>
  <c r="A7210" i="6"/>
  <c r="A7211" i="6"/>
  <c r="A7212" i="6"/>
  <c r="A7213" i="6"/>
  <c r="A7214" i="6"/>
  <c r="A7215" i="6"/>
  <c r="A7216" i="6"/>
  <c r="A7217" i="6"/>
  <c r="A7218" i="6"/>
  <c r="A7219" i="6"/>
  <c r="A7220" i="6"/>
  <c r="A7221" i="6"/>
  <c r="A7222" i="6"/>
  <c r="A7223" i="6"/>
  <c r="A7224" i="6"/>
  <c r="A7225" i="6"/>
  <c r="A7226" i="6"/>
  <c r="A7227" i="6"/>
  <c r="A7228" i="6"/>
  <c r="A7229" i="6"/>
  <c r="A7230" i="6"/>
  <c r="A7231" i="6"/>
  <c r="A7232" i="6"/>
  <c r="A7233" i="6"/>
  <c r="A7234" i="6"/>
  <c r="A7235" i="6"/>
  <c r="A7236" i="6"/>
  <c r="A7237" i="6"/>
  <c r="A7238" i="6"/>
  <c r="A7239" i="6"/>
  <c r="A7240" i="6"/>
  <c r="A7241" i="6"/>
  <c r="A7242" i="6"/>
  <c r="A7243" i="6"/>
  <c r="A7244" i="6"/>
  <c r="A7245" i="6"/>
  <c r="A7246" i="6"/>
  <c r="A7247" i="6"/>
  <c r="A7248" i="6"/>
  <c r="A7249" i="6"/>
  <c r="A7250" i="6"/>
  <c r="A7251" i="6"/>
  <c r="A7252" i="6"/>
  <c r="A7253" i="6"/>
  <c r="A7254" i="6"/>
  <c r="A7255" i="6"/>
  <c r="A7256" i="6"/>
  <c r="A7257" i="6"/>
  <c r="A7258" i="6"/>
  <c r="A7259" i="6"/>
  <c r="A7260" i="6"/>
  <c r="A7261" i="6"/>
  <c r="A7262" i="6"/>
  <c r="A7263" i="6"/>
  <c r="A7264" i="6"/>
  <c r="A7265" i="6"/>
  <c r="A7266" i="6"/>
  <c r="A7267" i="6"/>
  <c r="A7268" i="6"/>
  <c r="A7269" i="6"/>
  <c r="A7270" i="6"/>
  <c r="A7271" i="6"/>
  <c r="A7272" i="6"/>
  <c r="A7273" i="6"/>
  <c r="A7274" i="6"/>
  <c r="A7275" i="6"/>
  <c r="A7276" i="6"/>
  <c r="A7277" i="6"/>
  <c r="A7278" i="6"/>
  <c r="A7279" i="6"/>
  <c r="A7280" i="6"/>
  <c r="A7281" i="6"/>
  <c r="A7282" i="6"/>
  <c r="A7283" i="6"/>
  <c r="A7284" i="6"/>
  <c r="A7285" i="6"/>
  <c r="A7286" i="6"/>
  <c r="A7287" i="6"/>
  <c r="A7288" i="6"/>
  <c r="A7289" i="6"/>
  <c r="A7290" i="6"/>
  <c r="A7291" i="6"/>
  <c r="A7292" i="6"/>
  <c r="A7293" i="6"/>
  <c r="A7294" i="6"/>
  <c r="A7295" i="6"/>
  <c r="A7296" i="6"/>
  <c r="A7297" i="6"/>
  <c r="A7298" i="6"/>
  <c r="A7299" i="6"/>
  <c r="A7300" i="6"/>
  <c r="A7301" i="6"/>
  <c r="A7302" i="6"/>
  <c r="A7303" i="6"/>
  <c r="A7304" i="6"/>
  <c r="A7305" i="6"/>
  <c r="A7306" i="6"/>
  <c r="A7307" i="6"/>
  <c r="A7308" i="6"/>
  <c r="A7309" i="6"/>
  <c r="A7310" i="6"/>
  <c r="A7311" i="6"/>
  <c r="A7312" i="6"/>
  <c r="A7313" i="6"/>
  <c r="A7314" i="6"/>
  <c r="A7315" i="6"/>
  <c r="A7316" i="6"/>
  <c r="A7317" i="6"/>
  <c r="A7318" i="6"/>
  <c r="A7319" i="6"/>
  <c r="A7320" i="6"/>
  <c r="A7321" i="6"/>
  <c r="A7322" i="6"/>
  <c r="A7323" i="6"/>
  <c r="A7324" i="6"/>
  <c r="A7325" i="6"/>
  <c r="A7326" i="6"/>
  <c r="A7327" i="6"/>
  <c r="A7328" i="6"/>
  <c r="A7329" i="6"/>
  <c r="A7330" i="6"/>
  <c r="A7331" i="6"/>
  <c r="A7332" i="6"/>
  <c r="A7333" i="6"/>
  <c r="A7334" i="6"/>
  <c r="A7335" i="6"/>
  <c r="A7336" i="6"/>
  <c r="A7337" i="6"/>
  <c r="A7338" i="6"/>
  <c r="A7339" i="6"/>
  <c r="A7340" i="6"/>
  <c r="A7341" i="6"/>
  <c r="A7342" i="6"/>
  <c r="A7343" i="6"/>
  <c r="A7344" i="6"/>
  <c r="A7345" i="6"/>
  <c r="A7346" i="6"/>
  <c r="A7347" i="6"/>
  <c r="A7348" i="6"/>
  <c r="A7349" i="6"/>
  <c r="A7350" i="6"/>
  <c r="A7351" i="6"/>
  <c r="A7352" i="6"/>
  <c r="A7353" i="6"/>
  <c r="A7354" i="6"/>
  <c r="A7355" i="6"/>
  <c r="A7356" i="6"/>
  <c r="A7357" i="6"/>
  <c r="A7358" i="6"/>
  <c r="A7359" i="6"/>
  <c r="A7360" i="6"/>
  <c r="A7361" i="6"/>
  <c r="A7362" i="6"/>
  <c r="A7363" i="6"/>
  <c r="A7364" i="6"/>
  <c r="A7365" i="6"/>
  <c r="A7366" i="6"/>
  <c r="A7367" i="6"/>
  <c r="A7368" i="6"/>
  <c r="A7369" i="6"/>
  <c r="A7370" i="6"/>
  <c r="A7371" i="6"/>
  <c r="A7372" i="6"/>
  <c r="A7373" i="6"/>
  <c r="A7374" i="6"/>
  <c r="A7375" i="6"/>
  <c r="A7376" i="6"/>
  <c r="A7377" i="6"/>
  <c r="A7378" i="6"/>
  <c r="A7379" i="6"/>
  <c r="A7380" i="6"/>
  <c r="A7381" i="6"/>
  <c r="A7382" i="6"/>
  <c r="A7383" i="6"/>
  <c r="A7384" i="6"/>
  <c r="A7385" i="6"/>
  <c r="A7386" i="6"/>
  <c r="A7387" i="6"/>
  <c r="A7388" i="6"/>
  <c r="A7389" i="6"/>
  <c r="A7390" i="6"/>
  <c r="A7391" i="6"/>
  <c r="A7392" i="6"/>
  <c r="A7393" i="6"/>
  <c r="A7394" i="6"/>
  <c r="A7395" i="6"/>
  <c r="A7396" i="6"/>
  <c r="A7397" i="6"/>
  <c r="A7398" i="6"/>
  <c r="A7399" i="6"/>
  <c r="A7400" i="6"/>
  <c r="A7401" i="6"/>
  <c r="A7402" i="6"/>
  <c r="A7403" i="6"/>
  <c r="A7404" i="6"/>
  <c r="A7405" i="6"/>
  <c r="A7406" i="6"/>
  <c r="A7407" i="6"/>
  <c r="A7408" i="6"/>
  <c r="A7409" i="6"/>
  <c r="A7410" i="6"/>
  <c r="A7411" i="6"/>
  <c r="A7412" i="6"/>
  <c r="A7413" i="6"/>
  <c r="A7414" i="6"/>
  <c r="A7415" i="6"/>
  <c r="A7416" i="6"/>
  <c r="A7417" i="6"/>
  <c r="A7418" i="6"/>
  <c r="A7419" i="6"/>
  <c r="A7420" i="6"/>
  <c r="A7421" i="6"/>
  <c r="A7422" i="6"/>
  <c r="A7423" i="6"/>
  <c r="A7424" i="6"/>
  <c r="A7425" i="6"/>
  <c r="A7426" i="6"/>
  <c r="A7427" i="6"/>
  <c r="A7428" i="6"/>
  <c r="A7429" i="6"/>
  <c r="A7430" i="6"/>
  <c r="A7431" i="6"/>
  <c r="A7432" i="6"/>
  <c r="A7433" i="6"/>
  <c r="A7434" i="6"/>
  <c r="A7435" i="6"/>
  <c r="A7436" i="6"/>
  <c r="A7437" i="6"/>
  <c r="A7438" i="6"/>
  <c r="A7439" i="6"/>
  <c r="A7440" i="6"/>
  <c r="A7441" i="6"/>
  <c r="A7442" i="6"/>
  <c r="A7443" i="6"/>
  <c r="A7444" i="6"/>
  <c r="A7445" i="6"/>
  <c r="A7446" i="6"/>
  <c r="A7447" i="6"/>
  <c r="A7448" i="6"/>
  <c r="A7449" i="6"/>
  <c r="A7450" i="6"/>
  <c r="A7451" i="6"/>
  <c r="A7452" i="6"/>
  <c r="A7453" i="6"/>
  <c r="A7454" i="6"/>
  <c r="A7455" i="6"/>
  <c r="A7456" i="6"/>
  <c r="A7457" i="6"/>
  <c r="A7458" i="6"/>
  <c r="A7459" i="6"/>
  <c r="A7460" i="6"/>
  <c r="A7461" i="6"/>
  <c r="A7462" i="6"/>
  <c r="A7463" i="6"/>
  <c r="A7464" i="6"/>
  <c r="A7465" i="6"/>
  <c r="A7466" i="6"/>
  <c r="A7467" i="6"/>
  <c r="A7468" i="6"/>
  <c r="A7469" i="6"/>
  <c r="A7470" i="6"/>
  <c r="A7471" i="6"/>
  <c r="A7472" i="6"/>
  <c r="A7473" i="6"/>
  <c r="A7474" i="6"/>
  <c r="A7475" i="6"/>
  <c r="A7476" i="6"/>
  <c r="A7477" i="6"/>
  <c r="A7478" i="6"/>
  <c r="A7479" i="6"/>
  <c r="A7480" i="6"/>
  <c r="A7481" i="6"/>
  <c r="A7482" i="6"/>
  <c r="A7483" i="6"/>
  <c r="A7484" i="6"/>
  <c r="A7485" i="6"/>
  <c r="A7486" i="6"/>
  <c r="A7487" i="6"/>
  <c r="A7488" i="6"/>
  <c r="A7489" i="6"/>
  <c r="A7490" i="6"/>
  <c r="A7491" i="6"/>
  <c r="A7492" i="6"/>
  <c r="A7493" i="6"/>
  <c r="A7494" i="6"/>
  <c r="A7495" i="6"/>
  <c r="A7496" i="6"/>
  <c r="A7497" i="6"/>
  <c r="A7498" i="6"/>
  <c r="A7499" i="6"/>
  <c r="A7500" i="6"/>
  <c r="A7501" i="6"/>
  <c r="A7502" i="6"/>
  <c r="A7503" i="6"/>
  <c r="A7504" i="6"/>
  <c r="A7505" i="6"/>
  <c r="A7506" i="6"/>
  <c r="A7507" i="6"/>
  <c r="A7508" i="6"/>
  <c r="A7509" i="6"/>
  <c r="A7510" i="6"/>
  <c r="A7511" i="6"/>
  <c r="A7512" i="6"/>
  <c r="A7513" i="6"/>
  <c r="A7514" i="6"/>
  <c r="A7515" i="6"/>
  <c r="A7516" i="6"/>
  <c r="A7517" i="6"/>
  <c r="A7518" i="6"/>
  <c r="A7519" i="6"/>
  <c r="A7520" i="6"/>
  <c r="A7521" i="6"/>
  <c r="A7522" i="6"/>
  <c r="A7523" i="6"/>
  <c r="A7524" i="6"/>
  <c r="A7525" i="6"/>
  <c r="A7526" i="6"/>
  <c r="A7527" i="6"/>
  <c r="A7528" i="6"/>
  <c r="A7529" i="6"/>
  <c r="A7530" i="6"/>
  <c r="A7531" i="6"/>
  <c r="A7532" i="6"/>
  <c r="A7533" i="6"/>
  <c r="A7534" i="6"/>
  <c r="A7535" i="6"/>
  <c r="A7536" i="6"/>
  <c r="A7537" i="6"/>
  <c r="A7538" i="6"/>
  <c r="A7539" i="6"/>
  <c r="A7540" i="6"/>
  <c r="A7541" i="6"/>
  <c r="A7542" i="6"/>
  <c r="A7543" i="6"/>
  <c r="A7544" i="6"/>
  <c r="A7545" i="6"/>
  <c r="A7546" i="6"/>
  <c r="A7547" i="6"/>
  <c r="A7548" i="6"/>
  <c r="A7549" i="6"/>
  <c r="A7550" i="6"/>
  <c r="A7551" i="6"/>
  <c r="A7552" i="6"/>
  <c r="A7553" i="6"/>
  <c r="A7554" i="6"/>
  <c r="A7555" i="6"/>
  <c r="A7556" i="6"/>
  <c r="A7557" i="6"/>
  <c r="A7558" i="6"/>
  <c r="A7559" i="6"/>
  <c r="A7560" i="6"/>
  <c r="A7561" i="6"/>
  <c r="A7562" i="6"/>
  <c r="A7563" i="6"/>
  <c r="A7564" i="6"/>
  <c r="A7565" i="6"/>
  <c r="A7566" i="6"/>
  <c r="A7567" i="6"/>
  <c r="A7568" i="6"/>
  <c r="A7569" i="6"/>
  <c r="A7570" i="6"/>
  <c r="A7571" i="6"/>
  <c r="A7572" i="6"/>
  <c r="A7573" i="6"/>
  <c r="A7574" i="6"/>
  <c r="A7575" i="6"/>
  <c r="A7576" i="6"/>
  <c r="A7577" i="6"/>
  <c r="A7578" i="6"/>
  <c r="A7579" i="6"/>
  <c r="A7580" i="6"/>
  <c r="A7581" i="6"/>
  <c r="A7582" i="6"/>
  <c r="A7583" i="6"/>
  <c r="A7584" i="6"/>
  <c r="A7585" i="6"/>
  <c r="A7586" i="6"/>
  <c r="A7587" i="6"/>
  <c r="A7588" i="6"/>
  <c r="A7589" i="6"/>
  <c r="A7590" i="6"/>
  <c r="A7591" i="6"/>
  <c r="A7592" i="6"/>
  <c r="A7593" i="6"/>
  <c r="A7594" i="6"/>
  <c r="A7595" i="6"/>
  <c r="A7596" i="6"/>
  <c r="A7597" i="6"/>
  <c r="A7598" i="6"/>
  <c r="A7599" i="6"/>
  <c r="A7600" i="6"/>
  <c r="A7601" i="6"/>
  <c r="A7602" i="6"/>
  <c r="A7603" i="6"/>
  <c r="A7604" i="6"/>
  <c r="A7605" i="6"/>
  <c r="A7606" i="6"/>
  <c r="A7607" i="6"/>
  <c r="A7608" i="6"/>
  <c r="A7609" i="6"/>
  <c r="A7610" i="6"/>
  <c r="A7611" i="6"/>
  <c r="A7612" i="6"/>
  <c r="A7613" i="6"/>
  <c r="A7614" i="6"/>
  <c r="A7615" i="6"/>
  <c r="A7616" i="6"/>
  <c r="A7617" i="6"/>
  <c r="A7618" i="6"/>
  <c r="A7619" i="6"/>
  <c r="A7620" i="6"/>
  <c r="A7621" i="6"/>
  <c r="A7622" i="6"/>
  <c r="A7623" i="6"/>
  <c r="A7624" i="6"/>
  <c r="A7625" i="6"/>
  <c r="A7626" i="6"/>
  <c r="A7627" i="6"/>
  <c r="A7628" i="6"/>
  <c r="A7629" i="6"/>
  <c r="A7630" i="6"/>
  <c r="A7631" i="6"/>
  <c r="A7632" i="6"/>
  <c r="A7633" i="6"/>
  <c r="A7634" i="6"/>
  <c r="A7635" i="6"/>
  <c r="A7636" i="6"/>
  <c r="A7637" i="6"/>
  <c r="A7638" i="6"/>
  <c r="A7639" i="6"/>
  <c r="A7640" i="6"/>
  <c r="A7641" i="6"/>
  <c r="A7642" i="6"/>
  <c r="A7643" i="6"/>
  <c r="A7644" i="6"/>
  <c r="A7645" i="6"/>
  <c r="A7646" i="6"/>
  <c r="A7647" i="6"/>
  <c r="A7648" i="6"/>
  <c r="A7649" i="6"/>
  <c r="A7650" i="6"/>
  <c r="A7651" i="6"/>
  <c r="A7652" i="6"/>
  <c r="A7653" i="6"/>
  <c r="A7654" i="6"/>
  <c r="A7655" i="6"/>
  <c r="A7656" i="6"/>
  <c r="A7657" i="6"/>
  <c r="A7658" i="6"/>
  <c r="A7659" i="6"/>
  <c r="A7660" i="6"/>
  <c r="A7661" i="6"/>
  <c r="A7662" i="6"/>
  <c r="A7663" i="6"/>
  <c r="A7664" i="6"/>
  <c r="A7665" i="6"/>
  <c r="A7666" i="6"/>
  <c r="A7667" i="6"/>
  <c r="A7668" i="6"/>
  <c r="A7669" i="6"/>
  <c r="A7670" i="6"/>
  <c r="A7671" i="6"/>
  <c r="A7672" i="6"/>
  <c r="A7673" i="6"/>
  <c r="A7674" i="6"/>
  <c r="A7675" i="6"/>
  <c r="A7676" i="6"/>
  <c r="A7677" i="6"/>
  <c r="A7678" i="6"/>
  <c r="A7679" i="6"/>
  <c r="A7680" i="6"/>
  <c r="A7681" i="6"/>
  <c r="A7682" i="6"/>
  <c r="A7683" i="6"/>
  <c r="A7684" i="6"/>
  <c r="A7685" i="6"/>
  <c r="A7686" i="6"/>
  <c r="A7687" i="6"/>
  <c r="A7688" i="6"/>
  <c r="A7689" i="6"/>
  <c r="A7690" i="6"/>
  <c r="A7691" i="6"/>
  <c r="A7692" i="6"/>
  <c r="A7693" i="6"/>
  <c r="A7694" i="6"/>
  <c r="A7695" i="6"/>
  <c r="A7696" i="6"/>
  <c r="A7697" i="6"/>
  <c r="A7698" i="6"/>
  <c r="A7699" i="6"/>
  <c r="A7700" i="6"/>
  <c r="A7701" i="6"/>
  <c r="A7702" i="6"/>
  <c r="A7703" i="6"/>
  <c r="A7704" i="6"/>
  <c r="A7705" i="6"/>
  <c r="A7706" i="6"/>
  <c r="A7707" i="6"/>
  <c r="A7708" i="6"/>
  <c r="A7709" i="6"/>
  <c r="A7710" i="6"/>
  <c r="A7711" i="6"/>
  <c r="A7712" i="6"/>
  <c r="A7713" i="6"/>
  <c r="A7714" i="6"/>
  <c r="A7715" i="6"/>
  <c r="A7716" i="6"/>
  <c r="A7717" i="6"/>
  <c r="A7718" i="6"/>
  <c r="A7719" i="6"/>
  <c r="A7720" i="6"/>
  <c r="A7721" i="6"/>
  <c r="A7722" i="6"/>
  <c r="A7723" i="6"/>
  <c r="A7724" i="6"/>
  <c r="A7725" i="6"/>
  <c r="A7726" i="6"/>
  <c r="A7727" i="6"/>
  <c r="A7728" i="6"/>
  <c r="A7729" i="6"/>
  <c r="A7730" i="6"/>
  <c r="A7731" i="6"/>
  <c r="A7732" i="6"/>
  <c r="A7733" i="6"/>
  <c r="A7734" i="6"/>
  <c r="A7735" i="6"/>
  <c r="A7736" i="6"/>
  <c r="A7737" i="6"/>
  <c r="A7738" i="6"/>
  <c r="A7739" i="6"/>
  <c r="A7740" i="6"/>
  <c r="A7741" i="6"/>
  <c r="A7742" i="6"/>
  <c r="A7743" i="6"/>
  <c r="A7744" i="6"/>
  <c r="A7745" i="6"/>
  <c r="A7746" i="6"/>
  <c r="A7747" i="6"/>
  <c r="A7748" i="6"/>
  <c r="A7749" i="6"/>
  <c r="A7750" i="6"/>
  <c r="A7751" i="6"/>
  <c r="A7752" i="6"/>
  <c r="A7753" i="6"/>
  <c r="A7754" i="6"/>
  <c r="A7755" i="6"/>
  <c r="A7756" i="6"/>
  <c r="A7757" i="6"/>
  <c r="A7758" i="6"/>
  <c r="A7759" i="6"/>
  <c r="A7760" i="6"/>
  <c r="A7761" i="6"/>
  <c r="A7762" i="6"/>
  <c r="A7763" i="6"/>
  <c r="A7764" i="6"/>
  <c r="A7765" i="6"/>
  <c r="A7766" i="6"/>
  <c r="A7767" i="6"/>
  <c r="A7768" i="6"/>
  <c r="A7769" i="6"/>
  <c r="A7770" i="6"/>
  <c r="A7771" i="6"/>
  <c r="A7772" i="6"/>
  <c r="A7773" i="6"/>
  <c r="A7774" i="6"/>
  <c r="A7775" i="6"/>
  <c r="A7776" i="6"/>
  <c r="A7777" i="6"/>
  <c r="A7778" i="6"/>
  <c r="A7779" i="6"/>
  <c r="A7780" i="6"/>
  <c r="A7781" i="6"/>
  <c r="A7782" i="6"/>
  <c r="A7783" i="6"/>
  <c r="A7784" i="6"/>
  <c r="A7785" i="6"/>
  <c r="A7786" i="6"/>
  <c r="A7787" i="6"/>
  <c r="A7788" i="6"/>
  <c r="A7789" i="6"/>
  <c r="A7790" i="6"/>
  <c r="A7791" i="6"/>
  <c r="A7792" i="6"/>
  <c r="A7793" i="6"/>
  <c r="A7794" i="6"/>
  <c r="A7795" i="6"/>
  <c r="A7796" i="6"/>
  <c r="A7797" i="6"/>
  <c r="A7798" i="6"/>
  <c r="A7799" i="6"/>
  <c r="A7800" i="6"/>
  <c r="A7801" i="6"/>
  <c r="A7802" i="6"/>
  <c r="A7803" i="6"/>
  <c r="A7804" i="6"/>
  <c r="A7805" i="6"/>
  <c r="A7806" i="6"/>
  <c r="A7807" i="6"/>
  <c r="A7808" i="6"/>
  <c r="A7809" i="6"/>
  <c r="A7810" i="6"/>
  <c r="A7811" i="6"/>
  <c r="A7812" i="6"/>
  <c r="A7813" i="6"/>
  <c r="A7814" i="6"/>
  <c r="A7815" i="6"/>
  <c r="A7816" i="6"/>
  <c r="A7817" i="6"/>
  <c r="A7818" i="6"/>
  <c r="A7819" i="6"/>
  <c r="A7820" i="6"/>
  <c r="A7821" i="6"/>
  <c r="A7822" i="6"/>
  <c r="A7823" i="6"/>
  <c r="A7824" i="6"/>
  <c r="A7825" i="6"/>
  <c r="A7826" i="6"/>
  <c r="A7827" i="6"/>
  <c r="A7828" i="6"/>
  <c r="A7829" i="6"/>
  <c r="A7830" i="6"/>
  <c r="A7831" i="6"/>
  <c r="A7832" i="6"/>
  <c r="A7833" i="6"/>
  <c r="A7834" i="6"/>
  <c r="A7835" i="6"/>
  <c r="A7836" i="6"/>
  <c r="A7837" i="6"/>
  <c r="A7838" i="6"/>
  <c r="A7839" i="6"/>
  <c r="A7840" i="6"/>
  <c r="A7841" i="6"/>
  <c r="A7842" i="6"/>
  <c r="A7843" i="6"/>
  <c r="A7844" i="6"/>
  <c r="A7845" i="6"/>
  <c r="A7846" i="6"/>
  <c r="A7847" i="6"/>
  <c r="A7848" i="6"/>
  <c r="A7849" i="6"/>
  <c r="A7850" i="6"/>
  <c r="A7851" i="6"/>
  <c r="A7852" i="6"/>
  <c r="A7853" i="6"/>
  <c r="A7854" i="6"/>
  <c r="A7855" i="6"/>
  <c r="A7856" i="6"/>
  <c r="A7857" i="6"/>
  <c r="A7858" i="6"/>
  <c r="A7859" i="6"/>
  <c r="A7860" i="6"/>
  <c r="A7861" i="6"/>
  <c r="A7862" i="6"/>
  <c r="A7863" i="6"/>
  <c r="A7864" i="6"/>
  <c r="A7865" i="6"/>
  <c r="A7866" i="6"/>
  <c r="A7867" i="6"/>
  <c r="A7868" i="6"/>
  <c r="A7869" i="6"/>
  <c r="A7870" i="6"/>
  <c r="A7871" i="6"/>
  <c r="A7872" i="6"/>
  <c r="A7873" i="6"/>
  <c r="A7874" i="6"/>
  <c r="A7875" i="6"/>
  <c r="A7876" i="6"/>
  <c r="A7877" i="6"/>
  <c r="A7878" i="6"/>
  <c r="A7879" i="6"/>
  <c r="A7880" i="6"/>
  <c r="A7881" i="6"/>
  <c r="A7882" i="6"/>
  <c r="A7883" i="6"/>
  <c r="A7884" i="6"/>
  <c r="A7885" i="6"/>
  <c r="A7886" i="6"/>
  <c r="A7887" i="6"/>
  <c r="A7888" i="6"/>
  <c r="A7889" i="6"/>
  <c r="A7890" i="6"/>
  <c r="A7891" i="6"/>
  <c r="A7892" i="6"/>
  <c r="A7893" i="6"/>
  <c r="A7894" i="6"/>
  <c r="A7895" i="6"/>
  <c r="A7896" i="6"/>
  <c r="A7897" i="6"/>
  <c r="A7898" i="6"/>
  <c r="A7899" i="6"/>
  <c r="A7900" i="6"/>
  <c r="A7901" i="6"/>
  <c r="A7902" i="6"/>
  <c r="A7903" i="6"/>
  <c r="A7904" i="6"/>
  <c r="A7905" i="6"/>
  <c r="A7906" i="6"/>
  <c r="A7907" i="6"/>
  <c r="A7908" i="6"/>
  <c r="A7909" i="6"/>
  <c r="A7910" i="6"/>
  <c r="A7911" i="6"/>
  <c r="A7912" i="6"/>
  <c r="A7913" i="6"/>
  <c r="A7914" i="6"/>
  <c r="A7915" i="6"/>
  <c r="A7916" i="6"/>
  <c r="A7917" i="6"/>
  <c r="A7918" i="6"/>
  <c r="A7919" i="6"/>
  <c r="A7920" i="6"/>
  <c r="A7921" i="6"/>
  <c r="A7922" i="6"/>
  <c r="A7923" i="6"/>
  <c r="A7924" i="6"/>
  <c r="A7925" i="6"/>
  <c r="A7926" i="6"/>
  <c r="A7927" i="6"/>
  <c r="A7928" i="6"/>
  <c r="A7929" i="6"/>
  <c r="A7930" i="6"/>
  <c r="A7931" i="6"/>
  <c r="A7932" i="6"/>
  <c r="A7933" i="6"/>
  <c r="A7934" i="6"/>
  <c r="A7935" i="6"/>
  <c r="A7936" i="6"/>
  <c r="A7937" i="6"/>
  <c r="A7938" i="6"/>
  <c r="A7939" i="6"/>
  <c r="A7940" i="6"/>
  <c r="A7941" i="6"/>
  <c r="A7942" i="6"/>
  <c r="A7943" i="6"/>
  <c r="A7944" i="6"/>
  <c r="A7945" i="6"/>
  <c r="A7946" i="6"/>
  <c r="A7947" i="6"/>
  <c r="A7948" i="6"/>
  <c r="A7949" i="6"/>
  <c r="A7950" i="6"/>
  <c r="A7951" i="6"/>
  <c r="A7952" i="6"/>
  <c r="A7953" i="6"/>
  <c r="A7954" i="6"/>
  <c r="A7955" i="6"/>
  <c r="A7956" i="6"/>
  <c r="A7957" i="6"/>
  <c r="A7958" i="6"/>
  <c r="A7959" i="6"/>
  <c r="A7960" i="6"/>
  <c r="A7961" i="6"/>
  <c r="A7962" i="6"/>
  <c r="A7963" i="6"/>
  <c r="A7964" i="6"/>
  <c r="A7965" i="6"/>
  <c r="A7966" i="6"/>
  <c r="A7967" i="6"/>
  <c r="A7968" i="6"/>
  <c r="A7969" i="6"/>
  <c r="A7970" i="6"/>
  <c r="A7971" i="6"/>
  <c r="A7972" i="6"/>
  <c r="A7973" i="6"/>
  <c r="A7974" i="6"/>
  <c r="A7975" i="6"/>
  <c r="A7976" i="6"/>
  <c r="A7977" i="6"/>
  <c r="A7978" i="6"/>
  <c r="A7979" i="6"/>
  <c r="A7980" i="6"/>
  <c r="A7981" i="6"/>
  <c r="A7982" i="6"/>
  <c r="A7983" i="6"/>
  <c r="A7984" i="6"/>
  <c r="A7985" i="6"/>
  <c r="A7986" i="6"/>
  <c r="A7987" i="6"/>
  <c r="A7988" i="6"/>
  <c r="A7989" i="6"/>
  <c r="A7990" i="6"/>
  <c r="A7991" i="6"/>
  <c r="A7992" i="6"/>
  <c r="A7993" i="6"/>
  <c r="A7994" i="6"/>
  <c r="A7995" i="6"/>
  <c r="A7996" i="6"/>
  <c r="A7997" i="6"/>
  <c r="A7998" i="6"/>
  <c r="A7999" i="6"/>
  <c r="A8000" i="6"/>
  <c r="A8001" i="6"/>
  <c r="A8002" i="6"/>
  <c r="A8003" i="6"/>
  <c r="A8004" i="6"/>
  <c r="A8005" i="6"/>
  <c r="A8006" i="6"/>
  <c r="A8007" i="6"/>
  <c r="A8008" i="6"/>
  <c r="A8009" i="6"/>
  <c r="A8010" i="6"/>
  <c r="A8011" i="6"/>
  <c r="A8012" i="6"/>
  <c r="A8013" i="6"/>
  <c r="A8014" i="6"/>
  <c r="A8015" i="6"/>
  <c r="A8016" i="6"/>
  <c r="A8017" i="6"/>
  <c r="A8018" i="6"/>
  <c r="A8019" i="6"/>
  <c r="A8020" i="6"/>
  <c r="A8021" i="6"/>
  <c r="A8022" i="6"/>
  <c r="A8023" i="6"/>
  <c r="A8024" i="6"/>
  <c r="A8025" i="6"/>
  <c r="A8026" i="6"/>
  <c r="A8027" i="6"/>
  <c r="A8028" i="6"/>
  <c r="A8029" i="6"/>
  <c r="A8030" i="6"/>
  <c r="A8031" i="6"/>
  <c r="A8032" i="6"/>
  <c r="A8033" i="6"/>
  <c r="A8034" i="6"/>
  <c r="A8035" i="6"/>
  <c r="A8036" i="6"/>
  <c r="A8037" i="6"/>
  <c r="A8038" i="6"/>
  <c r="A8039" i="6"/>
  <c r="A8040" i="6"/>
  <c r="A8041" i="6"/>
  <c r="A8042" i="6"/>
  <c r="A8043" i="6"/>
  <c r="A8044" i="6"/>
  <c r="A8045" i="6"/>
  <c r="A8046" i="6"/>
  <c r="A8047" i="6"/>
  <c r="A8048" i="6"/>
  <c r="A8049" i="6"/>
  <c r="A8050" i="6"/>
  <c r="A8051" i="6"/>
  <c r="A8052" i="6"/>
  <c r="A8053" i="6"/>
  <c r="A8054" i="6"/>
  <c r="A8055" i="6"/>
  <c r="A8056" i="6"/>
  <c r="A8057" i="6"/>
  <c r="A8058" i="6"/>
  <c r="A8059" i="6"/>
  <c r="A8060" i="6"/>
  <c r="A8061" i="6"/>
  <c r="A8062" i="6"/>
  <c r="A8063" i="6"/>
  <c r="A8064" i="6"/>
  <c r="A8065" i="6"/>
  <c r="A8066" i="6"/>
  <c r="A8067" i="6"/>
  <c r="A8068" i="6"/>
  <c r="A8069" i="6"/>
  <c r="A8070" i="6"/>
  <c r="A8071" i="6"/>
  <c r="A8072" i="6"/>
  <c r="A8073" i="6"/>
  <c r="A8074" i="6"/>
  <c r="A8075" i="6"/>
  <c r="A8076" i="6"/>
  <c r="A8077" i="6"/>
  <c r="A8078" i="6"/>
  <c r="A8079" i="6"/>
  <c r="A8080" i="6"/>
  <c r="A8081" i="6"/>
  <c r="A8082" i="6"/>
  <c r="A8083" i="6"/>
  <c r="A8084" i="6"/>
  <c r="A8085" i="6"/>
  <c r="A8086" i="6"/>
  <c r="A8087" i="6"/>
  <c r="A8088" i="6"/>
  <c r="A8089" i="6"/>
  <c r="A8090" i="6"/>
  <c r="A8091" i="6"/>
  <c r="A8092" i="6"/>
  <c r="A8093" i="6"/>
  <c r="A8094" i="6"/>
  <c r="A8095" i="6"/>
  <c r="A8096" i="6"/>
  <c r="A8097" i="6"/>
  <c r="A8098" i="6"/>
  <c r="A8099" i="6"/>
  <c r="A8100" i="6"/>
  <c r="A8101" i="6"/>
  <c r="A8102" i="6"/>
  <c r="A8103" i="6"/>
  <c r="A8104" i="6"/>
  <c r="A8105" i="6"/>
  <c r="A8106" i="6"/>
  <c r="A8107" i="6"/>
  <c r="A8108" i="6"/>
  <c r="A8109" i="6"/>
  <c r="A8110" i="6"/>
  <c r="A8111" i="6"/>
  <c r="A8112" i="6"/>
  <c r="A8113" i="6"/>
  <c r="A8114" i="6"/>
  <c r="A8115" i="6"/>
  <c r="A8116" i="6"/>
  <c r="A8117" i="6"/>
  <c r="A8118" i="6"/>
  <c r="A8119" i="6"/>
  <c r="A8120" i="6"/>
  <c r="A8121" i="6"/>
  <c r="A8122" i="6"/>
  <c r="A8123" i="6"/>
  <c r="A8124" i="6"/>
  <c r="A8125" i="6"/>
  <c r="A8126" i="6"/>
  <c r="A8127" i="6"/>
  <c r="A8128" i="6"/>
  <c r="A8129" i="6"/>
  <c r="A8130" i="6"/>
  <c r="A8131" i="6"/>
  <c r="A8132" i="6"/>
  <c r="A8133" i="6"/>
  <c r="A8134" i="6"/>
  <c r="A8135" i="6"/>
  <c r="A8136" i="6"/>
  <c r="A8137" i="6"/>
  <c r="A8138" i="6"/>
  <c r="A8139" i="6"/>
  <c r="A8140" i="6"/>
  <c r="A8141" i="6"/>
  <c r="A8142" i="6"/>
  <c r="A8143" i="6"/>
  <c r="A8144" i="6"/>
  <c r="A8145" i="6"/>
  <c r="A8146" i="6"/>
  <c r="A8147" i="6"/>
  <c r="A8148" i="6"/>
  <c r="A8149" i="6"/>
  <c r="A8150" i="6"/>
  <c r="A8151" i="6"/>
  <c r="A8152" i="6"/>
  <c r="A8153" i="6"/>
  <c r="A8154" i="6"/>
  <c r="A8155" i="6"/>
  <c r="A8156" i="6"/>
  <c r="A8157" i="6"/>
  <c r="A8158" i="6"/>
  <c r="A8159" i="6"/>
  <c r="A8160" i="6"/>
  <c r="A8161" i="6"/>
  <c r="A8162" i="6"/>
  <c r="A8163" i="6"/>
  <c r="A8164" i="6"/>
  <c r="A8165" i="6"/>
  <c r="A8166" i="6"/>
  <c r="A8167" i="6"/>
  <c r="A8168" i="6"/>
  <c r="A8169" i="6"/>
  <c r="A8170" i="6"/>
  <c r="A8171" i="6"/>
  <c r="A8172" i="6"/>
  <c r="A8173" i="6"/>
  <c r="A8174" i="6"/>
  <c r="A8175" i="6"/>
  <c r="A8176" i="6"/>
  <c r="A8177" i="6"/>
  <c r="A8178" i="6"/>
  <c r="A8179" i="6"/>
  <c r="A8180" i="6"/>
  <c r="A8181" i="6"/>
  <c r="A8182" i="6"/>
  <c r="A8183" i="6"/>
  <c r="A8184" i="6"/>
  <c r="A8185" i="6"/>
  <c r="A8186" i="6"/>
  <c r="A8187" i="6"/>
  <c r="A8188" i="6"/>
  <c r="A8189" i="6"/>
  <c r="A8190" i="6"/>
  <c r="A8191" i="6"/>
  <c r="A8192" i="6"/>
  <c r="A8193" i="6"/>
  <c r="A8194" i="6"/>
  <c r="A8195" i="6"/>
  <c r="A8196" i="6"/>
  <c r="A8197" i="6"/>
  <c r="A8198" i="6"/>
  <c r="A8199" i="6"/>
  <c r="A8200" i="6"/>
  <c r="A8201" i="6"/>
  <c r="A8202" i="6"/>
  <c r="A8203" i="6"/>
  <c r="A8204" i="6"/>
  <c r="A8205" i="6"/>
  <c r="A8206" i="6"/>
  <c r="A8207" i="6"/>
  <c r="A8208" i="6"/>
  <c r="A8209" i="6"/>
  <c r="A8210" i="6"/>
  <c r="A8211" i="6"/>
  <c r="A8212" i="6"/>
  <c r="A8213" i="6"/>
  <c r="A8214" i="6"/>
  <c r="A8215" i="6"/>
  <c r="A8216" i="6"/>
  <c r="A8217" i="6"/>
  <c r="A8218" i="6"/>
  <c r="A8219" i="6"/>
  <c r="A8220" i="6"/>
  <c r="A8221" i="6"/>
  <c r="A8222" i="6"/>
  <c r="A8223" i="6"/>
  <c r="A8224" i="6"/>
  <c r="A8225" i="6"/>
  <c r="A8226" i="6"/>
  <c r="A8227" i="6"/>
  <c r="A8228" i="6"/>
  <c r="A8229" i="6"/>
  <c r="A8230" i="6"/>
  <c r="A8231" i="6"/>
  <c r="A8232" i="6"/>
  <c r="A8233" i="6"/>
  <c r="A8234" i="6"/>
  <c r="A8235" i="6"/>
  <c r="A8236" i="6"/>
  <c r="A8237" i="6"/>
  <c r="A8238" i="6"/>
  <c r="A8239" i="6"/>
  <c r="A8240" i="6"/>
  <c r="A8241" i="6"/>
  <c r="A8242" i="6"/>
  <c r="A8243" i="6"/>
  <c r="A8244" i="6"/>
  <c r="A8245" i="6"/>
  <c r="A8246" i="6"/>
  <c r="A8247" i="6"/>
  <c r="A8248" i="6"/>
  <c r="A8249" i="6"/>
  <c r="A8250" i="6"/>
  <c r="A8251" i="6"/>
  <c r="A8252" i="6"/>
  <c r="A8253" i="6"/>
  <c r="A8254" i="6"/>
  <c r="A8255" i="6"/>
  <c r="A8256" i="6"/>
  <c r="A8257" i="6"/>
  <c r="A8258" i="6"/>
  <c r="A8259" i="6"/>
  <c r="A8260" i="6"/>
  <c r="A8261" i="6"/>
  <c r="A8262" i="6"/>
  <c r="A8263" i="6"/>
  <c r="A8264" i="6"/>
  <c r="A8265" i="6"/>
  <c r="A8266" i="6"/>
  <c r="A8267" i="6"/>
  <c r="A8268" i="6"/>
  <c r="A8269" i="6"/>
  <c r="A8270" i="6"/>
  <c r="A8271" i="6"/>
  <c r="A8272" i="6"/>
  <c r="A8273" i="6"/>
  <c r="A8274" i="6"/>
  <c r="A8275" i="6"/>
  <c r="A8276" i="6"/>
  <c r="A8277" i="6"/>
  <c r="A8278" i="6"/>
  <c r="A8279" i="6"/>
  <c r="A8280" i="6"/>
  <c r="A8281" i="6"/>
  <c r="A8282" i="6"/>
  <c r="A8283" i="6"/>
  <c r="A8284" i="6"/>
  <c r="A8285" i="6"/>
  <c r="A8286" i="6"/>
  <c r="A8287" i="6"/>
  <c r="A8288" i="6"/>
  <c r="A8289" i="6"/>
  <c r="A8290" i="6"/>
  <c r="A8291" i="6"/>
  <c r="A8292" i="6"/>
  <c r="A8293" i="6"/>
  <c r="A8294" i="6"/>
  <c r="A8295" i="6"/>
  <c r="A8296" i="6"/>
  <c r="A8297" i="6"/>
  <c r="A8298" i="6"/>
  <c r="A8299" i="6"/>
  <c r="A8300" i="6"/>
  <c r="A8301" i="6"/>
  <c r="A8302" i="6"/>
  <c r="A8303" i="6"/>
  <c r="A8304" i="6"/>
  <c r="A8305" i="6"/>
  <c r="A8306" i="6"/>
  <c r="A8307" i="6"/>
  <c r="A8308" i="6"/>
  <c r="A8309" i="6"/>
  <c r="A8310" i="6"/>
  <c r="A8311" i="6"/>
  <c r="A8312" i="6"/>
  <c r="A8313" i="6"/>
  <c r="A8314" i="6"/>
  <c r="A8315" i="6"/>
  <c r="A8316" i="6"/>
  <c r="A8317" i="6"/>
  <c r="A8318" i="6"/>
  <c r="A8319" i="6"/>
  <c r="A8320" i="6"/>
  <c r="A8321" i="6"/>
  <c r="A8322" i="6"/>
  <c r="A8323" i="6"/>
  <c r="A8324" i="6"/>
  <c r="A8325" i="6"/>
  <c r="A8326" i="6"/>
  <c r="A8327" i="6"/>
  <c r="A8328" i="6"/>
  <c r="A8329" i="6"/>
  <c r="A8330" i="6"/>
  <c r="A8331" i="6"/>
  <c r="A8332" i="6"/>
  <c r="A8333" i="6"/>
  <c r="A8334" i="6"/>
  <c r="A8335" i="6"/>
  <c r="A8336" i="6"/>
  <c r="A8337" i="6"/>
  <c r="A8338" i="6"/>
  <c r="A8339" i="6"/>
  <c r="A8340" i="6"/>
  <c r="A8341" i="6"/>
  <c r="A8342" i="6"/>
  <c r="A8343" i="6"/>
  <c r="A8344" i="6"/>
  <c r="A8345" i="6"/>
  <c r="A8346" i="6"/>
  <c r="A8347" i="6"/>
  <c r="A8348" i="6"/>
  <c r="A8349" i="6"/>
  <c r="A8350" i="6"/>
  <c r="A8351" i="6"/>
  <c r="A8352" i="6"/>
  <c r="A8353" i="6"/>
  <c r="A8354" i="6"/>
  <c r="A8355" i="6"/>
  <c r="A8356" i="6"/>
  <c r="A8357" i="6"/>
  <c r="A8358" i="6"/>
  <c r="A8359" i="6"/>
  <c r="A8360" i="6"/>
  <c r="A8361" i="6"/>
  <c r="A8362" i="6"/>
  <c r="A8363" i="6"/>
  <c r="A8364" i="6"/>
  <c r="A8365" i="6"/>
  <c r="A8366" i="6"/>
  <c r="A8367" i="6"/>
  <c r="A8368" i="6"/>
  <c r="A8369" i="6"/>
  <c r="A8370" i="6"/>
  <c r="A8371" i="6"/>
  <c r="A8372" i="6"/>
  <c r="A8373" i="6"/>
  <c r="A8374" i="6"/>
  <c r="A8375" i="6"/>
  <c r="A8376" i="6"/>
  <c r="A8377" i="6"/>
  <c r="A8378" i="6"/>
  <c r="A8379" i="6"/>
  <c r="A8380" i="6"/>
  <c r="A8381" i="6"/>
  <c r="A8382" i="6"/>
  <c r="A8383" i="6"/>
  <c r="A8384" i="6"/>
  <c r="A8385" i="6"/>
  <c r="A8386" i="6"/>
  <c r="A8387" i="6"/>
  <c r="A8388" i="6"/>
  <c r="A8389" i="6"/>
  <c r="A8390" i="6"/>
  <c r="A8391" i="6"/>
  <c r="A8392" i="6"/>
  <c r="A8393" i="6"/>
  <c r="A8394" i="6"/>
  <c r="A8395" i="6"/>
  <c r="A8396" i="6"/>
  <c r="A8397" i="6"/>
  <c r="A8398" i="6"/>
  <c r="A8399" i="6"/>
  <c r="A8400" i="6"/>
  <c r="A8401" i="6"/>
  <c r="A8402" i="6"/>
  <c r="A8403" i="6"/>
  <c r="A8404" i="6"/>
  <c r="A8405" i="6"/>
  <c r="A8406" i="6"/>
  <c r="A8407" i="6"/>
  <c r="A8408" i="6"/>
  <c r="A8409" i="6"/>
  <c r="A8410" i="6"/>
  <c r="A8411" i="6"/>
  <c r="A8412" i="6"/>
  <c r="A8413" i="6"/>
  <c r="A8414" i="6"/>
  <c r="A8415" i="6"/>
  <c r="A8416" i="6"/>
  <c r="A8417" i="6"/>
  <c r="A8418" i="6"/>
  <c r="A8419" i="6"/>
  <c r="A8420" i="6"/>
  <c r="A8421" i="6"/>
  <c r="A8422" i="6"/>
  <c r="A8423" i="6"/>
  <c r="A8424" i="6"/>
  <c r="A8425" i="6"/>
  <c r="A8426" i="6"/>
  <c r="A8427" i="6"/>
  <c r="A8428" i="6"/>
  <c r="A8429" i="6"/>
  <c r="A8430" i="6"/>
  <c r="A8431" i="6"/>
  <c r="A8432" i="6"/>
  <c r="A8433" i="6"/>
  <c r="A8434" i="6"/>
  <c r="A8435" i="6"/>
  <c r="A8436" i="6"/>
  <c r="A8437" i="6"/>
  <c r="A8438" i="6"/>
  <c r="A8439" i="6"/>
  <c r="A8440" i="6"/>
  <c r="A8441" i="6"/>
  <c r="A8442" i="6"/>
  <c r="A8443" i="6"/>
  <c r="A8444" i="6"/>
  <c r="A8445" i="6"/>
  <c r="A8446" i="6"/>
  <c r="A8447" i="6"/>
  <c r="A8448" i="6"/>
  <c r="A8449" i="6"/>
  <c r="A8450" i="6"/>
  <c r="A8451" i="6"/>
  <c r="A8452" i="6"/>
  <c r="A8453" i="6"/>
  <c r="A8454" i="6"/>
  <c r="A8455" i="6"/>
  <c r="A8456" i="6"/>
  <c r="A8457" i="6"/>
  <c r="A8458" i="6"/>
  <c r="A8459" i="6"/>
  <c r="A8460" i="6"/>
  <c r="A8461" i="6"/>
  <c r="A8462" i="6"/>
  <c r="A8463" i="6"/>
  <c r="A8464" i="6"/>
  <c r="A8465" i="6"/>
  <c r="A8466" i="6"/>
  <c r="A8467" i="6"/>
  <c r="A8468" i="6"/>
  <c r="A8469" i="6"/>
  <c r="A8470" i="6"/>
  <c r="A8471" i="6"/>
  <c r="A8472" i="6"/>
  <c r="A8473" i="6"/>
  <c r="A8474" i="6"/>
  <c r="A8475" i="6"/>
  <c r="A8476" i="6"/>
  <c r="A8477" i="6"/>
  <c r="A8478" i="6"/>
  <c r="A8479" i="6"/>
  <c r="A8480" i="6"/>
  <c r="A8481" i="6"/>
  <c r="A8482" i="6"/>
  <c r="A8483" i="6"/>
  <c r="A8484" i="6"/>
  <c r="A8485" i="6"/>
  <c r="A8486" i="6"/>
  <c r="A8487" i="6"/>
  <c r="A8488" i="6"/>
  <c r="A8489" i="6"/>
  <c r="A8490" i="6"/>
  <c r="A8491" i="6"/>
  <c r="A8492" i="6"/>
  <c r="A8493" i="6"/>
  <c r="A8494" i="6"/>
  <c r="A8495" i="6"/>
  <c r="A8496" i="6"/>
  <c r="A8497" i="6"/>
  <c r="A8498" i="6"/>
  <c r="A8499" i="6"/>
  <c r="A8500" i="6"/>
  <c r="A8501" i="6"/>
  <c r="A8502" i="6"/>
  <c r="A8503" i="6"/>
  <c r="A8504" i="6"/>
  <c r="A8505" i="6"/>
  <c r="A8506" i="6"/>
  <c r="A8507" i="6"/>
  <c r="A8508" i="6"/>
  <c r="A8509" i="6"/>
  <c r="A8510" i="6"/>
  <c r="A8511" i="6"/>
  <c r="A8512" i="6"/>
  <c r="A8513" i="6"/>
  <c r="A8514" i="6"/>
  <c r="A8515" i="6"/>
  <c r="A8516" i="6"/>
  <c r="A8517" i="6"/>
  <c r="A8518" i="6"/>
  <c r="A8519" i="6"/>
  <c r="A8520" i="6"/>
  <c r="A8521" i="6"/>
  <c r="A8522" i="6"/>
  <c r="A8523" i="6"/>
  <c r="A8524" i="6"/>
  <c r="A8525" i="6"/>
  <c r="A8526" i="6"/>
  <c r="A8527" i="6"/>
  <c r="A8528" i="6"/>
  <c r="A8529" i="6"/>
  <c r="A8530" i="6"/>
  <c r="A8531" i="6"/>
  <c r="A8532" i="6"/>
  <c r="A8533" i="6"/>
  <c r="A8534" i="6"/>
  <c r="A8535" i="6"/>
  <c r="A8536" i="6"/>
  <c r="A8537" i="6"/>
  <c r="A8538" i="6"/>
  <c r="A8539" i="6"/>
  <c r="A8540" i="6"/>
  <c r="A8541" i="6"/>
  <c r="A8542" i="6"/>
  <c r="A8543" i="6"/>
  <c r="A8544" i="6"/>
  <c r="A8545" i="6"/>
  <c r="A8546" i="6"/>
  <c r="A8547" i="6"/>
  <c r="A8548" i="6"/>
  <c r="A8549" i="6"/>
  <c r="A8550" i="6"/>
  <c r="A8551" i="6"/>
  <c r="A8552" i="6"/>
  <c r="A8553" i="6"/>
  <c r="A8554" i="6"/>
  <c r="A8555" i="6"/>
  <c r="A8556" i="6"/>
  <c r="A8557" i="6"/>
  <c r="A8558" i="6"/>
  <c r="A8559" i="6"/>
  <c r="A8560" i="6"/>
  <c r="A8561" i="6"/>
  <c r="A8562" i="6"/>
  <c r="A8563" i="6"/>
  <c r="A8564" i="6"/>
  <c r="A8565" i="6"/>
  <c r="A8566" i="6"/>
  <c r="A8567" i="6"/>
  <c r="A8568" i="6"/>
  <c r="A8569" i="6"/>
  <c r="A8570" i="6"/>
  <c r="A8571" i="6"/>
  <c r="A8572" i="6"/>
  <c r="A8573" i="6"/>
  <c r="A8574" i="6"/>
  <c r="A8575" i="6"/>
  <c r="A8576" i="6"/>
  <c r="A8577" i="6"/>
  <c r="A8578" i="6"/>
  <c r="A8579" i="6"/>
  <c r="A8580" i="6"/>
  <c r="A8581" i="6"/>
  <c r="A8582" i="6"/>
  <c r="A8583" i="6"/>
  <c r="A8584" i="6"/>
  <c r="A8585" i="6"/>
  <c r="A8586" i="6"/>
  <c r="A8587" i="6"/>
  <c r="A8588" i="6"/>
  <c r="A8589" i="6"/>
  <c r="A8590" i="6"/>
  <c r="A8591" i="6"/>
  <c r="A8592" i="6"/>
  <c r="A8593" i="6"/>
  <c r="A8594" i="6"/>
  <c r="A8595" i="6"/>
  <c r="A8596" i="6"/>
  <c r="A8597" i="6"/>
  <c r="A8598" i="6"/>
  <c r="A8599" i="6"/>
  <c r="A8600" i="6"/>
  <c r="A8601" i="6"/>
  <c r="A8602" i="6"/>
  <c r="A8603" i="6"/>
  <c r="A8604" i="6"/>
  <c r="A8605" i="6"/>
  <c r="A8606" i="6"/>
  <c r="A8607" i="6"/>
  <c r="A8608" i="6"/>
  <c r="A8609" i="6"/>
  <c r="A8610" i="6"/>
  <c r="A8611" i="6"/>
  <c r="A8612" i="6"/>
  <c r="A8613" i="6"/>
  <c r="A8614" i="6"/>
  <c r="A8615" i="6"/>
  <c r="A8616" i="6"/>
  <c r="A8617" i="6"/>
  <c r="A8618" i="6"/>
  <c r="A8619" i="6"/>
  <c r="A8620" i="6"/>
  <c r="A8621" i="6"/>
  <c r="A8622" i="6"/>
  <c r="A8623" i="6"/>
  <c r="A8624" i="6"/>
  <c r="A8625" i="6"/>
  <c r="A8626" i="6"/>
  <c r="A8627" i="6"/>
  <c r="A8628" i="6"/>
  <c r="A8629" i="6"/>
  <c r="A8630" i="6"/>
  <c r="A8631" i="6"/>
  <c r="A8632" i="6"/>
  <c r="A8633" i="6"/>
  <c r="A8634" i="6"/>
  <c r="A8635" i="6"/>
  <c r="A8636" i="6"/>
  <c r="A8637" i="6"/>
  <c r="A8638" i="6"/>
  <c r="A8639" i="6"/>
  <c r="A8640" i="6"/>
  <c r="A8641" i="6"/>
  <c r="A8642" i="6"/>
  <c r="A8643" i="6"/>
  <c r="A8644" i="6"/>
  <c r="A8645" i="6"/>
  <c r="A8646" i="6"/>
  <c r="A8647" i="6"/>
  <c r="A8648" i="6"/>
  <c r="A8649" i="6"/>
  <c r="A8650" i="6"/>
  <c r="A8651" i="6"/>
  <c r="A8652" i="6"/>
  <c r="A8653" i="6"/>
  <c r="A8654" i="6"/>
  <c r="A8655" i="6"/>
  <c r="A8656" i="6"/>
  <c r="A8657" i="6"/>
  <c r="A8658" i="6"/>
  <c r="A8659" i="6"/>
  <c r="A8660" i="6"/>
  <c r="A8661" i="6"/>
  <c r="A8662" i="6"/>
  <c r="A8663" i="6"/>
  <c r="A8664" i="6"/>
  <c r="A8665" i="6"/>
  <c r="A8666" i="6"/>
  <c r="A8667" i="6"/>
  <c r="A8668" i="6"/>
  <c r="A8669" i="6"/>
  <c r="A8670" i="6"/>
  <c r="A8671" i="6"/>
  <c r="A8672" i="6"/>
  <c r="A8673" i="6"/>
  <c r="A8674" i="6"/>
  <c r="A8675" i="6"/>
  <c r="A8676" i="6"/>
  <c r="A8677" i="6"/>
  <c r="A8678" i="6"/>
  <c r="A8679" i="6"/>
  <c r="A8680" i="6"/>
  <c r="A8681" i="6"/>
  <c r="A8682" i="6"/>
  <c r="A8683" i="6"/>
  <c r="A8684" i="6"/>
  <c r="A8685" i="6"/>
  <c r="A8686" i="6"/>
  <c r="A8687" i="6"/>
  <c r="A8688" i="6"/>
  <c r="A8689" i="6"/>
  <c r="A8690" i="6"/>
  <c r="A8691" i="6"/>
  <c r="A8692" i="6"/>
  <c r="A8693" i="6"/>
  <c r="A8694" i="6"/>
  <c r="A8695" i="6"/>
  <c r="A8696" i="6"/>
  <c r="A8697" i="6"/>
  <c r="A8698" i="6"/>
  <c r="A8699" i="6"/>
  <c r="A8700" i="6"/>
  <c r="A8701" i="6"/>
  <c r="A8702" i="6"/>
  <c r="A8703" i="6"/>
  <c r="A8704" i="6"/>
  <c r="A8705" i="6"/>
  <c r="A8706" i="6"/>
  <c r="A8707" i="6"/>
  <c r="A8708" i="6"/>
  <c r="A8709" i="6"/>
  <c r="A8710" i="6"/>
  <c r="A8711" i="6"/>
  <c r="A8712" i="6"/>
  <c r="A8713" i="6"/>
  <c r="A8714" i="6"/>
  <c r="A8715" i="6"/>
  <c r="A8716" i="6"/>
  <c r="A8717" i="6"/>
  <c r="A8718" i="6"/>
  <c r="A8719" i="6"/>
  <c r="A8720" i="6"/>
  <c r="A8721" i="6"/>
  <c r="A8722" i="6"/>
  <c r="A8723" i="6"/>
  <c r="A8724" i="6"/>
  <c r="A8725" i="6"/>
  <c r="A8726" i="6"/>
  <c r="A8727" i="6"/>
  <c r="A8728" i="6"/>
  <c r="A8729" i="6"/>
  <c r="A8730" i="6"/>
  <c r="A8731" i="6"/>
  <c r="A8732" i="6"/>
  <c r="A8733" i="6"/>
  <c r="A8734" i="6"/>
  <c r="A8735" i="6"/>
  <c r="A8736" i="6"/>
  <c r="A8737" i="6"/>
  <c r="A8738" i="6"/>
  <c r="A8739" i="6"/>
  <c r="A8740" i="6"/>
  <c r="A8741" i="6"/>
  <c r="A8742" i="6"/>
  <c r="A8743" i="6"/>
  <c r="A8744" i="6"/>
  <c r="A8745" i="6"/>
  <c r="A8746" i="6"/>
  <c r="A8747" i="6"/>
  <c r="A8748" i="6"/>
  <c r="A8749" i="6"/>
  <c r="A8750" i="6"/>
  <c r="A8751" i="6"/>
  <c r="A8752" i="6"/>
  <c r="A8753" i="6"/>
  <c r="A8754" i="6"/>
  <c r="A8755" i="6"/>
  <c r="A8756" i="6"/>
  <c r="A8757" i="6"/>
  <c r="A8758" i="6"/>
  <c r="A8759" i="6"/>
  <c r="A8760" i="6"/>
  <c r="A8761" i="6"/>
  <c r="A2" i="6"/>
  <c r="D2" i="3"/>
  <c r="D8764" i="3"/>
  <c r="C8764" i="3"/>
  <c r="B8764" i="3"/>
  <c r="D8763" i="3"/>
  <c r="C8763" i="3"/>
  <c r="B8763" i="3"/>
  <c r="D8762" i="3"/>
  <c r="C8762" i="3"/>
  <c r="B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742" i="2"/>
  <c r="B741" i="2"/>
  <c r="B736" i="2"/>
  <c r="B735" i="2"/>
  <c r="C730" i="2"/>
  <c r="C729" i="2"/>
  <c r="C726" i="2"/>
  <c r="C723" i="2"/>
  <c r="C722" i="2"/>
  <c r="C720" i="2"/>
  <c r="C714" i="2"/>
  <c r="C713" i="2"/>
  <c r="C708" i="2"/>
  <c r="C707" i="2"/>
  <c r="C702" i="2"/>
  <c r="C678" i="2"/>
  <c r="C673" i="2"/>
  <c r="C672" i="2"/>
  <c r="C670" i="2"/>
  <c r="C666" i="2"/>
  <c r="C664" i="2"/>
  <c r="C660" i="2"/>
  <c r="C659" i="2"/>
  <c r="C656" i="2"/>
  <c r="C654" i="2"/>
  <c r="C653" i="2"/>
  <c r="C646" i="2"/>
  <c r="C643" i="2"/>
  <c r="C642" i="2"/>
  <c r="C638" i="2"/>
  <c r="C637" i="2"/>
  <c r="C634" i="2"/>
  <c r="C632" i="2"/>
  <c r="C630" i="2"/>
  <c r="C576" i="2"/>
  <c r="C574" i="2"/>
  <c r="C572" i="2"/>
  <c r="C570" i="2"/>
  <c r="C568" i="2"/>
  <c r="C550" i="2"/>
  <c r="C547" i="2"/>
  <c r="C546" i="2"/>
  <c r="C543" i="2"/>
  <c r="C542" i="2"/>
  <c r="C540" i="2"/>
  <c r="C538" i="2"/>
  <c r="C536" i="2"/>
  <c r="C529" i="2"/>
  <c r="C526" i="2"/>
  <c r="C522" i="2"/>
  <c r="C521" i="2"/>
  <c r="C518" i="2"/>
  <c r="C516" i="2"/>
  <c r="C512" i="2"/>
  <c r="C510" i="2"/>
  <c r="C508" i="2"/>
  <c r="C504" i="2"/>
  <c r="C502" i="2"/>
  <c r="C500" i="2"/>
  <c r="C496" i="2"/>
  <c r="C494" i="2"/>
  <c r="C490" i="2"/>
  <c r="C488" i="2"/>
  <c r="C480" i="2"/>
  <c r="C477" i="2"/>
  <c r="C474" i="2"/>
  <c r="C471" i="2"/>
  <c r="C468" i="2"/>
  <c r="C466" i="2"/>
  <c r="C464" i="2"/>
  <c r="C463" i="2"/>
  <c r="C456" i="2"/>
  <c r="C454" i="2"/>
  <c r="C452" i="2"/>
  <c r="C449" i="2"/>
  <c r="C446" i="2"/>
  <c r="C445" i="2"/>
  <c r="C431" i="2"/>
  <c r="C428" i="2"/>
  <c r="C426" i="2"/>
  <c r="C424" i="2"/>
  <c r="C422" i="2"/>
  <c r="C420" i="2"/>
  <c r="C418" i="2"/>
  <c r="C416" i="2"/>
  <c r="C410" i="2"/>
  <c r="C408" i="2"/>
  <c r="C406" i="2"/>
  <c r="C403" i="2"/>
  <c r="C402" i="2"/>
  <c r="C398" i="2"/>
  <c r="C397" i="2"/>
  <c r="C396" i="2"/>
  <c r="C394" i="2"/>
  <c r="C392" i="2"/>
  <c r="C383" i="2"/>
  <c r="C380" i="2"/>
  <c r="C378" i="2"/>
  <c r="C376" i="2"/>
  <c r="C374" i="2"/>
  <c r="C368" i="2"/>
  <c r="C366" i="2"/>
  <c r="C358" i="2"/>
  <c r="C356" i="2"/>
  <c r="C354" i="2"/>
  <c r="C350" i="2"/>
  <c r="C348" i="2"/>
  <c r="C345" i="2"/>
  <c r="C336" i="2"/>
  <c r="C334" i="2"/>
  <c r="C332" i="2"/>
  <c r="C330" i="2"/>
  <c r="C328" i="2"/>
  <c r="C324" i="2"/>
  <c r="C322" i="2"/>
  <c r="C320" i="2"/>
  <c r="C314" i="2"/>
  <c r="C312" i="2"/>
  <c r="C310" i="2"/>
  <c r="C306" i="2"/>
  <c r="C304" i="2"/>
  <c r="C302" i="2"/>
  <c r="C300" i="2"/>
  <c r="C297" i="2"/>
  <c r="C288" i="2"/>
  <c r="C286" i="2"/>
  <c r="C284" i="2"/>
  <c r="C281" i="2"/>
  <c r="C279" i="2"/>
  <c r="C276" i="2"/>
  <c r="C274" i="2"/>
  <c r="C273" i="2"/>
  <c r="C272" i="2"/>
  <c r="C262" i="2"/>
  <c r="C260" i="2"/>
  <c r="C256" i="2"/>
  <c r="C252" i="2"/>
  <c r="C250" i="2"/>
  <c r="C238" i="2"/>
  <c r="C236" i="2"/>
  <c r="C234" i="2"/>
  <c r="C232" i="2"/>
  <c r="C230" i="2"/>
  <c r="C228" i="2"/>
  <c r="C224" i="2"/>
  <c r="C221" i="2"/>
  <c r="C212" i="2"/>
  <c r="C210" i="2"/>
  <c r="C208" i="2"/>
  <c r="C206" i="2"/>
  <c r="C204" i="2"/>
  <c r="C202" i="2"/>
  <c r="C191" i="2"/>
  <c r="C190" i="2"/>
  <c r="C188" i="2"/>
  <c r="C186" i="2"/>
  <c r="C184" i="2"/>
  <c r="C182" i="2"/>
  <c r="C178" i="2"/>
  <c r="C176" i="2"/>
  <c r="C164" i="2"/>
  <c r="C163" i="2"/>
  <c r="C160" i="2"/>
  <c r="C158" i="2"/>
  <c r="C156" i="2"/>
  <c r="C154" i="2"/>
  <c r="C143" i="2"/>
  <c r="C142" i="2"/>
  <c r="C140" i="2"/>
  <c r="C138" i="2"/>
  <c r="C134" i="2"/>
  <c r="C132" i="2"/>
  <c r="C116" i="2"/>
  <c r="C114" i="2"/>
  <c r="C112" i="2"/>
  <c r="C108" i="2"/>
  <c r="C106" i="2"/>
  <c r="C95" i="2"/>
  <c r="C94" i="2"/>
  <c r="C91" i="2"/>
  <c r="C89" i="2"/>
  <c r="C84" i="2"/>
  <c r="C64" i="2"/>
  <c r="C62" i="2"/>
  <c r="C46" i="2"/>
  <c r="C44" i="2"/>
  <c r="C40" i="2"/>
  <c r="C38" i="2"/>
  <c r="C34" i="2"/>
  <c r="C32" i="2"/>
  <c r="C20" i="2"/>
  <c r="C18" i="2"/>
  <c r="C14" i="2"/>
  <c r="C12" i="2"/>
</calcChain>
</file>

<file path=xl/sharedStrings.xml><?xml version="1.0" encoding="utf-8"?>
<sst xmlns="http://schemas.openxmlformats.org/spreadsheetml/2006/main" count="39" uniqueCount="24">
  <si>
    <t>Timestamp</t>
  </si>
  <si>
    <t>Power (kWh) (BG1F3)</t>
  </si>
  <si>
    <t>Power (kWh) (BG1DG)</t>
  </si>
  <si>
    <t>Date &amp; Time</t>
  </si>
  <si>
    <t>National Grid (kWh)</t>
  </si>
  <si>
    <t>Generator (kWh)</t>
  </si>
  <si>
    <t>Total Load (kWh)</t>
  </si>
  <si>
    <t>Annual Total</t>
  </si>
  <si>
    <t>Hourly Average</t>
  </si>
  <si>
    <t>Peak Load</t>
  </si>
  <si>
    <t>Hour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</si>
  <si>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</si>
  <si>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</si>
  <si>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</si>
  <si>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</si>
  <si>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</si>
  <si>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</si>
  <si>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</si>
  <si>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</si>
  <si>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</si>
  <si>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</si>
  <si>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</si>
  <si>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</si>
  <si>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Status (1=National / 0=No)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</si>
</sst>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0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C000"/>
      <name val="Arial"/>
      <family val="2"/>
    </font>
    <font>
      <b/>
      <sz val="11"/>
      <color rgb="FFFF6600"/>
      <name val="Arial"/>
      <family val="2"/>
    </font>
    <font>
      <b/>
      <sz val="10"/>
      <color rgb="FFFFC000"/>
      <name val="Arial"/>
      <family val="2"/>
    </font>
    <font>
      <b/>
      <sz val="10"/>
      <color rgb="FFFF66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2" borderId="0" xfId="0" applyFont="1" applyFill="1" applyAlignment="1">
      <alignment horizontal="center"/>
    </xf>
    <xf numFmtId="22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2" fontId="0" fillId="0" borderId="0" xfId="0" applyNumberFormat="1"/>
    <xf numFmtId="0" fontId="2" fillId="7" borderId="0" xfId="0" applyFont="1" applyFill="1" applyAlignment="1">
      <alignment horizontal="center"/>
    </xf>
    <xf numFmtId="164" fontId="0" fillId="0" borderId="0" xfId="0" applyNumberFormat="1"/>
    <xf numFmtId="0" fontId="3" fillId="8" borderId="0" xfId="0" applyFont="1" applyFill="1"/>
    <xf numFmtId="4" fontId="4" fillId="8" borderId="0" xfId="0" applyNumberFormat="1" applyFont="1" applyFill="1"/>
    <xf numFmtId="4" fontId="5" fillId="8" borderId="0" xfId="0" applyNumberFormat="1" applyFont="1" applyFill="1"/>
    <xf numFmtId="4" fontId="3" fillId="8" borderId="0" xfId="0" applyNumberFormat="1" applyFont="1" applyFill="1"/>
    <xf numFmtId="0" fontId="2" fillId="8" borderId="0" xfId="0" applyFont="1" applyFill="1"/>
    <xf numFmtId="2" fontId="6" fillId="8" borderId="0" xfId="0" applyNumberFormat="1" applyFont="1" applyFill="1"/>
    <xf numFmtId="2" fontId="7" fillId="8" borderId="0" xfId="0" applyNumberFormat="1" applyFont="1" applyFill="1"/>
    <xf numFmtId="2" fontId="2" fillId="8" borderId="0" xfId="0" applyNumberFormat="1" applyFont="1" applyFill="1"/>
    <xf numFmtId="0" fontId="2" fillId="6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Sheet1!$B$2:$B$8761</c:f>
              <c:numCache>
                <c:formatCode>General</c:formatCode>
                <c:ptCount val="8760"/>
                <c:pt idx="0">
                  <c:v>0.98</c:v>
                </c:pt>
                <c:pt idx="1">
                  <c:v>0.88</c:v>
                </c:pt>
                <c:pt idx="2">
                  <c:v>0.89</c:v>
                </c:pt>
                <c:pt idx="3">
                  <c:v>0.81</c:v>
                </c:pt>
                <c:pt idx="4">
                  <c:v>0.7</c:v>
                </c:pt>
                <c:pt idx="5">
                  <c:v>0.94</c:v>
                </c:pt>
                <c:pt idx="6">
                  <c:v>1.19</c:v>
                </c:pt>
                <c:pt idx="7">
                  <c:v>1.29</c:v>
                </c:pt>
                <c:pt idx="8">
                  <c:v>1.08</c:v>
                </c:pt>
                <c:pt idx="9">
                  <c:v>1.46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0.95</c:v>
                </c:pt>
                <c:pt idx="14">
                  <c:v>1.32</c:v>
                </c:pt>
                <c:pt idx="15">
                  <c:v>1.41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0.82</c:v>
                </c:pt>
                <c:pt idx="20">
                  <c:v>1.1000000000000001</c:v>
                </c:pt>
                <c:pt idx="21">
                  <c:v>0.96</c:v>
                </c:pt>
                <c:pt idx="22">
                  <c:v>0.95</c:v>
                </c:pt>
                <c:pt idx="23">
                  <c:v>0.43</c:v>
                </c:pt>
                <c:pt idx="24">
                  <c:v>0.55000000000000004</c:v>
                </c:pt>
                <c:pt idx="25">
                  <c:v>0.38</c:v>
                </c:pt>
                <c:pt idx="26">
                  <c:v>0.6</c:v>
                </c:pt>
                <c:pt idx="27">
                  <c:v>0.97</c:v>
                </c:pt>
                <c:pt idx="28">
                  <c:v>0.82</c:v>
                </c:pt>
                <c:pt idx="29">
                  <c:v>0.62</c:v>
                </c:pt>
                <c:pt idx="30">
                  <c:v>0</c:v>
                </c:pt>
                <c:pt idx="31">
                  <c:v>0</c:v>
                </c:pt>
                <c:pt idx="32">
                  <c:v>0.28000000000000003</c:v>
                </c:pt>
                <c:pt idx="33">
                  <c:v>0.57999999999999996</c:v>
                </c:pt>
                <c:pt idx="34">
                  <c:v>0.57999999999999996</c:v>
                </c:pt>
                <c:pt idx="35">
                  <c:v>0.59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1.26</c:v>
                </c:pt>
                <c:pt idx="40">
                  <c:v>1.08</c:v>
                </c:pt>
                <c:pt idx="41">
                  <c:v>0.92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1.93</c:v>
                </c:pt>
                <c:pt idx="46">
                  <c:v>1.04</c:v>
                </c:pt>
                <c:pt idx="47">
                  <c:v>0.64</c:v>
                </c:pt>
                <c:pt idx="48">
                  <c:v>0.34</c:v>
                </c:pt>
                <c:pt idx="49">
                  <c:v>0.68</c:v>
                </c:pt>
                <c:pt idx="50">
                  <c:v>0.7</c:v>
                </c:pt>
                <c:pt idx="51">
                  <c:v>1.02</c:v>
                </c:pt>
                <c:pt idx="52">
                  <c:v>0.96</c:v>
                </c:pt>
                <c:pt idx="53">
                  <c:v>0.78</c:v>
                </c:pt>
                <c:pt idx="54">
                  <c:v>0.86</c:v>
                </c:pt>
                <c:pt idx="55">
                  <c:v>0.52</c:v>
                </c:pt>
                <c:pt idx="56">
                  <c:v>0.38</c:v>
                </c:pt>
                <c:pt idx="57">
                  <c:v>0.54</c:v>
                </c:pt>
                <c:pt idx="58">
                  <c:v>0.68</c:v>
                </c:pt>
                <c:pt idx="59">
                  <c:v>0.9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1.1000000000000001</c:v>
                </c:pt>
                <c:pt idx="68">
                  <c:v>1.46</c:v>
                </c:pt>
                <c:pt idx="69">
                  <c:v>1.56</c:v>
                </c:pt>
                <c:pt idx="70">
                  <c:v>1.42</c:v>
                </c:pt>
                <c:pt idx="71">
                  <c:v>1.1599999999999999</c:v>
                </c:pt>
                <c:pt idx="72">
                  <c:v>0.98</c:v>
                </c:pt>
                <c:pt idx="73">
                  <c:v>0.83</c:v>
                </c:pt>
                <c:pt idx="74">
                  <c:v>1</c:v>
                </c:pt>
                <c:pt idx="75">
                  <c:v>1.45</c:v>
                </c:pt>
                <c:pt idx="76">
                  <c:v>1.43</c:v>
                </c:pt>
                <c:pt idx="77">
                  <c:v>1.45</c:v>
                </c:pt>
                <c:pt idx="78">
                  <c:v>1.44</c:v>
                </c:pt>
                <c:pt idx="79">
                  <c:v>1.17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1.46</c:v>
                </c:pt>
                <c:pt idx="84">
                  <c:v>1.34</c:v>
                </c:pt>
                <c:pt idx="85">
                  <c:v>1.0900000000000001</c:v>
                </c:pt>
                <c:pt idx="86">
                  <c:v>1.62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1.29</c:v>
                </c:pt>
                <c:pt idx="91">
                  <c:v>1.38</c:v>
                </c:pt>
                <c:pt idx="92">
                  <c:v>0</c:v>
                </c:pt>
                <c:pt idx="93">
                  <c:v>0</c:v>
                </c:pt>
                <c:pt idx="94">
                  <c:v>1.17</c:v>
                </c:pt>
                <c:pt idx="95">
                  <c:v>0.89</c:v>
                </c:pt>
                <c:pt idx="96">
                  <c:v>1.01</c:v>
                </c:pt>
                <c:pt idx="97">
                  <c:v>1.26</c:v>
                </c:pt>
                <c:pt idx="98">
                  <c:v>1.36</c:v>
                </c:pt>
                <c:pt idx="99">
                  <c:v>1.67</c:v>
                </c:pt>
                <c:pt idx="100">
                  <c:v>1.4</c:v>
                </c:pt>
                <c:pt idx="101">
                  <c:v>1.23</c:v>
                </c:pt>
                <c:pt idx="102">
                  <c:v>1.17</c:v>
                </c:pt>
                <c:pt idx="103">
                  <c:v>0.96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1.59</c:v>
                </c:pt>
                <c:pt idx="108">
                  <c:v>1.5</c:v>
                </c:pt>
                <c:pt idx="109">
                  <c:v>2.0099999999999998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1.1299999999999999</c:v>
                </c:pt>
                <c:pt idx="118">
                  <c:v>1.65</c:v>
                </c:pt>
                <c:pt idx="119">
                  <c:v>1.34</c:v>
                </c:pt>
                <c:pt idx="120">
                  <c:v>1.23</c:v>
                </c:pt>
                <c:pt idx="121">
                  <c:v>1.36</c:v>
                </c:pt>
                <c:pt idx="122">
                  <c:v>1.3</c:v>
                </c:pt>
                <c:pt idx="123">
                  <c:v>1.1499999999999999</c:v>
                </c:pt>
                <c:pt idx="124">
                  <c:v>1.35</c:v>
                </c:pt>
                <c:pt idx="125">
                  <c:v>1.29</c:v>
                </c:pt>
                <c:pt idx="126">
                  <c:v>0.95</c:v>
                </c:pt>
                <c:pt idx="127">
                  <c:v>0.77</c:v>
                </c:pt>
                <c:pt idx="128">
                  <c:v>1.7</c:v>
                </c:pt>
                <c:pt idx="129">
                  <c:v>1.8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1.93</c:v>
                </c:pt>
                <c:pt idx="134">
                  <c:v>1.95</c:v>
                </c:pt>
                <c:pt idx="135">
                  <c:v>1.57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1.24</c:v>
                </c:pt>
                <c:pt idx="140">
                  <c:v>0</c:v>
                </c:pt>
                <c:pt idx="141">
                  <c:v>0</c:v>
                </c:pt>
                <c:pt idx="142">
                  <c:v>1.1599999999999999</c:v>
                </c:pt>
                <c:pt idx="143">
                  <c:v>1.47</c:v>
                </c:pt>
                <c:pt idx="144">
                  <c:v>1.06</c:v>
                </c:pt>
                <c:pt idx="145">
                  <c:v>1.28</c:v>
                </c:pt>
                <c:pt idx="146">
                  <c:v>1.33</c:v>
                </c:pt>
                <c:pt idx="147">
                  <c:v>1.3</c:v>
                </c:pt>
                <c:pt idx="148">
                  <c:v>1.3</c:v>
                </c:pt>
                <c:pt idx="149">
                  <c:v>0.76</c:v>
                </c:pt>
                <c:pt idx="150">
                  <c:v>0.93</c:v>
                </c:pt>
                <c:pt idx="151">
                  <c:v>0.73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0.83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2.31</c:v>
                </c:pt>
                <c:pt idx="160">
                  <c:v>2.31</c:v>
                </c:pt>
                <c:pt idx="161">
                  <c:v>0</c:v>
                </c:pt>
                <c:pt idx="162">
                  <c:v>0</c:v>
                </c:pt>
                <c:pt idx="163">
                  <c:v>1.58</c:v>
                </c:pt>
                <c:pt idx="164">
                  <c:v>1.62</c:v>
                </c:pt>
                <c:pt idx="165">
                  <c:v>1.39</c:v>
                </c:pt>
                <c:pt idx="166">
                  <c:v>1.89</c:v>
                </c:pt>
                <c:pt idx="167">
                  <c:v>1.29</c:v>
                </c:pt>
                <c:pt idx="168">
                  <c:v>1.39</c:v>
                </c:pt>
                <c:pt idx="169">
                  <c:v>1.35</c:v>
                </c:pt>
                <c:pt idx="170">
                  <c:v>1.34</c:v>
                </c:pt>
                <c:pt idx="171">
                  <c:v>1.39</c:v>
                </c:pt>
                <c:pt idx="172">
                  <c:v>1.08</c:v>
                </c:pt>
                <c:pt idx="173">
                  <c:v>0.64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0.93</c:v>
                </c:pt>
                <c:pt idx="179">
                  <c:v>1.19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1.74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1.47</c:v>
                </c:pt>
                <c:pt idx="188">
                  <c:v>0</c:v>
                </c:pt>
                <c:pt idx="189">
                  <c:v>0</c:v>
                </c:pt>
                <c:pt idx="190">
                  <c:v>1.88</c:v>
                </c:pt>
                <c:pt idx="191">
                  <c:v>2.2200000000000002</c:v>
                </c:pt>
                <c:pt idx="192">
                  <c:v>1.8</c:v>
                </c:pt>
                <c:pt idx="193">
                  <c:v>1.96</c:v>
                </c:pt>
                <c:pt idx="194">
                  <c:v>1.92</c:v>
                </c:pt>
                <c:pt idx="195">
                  <c:v>2.37</c:v>
                </c:pt>
                <c:pt idx="196">
                  <c:v>1.63</c:v>
                </c:pt>
                <c:pt idx="197">
                  <c:v>1.63</c:v>
                </c:pt>
                <c:pt idx="198">
                  <c:v>1.19</c:v>
                </c:pt>
                <c:pt idx="199">
                  <c:v>1.28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2.79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1.69</c:v>
                </c:pt>
                <c:pt idx="212">
                  <c:v>2.17</c:v>
                </c:pt>
                <c:pt idx="213">
                  <c:v>1.62</c:v>
                </c:pt>
                <c:pt idx="214">
                  <c:v>1.7</c:v>
                </c:pt>
                <c:pt idx="215">
                  <c:v>1.75</c:v>
                </c:pt>
                <c:pt idx="216">
                  <c:v>2.15</c:v>
                </c:pt>
                <c:pt idx="217">
                  <c:v>1.88</c:v>
                </c:pt>
                <c:pt idx="218">
                  <c:v>2.16</c:v>
                </c:pt>
                <c:pt idx="219">
                  <c:v>1.83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0.75</c:v>
                </c:pt>
                <c:pt idx="224">
                  <c:v>1.08</c:v>
                </c:pt>
                <c:pt idx="225">
                  <c:v>0.63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1.53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2.19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2.0099999999999998</c:v>
                </c:pt>
                <c:pt idx="238">
                  <c:v>1.82</c:v>
                </c:pt>
                <c:pt idx="239">
                  <c:v>1.48</c:v>
                </c:pt>
                <c:pt idx="240">
                  <c:v>1.1499999999999999</c:v>
                </c:pt>
                <c:pt idx="241">
                  <c:v>1.36</c:v>
                </c:pt>
                <c:pt idx="242">
                  <c:v>1.49</c:v>
                </c:pt>
                <c:pt idx="243">
                  <c:v>1.55</c:v>
                </c:pt>
                <c:pt idx="244">
                  <c:v>1.55</c:v>
                </c:pt>
                <c:pt idx="245">
                  <c:v>1.1299999999999999</c:v>
                </c:pt>
                <c:pt idx="246">
                  <c:v>0.28000000000000003</c:v>
                </c:pt>
                <c:pt idx="247">
                  <c:v>0</c:v>
                </c:pt>
                <c:pt idx="248">
                  <c:v>0</c:v>
                </c:pt>
                <c:pt idx="249">
                  <c:v>2.14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1.36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1.28</c:v>
                </c:pt>
                <c:pt idx="264">
                  <c:v>1.48</c:v>
                </c:pt>
                <c:pt idx="265">
                  <c:v>1.52</c:v>
                </c:pt>
                <c:pt idx="266">
                  <c:v>1.54</c:v>
                </c:pt>
                <c:pt idx="267">
                  <c:v>1.27</c:v>
                </c:pt>
                <c:pt idx="268">
                  <c:v>1.55</c:v>
                </c:pt>
                <c:pt idx="269">
                  <c:v>1.32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0.99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1.02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1.78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1.1299999999999999</c:v>
                </c:pt>
                <c:pt idx="288">
                  <c:v>1.41</c:v>
                </c:pt>
                <c:pt idx="289">
                  <c:v>1.29</c:v>
                </c:pt>
                <c:pt idx="290">
                  <c:v>1.54</c:v>
                </c:pt>
                <c:pt idx="291">
                  <c:v>1.17</c:v>
                </c:pt>
                <c:pt idx="292">
                  <c:v>2.2599999999999998</c:v>
                </c:pt>
                <c:pt idx="293">
                  <c:v>1.49</c:v>
                </c:pt>
                <c:pt idx="294">
                  <c:v>1.77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1.07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3.36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2.04</c:v>
                </c:pt>
                <c:pt idx="314">
                  <c:v>1.8</c:v>
                </c:pt>
                <c:pt idx="315">
                  <c:v>2.17</c:v>
                </c:pt>
                <c:pt idx="316">
                  <c:v>1.53</c:v>
                </c:pt>
                <c:pt idx="317">
                  <c:v>1.07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0.64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1.51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1.27</c:v>
                </c:pt>
                <c:pt idx="336">
                  <c:v>1.59</c:v>
                </c:pt>
                <c:pt idx="337">
                  <c:v>1.24</c:v>
                </c:pt>
                <c:pt idx="338">
                  <c:v>1.45</c:v>
                </c:pt>
                <c:pt idx="339">
                  <c:v>1.73</c:v>
                </c:pt>
                <c:pt idx="340">
                  <c:v>1.52</c:v>
                </c:pt>
                <c:pt idx="341">
                  <c:v>1.47</c:v>
                </c:pt>
                <c:pt idx="342">
                  <c:v>1.27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0.86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1.24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1.19</c:v>
                </c:pt>
                <c:pt idx="358">
                  <c:v>2.09</c:v>
                </c:pt>
                <c:pt idx="359">
                  <c:v>1.84</c:v>
                </c:pt>
                <c:pt idx="360">
                  <c:v>1.93</c:v>
                </c:pt>
                <c:pt idx="361">
                  <c:v>1.75</c:v>
                </c:pt>
                <c:pt idx="362">
                  <c:v>2.27</c:v>
                </c:pt>
                <c:pt idx="363">
                  <c:v>1.96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0.96</c:v>
                </c:pt>
                <c:pt idx="368">
                  <c:v>1.19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2.5499999999999998</c:v>
                </c:pt>
                <c:pt idx="373">
                  <c:v>2.87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1.1000000000000001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1.85</c:v>
                </c:pt>
                <c:pt idx="383">
                  <c:v>2.0299999999999998</c:v>
                </c:pt>
                <c:pt idx="384">
                  <c:v>1.89</c:v>
                </c:pt>
                <c:pt idx="385">
                  <c:v>1.9</c:v>
                </c:pt>
                <c:pt idx="386">
                  <c:v>1.63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1.35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1.86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1.84</c:v>
                </c:pt>
                <c:pt idx="410">
                  <c:v>2.0699999999999998</c:v>
                </c:pt>
                <c:pt idx="411">
                  <c:v>2.37</c:v>
                </c:pt>
                <c:pt idx="412">
                  <c:v>2.02</c:v>
                </c:pt>
                <c:pt idx="413">
                  <c:v>2.0699999999999998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1.17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1.1200000000000001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1.41</c:v>
                </c:pt>
                <c:pt idx="431">
                  <c:v>1.61</c:v>
                </c:pt>
                <c:pt idx="432">
                  <c:v>1.28</c:v>
                </c:pt>
                <c:pt idx="433">
                  <c:v>1.39</c:v>
                </c:pt>
                <c:pt idx="434">
                  <c:v>1.21</c:v>
                </c:pt>
                <c:pt idx="435">
                  <c:v>1.32</c:v>
                </c:pt>
                <c:pt idx="436">
                  <c:v>1.37</c:v>
                </c:pt>
                <c:pt idx="437">
                  <c:v>1.36</c:v>
                </c:pt>
                <c:pt idx="438">
                  <c:v>1.1599999999999999</c:v>
                </c:pt>
                <c:pt idx="439">
                  <c:v>0.8</c:v>
                </c:pt>
                <c:pt idx="440">
                  <c:v>0.82</c:v>
                </c:pt>
                <c:pt idx="441">
                  <c:v>2.65</c:v>
                </c:pt>
                <c:pt idx="442">
                  <c:v>1.22</c:v>
                </c:pt>
                <c:pt idx="443">
                  <c:v>0</c:v>
                </c:pt>
                <c:pt idx="444">
                  <c:v>0</c:v>
                </c:pt>
                <c:pt idx="445">
                  <c:v>0.89</c:v>
                </c:pt>
                <c:pt idx="446">
                  <c:v>1.64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1.28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2.27</c:v>
                </c:pt>
                <c:pt idx="456">
                  <c:v>1.25</c:v>
                </c:pt>
                <c:pt idx="457">
                  <c:v>1.36</c:v>
                </c:pt>
                <c:pt idx="458">
                  <c:v>1.24</c:v>
                </c:pt>
                <c:pt idx="459">
                  <c:v>1.41</c:v>
                </c:pt>
                <c:pt idx="460">
                  <c:v>1.4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1.48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2.41</c:v>
                </c:pt>
                <c:pt idx="471">
                  <c:v>2.4900000000000002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1.9</c:v>
                </c:pt>
                <c:pt idx="477">
                  <c:v>2.38</c:v>
                </c:pt>
                <c:pt idx="478">
                  <c:v>0</c:v>
                </c:pt>
                <c:pt idx="479">
                  <c:v>2.06</c:v>
                </c:pt>
                <c:pt idx="480">
                  <c:v>1.92</c:v>
                </c:pt>
                <c:pt idx="481">
                  <c:v>2.21</c:v>
                </c:pt>
                <c:pt idx="482">
                  <c:v>1.91</c:v>
                </c:pt>
                <c:pt idx="483">
                  <c:v>2.4300000000000002</c:v>
                </c:pt>
                <c:pt idx="484">
                  <c:v>1.31</c:v>
                </c:pt>
                <c:pt idx="485">
                  <c:v>0.75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0.83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1.57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1.54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2.4900000000000002</c:v>
                </c:pt>
                <c:pt idx="504">
                  <c:v>2.2599999999999998</c:v>
                </c:pt>
                <c:pt idx="505">
                  <c:v>2.0099999999999998</c:v>
                </c:pt>
                <c:pt idx="506">
                  <c:v>1.83</c:v>
                </c:pt>
                <c:pt idx="507">
                  <c:v>0</c:v>
                </c:pt>
                <c:pt idx="508">
                  <c:v>0</c:v>
                </c:pt>
                <c:pt idx="509">
                  <c:v>1.1299999999999999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2.2000000000000002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2.35</c:v>
                </c:pt>
                <c:pt idx="526">
                  <c:v>0</c:v>
                </c:pt>
                <c:pt idx="527">
                  <c:v>0</c:v>
                </c:pt>
                <c:pt idx="528">
                  <c:v>2.04</c:v>
                </c:pt>
                <c:pt idx="529">
                  <c:v>1.85</c:v>
                </c:pt>
                <c:pt idx="530">
                  <c:v>2.21</c:v>
                </c:pt>
                <c:pt idx="531">
                  <c:v>2.62</c:v>
                </c:pt>
                <c:pt idx="532">
                  <c:v>1.38</c:v>
                </c:pt>
                <c:pt idx="533">
                  <c:v>0.86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1.75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2.46</c:v>
                </c:pt>
                <c:pt idx="550">
                  <c:v>2.06</c:v>
                </c:pt>
                <c:pt idx="551">
                  <c:v>1.78</c:v>
                </c:pt>
                <c:pt idx="552">
                  <c:v>2.29</c:v>
                </c:pt>
                <c:pt idx="553">
                  <c:v>1.78</c:v>
                </c:pt>
                <c:pt idx="554">
                  <c:v>2.2200000000000002</c:v>
                </c:pt>
                <c:pt idx="555">
                  <c:v>0.63</c:v>
                </c:pt>
                <c:pt idx="556">
                  <c:v>2.3199999999999998</c:v>
                </c:pt>
                <c:pt idx="557">
                  <c:v>2.39</c:v>
                </c:pt>
                <c:pt idx="558">
                  <c:v>2.0499999999999998</c:v>
                </c:pt>
                <c:pt idx="559">
                  <c:v>1.62</c:v>
                </c:pt>
                <c:pt idx="560">
                  <c:v>0.4</c:v>
                </c:pt>
                <c:pt idx="561">
                  <c:v>1.1000000000000001</c:v>
                </c:pt>
                <c:pt idx="562">
                  <c:v>0.43</c:v>
                </c:pt>
                <c:pt idx="563">
                  <c:v>0</c:v>
                </c:pt>
                <c:pt idx="564">
                  <c:v>1.31</c:v>
                </c:pt>
                <c:pt idx="565">
                  <c:v>1.96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1.85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2.11</c:v>
                </c:pt>
                <c:pt idx="576">
                  <c:v>1.81</c:v>
                </c:pt>
                <c:pt idx="577">
                  <c:v>1.79</c:v>
                </c:pt>
                <c:pt idx="578">
                  <c:v>1.99</c:v>
                </c:pt>
                <c:pt idx="579">
                  <c:v>2.48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0.72</c:v>
                </c:pt>
                <c:pt idx="584">
                  <c:v>0.72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1.8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1.44</c:v>
                </c:pt>
                <c:pt idx="598">
                  <c:v>2.12</c:v>
                </c:pt>
                <c:pt idx="599">
                  <c:v>1.57</c:v>
                </c:pt>
                <c:pt idx="600">
                  <c:v>1.78</c:v>
                </c:pt>
                <c:pt idx="601">
                  <c:v>1.92</c:v>
                </c:pt>
                <c:pt idx="602">
                  <c:v>1.58</c:v>
                </c:pt>
                <c:pt idx="603">
                  <c:v>1.91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1.32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1.33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2.5499999999999998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1.92</c:v>
                </c:pt>
                <c:pt idx="622">
                  <c:v>1.57</c:v>
                </c:pt>
                <c:pt idx="623">
                  <c:v>1.2</c:v>
                </c:pt>
                <c:pt idx="624">
                  <c:v>1.76</c:v>
                </c:pt>
                <c:pt idx="625">
                  <c:v>1.6</c:v>
                </c:pt>
                <c:pt idx="626">
                  <c:v>1.49</c:v>
                </c:pt>
                <c:pt idx="627">
                  <c:v>2.06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1.32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2.27</c:v>
                </c:pt>
                <c:pt idx="646">
                  <c:v>1.61</c:v>
                </c:pt>
                <c:pt idx="647">
                  <c:v>2.21</c:v>
                </c:pt>
                <c:pt idx="648">
                  <c:v>1.86</c:v>
                </c:pt>
                <c:pt idx="649">
                  <c:v>1.93</c:v>
                </c:pt>
                <c:pt idx="650">
                  <c:v>1.82</c:v>
                </c:pt>
                <c:pt idx="651">
                  <c:v>0</c:v>
                </c:pt>
                <c:pt idx="652">
                  <c:v>0</c:v>
                </c:pt>
                <c:pt idx="653">
                  <c:v>1.1399999999999999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0.88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4.76</c:v>
                </c:pt>
                <c:pt idx="670">
                  <c:v>0</c:v>
                </c:pt>
                <c:pt idx="671">
                  <c:v>0</c:v>
                </c:pt>
                <c:pt idx="672">
                  <c:v>2.06</c:v>
                </c:pt>
                <c:pt idx="673">
                  <c:v>2.2799999999999998</c:v>
                </c:pt>
                <c:pt idx="674">
                  <c:v>2.12</c:v>
                </c:pt>
                <c:pt idx="675">
                  <c:v>3.11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2.09</c:v>
                </c:pt>
                <c:pt idx="683">
                  <c:v>1.82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1.95</c:v>
                </c:pt>
                <c:pt idx="694">
                  <c:v>0</c:v>
                </c:pt>
                <c:pt idx="695">
                  <c:v>1.67</c:v>
                </c:pt>
                <c:pt idx="696">
                  <c:v>1.47</c:v>
                </c:pt>
                <c:pt idx="697">
                  <c:v>1.81</c:v>
                </c:pt>
                <c:pt idx="698">
                  <c:v>2.31</c:v>
                </c:pt>
                <c:pt idx="699">
                  <c:v>3.53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1.58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2.04</c:v>
                </c:pt>
                <c:pt idx="720">
                  <c:v>0</c:v>
                </c:pt>
                <c:pt idx="721">
                  <c:v>0</c:v>
                </c:pt>
                <c:pt idx="722">
                  <c:v>1.72</c:v>
                </c:pt>
                <c:pt idx="723">
                  <c:v>2.59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1.71</c:v>
                </c:pt>
                <c:pt idx="744">
                  <c:v>1.67</c:v>
                </c:pt>
                <c:pt idx="745">
                  <c:v>2.14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2.75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1.44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0.92</c:v>
                </c:pt>
                <c:pt idx="768">
                  <c:v>2.4700000000000002</c:v>
                </c:pt>
                <c:pt idx="769">
                  <c:v>2.0099999999999998</c:v>
                </c:pt>
                <c:pt idx="770">
                  <c:v>2.31</c:v>
                </c:pt>
                <c:pt idx="771">
                  <c:v>2.08</c:v>
                </c:pt>
                <c:pt idx="772">
                  <c:v>2.46</c:v>
                </c:pt>
                <c:pt idx="773">
                  <c:v>2.33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1.2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2.5499999999999998</c:v>
                </c:pt>
                <c:pt idx="788">
                  <c:v>0</c:v>
                </c:pt>
                <c:pt idx="789">
                  <c:v>0</c:v>
                </c:pt>
                <c:pt idx="790">
                  <c:v>2.0299999999999998</c:v>
                </c:pt>
                <c:pt idx="791">
                  <c:v>2.38</c:v>
                </c:pt>
                <c:pt idx="792">
                  <c:v>1.98</c:v>
                </c:pt>
                <c:pt idx="793">
                  <c:v>2.39</c:v>
                </c:pt>
                <c:pt idx="794">
                  <c:v>1.94</c:v>
                </c:pt>
                <c:pt idx="795">
                  <c:v>2.17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2.35</c:v>
                </c:pt>
                <c:pt idx="817">
                  <c:v>2.0499999999999998</c:v>
                </c:pt>
                <c:pt idx="818">
                  <c:v>2.13</c:v>
                </c:pt>
                <c:pt idx="819">
                  <c:v>2.4500000000000002</c:v>
                </c:pt>
                <c:pt idx="820">
                  <c:v>2.02</c:v>
                </c:pt>
                <c:pt idx="821">
                  <c:v>2.04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2.1</c:v>
                </c:pt>
                <c:pt idx="840">
                  <c:v>1.83</c:v>
                </c:pt>
                <c:pt idx="841">
                  <c:v>2.15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2.14</c:v>
                </c:pt>
                <c:pt idx="846">
                  <c:v>1.73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1.2</c:v>
                </c:pt>
                <c:pt idx="859">
                  <c:v>1.6</c:v>
                </c:pt>
                <c:pt idx="860">
                  <c:v>0</c:v>
                </c:pt>
                <c:pt idx="861">
                  <c:v>0</c:v>
                </c:pt>
                <c:pt idx="862">
                  <c:v>1.75</c:v>
                </c:pt>
                <c:pt idx="863">
                  <c:v>1.98</c:v>
                </c:pt>
                <c:pt idx="864">
                  <c:v>2.06</c:v>
                </c:pt>
                <c:pt idx="865">
                  <c:v>1.68</c:v>
                </c:pt>
                <c:pt idx="866">
                  <c:v>1.96</c:v>
                </c:pt>
                <c:pt idx="867">
                  <c:v>2.06</c:v>
                </c:pt>
                <c:pt idx="868">
                  <c:v>1.67</c:v>
                </c:pt>
                <c:pt idx="869">
                  <c:v>1.84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0.94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0.97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1.42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0.94</c:v>
                </c:pt>
                <c:pt idx="886">
                  <c:v>0.8</c:v>
                </c:pt>
                <c:pt idx="887">
                  <c:v>1.42</c:v>
                </c:pt>
                <c:pt idx="888">
                  <c:v>1.86</c:v>
                </c:pt>
                <c:pt idx="889">
                  <c:v>1.59</c:v>
                </c:pt>
                <c:pt idx="890">
                  <c:v>2</c:v>
                </c:pt>
                <c:pt idx="891">
                  <c:v>1.8</c:v>
                </c:pt>
                <c:pt idx="892">
                  <c:v>1.92</c:v>
                </c:pt>
                <c:pt idx="893">
                  <c:v>0</c:v>
                </c:pt>
                <c:pt idx="894">
                  <c:v>0</c:v>
                </c:pt>
                <c:pt idx="895">
                  <c:v>1.31</c:v>
                </c:pt>
                <c:pt idx="896">
                  <c:v>1.53</c:v>
                </c:pt>
                <c:pt idx="897">
                  <c:v>0.98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1.17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0.99</c:v>
                </c:pt>
                <c:pt idx="910">
                  <c:v>1</c:v>
                </c:pt>
                <c:pt idx="911">
                  <c:v>1.96</c:v>
                </c:pt>
                <c:pt idx="912">
                  <c:v>1.67</c:v>
                </c:pt>
                <c:pt idx="913">
                  <c:v>1.97</c:v>
                </c:pt>
                <c:pt idx="914">
                  <c:v>1.76</c:v>
                </c:pt>
                <c:pt idx="915">
                  <c:v>2.06</c:v>
                </c:pt>
                <c:pt idx="916">
                  <c:v>1.71</c:v>
                </c:pt>
                <c:pt idx="917">
                  <c:v>1.83</c:v>
                </c:pt>
                <c:pt idx="918">
                  <c:v>1.65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2.46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1.62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1.77</c:v>
                </c:pt>
                <c:pt idx="932">
                  <c:v>1.03</c:v>
                </c:pt>
                <c:pt idx="933">
                  <c:v>1.49</c:v>
                </c:pt>
                <c:pt idx="934">
                  <c:v>1.08</c:v>
                </c:pt>
                <c:pt idx="935">
                  <c:v>2.04</c:v>
                </c:pt>
                <c:pt idx="936">
                  <c:v>1.58</c:v>
                </c:pt>
                <c:pt idx="937">
                  <c:v>1.8</c:v>
                </c:pt>
                <c:pt idx="938">
                  <c:v>1.68</c:v>
                </c:pt>
                <c:pt idx="939">
                  <c:v>1.83</c:v>
                </c:pt>
                <c:pt idx="940">
                  <c:v>1.55</c:v>
                </c:pt>
                <c:pt idx="941">
                  <c:v>1.6</c:v>
                </c:pt>
                <c:pt idx="942">
                  <c:v>0</c:v>
                </c:pt>
                <c:pt idx="943">
                  <c:v>1.64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2.02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2.34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1.74</c:v>
                </c:pt>
                <c:pt idx="957">
                  <c:v>1.24</c:v>
                </c:pt>
                <c:pt idx="958">
                  <c:v>1.55</c:v>
                </c:pt>
                <c:pt idx="959">
                  <c:v>1.83</c:v>
                </c:pt>
                <c:pt idx="960">
                  <c:v>1.73</c:v>
                </c:pt>
                <c:pt idx="961">
                  <c:v>1.58</c:v>
                </c:pt>
                <c:pt idx="962">
                  <c:v>1.55</c:v>
                </c:pt>
                <c:pt idx="963">
                  <c:v>1.45</c:v>
                </c:pt>
                <c:pt idx="964">
                  <c:v>1.86</c:v>
                </c:pt>
                <c:pt idx="965">
                  <c:v>1.5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1.54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1.39</c:v>
                </c:pt>
                <c:pt idx="974">
                  <c:v>1.38</c:v>
                </c:pt>
                <c:pt idx="975">
                  <c:v>0</c:v>
                </c:pt>
                <c:pt idx="976">
                  <c:v>0</c:v>
                </c:pt>
                <c:pt idx="977">
                  <c:v>1.04</c:v>
                </c:pt>
                <c:pt idx="978">
                  <c:v>1.1399999999999999</c:v>
                </c:pt>
                <c:pt idx="979">
                  <c:v>1.29</c:v>
                </c:pt>
                <c:pt idx="980">
                  <c:v>0</c:v>
                </c:pt>
                <c:pt idx="981">
                  <c:v>0.85</c:v>
                </c:pt>
                <c:pt idx="982">
                  <c:v>0.91</c:v>
                </c:pt>
                <c:pt idx="983">
                  <c:v>1.34</c:v>
                </c:pt>
                <c:pt idx="984">
                  <c:v>1.69</c:v>
                </c:pt>
                <c:pt idx="985">
                  <c:v>1.4</c:v>
                </c:pt>
                <c:pt idx="986">
                  <c:v>1.51</c:v>
                </c:pt>
                <c:pt idx="987">
                  <c:v>1.97</c:v>
                </c:pt>
                <c:pt idx="988">
                  <c:v>1.43</c:v>
                </c:pt>
                <c:pt idx="989">
                  <c:v>1.23</c:v>
                </c:pt>
                <c:pt idx="990">
                  <c:v>1.1499999999999999</c:v>
                </c:pt>
                <c:pt idx="991">
                  <c:v>1.1499999999999999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1.65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1.41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0.84</c:v>
                </c:pt>
                <c:pt idx="1004">
                  <c:v>1.59</c:v>
                </c:pt>
                <c:pt idx="1005">
                  <c:v>0.85</c:v>
                </c:pt>
                <c:pt idx="1006">
                  <c:v>0.67</c:v>
                </c:pt>
                <c:pt idx="1007">
                  <c:v>1.38</c:v>
                </c:pt>
                <c:pt idx="1008">
                  <c:v>1.1000000000000001</c:v>
                </c:pt>
                <c:pt idx="1009">
                  <c:v>0.96</c:v>
                </c:pt>
                <c:pt idx="1010">
                  <c:v>0.91</c:v>
                </c:pt>
                <c:pt idx="1011">
                  <c:v>1.42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0.96</c:v>
                </c:pt>
                <c:pt idx="1017">
                  <c:v>1.05</c:v>
                </c:pt>
                <c:pt idx="1018">
                  <c:v>0.75</c:v>
                </c:pt>
                <c:pt idx="1019">
                  <c:v>1.02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0.8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0.65</c:v>
                </c:pt>
                <c:pt idx="1028">
                  <c:v>0.82</c:v>
                </c:pt>
                <c:pt idx="1029">
                  <c:v>0.96</c:v>
                </c:pt>
                <c:pt idx="1030">
                  <c:v>0.87</c:v>
                </c:pt>
                <c:pt idx="1031">
                  <c:v>1.02</c:v>
                </c:pt>
                <c:pt idx="1032">
                  <c:v>0.94</c:v>
                </c:pt>
                <c:pt idx="1033">
                  <c:v>1.1200000000000001</c:v>
                </c:pt>
                <c:pt idx="1034">
                  <c:v>0.9</c:v>
                </c:pt>
                <c:pt idx="1035">
                  <c:v>1.31</c:v>
                </c:pt>
                <c:pt idx="1036">
                  <c:v>1</c:v>
                </c:pt>
                <c:pt idx="1037">
                  <c:v>0.78</c:v>
                </c:pt>
                <c:pt idx="1038">
                  <c:v>1.24</c:v>
                </c:pt>
                <c:pt idx="1039">
                  <c:v>1</c:v>
                </c:pt>
                <c:pt idx="1040">
                  <c:v>1.19</c:v>
                </c:pt>
                <c:pt idx="1041">
                  <c:v>0</c:v>
                </c:pt>
                <c:pt idx="1042">
                  <c:v>0</c:v>
                </c:pt>
                <c:pt idx="1043">
                  <c:v>1.42</c:v>
                </c:pt>
                <c:pt idx="1044">
                  <c:v>3.48</c:v>
                </c:pt>
                <c:pt idx="1045">
                  <c:v>1.98</c:v>
                </c:pt>
                <c:pt idx="1046">
                  <c:v>0.93</c:v>
                </c:pt>
                <c:pt idx="1047">
                  <c:v>0.84</c:v>
                </c:pt>
                <c:pt idx="1048">
                  <c:v>1.4</c:v>
                </c:pt>
                <c:pt idx="1049">
                  <c:v>1.2</c:v>
                </c:pt>
                <c:pt idx="1050">
                  <c:v>1.03</c:v>
                </c:pt>
                <c:pt idx="1051">
                  <c:v>0.68</c:v>
                </c:pt>
                <c:pt idx="1052">
                  <c:v>0.97</c:v>
                </c:pt>
                <c:pt idx="1053">
                  <c:v>0.78</c:v>
                </c:pt>
                <c:pt idx="1054">
                  <c:v>0.97</c:v>
                </c:pt>
                <c:pt idx="1055">
                  <c:v>1.1000000000000001</c:v>
                </c:pt>
                <c:pt idx="1056">
                  <c:v>1.17</c:v>
                </c:pt>
                <c:pt idx="1057">
                  <c:v>1.1000000000000001</c:v>
                </c:pt>
                <c:pt idx="1058">
                  <c:v>1.1299999999999999</c:v>
                </c:pt>
                <c:pt idx="1059">
                  <c:v>1.54</c:v>
                </c:pt>
                <c:pt idx="1060">
                  <c:v>1.35</c:v>
                </c:pt>
                <c:pt idx="1061">
                  <c:v>1.22</c:v>
                </c:pt>
                <c:pt idx="1062">
                  <c:v>1.37</c:v>
                </c:pt>
                <c:pt idx="1063">
                  <c:v>1.05</c:v>
                </c:pt>
                <c:pt idx="1064">
                  <c:v>0</c:v>
                </c:pt>
                <c:pt idx="1065">
                  <c:v>0</c:v>
                </c:pt>
                <c:pt idx="1066">
                  <c:v>1.92</c:v>
                </c:pt>
                <c:pt idx="1067">
                  <c:v>1.02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1.01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1.06</c:v>
                </c:pt>
                <c:pt idx="1077">
                  <c:v>0.53</c:v>
                </c:pt>
                <c:pt idx="1078">
                  <c:v>0.69</c:v>
                </c:pt>
                <c:pt idx="1079">
                  <c:v>1.41</c:v>
                </c:pt>
                <c:pt idx="1080">
                  <c:v>1.29</c:v>
                </c:pt>
                <c:pt idx="1081">
                  <c:v>1.45</c:v>
                </c:pt>
                <c:pt idx="1082">
                  <c:v>1.17</c:v>
                </c:pt>
                <c:pt idx="1083">
                  <c:v>0</c:v>
                </c:pt>
                <c:pt idx="1084">
                  <c:v>0</c:v>
                </c:pt>
                <c:pt idx="1085">
                  <c:v>1.1399999999999999</c:v>
                </c:pt>
                <c:pt idx="1086">
                  <c:v>1.32</c:v>
                </c:pt>
                <c:pt idx="1087">
                  <c:v>0.95</c:v>
                </c:pt>
                <c:pt idx="1088">
                  <c:v>0</c:v>
                </c:pt>
                <c:pt idx="1089">
                  <c:v>0</c:v>
                </c:pt>
                <c:pt idx="1090">
                  <c:v>0.99</c:v>
                </c:pt>
                <c:pt idx="1091">
                  <c:v>0.78</c:v>
                </c:pt>
                <c:pt idx="1092">
                  <c:v>0.22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0.77</c:v>
                </c:pt>
                <c:pt idx="1097">
                  <c:v>1.36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0.92</c:v>
                </c:pt>
                <c:pt idx="1102">
                  <c:v>1.43</c:v>
                </c:pt>
                <c:pt idx="1103">
                  <c:v>1.24</c:v>
                </c:pt>
                <c:pt idx="1104">
                  <c:v>1.51</c:v>
                </c:pt>
                <c:pt idx="1105">
                  <c:v>1.24</c:v>
                </c:pt>
                <c:pt idx="1106">
                  <c:v>1.35</c:v>
                </c:pt>
                <c:pt idx="1107">
                  <c:v>1.49</c:v>
                </c:pt>
                <c:pt idx="1108">
                  <c:v>1.5</c:v>
                </c:pt>
                <c:pt idx="1109">
                  <c:v>1.23</c:v>
                </c:pt>
                <c:pt idx="1110">
                  <c:v>1.06</c:v>
                </c:pt>
                <c:pt idx="1111">
                  <c:v>0.89</c:v>
                </c:pt>
                <c:pt idx="1112">
                  <c:v>1.36</c:v>
                </c:pt>
                <c:pt idx="1113">
                  <c:v>1.78</c:v>
                </c:pt>
                <c:pt idx="1114">
                  <c:v>0.76</c:v>
                </c:pt>
                <c:pt idx="1115">
                  <c:v>0.65</c:v>
                </c:pt>
                <c:pt idx="1116">
                  <c:v>0.7</c:v>
                </c:pt>
                <c:pt idx="1117">
                  <c:v>0.5</c:v>
                </c:pt>
                <c:pt idx="1118">
                  <c:v>1.44</c:v>
                </c:pt>
                <c:pt idx="1119">
                  <c:v>1.17</c:v>
                </c:pt>
                <c:pt idx="1120">
                  <c:v>1.81</c:v>
                </c:pt>
                <c:pt idx="1121">
                  <c:v>0.99</c:v>
                </c:pt>
                <c:pt idx="1122">
                  <c:v>0</c:v>
                </c:pt>
                <c:pt idx="1123">
                  <c:v>1.1200000000000001</c:v>
                </c:pt>
                <c:pt idx="1124">
                  <c:v>0.98</c:v>
                </c:pt>
                <c:pt idx="1125">
                  <c:v>1.1200000000000001</c:v>
                </c:pt>
                <c:pt idx="1126">
                  <c:v>1.18</c:v>
                </c:pt>
                <c:pt idx="1127">
                  <c:v>1.72</c:v>
                </c:pt>
                <c:pt idx="1128">
                  <c:v>1.37</c:v>
                </c:pt>
                <c:pt idx="1129">
                  <c:v>1.37</c:v>
                </c:pt>
                <c:pt idx="1130">
                  <c:v>1.33</c:v>
                </c:pt>
                <c:pt idx="1131">
                  <c:v>1.38</c:v>
                </c:pt>
                <c:pt idx="1132">
                  <c:v>1.54</c:v>
                </c:pt>
                <c:pt idx="1133">
                  <c:v>1.38</c:v>
                </c:pt>
                <c:pt idx="1134">
                  <c:v>0.87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0.94</c:v>
                </c:pt>
                <c:pt idx="1139">
                  <c:v>0.74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0.99</c:v>
                </c:pt>
                <c:pt idx="1151">
                  <c:v>1.03</c:v>
                </c:pt>
                <c:pt idx="1152">
                  <c:v>0.92</c:v>
                </c:pt>
                <c:pt idx="1153">
                  <c:v>1.05</c:v>
                </c:pt>
                <c:pt idx="1154">
                  <c:v>0.75</c:v>
                </c:pt>
                <c:pt idx="1155">
                  <c:v>1.59</c:v>
                </c:pt>
                <c:pt idx="1156">
                  <c:v>0.95</c:v>
                </c:pt>
                <c:pt idx="1157">
                  <c:v>1.19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0.75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1.8</c:v>
                </c:pt>
                <c:pt idx="1172">
                  <c:v>0</c:v>
                </c:pt>
                <c:pt idx="1173">
                  <c:v>0</c:v>
                </c:pt>
                <c:pt idx="1174">
                  <c:v>1.1299999999999999</c:v>
                </c:pt>
                <c:pt idx="1175">
                  <c:v>1.59</c:v>
                </c:pt>
                <c:pt idx="1176">
                  <c:v>1.57</c:v>
                </c:pt>
                <c:pt idx="1177">
                  <c:v>1.55</c:v>
                </c:pt>
                <c:pt idx="1178">
                  <c:v>1.31</c:v>
                </c:pt>
                <c:pt idx="1179">
                  <c:v>1.98</c:v>
                </c:pt>
                <c:pt idx="1180">
                  <c:v>0.88</c:v>
                </c:pt>
                <c:pt idx="1181">
                  <c:v>0.53</c:v>
                </c:pt>
                <c:pt idx="1182">
                  <c:v>0.16</c:v>
                </c:pt>
                <c:pt idx="1183">
                  <c:v>0</c:v>
                </c:pt>
                <c:pt idx="1184">
                  <c:v>0.2</c:v>
                </c:pt>
                <c:pt idx="1185">
                  <c:v>0.31</c:v>
                </c:pt>
                <c:pt idx="1186">
                  <c:v>0.05</c:v>
                </c:pt>
                <c:pt idx="1187">
                  <c:v>0</c:v>
                </c:pt>
                <c:pt idx="1188">
                  <c:v>0.59</c:v>
                </c:pt>
                <c:pt idx="1189">
                  <c:v>1.26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2.31</c:v>
                </c:pt>
                <c:pt idx="1195">
                  <c:v>1.17</c:v>
                </c:pt>
                <c:pt idx="1196">
                  <c:v>0</c:v>
                </c:pt>
                <c:pt idx="1197">
                  <c:v>0</c:v>
                </c:pt>
                <c:pt idx="1198">
                  <c:v>0.99</c:v>
                </c:pt>
                <c:pt idx="1199">
                  <c:v>1.03</c:v>
                </c:pt>
                <c:pt idx="1200">
                  <c:v>0.92</c:v>
                </c:pt>
                <c:pt idx="1201">
                  <c:v>1.05</c:v>
                </c:pt>
                <c:pt idx="1202">
                  <c:v>0.75</c:v>
                </c:pt>
                <c:pt idx="1203">
                  <c:v>1.59</c:v>
                </c:pt>
                <c:pt idx="1204">
                  <c:v>0.95</c:v>
                </c:pt>
                <c:pt idx="1205">
                  <c:v>1.19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0.75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1.32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1.42</c:v>
                </c:pt>
                <c:pt idx="1222">
                  <c:v>1.1399999999999999</c:v>
                </c:pt>
                <c:pt idx="1223">
                  <c:v>0.84</c:v>
                </c:pt>
                <c:pt idx="1224">
                  <c:v>1.1399999999999999</c:v>
                </c:pt>
                <c:pt idx="1225">
                  <c:v>0.8</c:v>
                </c:pt>
                <c:pt idx="1226">
                  <c:v>1.39</c:v>
                </c:pt>
                <c:pt idx="1227">
                  <c:v>1.02</c:v>
                </c:pt>
                <c:pt idx="1228">
                  <c:v>1.62</c:v>
                </c:pt>
                <c:pt idx="1229">
                  <c:v>0.87</c:v>
                </c:pt>
                <c:pt idx="1230">
                  <c:v>0.67</c:v>
                </c:pt>
                <c:pt idx="1231">
                  <c:v>0.59</c:v>
                </c:pt>
                <c:pt idx="1232">
                  <c:v>0</c:v>
                </c:pt>
                <c:pt idx="1233">
                  <c:v>0</c:v>
                </c:pt>
                <c:pt idx="1234">
                  <c:v>0.32</c:v>
                </c:pt>
                <c:pt idx="1235">
                  <c:v>0.72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1.67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0.89</c:v>
                </c:pt>
                <c:pt idx="1245">
                  <c:v>0.98</c:v>
                </c:pt>
                <c:pt idx="1246">
                  <c:v>0.82</c:v>
                </c:pt>
                <c:pt idx="1247">
                  <c:v>1.04</c:v>
                </c:pt>
                <c:pt idx="1248">
                  <c:v>0.77</c:v>
                </c:pt>
                <c:pt idx="1249">
                  <c:v>0.93</c:v>
                </c:pt>
                <c:pt idx="1250">
                  <c:v>1.01</c:v>
                </c:pt>
                <c:pt idx="1251">
                  <c:v>1.22</c:v>
                </c:pt>
                <c:pt idx="1252">
                  <c:v>0</c:v>
                </c:pt>
                <c:pt idx="1253">
                  <c:v>0</c:v>
                </c:pt>
                <c:pt idx="1254">
                  <c:v>0.91</c:v>
                </c:pt>
                <c:pt idx="1255">
                  <c:v>0.51</c:v>
                </c:pt>
                <c:pt idx="1256">
                  <c:v>0.43</c:v>
                </c:pt>
                <c:pt idx="1257">
                  <c:v>0.59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1.3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3.16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1.55</c:v>
                </c:pt>
                <c:pt idx="1270">
                  <c:v>0.77</c:v>
                </c:pt>
                <c:pt idx="1271">
                  <c:v>1.03</c:v>
                </c:pt>
                <c:pt idx="1272">
                  <c:v>1.05</c:v>
                </c:pt>
                <c:pt idx="1273">
                  <c:v>1.01</c:v>
                </c:pt>
                <c:pt idx="1274">
                  <c:v>0.89</c:v>
                </c:pt>
                <c:pt idx="1275">
                  <c:v>0.87</c:v>
                </c:pt>
                <c:pt idx="1276">
                  <c:v>0.74</c:v>
                </c:pt>
                <c:pt idx="1277">
                  <c:v>1.2</c:v>
                </c:pt>
                <c:pt idx="1278">
                  <c:v>0.54</c:v>
                </c:pt>
                <c:pt idx="1279">
                  <c:v>0.82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0.83</c:v>
                </c:pt>
                <c:pt idx="1284">
                  <c:v>0.38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1.8</c:v>
                </c:pt>
                <c:pt idx="1290">
                  <c:v>0</c:v>
                </c:pt>
                <c:pt idx="1291">
                  <c:v>0</c:v>
                </c:pt>
                <c:pt idx="1292">
                  <c:v>0.78</c:v>
                </c:pt>
                <c:pt idx="1293">
                  <c:v>0.87</c:v>
                </c:pt>
                <c:pt idx="1294">
                  <c:v>0.63</c:v>
                </c:pt>
                <c:pt idx="1295">
                  <c:v>0.85</c:v>
                </c:pt>
                <c:pt idx="1296">
                  <c:v>0.99</c:v>
                </c:pt>
                <c:pt idx="1297">
                  <c:v>0.87</c:v>
                </c:pt>
                <c:pt idx="1298">
                  <c:v>0.94</c:v>
                </c:pt>
                <c:pt idx="1299">
                  <c:v>1.21</c:v>
                </c:pt>
                <c:pt idx="1300">
                  <c:v>0.76</c:v>
                </c:pt>
                <c:pt idx="1301">
                  <c:v>1.35</c:v>
                </c:pt>
                <c:pt idx="1302">
                  <c:v>0.47</c:v>
                </c:pt>
                <c:pt idx="1303">
                  <c:v>1.44</c:v>
                </c:pt>
                <c:pt idx="1304">
                  <c:v>0.99</c:v>
                </c:pt>
                <c:pt idx="1305">
                  <c:v>1.5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1.36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0.9</c:v>
                </c:pt>
                <c:pt idx="1314">
                  <c:v>0</c:v>
                </c:pt>
                <c:pt idx="1315">
                  <c:v>0</c:v>
                </c:pt>
                <c:pt idx="1316">
                  <c:v>1.17</c:v>
                </c:pt>
                <c:pt idx="1317">
                  <c:v>0.84</c:v>
                </c:pt>
                <c:pt idx="1318">
                  <c:v>1.6</c:v>
                </c:pt>
                <c:pt idx="1319">
                  <c:v>0.84</c:v>
                </c:pt>
                <c:pt idx="1320">
                  <c:v>1.03</c:v>
                </c:pt>
                <c:pt idx="1321">
                  <c:v>0.89</c:v>
                </c:pt>
                <c:pt idx="1322">
                  <c:v>0.69</c:v>
                </c:pt>
                <c:pt idx="1323">
                  <c:v>1.42</c:v>
                </c:pt>
                <c:pt idx="1324">
                  <c:v>0</c:v>
                </c:pt>
                <c:pt idx="1325">
                  <c:v>0</c:v>
                </c:pt>
                <c:pt idx="1326">
                  <c:v>0.68</c:v>
                </c:pt>
                <c:pt idx="1327">
                  <c:v>0.68</c:v>
                </c:pt>
                <c:pt idx="1328">
                  <c:v>1.42</c:v>
                </c:pt>
                <c:pt idx="1329">
                  <c:v>1.04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1.77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1.3</c:v>
                </c:pt>
                <c:pt idx="1338">
                  <c:v>1.24</c:v>
                </c:pt>
                <c:pt idx="1339">
                  <c:v>1.28</c:v>
                </c:pt>
                <c:pt idx="1340">
                  <c:v>0</c:v>
                </c:pt>
                <c:pt idx="1341">
                  <c:v>0.92</c:v>
                </c:pt>
                <c:pt idx="1342">
                  <c:v>1</c:v>
                </c:pt>
                <c:pt idx="1343">
                  <c:v>0.32</c:v>
                </c:pt>
                <c:pt idx="1344">
                  <c:v>0.57999999999999996</c:v>
                </c:pt>
                <c:pt idx="1345">
                  <c:v>0.59</c:v>
                </c:pt>
                <c:pt idx="1346">
                  <c:v>0.32</c:v>
                </c:pt>
                <c:pt idx="1347">
                  <c:v>0.94</c:v>
                </c:pt>
                <c:pt idx="1348">
                  <c:v>1.03</c:v>
                </c:pt>
                <c:pt idx="1349">
                  <c:v>0.59</c:v>
                </c:pt>
                <c:pt idx="1350">
                  <c:v>0.32</c:v>
                </c:pt>
                <c:pt idx="1351">
                  <c:v>0.67</c:v>
                </c:pt>
                <c:pt idx="1352">
                  <c:v>0</c:v>
                </c:pt>
                <c:pt idx="1353">
                  <c:v>0</c:v>
                </c:pt>
                <c:pt idx="1354">
                  <c:v>0.31</c:v>
                </c:pt>
                <c:pt idx="1355">
                  <c:v>0.47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1.77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1.31</c:v>
                </c:pt>
                <c:pt idx="1364">
                  <c:v>0</c:v>
                </c:pt>
                <c:pt idx="1365">
                  <c:v>0</c:v>
                </c:pt>
                <c:pt idx="1366">
                  <c:v>0.98</c:v>
                </c:pt>
                <c:pt idx="1367">
                  <c:v>1.17</c:v>
                </c:pt>
                <c:pt idx="1368">
                  <c:v>0.82</c:v>
                </c:pt>
                <c:pt idx="1369">
                  <c:v>1.1399999999999999</c:v>
                </c:pt>
                <c:pt idx="1370">
                  <c:v>0.91</c:v>
                </c:pt>
                <c:pt idx="1371">
                  <c:v>1.2</c:v>
                </c:pt>
                <c:pt idx="1372">
                  <c:v>1.55</c:v>
                </c:pt>
                <c:pt idx="1373">
                  <c:v>0.6</c:v>
                </c:pt>
                <c:pt idx="1374">
                  <c:v>0.43</c:v>
                </c:pt>
                <c:pt idx="1375">
                  <c:v>0.72</c:v>
                </c:pt>
                <c:pt idx="1376">
                  <c:v>0.41</c:v>
                </c:pt>
                <c:pt idx="1377">
                  <c:v>0.3</c:v>
                </c:pt>
                <c:pt idx="1378">
                  <c:v>0.41</c:v>
                </c:pt>
                <c:pt idx="1379">
                  <c:v>0</c:v>
                </c:pt>
                <c:pt idx="1380">
                  <c:v>0</c:v>
                </c:pt>
                <c:pt idx="1381">
                  <c:v>1.47</c:v>
                </c:pt>
                <c:pt idx="1382">
                  <c:v>1.89</c:v>
                </c:pt>
                <c:pt idx="1383">
                  <c:v>1.05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0.99</c:v>
                </c:pt>
                <c:pt idx="1388">
                  <c:v>0</c:v>
                </c:pt>
                <c:pt idx="1389">
                  <c:v>0.84</c:v>
                </c:pt>
                <c:pt idx="1390">
                  <c:v>0.88</c:v>
                </c:pt>
                <c:pt idx="1391">
                  <c:v>1.3</c:v>
                </c:pt>
                <c:pt idx="1392">
                  <c:v>0.83</c:v>
                </c:pt>
                <c:pt idx="1393">
                  <c:v>1.25</c:v>
                </c:pt>
                <c:pt idx="1394">
                  <c:v>0.93</c:v>
                </c:pt>
                <c:pt idx="1395">
                  <c:v>1.1499999999999999</c:v>
                </c:pt>
                <c:pt idx="1396">
                  <c:v>1.37</c:v>
                </c:pt>
                <c:pt idx="1397">
                  <c:v>1.04</c:v>
                </c:pt>
                <c:pt idx="1398">
                  <c:v>0.65</c:v>
                </c:pt>
                <c:pt idx="1399">
                  <c:v>0.65</c:v>
                </c:pt>
                <c:pt idx="1400">
                  <c:v>0</c:v>
                </c:pt>
                <c:pt idx="1401">
                  <c:v>0</c:v>
                </c:pt>
                <c:pt idx="1402">
                  <c:v>0.67</c:v>
                </c:pt>
                <c:pt idx="1403">
                  <c:v>0.75</c:v>
                </c:pt>
                <c:pt idx="1404">
                  <c:v>0.9</c:v>
                </c:pt>
                <c:pt idx="1405">
                  <c:v>0.68</c:v>
                </c:pt>
                <c:pt idx="1406">
                  <c:v>1.58</c:v>
                </c:pt>
                <c:pt idx="1407">
                  <c:v>0.95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1.33</c:v>
                </c:pt>
                <c:pt idx="1412">
                  <c:v>1.1499999999999999</c:v>
                </c:pt>
                <c:pt idx="1413">
                  <c:v>1.02</c:v>
                </c:pt>
                <c:pt idx="1414">
                  <c:v>0.63</c:v>
                </c:pt>
                <c:pt idx="1415">
                  <c:v>1.07</c:v>
                </c:pt>
                <c:pt idx="1416">
                  <c:v>1.07</c:v>
                </c:pt>
                <c:pt idx="1417">
                  <c:v>0.86</c:v>
                </c:pt>
                <c:pt idx="1418">
                  <c:v>0.96</c:v>
                </c:pt>
                <c:pt idx="1419">
                  <c:v>1.05</c:v>
                </c:pt>
                <c:pt idx="1420">
                  <c:v>1.22</c:v>
                </c:pt>
                <c:pt idx="1421">
                  <c:v>0.8</c:v>
                </c:pt>
                <c:pt idx="1422">
                  <c:v>0.28999999999999998</c:v>
                </c:pt>
                <c:pt idx="1423">
                  <c:v>0.66</c:v>
                </c:pt>
                <c:pt idx="1424">
                  <c:v>0.34</c:v>
                </c:pt>
                <c:pt idx="1425">
                  <c:v>0.86</c:v>
                </c:pt>
                <c:pt idx="1426">
                  <c:v>0.6</c:v>
                </c:pt>
                <c:pt idx="1427">
                  <c:v>0.57999999999999996</c:v>
                </c:pt>
                <c:pt idx="1428">
                  <c:v>0.53</c:v>
                </c:pt>
                <c:pt idx="1429">
                  <c:v>1.0900000000000001</c:v>
                </c:pt>
                <c:pt idx="1430">
                  <c:v>0.88</c:v>
                </c:pt>
                <c:pt idx="1431">
                  <c:v>1.02</c:v>
                </c:pt>
                <c:pt idx="1432">
                  <c:v>0.77</c:v>
                </c:pt>
                <c:pt idx="1433">
                  <c:v>0.85</c:v>
                </c:pt>
                <c:pt idx="1434">
                  <c:v>0.82</c:v>
                </c:pt>
                <c:pt idx="1435">
                  <c:v>0</c:v>
                </c:pt>
                <c:pt idx="1436">
                  <c:v>3.83</c:v>
                </c:pt>
                <c:pt idx="1437">
                  <c:v>1.6</c:v>
                </c:pt>
                <c:pt idx="1438">
                  <c:v>1.39</c:v>
                </c:pt>
                <c:pt idx="1439">
                  <c:v>2.2200000000000002</c:v>
                </c:pt>
                <c:pt idx="1440">
                  <c:v>1</c:v>
                </c:pt>
                <c:pt idx="1441">
                  <c:v>1.18</c:v>
                </c:pt>
                <c:pt idx="1442">
                  <c:v>0.65</c:v>
                </c:pt>
                <c:pt idx="1443">
                  <c:v>0.76</c:v>
                </c:pt>
                <c:pt idx="1444">
                  <c:v>0.6</c:v>
                </c:pt>
                <c:pt idx="1445">
                  <c:v>1.0900000000000001</c:v>
                </c:pt>
                <c:pt idx="1446">
                  <c:v>0.98</c:v>
                </c:pt>
                <c:pt idx="1447">
                  <c:v>0.97</c:v>
                </c:pt>
                <c:pt idx="1448">
                  <c:v>1.08</c:v>
                </c:pt>
                <c:pt idx="1449">
                  <c:v>0</c:v>
                </c:pt>
                <c:pt idx="1450">
                  <c:v>0</c:v>
                </c:pt>
                <c:pt idx="1451">
                  <c:v>0.74</c:v>
                </c:pt>
                <c:pt idx="1452">
                  <c:v>0.81</c:v>
                </c:pt>
                <c:pt idx="1453">
                  <c:v>0.73</c:v>
                </c:pt>
                <c:pt idx="1454">
                  <c:v>1.22</c:v>
                </c:pt>
                <c:pt idx="1455">
                  <c:v>1.1000000000000001</c:v>
                </c:pt>
                <c:pt idx="1456">
                  <c:v>0</c:v>
                </c:pt>
                <c:pt idx="1457">
                  <c:v>0.82</c:v>
                </c:pt>
                <c:pt idx="1458">
                  <c:v>1.39</c:v>
                </c:pt>
                <c:pt idx="1459">
                  <c:v>1.25</c:v>
                </c:pt>
                <c:pt idx="1460">
                  <c:v>0.89</c:v>
                </c:pt>
                <c:pt idx="1461">
                  <c:v>1.81</c:v>
                </c:pt>
                <c:pt idx="1462">
                  <c:v>0.45</c:v>
                </c:pt>
                <c:pt idx="1463">
                  <c:v>0.54</c:v>
                </c:pt>
                <c:pt idx="1464">
                  <c:v>0.48</c:v>
                </c:pt>
                <c:pt idx="1465">
                  <c:v>0.8</c:v>
                </c:pt>
                <c:pt idx="1466">
                  <c:v>0.36</c:v>
                </c:pt>
                <c:pt idx="1467">
                  <c:v>0.4</c:v>
                </c:pt>
                <c:pt idx="1468">
                  <c:v>0.53</c:v>
                </c:pt>
                <c:pt idx="1469">
                  <c:v>0.4</c:v>
                </c:pt>
                <c:pt idx="1470">
                  <c:v>1.37</c:v>
                </c:pt>
                <c:pt idx="1471">
                  <c:v>0.39</c:v>
                </c:pt>
                <c:pt idx="1472">
                  <c:v>0.61</c:v>
                </c:pt>
                <c:pt idx="1473">
                  <c:v>1.41</c:v>
                </c:pt>
                <c:pt idx="1474">
                  <c:v>0.76</c:v>
                </c:pt>
                <c:pt idx="1475">
                  <c:v>1.1200000000000001</c:v>
                </c:pt>
                <c:pt idx="1476">
                  <c:v>1.36</c:v>
                </c:pt>
                <c:pt idx="1477">
                  <c:v>0.88</c:v>
                </c:pt>
                <c:pt idx="1478">
                  <c:v>1.08</c:v>
                </c:pt>
                <c:pt idx="1479">
                  <c:v>1.18</c:v>
                </c:pt>
                <c:pt idx="1480">
                  <c:v>1.02</c:v>
                </c:pt>
                <c:pt idx="1481">
                  <c:v>0.74</c:v>
                </c:pt>
                <c:pt idx="1482">
                  <c:v>2.1</c:v>
                </c:pt>
                <c:pt idx="1483">
                  <c:v>3.47</c:v>
                </c:pt>
                <c:pt idx="1484">
                  <c:v>2.64</c:v>
                </c:pt>
                <c:pt idx="1485">
                  <c:v>1.32</c:v>
                </c:pt>
                <c:pt idx="1486">
                  <c:v>1.53</c:v>
                </c:pt>
                <c:pt idx="1487">
                  <c:v>0.88</c:v>
                </c:pt>
                <c:pt idx="1488">
                  <c:v>0.48</c:v>
                </c:pt>
                <c:pt idx="1489">
                  <c:v>0.6</c:v>
                </c:pt>
                <c:pt idx="1490">
                  <c:v>0.4</c:v>
                </c:pt>
                <c:pt idx="1491">
                  <c:v>0.46</c:v>
                </c:pt>
                <c:pt idx="1492">
                  <c:v>0.73</c:v>
                </c:pt>
                <c:pt idx="1493">
                  <c:v>0.93</c:v>
                </c:pt>
                <c:pt idx="1494">
                  <c:v>0.3</c:v>
                </c:pt>
                <c:pt idx="1495">
                  <c:v>0.42</c:v>
                </c:pt>
                <c:pt idx="1496">
                  <c:v>0.3</c:v>
                </c:pt>
                <c:pt idx="1497">
                  <c:v>0.4</c:v>
                </c:pt>
                <c:pt idx="1498">
                  <c:v>0.54</c:v>
                </c:pt>
                <c:pt idx="1499">
                  <c:v>0.6</c:v>
                </c:pt>
                <c:pt idx="1500">
                  <c:v>0.47</c:v>
                </c:pt>
                <c:pt idx="1501">
                  <c:v>0.84</c:v>
                </c:pt>
                <c:pt idx="1502">
                  <c:v>0.4</c:v>
                </c:pt>
                <c:pt idx="1503">
                  <c:v>0.59</c:v>
                </c:pt>
                <c:pt idx="1504">
                  <c:v>1.23</c:v>
                </c:pt>
                <c:pt idx="1505">
                  <c:v>1.02</c:v>
                </c:pt>
                <c:pt idx="1506">
                  <c:v>0.95</c:v>
                </c:pt>
                <c:pt idx="1507">
                  <c:v>1.49</c:v>
                </c:pt>
                <c:pt idx="1508">
                  <c:v>1.19</c:v>
                </c:pt>
                <c:pt idx="1509">
                  <c:v>1.73</c:v>
                </c:pt>
                <c:pt idx="1510">
                  <c:v>1.05</c:v>
                </c:pt>
                <c:pt idx="1511">
                  <c:v>0.79</c:v>
                </c:pt>
                <c:pt idx="1512">
                  <c:v>0.54</c:v>
                </c:pt>
                <c:pt idx="1513">
                  <c:v>0.38</c:v>
                </c:pt>
                <c:pt idx="1514">
                  <c:v>0.8</c:v>
                </c:pt>
                <c:pt idx="1515">
                  <c:v>0.57999999999999996</c:v>
                </c:pt>
                <c:pt idx="1516">
                  <c:v>0.65</c:v>
                </c:pt>
                <c:pt idx="1517">
                  <c:v>0.85</c:v>
                </c:pt>
                <c:pt idx="1518">
                  <c:v>0.59</c:v>
                </c:pt>
                <c:pt idx="1519">
                  <c:v>0.32</c:v>
                </c:pt>
                <c:pt idx="1520">
                  <c:v>0.56999999999999995</c:v>
                </c:pt>
                <c:pt idx="1521">
                  <c:v>0.33</c:v>
                </c:pt>
                <c:pt idx="1522">
                  <c:v>0.64</c:v>
                </c:pt>
                <c:pt idx="1523">
                  <c:v>0.52</c:v>
                </c:pt>
                <c:pt idx="1524">
                  <c:v>0.52</c:v>
                </c:pt>
                <c:pt idx="1525">
                  <c:v>0.57999999999999996</c:v>
                </c:pt>
                <c:pt idx="1526">
                  <c:v>1.48</c:v>
                </c:pt>
                <c:pt idx="1527">
                  <c:v>1.33</c:v>
                </c:pt>
                <c:pt idx="1528">
                  <c:v>1.21</c:v>
                </c:pt>
                <c:pt idx="1529">
                  <c:v>1.79</c:v>
                </c:pt>
                <c:pt idx="1530">
                  <c:v>1</c:v>
                </c:pt>
                <c:pt idx="1531">
                  <c:v>1.28</c:v>
                </c:pt>
                <c:pt idx="1532">
                  <c:v>1.02</c:v>
                </c:pt>
                <c:pt idx="1533">
                  <c:v>1.73</c:v>
                </c:pt>
                <c:pt idx="1534">
                  <c:v>0.9</c:v>
                </c:pt>
                <c:pt idx="1535">
                  <c:v>0.49</c:v>
                </c:pt>
                <c:pt idx="1536">
                  <c:v>0.69</c:v>
                </c:pt>
                <c:pt idx="1537">
                  <c:v>0.52</c:v>
                </c:pt>
                <c:pt idx="1538">
                  <c:v>0.54</c:v>
                </c:pt>
                <c:pt idx="1539">
                  <c:v>0.6</c:v>
                </c:pt>
                <c:pt idx="1540">
                  <c:v>0.89</c:v>
                </c:pt>
                <c:pt idx="1541">
                  <c:v>0</c:v>
                </c:pt>
                <c:pt idx="1542">
                  <c:v>0.2</c:v>
                </c:pt>
                <c:pt idx="1543">
                  <c:v>0.37</c:v>
                </c:pt>
                <c:pt idx="1544">
                  <c:v>0.78</c:v>
                </c:pt>
                <c:pt idx="1545">
                  <c:v>0.73</c:v>
                </c:pt>
                <c:pt idx="1546">
                  <c:v>0.89</c:v>
                </c:pt>
                <c:pt idx="1547">
                  <c:v>0.56000000000000005</c:v>
                </c:pt>
                <c:pt idx="1548">
                  <c:v>0.67</c:v>
                </c:pt>
                <c:pt idx="1549">
                  <c:v>1.23</c:v>
                </c:pt>
                <c:pt idx="1550">
                  <c:v>1.41</c:v>
                </c:pt>
                <c:pt idx="1551">
                  <c:v>0.73</c:v>
                </c:pt>
                <c:pt idx="1552">
                  <c:v>0.81</c:v>
                </c:pt>
                <c:pt idx="1553">
                  <c:v>1.01</c:v>
                </c:pt>
                <c:pt idx="1554">
                  <c:v>1.21</c:v>
                </c:pt>
                <c:pt idx="1555">
                  <c:v>1</c:v>
                </c:pt>
                <c:pt idx="1556">
                  <c:v>1.02</c:v>
                </c:pt>
                <c:pt idx="1557">
                  <c:v>2.39</c:v>
                </c:pt>
                <c:pt idx="1558">
                  <c:v>1.44</c:v>
                </c:pt>
                <c:pt idx="1559">
                  <c:v>0.84</c:v>
                </c:pt>
                <c:pt idx="1560">
                  <c:v>0.63</c:v>
                </c:pt>
                <c:pt idx="1561">
                  <c:v>0.48</c:v>
                </c:pt>
                <c:pt idx="1562">
                  <c:v>0.79</c:v>
                </c:pt>
                <c:pt idx="1563">
                  <c:v>0.5</c:v>
                </c:pt>
                <c:pt idx="1564">
                  <c:v>0.84</c:v>
                </c:pt>
                <c:pt idx="1565">
                  <c:v>1.22</c:v>
                </c:pt>
                <c:pt idx="1566">
                  <c:v>0.87</c:v>
                </c:pt>
                <c:pt idx="1567">
                  <c:v>0</c:v>
                </c:pt>
                <c:pt idx="1568">
                  <c:v>0</c:v>
                </c:pt>
                <c:pt idx="1569">
                  <c:v>0.49</c:v>
                </c:pt>
                <c:pt idx="1570">
                  <c:v>0.43</c:v>
                </c:pt>
                <c:pt idx="1571">
                  <c:v>0.42</c:v>
                </c:pt>
                <c:pt idx="1572">
                  <c:v>0.72</c:v>
                </c:pt>
                <c:pt idx="1573">
                  <c:v>0.75</c:v>
                </c:pt>
                <c:pt idx="1574">
                  <c:v>0.98</c:v>
                </c:pt>
                <c:pt idx="1575">
                  <c:v>0.5</c:v>
                </c:pt>
                <c:pt idx="1576">
                  <c:v>1.28</c:v>
                </c:pt>
                <c:pt idx="1577">
                  <c:v>0.91</c:v>
                </c:pt>
                <c:pt idx="1578">
                  <c:v>0</c:v>
                </c:pt>
                <c:pt idx="1579">
                  <c:v>0</c:v>
                </c:pt>
                <c:pt idx="1580">
                  <c:v>2.34</c:v>
                </c:pt>
                <c:pt idx="1581">
                  <c:v>1.76</c:v>
                </c:pt>
                <c:pt idx="1582">
                  <c:v>0.49</c:v>
                </c:pt>
                <c:pt idx="1583">
                  <c:v>0.56999999999999995</c:v>
                </c:pt>
                <c:pt idx="1584">
                  <c:v>0.74</c:v>
                </c:pt>
                <c:pt idx="1585">
                  <c:v>0.44</c:v>
                </c:pt>
                <c:pt idx="1586">
                  <c:v>0.47</c:v>
                </c:pt>
                <c:pt idx="1587">
                  <c:v>0.68</c:v>
                </c:pt>
                <c:pt idx="1588">
                  <c:v>0.8</c:v>
                </c:pt>
                <c:pt idx="1589">
                  <c:v>1.07</c:v>
                </c:pt>
                <c:pt idx="1590">
                  <c:v>0.71</c:v>
                </c:pt>
                <c:pt idx="1591">
                  <c:v>0.36</c:v>
                </c:pt>
                <c:pt idx="1592">
                  <c:v>0.68</c:v>
                </c:pt>
                <c:pt idx="1593">
                  <c:v>0.57999999999999996</c:v>
                </c:pt>
                <c:pt idx="1594">
                  <c:v>0.9</c:v>
                </c:pt>
                <c:pt idx="1595">
                  <c:v>0.73</c:v>
                </c:pt>
                <c:pt idx="1596">
                  <c:v>0.98</c:v>
                </c:pt>
                <c:pt idx="1597">
                  <c:v>0.88</c:v>
                </c:pt>
                <c:pt idx="1598">
                  <c:v>1.31</c:v>
                </c:pt>
                <c:pt idx="1599">
                  <c:v>0.87</c:v>
                </c:pt>
                <c:pt idx="1600">
                  <c:v>0.69</c:v>
                </c:pt>
                <c:pt idx="1601">
                  <c:v>0.88</c:v>
                </c:pt>
                <c:pt idx="1602">
                  <c:v>1.1299999999999999</c:v>
                </c:pt>
                <c:pt idx="1603">
                  <c:v>0.91</c:v>
                </c:pt>
                <c:pt idx="1604">
                  <c:v>1.01</c:v>
                </c:pt>
                <c:pt idx="1605">
                  <c:v>1.56</c:v>
                </c:pt>
                <c:pt idx="1606">
                  <c:v>0.76</c:v>
                </c:pt>
                <c:pt idx="1607">
                  <c:v>0.56000000000000005</c:v>
                </c:pt>
                <c:pt idx="1608">
                  <c:v>0.41</c:v>
                </c:pt>
                <c:pt idx="1609">
                  <c:v>0.72</c:v>
                </c:pt>
                <c:pt idx="1610">
                  <c:v>0.41</c:v>
                </c:pt>
                <c:pt idx="1611">
                  <c:v>0.51</c:v>
                </c:pt>
                <c:pt idx="1612">
                  <c:v>0.88</c:v>
                </c:pt>
                <c:pt idx="1613">
                  <c:v>0.49</c:v>
                </c:pt>
                <c:pt idx="1614">
                  <c:v>1.1599999999999999</c:v>
                </c:pt>
                <c:pt idx="1615">
                  <c:v>0.64</c:v>
                </c:pt>
                <c:pt idx="1616">
                  <c:v>1.1499999999999999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1.3</c:v>
                </c:pt>
                <c:pt idx="1621">
                  <c:v>1.18</c:v>
                </c:pt>
                <c:pt idx="1622">
                  <c:v>1.26</c:v>
                </c:pt>
                <c:pt idx="1623">
                  <c:v>1.63</c:v>
                </c:pt>
                <c:pt idx="1624">
                  <c:v>2.27</c:v>
                </c:pt>
                <c:pt idx="1625">
                  <c:v>1.17</c:v>
                </c:pt>
                <c:pt idx="1626">
                  <c:v>1.56</c:v>
                </c:pt>
                <c:pt idx="1627">
                  <c:v>1.54</c:v>
                </c:pt>
                <c:pt idx="1628">
                  <c:v>1.1399999999999999</c:v>
                </c:pt>
                <c:pt idx="1629">
                  <c:v>1.18</c:v>
                </c:pt>
                <c:pt idx="1630">
                  <c:v>0.72</c:v>
                </c:pt>
                <c:pt idx="1631">
                  <c:v>0.41</c:v>
                </c:pt>
                <c:pt idx="1632">
                  <c:v>0.54</c:v>
                </c:pt>
                <c:pt idx="1633">
                  <c:v>0.69</c:v>
                </c:pt>
                <c:pt idx="1634">
                  <c:v>0.49</c:v>
                </c:pt>
                <c:pt idx="1635">
                  <c:v>0.53</c:v>
                </c:pt>
                <c:pt idx="1636">
                  <c:v>0.96</c:v>
                </c:pt>
                <c:pt idx="1637">
                  <c:v>0.51</c:v>
                </c:pt>
                <c:pt idx="1638">
                  <c:v>1.19</c:v>
                </c:pt>
                <c:pt idx="1639">
                  <c:v>0.79</c:v>
                </c:pt>
                <c:pt idx="1640">
                  <c:v>0.96</c:v>
                </c:pt>
                <c:pt idx="1641">
                  <c:v>0.71</c:v>
                </c:pt>
                <c:pt idx="1642">
                  <c:v>0.84</c:v>
                </c:pt>
                <c:pt idx="1643">
                  <c:v>0.59</c:v>
                </c:pt>
                <c:pt idx="1644">
                  <c:v>0.79</c:v>
                </c:pt>
                <c:pt idx="1645">
                  <c:v>0.77</c:v>
                </c:pt>
                <c:pt idx="1646">
                  <c:v>0.97</c:v>
                </c:pt>
                <c:pt idx="1647">
                  <c:v>0.81</c:v>
                </c:pt>
                <c:pt idx="1648">
                  <c:v>0</c:v>
                </c:pt>
                <c:pt idx="1649">
                  <c:v>0</c:v>
                </c:pt>
                <c:pt idx="1650">
                  <c:v>1.39</c:v>
                </c:pt>
                <c:pt idx="1651">
                  <c:v>0.96</c:v>
                </c:pt>
                <c:pt idx="1652">
                  <c:v>1.1200000000000001</c:v>
                </c:pt>
                <c:pt idx="1653">
                  <c:v>2.2599999999999998</c:v>
                </c:pt>
                <c:pt idx="1654">
                  <c:v>1.45</c:v>
                </c:pt>
                <c:pt idx="1655">
                  <c:v>0.48</c:v>
                </c:pt>
                <c:pt idx="1656">
                  <c:v>0.72</c:v>
                </c:pt>
                <c:pt idx="1657">
                  <c:v>0.41</c:v>
                </c:pt>
                <c:pt idx="1658">
                  <c:v>0.76</c:v>
                </c:pt>
                <c:pt idx="1659">
                  <c:v>0.39</c:v>
                </c:pt>
                <c:pt idx="1660">
                  <c:v>0.86</c:v>
                </c:pt>
                <c:pt idx="1661">
                  <c:v>1.22</c:v>
                </c:pt>
                <c:pt idx="1662">
                  <c:v>0.59</c:v>
                </c:pt>
                <c:pt idx="1663">
                  <c:v>0.48</c:v>
                </c:pt>
                <c:pt idx="1664">
                  <c:v>0.39</c:v>
                </c:pt>
                <c:pt idx="1665">
                  <c:v>0.46</c:v>
                </c:pt>
                <c:pt idx="1666">
                  <c:v>0.57999999999999996</c:v>
                </c:pt>
                <c:pt idx="1667">
                  <c:v>0.33</c:v>
                </c:pt>
                <c:pt idx="1668">
                  <c:v>0.88</c:v>
                </c:pt>
                <c:pt idx="1669">
                  <c:v>0.83</c:v>
                </c:pt>
                <c:pt idx="1670">
                  <c:v>0.99</c:v>
                </c:pt>
                <c:pt idx="1671">
                  <c:v>1.1599999999999999</c:v>
                </c:pt>
                <c:pt idx="1672">
                  <c:v>0.97</c:v>
                </c:pt>
                <c:pt idx="1673">
                  <c:v>0</c:v>
                </c:pt>
                <c:pt idx="1674">
                  <c:v>0</c:v>
                </c:pt>
                <c:pt idx="1675">
                  <c:v>1.25</c:v>
                </c:pt>
                <c:pt idx="1676">
                  <c:v>1.44</c:v>
                </c:pt>
                <c:pt idx="1677">
                  <c:v>1.02</c:v>
                </c:pt>
                <c:pt idx="1678">
                  <c:v>0.96</c:v>
                </c:pt>
                <c:pt idx="1679">
                  <c:v>0.75</c:v>
                </c:pt>
                <c:pt idx="1680">
                  <c:v>0.4</c:v>
                </c:pt>
                <c:pt idx="1681">
                  <c:v>0.48</c:v>
                </c:pt>
                <c:pt idx="1682">
                  <c:v>0.6</c:v>
                </c:pt>
                <c:pt idx="1683">
                  <c:v>0.48</c:v>
                </c:pt>
                <c:pt idx="1684">
                  <c:v>0.68</c:v>
                </c:pt>
                <c:pt idx="1685">
                  <c:v>1.46</c:v>
                </c:pt>
                <c:pt idx="1686">
                  <c:v>0.16</c:v>
                </c:pt>
                <c:pt idx="1687">
                  <c:v>0.38</c:v>
                </c:pt>
                <c:pt idx="1688">
                  <c:v>0.16</c:v>
                </c:pt>
                <c:pt idx="1689">
                  <c:v>0.62</c:v>
                </c:pt>
                <c:pt idx="1690">
                  <c:v>0.36</c:v>
                </c:pt>
                <c:pt idx="1691">
                  <c:v>0</c:v>
                </c:pt>
                <c:pt idx="1692">
                  <c:v>0</c:v>
                </c:pt>
                <c:pt idx="1693">
                  <c:v>0.6</c:v>
                </c:pt>
                <c:pt idx="1694">
                  <c:v>0.66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1.19</c:v>
                </c:pt>
                <c:pt idx="1699">
                  <c:v>0</c:v>
                </c:pt>
                <c:pt idx="1700">
                  <c:v>0</c:v>
                </c:pt>
                <c:pt idx="1701">
                  <c:v>0.81</c:v>
                </c:pt>
                <c:pt idx="1702">
                  <c:v>0.73</c:v>
                </c:pt>
                <c:pt idx="1703">
                  <c:v>0.5</c:v>
                </c:pt>
                <c:pt idx="1704">
                  <c:v>0.55000000000000004</c:v>
                </c:pt>
                <c:pt idx="1705">
                  <c:v>0.71</c:v>
                </c:pt>
                <c:pt idx="1706">
                  <c:v>0.52</c:v>
                </c:pt>
                <c:pt idx="1707">
                  <c:v>0.47</c:v>
                </c:pt>
                <c:pt idx="1708">
                  <c:v>1.1200000000000001</c:v>
                </c:pt>
                <c:pt idx="1709">
                  <c:v>2.56</c:v>
                </c:pt>
                <c:pt idx="1710">
                  <c:v>1.01</c:v>
                </c:pt>
                <c:pt idx="1711">
                  <c:v>0.52</c:v>
                </c:pt>
                <c:pt idx="1712">
                  <c:v>0.35</c:v>
                </c:pt>
                <c:pt idx="1713">
                  <c:v>0.51</c:v>
                </c:pt>
                <c:pt idx="1714">
                  <c:v>0.9</c:v>
                </c:pt>
                <c:pt idx="1715">
                  <c:v>0.69</c:v>
                </c:pt>
                <c:pt idx="1716">
                  <c:v>0.57999999999999996</c:v>
                </c:pt>
                <c:pt idx="1717">
                  <c:v>0</c:v>
                </c:pt>
                <c:pt idx="1718">
                  <c:v>0</c:v>
                </c:pt>
                <c:pt idx="1719">
                  <c:v>0.77</c:v>
                </c:pt>
                <c:pt idx="1720">
                  <c:v>1.75</c:v>
                </c:pt>
                <c:pt idx="1721">
                  <c:v>1.76</c:v>
                </c:pt>
                <c:pt idx="1722">
                  <c:v>4.09</c:v>
                </c:pt>
                <c:pt idx="1723">
                  <c:v>1.57</c:v>
                </c:pt>
                <c:pt idx="1724">
                  <c:v>1.46</c:v>
                </c:pt>
                <c:pt idx="1725">
                  <c:v>1.06</c:v>
                </c:pt>
                <c:pt idx="1726">
                  <c:v>0.82</c:v>
                </c:pt>
                <c:pt idx="1727">
                  <c:v>0.45</c:v>
                </c:pt>
                <c:pt idx="1728">
                  <c:v>0.65</c:v>
                </c:pt>
                <c:pt idx="1729">
                  <c:v>0.66</c:v>
                </c:pt>
                <c:pt idx="1730">
                  <c:v>0.56000000000000005</c:v>
                </c:pt>
                <c:pt idx="1731">
                  <c:v>0.52</c:v>
                </c:pt>
                <c:pt idx="1732">
                  <c:v>1.28</c:v>
                </c:pt>
                <c:pt idx="1733">
                  <c:v>1.07</c:v>
                </c:pt>
                <c:pt idx="1734">
                  <c:v>0.75</c:v>
                </c:pt>
                <c:pt idx="1735">
                  <c:v>0.83</c:v>
                </c:pt>
                <c:pt idx="1736">
                  <c:v>0.67</c:v>
                </c:pt>
                <c:pt idx="1737">
                  <c:v>0.56999999999999995</c:v>
                </c:pt>
                <c:pt idx="1738">
                  <c:v>0.68</c:v>
                </c:pt>
                <c:pt idx="1739">
                  <c:v>1.05</c:v>
                </c:pt>
                <c:pt idx="1740">
                  <c:v>0.75</c:v>
                </c:pt>
                <c:pt idx="1741">
                  <c:v>0.66</c:v>
                </c:pt>
                <c:pt idx="1742">
                  <c:v>1.02</c:v>
                </c:pt>
                <c:pt idx="1743">
                  <c:v>0.83</c:v>
                </c:pt>
                <c:pt idx="1744">
                  <c:v>0</c:v>
                </c:pt>
                <c:pt idx="1745">
                  <c:v>0</c:v>
                </c:pt>
                <c:pt idx="1746">
                  <c:v>1.62</c:v>
                </c:pt>
                <c:pt idx="1747">
                  <c:v>2.16</c:v>
                </c:pt>
                <c:pt idx="1748">
                  <c:v>2.08</c:v>
                </c:pt>
                <c:pt idx="1749">
                  <c:v>1.93</c:v>
                </c:pt>
                <c:pt idx="1750">
                  <c:v>0.74</c:v>
                </c:pt>
                <c:pt idx="1751">
                  <c:v>0.7</c:v>
                </c:pt>
                <c:pt idx="1752">
                  <c:v>0.8</c:v>
                </c:pt>
                <c:pt idx="1753">
                  <c:v>0.46</c:v>
                </c:pt>
                <c:pt idx="1754">
                  <c:v>0.59</c:v>
                </c:pt>
                <c:pt idx="1755">
                  <c:v>0.72</c:v>
                </c:pt>
                <c:pt idx="1756">
                  <c:v>1.02</c:v>
                </c:pt>
                <c:pt idx="1757">
                  <c:v>1.06</c:v>
                </c:pt>
                <c:pt idx="1758">
                  <c:v>0.73</c:v>
                </c:pt>
                <c:pt idx="1759">
                  <c:v>0.49</c:v>
                </c:pt>
                <c:pt idx="1760">
                  <c:v>0.92</c:v>
                </c:pt>
                <c:pt idx="1761">
                  <c:v>0.56999999999999995</c:v>
                </c:pt>
                <c:pt idx="1762">
                  <c:v>0.84</c:v>
                </c:pt>
                <c:pt idx="1763">
                  <c:v>0.64</c:v>
                </c:pt>
                <c:pt idx="1764">
                  <c:v>0.7</c:v>
                </c:pt>
                <c:pt idx="1765">
                  <c:v>0.84</c:v>
                </c:pt>
                <c:pt idx="1766">
                  <c:v>0.93</c:v>
                </c:pt>
                <c:pt idx="1767">
                  <c:v>0.86</c:v>
                </c:pt>
                <c:pt idx="1768">
                  <c:v>2.08</c:v>
                </c:pt>
                <c:pt idx="1769">
                  <c:v>0.81</c:v>
                </c:pt>
                <c:pt idx="1770">
                  <c:v>0.9</c:v>
                </c:pt>
                <c:pt idx="1771">
                  <c:v>0.8</c:v>
                </c:pt>
                <c:pt idx="1772">
                  <c:v>1.1100000000000001</c:v>
                </c:pt>
                <c:pt idx="1773">
                  <c:v>1.22</c:v>
                </c:pt>
                <c:pt idx="1774">
                  <c:v>0.81</c:v>
                </c:pt>
                <c:pt idx="1775">
                  <c:v>0.81</c:v>
                </c:pt>
                <c:pt idx="1776">
                  <c:v>0.63</c:v>
                </c:pt>
                <c:pt idx="1777">
                  <c:v>0.6</c:v>
                </c:pt>
                <c:pt idx="1778">
                  <c:v>0.62</c:v>
                </c:pt>
                <c:pt idx="1779">
                  <c:v>0.81</c:v>
                </c:pt>
                <c:pt idx="1780">
                  <c:v>0.47</c:v>
                </c:pt>
                <c:pt idx="1781">
                  <c:v>0.59</c:v>
                </c:pt>
                <c:pt idx="1782">
                  <c:v>1.34</c:v>
                </c:pt>
                <c:pt idx="1783">
                  <c:v>0.67</c:v>
                </c:pt>
                <c:pt idx="1784">
                  <c:v>0.54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1.21</c:v>
                </c:pt>
                <c:pt idx="1789">
                  <c:v>1.49</c:v>
                </c:pt>
                <c:pt idx="1790">
                  <c:v>1.24</c:v>
                </c:pt>
                <c:pt idx="1791">
                  <c:v>0.8</c:v>
                </c:pt>
                <c:pt idx="1792">
                  <c:v>1.34</c:v>
                </c:pt>
                <c:pt idx="1793">
                  <c:v>0.99</c:v>
                </c:pt>
                <c:pt idx="1794">
                  <c:v>1.58</c:v>
                </c:pt>
                <c:pt idx="1795">
                  <c:v>1.38</c:v>
                </c:pt>
                <c:pt idx="1796">
                  <c:v>1.71</c:v>
                </c:pt>
                <c:pt idx="1797">
                  <c:v>0.86</c:v>
                </c:pt>
                <c:pt idx="1798">
                  <c:v>0.56999999999999995</c:v>
                </c:pt>
                <c:pt idx="1799">
                  <c:v>0.8</c:v>
                </c:pt>
                <c:pt idx="1800">
                  <c:v>0.47</c:v>
                </c:pt>
                <c:pt idx="1801">
                  <c:v>0.55000000000000004</c:v>
                </c:pt>
                <c:pt idx="1802">
                  <c:v>0.64</c:v>
                </c:pt>
                <c:pt idx="1803">
                  <c:v>0.89</c:v>
                </c:pt>
                <c:pt idx="1804">
                  <c:v>1.08</c:v>
                </c:pt>
                <c:pt idx="1805">
                  <c:v>0.57999999999999996</c:v>
                </c:pt>
                <c:pt idx="1806">
                  <c:v>1.23</c:v>
                </c:pt>
                <c:pt idx="1807">
                  <c:v>0.83</c:v>
                </c:pt>
                <c:pt idx="1808">
                  <c:v>0.97</c:v>
                </c:pt>
                <c:pt idx="1809">
                  <c:v>1.72</c:v>
                </c:pt>
                <c:pt idx="1810">
                  <c:v>1.34</c:v>
                </c:pt>
                <c:pt idx="1811">
                  <c:v>1.03</c:v>
                </c:pt>
                <c:pt idx="1812">
                  <c:v>1.42</c:v>
                </c:pt>
                <c:pt idx="1813">
                  <c:v>0.95</c:v>
                </c:pt>
                <c:pt idx="1814">
                  <c:v>1.19</c:v>
                </c:pt>
                <c:pt idx="1815">
                  <c:v>1.1299999999999999</c:v>
                </c:pt>
                <c:pt idx="1816">
                  <c:v>1.85</c:v>
                </c:pt>
                <c:pt idx="1817">
                  <c:v>1.31</c:v>
                </c:pt>
                <c:pt idx="1818">
                  <c:v>1.85</c:v>
                </c:pt>
                <c:pt idx="1819">
                  <c:v>1.41</c:v>
                </c:pt>
                <c:pt idx="1820">
                  <c:v>0.82</c:v>
                </c:pt>
                <c:pt idx="1821">
                  <c:v>0.88</c:v>
                </c:pt>
                <c:pt idx="1822">
                  <c:v>0.76</c:v>
                </c:pt>
                <c:pt idx="1823">
                  <c:v>0.55000000000000004</c:v>
                </c:pt>
                <c:pt idx="1824">
                  <c:v>0.74</c:v>
                </c:pt>
                <c:pt idx="1825">
                  <c:v>0.45</c:v>
                </c:pt>
                <c:pt idx="1826">
                  <c:v>0.7</c:v>
                </c:pt>
                <c:pt idx="1827">
                  <c:v>0.71</c:v>
                </c:pt>
                <c:pt idx="1828">
                  <c:v>0.61</c:v>
                </c:pt>
                <c:pt idx="1829">
                  <c:v>1.31</c:v>
                </c:pt>
                <c:pt idx="1830">
                  <c:v>0.94</c:v>
                </c:pt>
                <c:pt idx="1831">
                  <c:v>0.61</c:v>
                </c:pt>
                <c:pt idx="1832">
                  <c:v>0.52</c:v>
                </c:pt>
                <c:pt idx="1833">
                  <c:v>0.66</c:v>
                </c:pt>
                <c:pt idx="1834">
                  <c:v>0.79</c:v>
                </c:pt>
                <c:pt idx="1835">
                  <c:v>1.07</c:v>
                </c:pt>
                <c:pt idx="1836">
                  <c:v>0.68</c:v>
                </c:pt>
                <c:pt idx="1837">
                  <c:v>0.65</c:v>
                </c:pt>
                <c:pt idx="1838">
                  <c:v>1.32</c:v>
                </c:pt>
                <c:pt idx="1839">
                  <c:v>0.82</c:v>
                </c:pt>
                <c:pt idx="1840">
                  <c:v>1.17</c:v>
                </c:pt>
                <c:pt idx="1841">
                  <c:v>1.07</c:v>
                </c:pt>
                <c:pt idx="1842">
                  <c:v>1.23</c:v>
                </c:pt>
                <c:pt idx="1843">
                  <c:v>1.06</c:v>
                </c:pt>
                <c:pt idx="1844">
                  <c:v>1.36</c:v>
                </c:pt>
                <c:pt idx="1845">
                  <c:v>1.06</c:v>
                </c:pt>
                <c:pt idx="1846">
                  <c:v>0.56999999999999995</c:v>
                </c:pt>
                <c:pt idx="1847">
                  <c:v>0.39</c:v>
                </c:pt>
                <c:pt idx="1848">
                  <c:v>0.78</c:v>
                </c:pt>
                <c:pt idx="1849">
                  <c:v>0.42</c:v>
                </c:pt>
                <c:pt idx="1850">
                  <c:v>0.46</c:v>
                </c:pt>
                <c:pt idx="1851">
                  <c:v>0.4</c:v>
                </c:pt>
                <c:pt idx="1852">
                  <c:v>1.07</c:v>
                </c:pt>
                <c:pt idx="1853">
                  <c:v>1.25</c:v>
                </c:pt>
                <c:pt idx="1854">
                  <c:v>0.61</c:v>
                </c:pt>
                <c:pt idx="1855">
                  <c:v>0.74</c:v>
                </c:pt>
                <c:pt idx="1856">
                  <c:v>0.66</c:v>
                </c:pt>
                <c:pt idx="1857">
                  <c:v>0.56000000000000005</c:v>
                </c:pt>
                <c:pt idx="1858">
                  <c:v>0.79</c:v>
                </c:pt>
                <c:pt idx="1859">
                  <c:v>1.07</c:v>
                </c:pt>
                <c:pt idx="1860">
                  <c:v>0.68</c:v>
                </c:pt>
                <c:pt idx="1861">
                  <c:v>0.65</c:v>
                </c:pt>
                <c:pt idx="1862">
                  <c:v>1.32</c:v>
                </c:pt>
                <c:pt idx="1863">
                  <c:v>0.82</c:v>
                </c:pt>
                <c:pt idx="1864">
                  <c:v>1.17</c:v>
                </c:pt>
                <c:pt idx="1865">
                  <c:v>1.53</c:v>
                </c:pt>
                <c:pt idx="1866">
                  <c:v>1.25</c:v>
                </c:pt>
                <c:pt idx="1867">
                  <c:v>0.93</c:v>
                </c:pt>
                <c:pt idx="1868">
                  <c:v>1.31</c:v>
                </c:pt>
                <c:pt idx="1869">
                  <c:v>1.42</c:v>
                </c:pt>
                <c:pt idx="1870">
                  <c:v>0.38</c:v>
                </c:pt>
                <c:pt idx="1871">
                  <c:v>0.79</c:v>
                </c:pt>
                <c:pt idx="1872">
                  <c:v>0.4</c:v>
                </c:pt>
                <c:pt idx="1873">
                  <c:v>0.45</c:v>
                </c:pt>
                <c:pt idx="1874">
                  <c:v>0.44</c:v>
                </c:pt>
                <c:pt idx="1875">
                  <c:v>0.78</c:v>
                </c:pt>
                <c:pt idx="1876">
                  <c:v>0.94</c:v>
                </c:pt>
                <c:pt idx="1877">
                  <c:v>1.01</c:v>
                </c:pt>
                <c:pt idx="1878">
                  <c:v>0.67</c:v>
                </c:pt>
                <c:pt idx="1879">
                  <c:v>0.7</c:v>
                </c:pt>
                <c:pt idx="1880">
                  <c:v>0.81</c:v>
                </c:pt>
                <c:pt idx="1881">
                  <c:v>0.8</c:v>
                </c:pt>
                <c:pt idx="1882">
                  <c:v>0.61</c:v>
                </c:pt>
                <c:pt idx="1883">
                  <c:v>1.1100000000000001</c:v>
                </c:pt>
                <c:pt idx="1884">
                  <c:v>0.71</c:v>
                </c:pt>
                <c:pt idx="1885">
                  <c:v>0.83</c:v>
                </c:pt>
                <c:pt idx="1886">
                  <c:v>1.0900000000000001</c:v>
                </c:pt>
                <c:pt idx="1887">
                  <c:v>1.25</c:v>
                </c:pt>
                <c:pt idx="1888">
                  <c:v>1.18</c:v>
                </c:pt>
                <c:pt idx="1889">
                  <c:v>0</c:v>
                </c:pt>
                <c:pt idx="1890">
                  <c:v>0</c:v>
                </c:pt>
                <c:pt idx="1891">
                  <c:v>1.39</c:v>
                </c:pt>
                <c:pt idx="1892">
                  <c:v>1.1299999999999999</c:v>
                </c:pt>
                <c:pt idx="1893">
                  <c:v>0.87</c:v>
                </c:pt>
                <c:pt idx="1894">
                  <c:v>0.54</c:v>
                </c:pt>
                <c:pt idx="1895">
                  <c:v>0.56000000000000005</c:v>
                </c:pt>
                <c:pt idx="1896">
                  <c:v>0.64</c:v>
                </c:pt>
                <c:pt idx="1897">
                  <c:v>0.6</c:v>
                </c:pt>
                <c:pt idx="1898">
                  <c:v>0.71</c:v>
                </c:pt>
                <c:pt idx="1899">
                  <c:v>0.71</c:v>
                </c:pt>
                <c:pt idx="1900">
                  <c:v>0.52</c:v>
                </c:pt>
                <c:pt idx="1901">
                  <c:v>0.74</c:v>
                </c:pt>
                <c:pt idx="1902">
                  <c:v>1.59</c:v>
                </c:pt>
                <c:pt idx="1903">
                  <c:v>0.96</c:v>
                </c:pt>
                <c:pt idx="1904">
                  <c:v>1.26</c:v>
                </c:pt>
                <c:pt idx="1905">
                  <c:v>1.1200000000000001</c:v>
                </c:pt>
                <c:pt idx="1906">
                  <c:v>1.38</c:v>
                </c:pt>
                <c:pt idx="1907">
                  <c:v>2.4500000000000002</c:v>
                </c:pt>
                <c:pt idx="1908">
                  <c:v>3.88</c:v>
                </c:pt>
                <c:pt idx="1909">
                  <c:v>1.1100000000000001</c:v>
                </c:pt>
                <c:pt idx="1910">
                  <c:v>0.95</c:v>
                </c:pt>
                <c:pt idx="1911">
                  <c:v>0.72</c:v>
                </c:pt>
                <c:pt idx="1912">
                  <c:v>1.25</c:v>
                </c:pt>
                <c:pt idx="1913">
                  <c:v>0.81</c:v>
                </c:pt>
                <c:pt idx="1914">
                  <c:v>1.54</c:v>
                </c:pt>
                <c:pt idx="1915">
                  <c:v>1.18</c:v>
                </c:pt>
                <c:pt idx="1916">
                  <c:v>0.92</c:v>
                </c:pt>
                <c:pt idx="1917">
                  <c:v>1.24</c:v>
                </c:pt>
                <c:pt idx="1918">
                  <c:v>1.34</c:v>
                </c:pt>
                <c:pt idx="1919">
                  <c:v>0.56000000000000005</c:v>
                </c:pt>
                <c:pt idx="1920">
                  <c:v>0.72</c:v>
                </c:pt>
                <c:pt idx="1921">
                  <c:v>0.51</c:v>
                </c:pt>
                <c:pt idx="1922">
                  <c:v>0.52</c:v>
                </c:pt>
                <c:pt idx="1923">
                  <c:v>0.64</c:v>
                </c:pt>
                <c:pt idx="1924">
                  <c:v>0.53</c:v>
                </c:pt>
                <c:pt idx="1925">
                  <c:v>0.43</c:v>
                </c:pt>
                <c:pt idx="1926">
                  <c:v>1.49</c:v>
                </c:pt>
                <c:pt idx="1927">
                  <c:v>1.02</c:v>
                </c:pt>
                <c:pt idx="1928">
                  <c:v>1.45</c:v>
                </c:pt>
                <c:pt idx="1929">
                  <c:v>1</c:v>
                </c:pt>
                <c:pt idx="1930">
                  <c:v>1.26</c:v>
                </c:pt>
                <c:pt idx="1931">
                  <c:v>1.33</c:v>
                </c:pt>
                <c:pt idx="1932">
                  <c:v>1.35</c:v>
                </c:pt>
                <c:pt idx="1933">
                  <c:v>1.36</c:v>
                </c:pt>
                <c:pt idx="1934">
                  <c:v>1.2</c:v>
                </c:pt>
                <c:pt idx="1935">
                  <c:v>1.29</c:v>
                </c:pt>
                <c:pt idx="1936">
                  <c:v>1.21</c:v>
                </c:pt>
                <c:pt idx="1937">
                  <c:v>1.06</c:v>
                </c:pt>
                <c:pt idx="1938">
                  <c:v>1.1499999999999999</c:v>
                </c:pt>
                <c:pt idx="1939">
                  <c:v>1.91</c:v>
                </c:pt>
                <c:pt idx="1940">
                  <c:v>1.1000000000000001</c:v>
                </c:pt>
                <c:pt idx="1941">
                  <c:v>0.84</c:v>
                </c:pt>
                <c:pt idx="1942">
                  <c:v>0.75</c:v>
                </c:pt>
                <c:pt idx="1943">
                  <c:v>0.78</c:v>
                </c:pt>
                <c:pt idx="1944">
                  <c:v>0.62</c:v>
                </c:pt>
                <c:pt idx="1945">
                  <c:v>0.86</c:v>
                </c:pt>
                <c:pt idx="1946">
                  <c:v>0.62</c:v>
                </c:pt>
                <c:pt idx="1947">
                  <c:v>0.92</c:v>
                </c:pt>
                <c:pt idx="1948">
                  <c:v>0.64</c:v>
                </c:pt>
                <c:pt idx="1949">
                  <c:v>0.62</c:v>
                </c:pt>
                <c:pt idx="1950">
                  <c:v>1.53</c:v>
                </c:pt>
                <c:pt idx="1951">
                  <c:v>0.92</c:v>
                </c:pt>
                <c:pt idx="1952">
                  <c:v>0.69</c:v>
                </c:pt>
                <c:pt idx="1953">
                  <c:v>0</c:v>
                </c:pt>
                <c:pt idx="1954">
                  <c:v>0</c:v>
                </c:pt>
                <c:pt idx="1955">
                  <c:v>1.21</c:v>
                </c:pt>
                <c:pt idx="1956">
                  <c:v>1.52</c:v>
                </c:pt>
                <c:pt idx="1957">
                  <c:v>1.28</c:v>
                </c:pt>
                <c:pt idx="1958">
                  <c:v>0.9</c:v>
                </c:pt>
                <c:pt idx="1959">
                  <c:v>2.2400000000000002</c:v>
                </c:pt>
                <c:pt idx="1960">
                  <c:v>4.24</c:v>
                </c:pt>
                <c:pt idx="1961">
                  <c:v>1.83</c:v>
                </c:pt>
                <c:pt idx="1962">
                  <c:v>0</c:v>
                </c:pt>
                <c:pt idx="1963">
                  <c:v>1.33</c:v>
                </c:pt>
                <c:pt idx="1964">
                  <c:v>1.1599999999999999</c:v>
                </c:pt>
                <c:pt idx="1965">
                  <c:v>1.58</c:v>
                </c:pt>
                <c:pt idx="1966">
                  <c:v>0.97</c:v>
                </c:pt>
                <c:pt idx="1967">
                  <c:v>0.67</c:v>
                </c:pt>
                <c:pt idx="1968">
                  <c:v>0.57999999999999996</c:v>
                </c:pt>
                <c:pt idx="1969">
                  <c:v>0.68</c:v>
                </c:pt>
                <c:pt idx="1970">
                  <c:v>0.8</c:v>
                </c:pt>
                <c:pt idx="1971">
                  <c:v>0.95</c:v>
                </c:pt>
                <c:pt idx="1972">
                  <c:v>0.57999999999999996</c:v>
                </c:pt>
                <c:pt idx="1973">
                  <c:v>0.59</c:v>
                </c:pt>
                <c:pt idx="1974">
                  <c:v>1.85</c:v>
                </c:pt>
                <c:pt idx="1975">
                  <c:v>1.51</c:v>
                </c:pt>
                <c:pt idx="1976">
                  <c:v>2.4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1.82</c:v>
                </c:pt>
                <c:pt idx="1981">
                  <c:v>1.31</c:v>
                </c:pt>
                <c:pt idx="1982">
                  <c:v>1.31</c:v>
                </c:pt>
                <c:pt idx="1983">
                  <c:v>1.1200000000000001</c:v>
                </c:pt>
                <c:pt idx="1984">
                  <c:v>1.57</c:v>
                </c:pt>
                <c:pt idx="1985">
                  <c:v>1.54</c:v>
                </c:pt>
                <c:pt idx="1986">
                  <c:v>1.27</c:v>
                </c:pt>
                <c:pt idx="1987">
                  <c:v>1.1499999999999999</c:v>
                </c:pt>
                <c:pt idx="1988">
                  <c:v>0.97</c:v>
                </c:pt>
                <c:pt idx="1989">
                  <c:v>1.35</c:v>
                </c:pt>
                <c:pt idx="1990">
                  <c:v>0.45</c:v>
                </c:pt>
                <c:pt idx="1991">
                  <c:v>0.46</c:v>
                </c:pt>
                <c:pt idx="1992">
                  <c:v>0.51</c:v>
                </c:pt>
                <c:pt idx="1993">
                  <c:v>0.83</c:v>
                </c:pt>
                <c:pt idx="1994">
                  <c:v>0.69</c:v>
                </c:pt>
                <c:pt idx="1995">
                  <c:v>0.61</c:v>
                </c:pt>
                <c:pt idx="1996">
                  <c:v>0.74</c:v>
                </c:pt>
                <c:pt idx="1997">
                  <c:v>1.27</c:v>
                </c:pt>
                <c:pt idx="1998">
                  <c:v>0.78</c:v>
                </c:pt>
                <c:pt idx="1999">
                  <c:v>1.1100000000000001</c:v>
                </c:pt>
                <c:pt idx="2000">
                  <c:v>0</c:v>
                </c:pt>
                <c:pt idx="2001">
                  <c:v>0</c:v>
                </c:pt>
                <c:pt idx="2002">
                  <c:v>0.9</c:v>
                </c:pt>
                <c:pt idx="2003">
                  <c:v>1.22</c:v>
                </c:pt>
                <c:pt idx="2004">
                  <c:v>0.88</c:v>
                </c:pt>
                <c:pt idx="2005">
                  <c:v>0.9</c:v>
                </c:pt>
                <c:pt idx="2006">
                  <c:v>0</c:v>
                </c:pt>
                <c:pt idx="2007">
                  <c:v>0</c:v>
                </c:pt>
                <c:pt idx="2008">
                  <c:v>3.11</c:v>
                </c:pt>
                <c:pt idx="2009">
                  <c:v>1.45</c:v>
                </c:pt>
                <c:pt idx="2010">
                  <c:v>1.25</c:v>
                </c:pt>
                <c:pt idx="2011">
                  <c:v>1.39</c:v>
                </c:pt>
                <c:pt idx="2012">
                  <c:v>1.67</c:v>
                </c:pt>
                <c:pt idx="2013">
                  <c:v>1.75</c:v>
                </c:pt>
                <c:pt idx="2014">
                  <c:v>0.7</c:v>
                </c:pt>
                <c:pt idx="2015">
                  <c:v>0.9</c:v>
                </c:pt>
                <c:pt idx="2016">
                  <c:v>0.69</c:v>
                </c:pt>
                <c:pt idx="2017">
                  <c:v>0.72</c:v>
                </c:pt>
                <c:pt idx="2018">
                  <c:v>0.71</c:v>
                </c:pt>
                <c:pt idx="2019">
                  <c:v>0.93</c:v>
                </c:pt>
                <c:pt idx="2020">
                  <c:v>1.05</c:v>
                </c:pt>
                <c:pt idx="2021">
                  <c:v>1.55</c:v>
                </c:pt>
                <c:pt idx="2022">
                  <c:v>0.86</c:v>
                </c:pt>
                <c:pt idx="2023">
                  <c:v>1.26</c:v>
                </c:pt>
                <c:pt idx="2024">
                  <c:v>0.59</c:v>
                </c:pt>
                <c:pt idx="2025">
                  <c:v>0</c:v>
                </c:pt>
                <c:pt idx="2026">
                  <c:v>0.89</c:v>
                </c:pt>
                <c:pt idx="2027">
                  <c:v>1.0900000000000001</c:v>
                </c:pt>
                <c:pt idx="2028">
                  <c:v>0.87</c:v>
                </c:pt>
                <c:pt idx="2029">
                  <c:v>0.93</c:v>
                </c:pt>
                <c:pt idx="2030">
                  <c:v>1.39</c:v>
                </c:pt>
                <c:pt idx="2031">
                  <c:v>1.62</c:v>
                </c:pt>
                <c:pt idx="2032">
                  <c:v>0</c:v>
                </c:pt>
                <c:pt idx="2033">
                  <c:v>0</c:v>
                </c:pt>
                <c:pt idx="2034">
                  <c:v>1.46</c:v>
                </c:pt>
                <c:pt idx="2035">
                  <c:v>1.26</c:v>
                </c:pt>
                <c:pt idx="2036">
                  <c:v>1.21</c:v>
                </c:pt>
                <c:pt idx="2037">
                  <c:v>1.77</c:v>
                </c:pt>
                <c:pt idx="2038">
                  <c:v>1.44</c:v>
                </c:pt>
                <c:pt idx="2039">
                  <c:v>0.74</c:v>
                </c:pt>
                <c:pt idx="2040">
                  <c:v>0.92</c:v>
                </c:pt>
                <c:pt idx="2041">
                  <c:v>0.73</c:v>
                </c:pt>
                <c:pt idx="2042">
                  <c:v>0.64</c:v>
                </c:pt>
                <c:pt idx="2043">
                  <c:v>1.1000000000000001</c:v>
                </c:pt>
                <c:pt idx="2044">
                  <c:v>0.96</c:v>
                </c:pt>
                <c:pt idx="2045">
                  <c:v>1.59</c:v>
                </c:pt>
                <c:pt idx="2046">
                  <c:v>0.96</c:v>
                </c:pt>
                <c:pt idx="2047">
                  <c:v>1.26</c:v>
                </c:pt>
                <c:pt idx="2048">
                  <c:v>0.93</c:v>
                </c:pt>
                <c:pt idx="2049">
                  <c:v>1</c:v>
                </c:pt>
                <c:pt idx="2050">
                  <c:v>0</c:v>
                </c:pt>
                <c:pt idx="2051">
                  <c:v>0</c:v>
                </c:pt>
                <c:pt idx="2052">
                  <c:v>1</c:v>
                </c:pt>
                <c:pt idx="2053">
                  <c:v>1.2</c:v>
                </c:pt>
                <c:pt idx="2054">
                  <c:v>1.41</c:v>
                </c:pt>
                <c:pt idx="2055">
                  <c:v>1.75</c:v>
                </c:pt>
                <c:pt idx="2056">
                  <c:v>1.6</c:v>
                </c:pt>
                <c:pt idx="2057">
                  <c:v>0</c:v>
                </c:pt>
                <c:pt idx="2058">
                  <c:v>0</c:v>
                </c:pt>
                <c:pt idx="2059">
                  <c:v>1.36</c:v>
                </c:pt>
                <c:pt idx="2060">
                  <c:v>1.62</c:v>
                </c:pt>
                <c:pt idx="2061">
                  <c:v>1.23</c:v>
                </c:pt>
                <c:pt idx="2062">
                  <c:v>1.02</c:v>
                </c:pt>
                <c:pt idx="2063">
                  <c:v>0.82</c:v>
                </c:pt>
                <c:pt idx="2064">
                  <c:v>0.82</c:v>
                </c:pt>
                <c:pt idx="2065">
                  <c:v>0.75</c:v>
                </c:pt>
                <c:pt idx="2066">
                  <c:v>0.96</c:v>
                </c:pt>
                <c:pt idx="2067">
                  <c:v>0.69</c:v>
                </c:pt>
                <c:pt idx="2068">
                  <c:v>1.1200000000000001</c:v>
                </c:pt>
                <c:pt idx="2069">
                  <c:v>1.46</c:v>
                </c:pt>
                <c:pt idx="2070">
                  <c:v>1</c:v>
                </c:pt>
                <c:pt idx="2071">
                  <c:v>0</c:v>
                </c:pt>
                <c:pt idx="2072">
                  <c:v>1.0900000000000001</c:v>
                </c:pt>
                <c:pt idx="2073">
                  <c:v>0.96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2.72</c:v>
                </c:pt>
                <c:pt idx="2087">
                  <c:v>1.95</c:v>
                </c:pt>
                <c:pt idx="2088">
                  <c:v>2.1</c:v>
                </c:pt>
                <c:pt idx="2089">
                  <c:v>1.64</c:v>
                </c:pt>
                <c:pt idx="2090">
                  <c:v>1.62</c:v>
                </c:pt>
                <c:pt idx="2091">
                  <c:v>1.51</c:v>
                </c:pt>
                <c:pt idx="2092">
                  <c:v>1.51</c:v>
                </c:pt>
                <c:pt idx="2093">
                  <c:v>1.75</c:v>
                </c:pt>
                <c:pt idx="2094">
                  <c:v>0.97</c:v>
                </c:pt>
                <c:pt idx="2095">
                  <c:v>1.1200000000000001</c:v>
                </c:pt>
                <c:pt idx="2096">
                  <c:v>0.95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6.09</c:v>
                </c:pt>
                <c:pt idx="2112">
                  <c:v>2.63</c:v>
                </c:pt>
                <c:pt idx="2113">
                  <c:v>2.59</c:v>
                </c:pt>
                <c:pt idx="2114">
                  <c:v>2.4700000000000002</c:v>
                </c:pt>
                <c:pt idx="2115">
                  <c:v>2.74</c:v>
                </c:pt>
                <c:pt idx="2116">
                  <c:v>2.4500000000000002</c:v>
                </c:pt>
                <c:pt idx="2117">
                  <c:v>2.44</c:v>
                </c:pt>
                <c:pt idx="2118">
                  <c:v>2.2000000000000002</c:v>
                </c:pt>
                <c:pt idx="2119">
                  <c:v>1.38</c:v>
                </c:pt>
                <c:pt idx="2120">
                  <c:v>1.86</c:v>
                </c:pt>
                <c:pt idx="2121">
                  <c:v>1.71</c:v>
                </c:pt>
                <c:pt idx="2122">
                  <c:v>1.23</c:v>
                </c:pt>
                <c:pt idx="2123">
                  <c:v>2.14</c:v>
                </c:pt>
                <c:pt idx="2124">
                  <c:v>1.45</c:v>
                </c:pt>
                <c:pt idx="2125">
                  <c:v>0</c:v>
                </c:pt>
                <c:pt idx="2126">
                  <c:v>0.98</c:v>
                </c:pt>
                <c:pt idx="2127">
                  <c:v>1.34</c:v>
                </c:pt>
                <c:pt idx="2128">
                  <c:v>2.15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2.0699999999999998</c:v>
                </c:pt>
                <c:pt idx="2133">
                  <c:v>2.57</c:v>
                </c:pt>
                <c:pt idx="2134">
                  <c:v>2.5299999999999998</c:v>
                </c:pt>
                <c:pt idx="2135">
                  <c:v>2.69</c:v>
                </c:pt>
                <c:pt idx="2136">
                  <c:v>2.38</c:v>
                </c:pt>
                <c:pt idx="2137">
                  <c:v>2.5099999999999998</c:v>
                </c:pt>
                <c:pt idx="2138">
                  <c:v>2.0299999999999998</c:v>
                </c:pt>
                <c:pt idx="2139">
                  <c:v>1.98</c:v>
                </c:pt>
                <c:pt idx="2140">
                  <c:v>2.09</c:v>
                </c:pt>
                <c:pt idx="2141">
                  <c:v>1.85</c:v>
                </c:pt>
                <c:pt idx="2142">
                  <c:v>2.02</c:v>
                </c:pt>
                <c:pt idx="2143">
                  <c:v>1.58</c:v>
                </c:pt>
                <c:pt idx="2144">
                  <c:v>1.4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1.95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2.11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2.7</c:v>
                </c:pt>
                <c:pt idx="2157">
                  <c:v>2.11</c:v>
                </c:pt>
                <c:pt idx="2158">
                  <c:v>2.84</c:v>
                </c:pt>
                <c:pt idx="2159">
                  <c:v>2.36</c:v>
                </c:pt>
                <c:pt idx="2160">
                  <c:v>2.15</c:v>
                </c:pt>
                <c:pt idx="2161">
                  <c:v>1.89</c:v>
                </c:pt>
                <c:pt idx="2162">
                  <c:v>1.79</c:v>
                </c:pt>
                <c:pt idx="2163">
                  <c:v>1.92</c:v>
                </c:pt>
                <c:pt idx="2164">
                  <c:v>2.11</c:v>
                </c:pt>
                <c:pt idx="2165">
                  <c:v>1.97</c:v>
                </c:pt>
                <c:pt idx="2166">
                  <c:v>0.93</c:v>
                </c:pt>
                <c:pt idx="2167">
                  <c:v>1.0900000000000001</c:v>
                </c:pt>
                <c:pt idx="2168">
                  <c:v>1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1.23</c:v>
                </c:pt>
                <c:pt idx="2173">
                  <c:v>1.91</c:v>
                </c:pt>
                <c:pt idx="2174">
                  <c:v>2.23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2.37</c:v>
                </c:pt>
                <c:pt idx="2179">
                  <c:v>0</c:v>
                </c:pt>
                <c:pt idx="2180">
                  <c:v>0</c:v>
                </c:pt>
                <c:pt idx="2181">
                  <c:v>2.75</c:v>
                </c:pt>
                <c:pt idx="2182">
                  <c:v>2.67</c:v>
                </c:pt>
                <c:pt idx="2183">
                  <c:v>2.5</c:v>
                </c:pt>
                <c:pt idx="2184">
                  <c:v>2.36</c:v>
                </c:pt>
                <c:pt idx="2185">
                  <c:v>1.94</c:v>
                </c:pt>
                <c:pt idx="2186">
                  <c:v>1.69</c:v>
                </c:pt>
                <c:pt idx="2187">
                  <c:v>1.87</c:v>
                </c:pt>
                <c:pt idx="2188">
                  <c:v>2.0099999999999998</c:v>
                </c:pt>
                <c:pt idx="2189">
                  <c:v>1.68</c:v>
                </c:pt>
                <c:pt idx="2190">
                  <c:v>0.67</c:v>
                </c:pt>
                <c:pt idx="2191">
                  <c:v>1.04</c:v>
                </c:pt>
                <c:pt idx="2192">
                  <c:v>0.86</c:v>
                </c:pt>
                <c:pt idx="2193">
                  <c:v>0.76</c:v>
                </c:pt>
                <c:pt idx="2194">
                  <c:v>1.06</c:v>
                </c:pt>
                <c:pt idx="2195">
                  <c:v>2.68</c:v>
                </c:pt>
                <c:pt idx="2196">
                  <c:v>2.59</c:v>
                </c:pt>
                <c:pt idx="2197">
                  <c:v>2.08</c:v>
                </c:pt>
                <c:pt idx="2198">
                  <c:v>0</c:v>
                </c:pt>
                <c:pt idx="2199">
                  <c:v>0</c:v>
                </c:pt>
                <c:pt idx="2200">
                  <c:v>1.52</c:v>
                </c:pt>
                <c:pt idx="2201">
                  <c:v>1.66</c:v>
                </c:pt>
                <c:pt idx="2202">
                  <c:v>1.92</c:v>
                </c:pt>
                <c:pt idx="2203">
                  <c:v>0</c:v>
                </c:pt>
                <c:pt idx="2204">
                  <c:v>0</c:v>
                </c:pt>
                <c:pt idx="2205">
                  <c:v>3.45</c:v>
                </c:pt>
                <c:pt idx="2206">
                  <c:v>2.59</c:v>
                </c:pt>
                <c:pt idx="2207">
                  <c:v>2.4</c:v>
                </c:pt>
                <c:pt idx="2208">
                  <c:v>2.1800000000000002</c:v>
                </c:pt>
                <c:pt idx="2209">
                  <c:v>2.15</c:v>
                </c:pt>
                <c:pt idx="2210">
                  <c:v>2.0299999999999998</c:v>
                </c:pt>
                <c:pt idx="2211">
                  <c:v>2.2000000000000002</c:v>
                </c:pt>
                <c:pt idx="2212">
                  <c:v>1.96</c:v>
                </c:pt>
                <c:pt idx="2213">
                  <c:v>2.04</c:v>
                </c:pt>
                <c:pt idx="2214">
                  <c:v>1.28</c:v>
                </c:pt>
                <c:pt idx="2215">
                  <c:v>0.83</c:v>
                </c:pt>
                <c:pt idx="2216">
                  <c:v>0.93</c:v>
                </c:pt>
                <c:pt idx="2217">
                  <c:v>0.79</c:v>
                </c:pt>
                <c:pt idx="2218">
                  <c:v>0</c:v>
                </c:pt>
                <c:pt idx="2219">
                  <c:v>0</c:v>
                </c:pt>
                <c:pt idx="2220">
                  <c:v>2.13</c:v>
                </c:pt>
                <c:pt idx="2221">
                  <c:v>3.06</c:v>
                </c:pt>
                <c:pt idx="2222">
                  <c:v>2.0299999999999998</c:v>
                </c:pt>
                <c:pt idx="2223">
                  <c:v>1.39</c:v>
                </c:pt>
                <c:pt idx="2224">
                  <c:v>1.34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1.71</c:v>
                </c:pt>
                <c:pt idx="2229">
                  <c:v>0</c:v>
                </c:pt>
                <c:pt idx="2230">
                  <c:v>2.96</c:v>
                </c:pt>
                <c:pt idx="2231">
                  <c:v>2.54</c:v>
                </c:pt>
                <c:pt idx="2232">
                  <c:v>2.35</c:v>
                </c:pt>
                <c:pt idx="2233">
                  <c:v>2.21</c:v>
                </c:pt>
                <c:pt idx="2234">
                  <c:v>2.41</c:v>
                </c:pt>
                <c:pt idx="2235">
                  <c:v>2.1</c:v>
                </c:pt>
                <c:pt idx="2236">
                  <c:v>2.39</c:v>
                </c:pt>
                <c:pt idx="2237">
                  <c:v>1.61</c:v>
                </c:pt>
                <c:pt idx="2238">
                  <c:v>1.06</c:v>
                </c:pt>
                <c:pt idx="2239">
                  <c:v>0.93</c:v>
                </c:pt>
                <c:pt idx="2240">
                  <c:v>0.78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1.53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1.96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2.58</c:v>
                </c:pt>
                <c:pt idx="2254">
                  <c:v>2.4300000000000002</c:v>
                </c:pt>
                <c:pt idx="2255">
                  <c:v>2.56</c:v>
                </c:pt>
                <c:pt idx="2256">
                  <c:v>2.88</c:v>
                </c:pt>
                <c:pt idx="2257">
                  <c:v>2.4900000000000002</c:v>
                </c:pt>
                <c:pt idx="2258">
                  <c:v>2.23</c:v>
                </c:pt>
                <c:pt idx="2259">
                  <c:v>1.98</c:v>
                </c:pt>
                <c:pt idx="2260">
                  <c:v>2.61</c:v>
                </c:pt>
                <c:pt idx="2261">
                  <c:v>2.25</c:v>
                </c:pt>
                <c:pt idx="2262">
                  <c:v>0</c:v>
                </c:pt>
                <c:pt idx="2263">
                  <c:v>0</c:v>
                </c:pt>
                <c:pt idx="2264">
                  <c:v>1.01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0.97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2.02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2.65</c:v>
                </c:pt>
                <c:pt idx="2280">
                  <c:v>2.8</c:v>
                </c:pt>
                <c:pt idx="2281">
                  <c:v>2.5499999999999998</c:v>
                </c:pt>
                <c:pt idx="2282">
                  <c:v>2.87</c:v>
                </c:pt>
                <c:pt idx="2283">
                  <c:v>2.52</c:v>
                </c:pt>
                <c:pt idx="2284">
                  <c:v>2.93</c:v>
                </c:pt>
                <c:pt idx="2285">
                  <c:v>2.81</c:v>
                </c:pt>
                <c:pt idx="2286">
                  <c:v>2.23</c:v>
                </c:pt>
                <c:pt idx="2287">
                  <c:v>2.14</c:v>
                </c:pt>
                <c:pt idx="2288">
                  <c:v>1.38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1.02</c:v>
                </c:pt>
                <c:pt idx="2293">
                  <c:v>1.04</c:v>
                </c:pt>
                <c:pt idx="2294">
                  <c:v>1.06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3.66</c:v>
                </c:pt>
                <c:pt idx="2299">
                  <c:v>3.5</c:v>
                </c:pt>
                <c:pt idx="2300">
                  <c:v>3.58</c:v>
                </c:pt>
                <c:pt idx="2301">
                  <c:v>0</c:v>
                </c:pt>
                <c:pt idx="2302">
                  <c:v>2.87</c:v>
                </c:pt>
                <c:pt idx="2303">
                  <c:v>3.69</c:v>
                </c:pt>
                <c:pt idx="2304">
                  <c:v>3.69</c:v>
                </c:pt>
                <c:pt idx="2305">
                  <c:v>3.57</c:v>
                </c:pt>
                <c:pt idx="2306">
                  <c:v>3.61</c:v>
                </c:pt>
                <c:pt idx="2307">
                  <c:v>2.94</c:v>
                </c:pt>
                <c:pt idx="2308">
                  <c:v>3.04</c:v>
                </c:pt>
                <c:pt idx="2309">
                  <c:v>3.12</c:v>
                </c:pt>
                <c:pt idx="2310">
                  <c:v>2.86</c:v>
                </c:pt>
                <c:pt idx="2311">
                  <c:v>0.99</c:v>
                </c:pt>
                <c:pt idx="2312">
                  <c:v>1.53</c:v>
                </c:pt>
                <c:pt idx="2313">
                  <c:v>1.65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1.51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2.63</c:v>
                </c:pt>
                <c:pt idx="2325">
                  <c:v>0</c:v>
                </c:pt>
                <c:pt idx="2326">
                  <c:v>0</c:v>
                </c:pt>
                <c:pt idx="2327">
                  <c:v>3.87</c:v>
                </c:pt>
                <c:pt idx="2328">
                  <c:v>3.43</c:v>
                </c:pt>
                <c:pt idx="2329">
                  <c:v>2.97</c:v>
                </c:pt>
                <c:pt idx="2330">
                  <c:v>3.06</c:v>
                </c:pt>
                <c:pt idx="2331">
                  <c:v>2.7</c:v>
                </c:pt>
                <c:pt idx="2332">
                  <c:v>2.94</c:v>
                </c:pt>
                <c:pt idx="2333">
                  <c:v>3.55</c:v>
                </c:pt>
                <c:pt idx="2334">
                  <c:v>1.92</c:v>
                </c:pt>
                <c:pt idx="2335">
                  <c:v>1.2</c:v>
                </c:pt>
                <c:pt idx="2336">
                  <c:v>1.52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4.13</c:v>
                </c:pt>
                <c:pt idx="2353">
                  <c:v>3.64</c:v>
                </c:pt>
                <c:pt idx="2354">
                  <c:v>3.73</c:v>
                </c:pt>
                <c:pt idx="2355">
                  <c:v>3.2</c:v>
                </c:pt>
                <c:pt idx="2356">
                  <c:v>3.52</c:v>
                </c:pt>
                <c:pt idx="2357">
                  <c:v>2.4</c:v>
                </c:pt>
                <c:pt idx="2358">
                  <c:v>0.56999999999999995</c:v>
                </c:pt>
                <c:pt idx="2359">
                  <c:v>1.24</c:v>
                </c:pt>
                <c:pt idx="2360">
                  <c:v>1.07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1.98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3.06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3.63</c:v>
                </c:pt>
                <c:pt idx="2376">
                  <c:v>3.75</c:v>
                </c:pt>
                <c:pt idx="2377">
                  <c:v>3.67</c:v>
                </c:pt>
                <c:pt idx="2378">
                  <c:v>3.87</c:v>
                </c:pt>
                <c:pt idx="2379">
                  <c:v>3.4</c:v>
                </c:pt>
                <c:pt idx="2380">
                  <c:v>3.27</c:v>
                </c:pt>
                <c:pt idx="2381">
                  <c:v>0</c:v>
                </c:pt>
                <c:pt idx="2382">
                  <c:v>0</c:v>
                </c:pt>
                <c:pt idx="2383">
                  <c:v>1.25</c:v>
                </c:pt>
                <c:pt idx="2384">
                  <c:v>1.31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2.5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3.83</c:v>
                </c:pt>
                <c:pt idx="2396">
                  <c:v>3.22</c:v>
                </c:pt>
                <c:pt idx="2397">
                  <c:v>2.13</c:v>
                </c:pt>
                <c:pt idx="2398">
                  <c:v>2.02</c:v>
                </c:pt>
                <c:pt idx="2399">
                  <c:v>2.4300000000000002</c:v>
                </c:pt>
                <c:pt idx="2400">
                  <c:v>2.0299999999999998</c:v>
                </c:pt>
                <c:pt idx="2401">
                  <c:v>2.16</c:v>
                </c:pt>
                <c:pt idx="2402">
                  <c:v>1.89</c:v>
                </c:pt>
                <c:pt idx="2403">
                  <c:v>1.53</c:v>
                </c:pt>
                <c:pt idx="2404">
                  <c:v>1.88</c:v>
                </c:pt>
                <c:pt idx="2405">
                  <c:v>1.9</c:v>
                </c:pt>
                <c:pt idx="2406">
                  <c:v>1.19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1.22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1.31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2.57</c:v>
                </c:pt>
                <c:pt idx="2422">
                  <c:v>2.4500000000000002</c:v>
                </c:pt>
                <c:pt idx="2423">
                  <c:v>2.54</c:v>
                </c:pt>
                <c:pt idx="2424">
                  <c:v>2.6</c:v>
                </c:pt>
                <c:pt idx="2425">
                  <c:v>2.71</c:v>
                </c:pt>
                <c:pt idx="2426">
                  <c:v>2.2599999999999998</c:v>
                </c:pt>
                <c:pt idx="2427">
                  <c:v>2.2799999999999998</c:v>
                </c:pt>
                <c:pt idx="2428">
                  <c:v>2.2799999999999998</c:v>
                </c:pt>
                <c:pt idx="2429">
                  <c:v>2.81</c:v>
                </c:pt>
                <c:pt idx="2430">
                  <c:v>0.96</c:v>
                </c:pt>
                <c:pt idx="2431">
                  <c:v>1.07</c:v>
                </c:pt>
                <c:pt idx="2432">
                  <c:v>0</c:v>
                </c:pt>
                <c:pt idx="2433">
                  <c:v>0</c:v>
                </c:pt>
                <c:pt idx="2434">
                  <c:v>2.2599999999999998</c:v>
                </c:pt>
                <c:pt idx="2435">
                  <c:v>2.19</c:v>
                </c:pt>
                <c:pt idx="2436">
                  <c:v>1.1200000000000001</c:v>
                </c:pt>
                <c:pt idx="2437">
                  <c:v>0</c:v>
                </c:pt>
                <c:pt idx="2438">
                  <c:v>0</c:v>
                </c:pt>
                <c:pt idx="2439">
                  <c:v>1.69</c:v>
                </c:pt>
                <c:pt idx="2440">
                  <c:v>1.32</c:v>
                </c:pt>
                <c:pt idx="2441">
                  <c:v>1.62</c:v>
                </c:pt>
                <c:pt idx="2442">
                  <c:v>1.42</c:v>
                </c:pt>
                <c:pt idx="2443">
                  <c:v>1.88</c:v>
                </c:pt>
                <c:pt idx="2444">
                  <c:v>2.77</c:v>
                </c:pt>
                <c:pt idx="2445">
                  <c:v>1.6</c:v>
                </c:pt>
                <c:pt idx="2446">
                  <c:v>1.87</c:v>
                </c:pt>
                <c:pt idx="2447">
                  <c:v>1.73</c:v>
                </c:pt>
                <c:pt idx="2448">
                  <c:v>1.82</c:v>
                </c:pt>
                <c:pt idx="2449">
                  <c:v>1.78</c:v>
                </c:pt>
                <c:pt idx="2450">
                  <c:v>1.58</c:v>
                </c:pt>
                <c:pt idx="2451">
                  <c:v>1.31</c:v>
                </c:pt>
                <c:pt idx="2452">
                  <c:v>1.66</c:v>
                </c:pt>
                <c:pt idx="2453">
                  <c:v>1.68</c:v>
                </c:pt>
                <c:pt idx="2454">
                  <c:v>1.2</c:v>
                </c:pt>
                <c:pt idx="2455">
                  <c:v>1.18</c:v>
                </c:pt>
                <c:pt idx="2456">
                  <c:v>1.28</c:v>
                </c:pt>
                <c:pt idx="2457">
                  <c:v>1.1100000000000001</c:v>
                </c:pt>
                <c:pt idx="2458">
                  <c:v>1.32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1.44</c:v>
                </c:pt>
                <c:pt idx="2463">
                  <c:v>0.94</c:v>
                </c:pt>
                <c:pt idx="2464">
                  <c:v>1.44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2.48</c:v>
                </c:pt>
                <c:pt idx="2469">
                  <c:v>2.71</c:v>
                </c:pt>
                <c:pt idx="2470">
                  <c:v>2.19</c:v>
                </c:pt>
                <c:pt idx="2471">
                  <c:v>1.9</c:v>
                </c:pt>
                <c:pt idx="2472">
                  <c:v>1.81</c:v>
                </c:pt>
                <c:pt idx="2473">
                  <c:v>1.8</c:v>
                </c:pt>
                <c:pt idx="2474">
                  <c:v>1.57</c:v>
                </c:pt>
                <c:pt idx="2475">
                  <c:v>1.64</c:v>
                </c:pt>
                <c:pt idx="2476">
                  <c:v>1.93</c:v>
                </c:pt>
                <c:pt idx="2477">
                  <c:v>1.66</c:v>
                </c:pt>
                <c:pt idx="2478">
                  <c:v>1.44</c:v>
                </c:pt>
                <c:pt idx="2479">
                  <c:v>1.06</c:v>
                </c:pt>
                <c:pt idx="2480">
                  <c:v>2.13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1.81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5.91</c:v>
                </c:pt>
                <c:pt idx="2491">
                  <c:v>2.1</c:v>
                </c:pt>
                <c:pt idx="2492">
                  <c:v>0</c:v>
                </c:pt>
                <c:pt idx="2493">
                  <c:v>2.0299999999999998</c:v>
                </c:pt>
                <c:pt idx="2494">
                  <c:v>2.65</c:v>
                </c:pt>
                <c:pt idx="2495">
                  <c:v>1.42</c:v>
                </c:pt>
                <c:pt idx="2496">
                  <c:v>1.48</c:v>
                </c:pt>
                <c:pt idx="2497">
                  <c:v>1.1299999999999999</c:v>
                </c:pt>
                <c:pt idx="2498">
                  <c:v>2.54</c:v>
                </c:pt>
                <c:pt idx="2499">
                  <c:v>2.4</c:v>
                </c:pt>
                <c:pt idx="2500">
                  <c:v>2.73</c:v>
                </c:pt>
                <c:pt idx="2501">
                  <c:v>0</c:v>
                </c:pt>
                <c:pt idx="2502">
                  <c:v>1.61</c:v>
                </c:pt>
                <c:pt idx="2503">
                  <c:v>1.18</c:v>
                </c:pt>
                <c:pt idx="2504">
                  <c:v>2.86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1.75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1.1299999999999999</c:v>
                </c:pt>
                <c:pt idx="2519">
                  <c:v>1.5</c:v>
                </c:pt>
                <c:pt idx="2520">
                  <c:v>1.47</c:v>
                </c:pt>
                <c:pt idx="2521">
                  <c:v>1.1299999999999999</c:v>
                </c:pt>
                <c:pt idx="2522">
                  <c:v>1.07</c:v>
                </c:pt>
                <c:pt idx="2523">
                  <c:v>1.52</c:v>
                </c:pt>
                <c:pt idx="2524">
                  <c:v>1.25</c:v>
                </c:pt>
                <c:pt idx="2525">
                  <c:v>2.36</c:v>
                </c:pt>
                <c:pt idx="2526">
                  <c:v>0.92</c:v>
                </c:pt>
                <c:pt idx="2527">
                  <c:v>1.37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1.19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4.41</c:v>
                </c:pt>
                <c:pt idx="2545">
                  <c:v>4.12</c:v>
                </c:pt>
                <c:pt idx="2546">
                  <c:v>4.07</c:v>
                </c:pt>
                <c:pt idx="2547">
                  <c:v>3.82</c:v>
                </c:pt>
                <c:pt idx="2548">
                  <c:v>4.34</c:v>
                </c:pt>
                <c:pt idx="2549">
                  <c:v>3.71</c:v>
                </c:pt>
                <c:pt idx="2550">
                  <c:v>0</c:v>
                </c:pt>
                <c:pt idx="2551">
                  <c:v>0</c:v>
                </c:pt>
                <c:pt idx="2552">
                  <c:v>1.0900000000000001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4.24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2.83</c:v>
                </c:pt>
                <c:pt idx="2564">
                  <c:v>2.36</c:v>
                </c:pt>
                <c:pt idx="2565">
                  <c:v>0</c:v>
                </c:pt>
                <c:pt idx="2566">
                  <c:v>1.71</c:v>
                </c:pt>
                <c:pt idx="2567">
                  <c:v>2.79</c:v>
                </c:pt>
                <c:pt idx="2568">
                  <c:v>2.41</c:v>
                </c:pt>
                <c:pt idx="2569">
                  <c:v>2.52</c:v>
                </c:pt>
                <c:pt idx="2570">
                  <c:v>2.15</c:v>
                </c:pt>
                <c:pt idx="2571">
                  <c:v>2.1</c:v>
                </c:pt>
                <c:pt idx="2572">
                  <c:v>2.73</c:v>
                </c:pt>
                <c:pt idx="2573">
                  <c:v>0.42</c:v>
                </c:pt>
                <c:pt idx="2574">
                  <c:v>1.04</c:v>
                </c:pt>
                <c:pt idx="2575">
                  <c:v>0.63</c:v>
                </c:pt>
                <c:pt idx="2576">
                  <c:v>0.79</c:v>
                </c:pt>
                <c:pt idx="2577">
                  <c:v>1.74</c:v>
                </c:pt>
                <c:pt idx="2578">
                  <c:v>0</c:v>
                </c:pt>
                <c:pt idx="2579">
                  <c:v>0</c:v>
                </c:pt>
                <c:pt idx="2580">
                  <c:v>1.31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2.2400000000000002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2.79</c:v>
                </c:pt>
                <c:pt idx="2592">
                  <c:v>2.41</c:v>
                </c:pt>
                <c:pt idx="2593">
                  <c:v>2.52</c:v>
                </c:pt>
                <c:pt idx="2594">
                  <c:v>2.15</c:v>
                </c:pt>
                <c:pt idx="2595">
                  <c:v>2.1</c:v>
                </c:pt>
                <c:pt idx="2596">
                  <c:v>2.73</c:v>
                </c:pt>
                <c:pt idx="2597">
                  <c:v>2.5099999999999998</c:v>
                </c:pt>
                <c:pt idx="2598">
                  <c:v>1.31</c:v>
                </c:pt>
                <c:pt idx="2599">
                  <c:v>0.91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1.39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1.4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2.4500000000000002</c:v>
                </c:pt>
                <c:pt idx="2615">
                  <c:v>0</c:v>
                </c:pt>
                <c:pt idx="2616">
                  <c:v>2.66</c:v>
                </c:pt>
                <c:pt idx="2617">
                  <c:v>2.64</c:v>
                </c:pt>
                <c:pt idx="2618">
                  <c:v>2.5099999999999998</c:v>
                </c:pt>
                <c:pt idx="2619">
                  <c:v>2.4300000000000002</c:v>
                </c:pt>
                <c:pt idx="2620">
                  <c:v>2.48</c:v>
                </c:pt>
                <c:pt idx="2621">
                  <c:v>2.52</c:v>
                </c:pt>
                <c:pt idx="2622">
                  <c:v>1.76</c:v>
                </c:pt>
                <c:pt idx="2623">
                  <c:v>2.27</c:v>
                </c:pt>
                <c:pt idx="2624">
                  <c:v>2.13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1.97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2.5099999999999998</c:v>
                </c:pt>
                <c:pt idx="2643">
                  <c:v>1.93</c:v>
                </c:pt>
                <c:pt idx="2644">
                  <c:v>0</c:v>
                </c:pt>
                <c:pt idx="2645">
                  <c:v>0</c:v>
                </c:pt>
                <c:pt idx="2646">
                  <c:v>1.27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4.38</c:v>
                </c:pt>
                <c:pt idx="2657">
                  <c:v>0</c:v>
                </c:pt>
                <c:pt idx="2658">
                  <c:v>0</c:v>
                </c:pt>
                <c:pt idx="2659">
                  <c:v>3.02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2.59</c:v>
                </c:pt>
                <c:pt idx="2667">
                  <c:v>2.27</c:v>
                </c:pt>
                <c:pt idx="2668">
                  <c:v>2.8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1.66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2.17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1.68</c:v>
                </c:pt>
                <c:pt idx="2684">
                  <c:v>1.5</c:v>
                </c:pt>
                <c:pt idx="2685">
                  <c:v>2.29</c:v>
                </c:pt>
                <c:pt idx="2686">
                  <c:v>1.98</c:v>
                </c:pt>
                <c:pt idx="2687">
                  <c:v>2.5299999999999998</c:v>
                </c:pt>
                <c:pt idx="2688">
                  <c:v>2.63</c:v>
                </c:pt>
                <c:pt idx="2689">
                  <c:v>1.99</c:v>
                </c:pt>
                <c:pt idx="2690">
                  <c:v>1.98</c:v>
                </c:pt>
                <c:pt idx="2691">
                  <c:v>1.61</c:v>
                </c:pt>
                <c:pt idx="2692">
                  <c:v>2.31</c:v>
                </c:pt>
                <c:pt idx="2693">
                  <c:v>2.54</c:v>
                </c:pt>
                <c:pt idx="2694">
                  <c:v>1.77</c:v>
                </c:pt>
                <c:pt idx="2695">
                  <c:v>1.88</c:v>
                </c:pt>
                <c:pt idx="2696">
                  <c:v>0</c:v>
                </c:pt>
                <c:pt idx="2697">
                  <c:v>0</c:v>
                </c:pt>
                <c:pt idx="2698">
                  <c:v>3.04</c:v>
                </c:pt>
                <c:pt idx="2699">
                  <c:v>2.2000000000000002</c:v>
                </c:pt>
                <c:pt idx="2700">
                  <c:v>2.78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1.67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2.57</c:v>
                </c:pt>
                <c:pt idx="2709">
                  <c:v>2.84</c:v>
                </c:pt>
                <c:pt idx="2710">
                  <c:v>3.1</c:v>
                </c:pt>
                <c:pt idx="2711">
                  <c:v>2.29</c:v>
                </c:pt>
                <c:pt idx="2712">
                  <c:v>2.17</c:v>
                </c:pt>
                <c:pt idx="2713">
                  <c:v>2.14</c:v>
                </c:pt>
                <c:pt idx="2714">
                  <c:v>2.19</c:v>
                </c:pt>
                <c:pt idx="2715">
                  <c:v>1.87</c:v>
                </c:pt>
                <c:pt idx="2716">
                  <c:v>1.97</c:v>
                </c:pt>
                <c:pt idx="2717">
                  <c:v>2.1800000000000002</c:v>
                </c:pt>
                <c:pt idx="2718">
                  <c:v>0</c:v>
                </c:pt>
                <c:pt idx="2719">
                  <c:v>0</c:v>
                </c:pt>
                <c:pt idx="2720">
                  <c:v>1.49</c:v>
                </c:pt>
                <c:pt idx="2721">
                  <c:v>1.75</c:v>
                </c:pt>
                <c:pt idx="2722">
                  <c:v>1.95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4.68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4.16</c:v>
                </c:pt>
                <c:pt idx="2735">
                  <c:v>4.21</c:v>
                </c:pt>
                <c:pt idx="2736">
                  <c:v>3.99</c:v>
                </c:pt>
                <c:pt idx="2737">
                  <c:v>3.69</c:v>
                </c:pt>
                <c:pt idx="2738">
                  <c:v>3.45</c:v>
                </c:pt>
                <c:pt idx="2739">
                  <c:v>3.43</c:v>
                </c:pt>
                <c:pt idx="2740">
                  <c:v>4.3</c:v>
                </c:pt>
                <c:pt idx="2741">
                  <c:v>4</c:v>
                </c:pt>
                <c:pt idx="2742">
                  <c:v>1.88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2.37</c:v>
                </c:pt>
                <c:pt idx="2747">
                  <c:v>1.98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2.39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4.1500000000000004</c:v>
                </c:pt>
                <c:pt idx="2759">
                  <c:v>0</c:v>
                </c:pt>
                <c:pt idx="2760">
                  <c:v>4.01</c:v>
                </c:pt>
                <c:pt idx="2761">
                  <c:v>3.32</c:v>
                </c:pt>
                <c:pt idx="2762">
                  <c:v>3.33</c:v>
                </c:pt>
                <c:pt idx="2763">
                  <c:v>3.29</c:v>
                </c:pt>
                <c:pt idx="2764">
                  <c:v>3.4</c:v>
                </c:pt>
                <c:pt idx="2765">
                  <c:v>3.09</c:v>
                </c:pt>
                <c:pt idx="2766">
                  <c:v>1.64</c:v>
                </c:pt>
                <c:pt idx="2767">
                  <c:v>1.29</c:v>
                </c:pt>
                <c:pt idx="2768">
                  <c:v>1.32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1.21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3.56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3.2</c:v>
                </c:pt>
                <c:pt idx="2783">
                  <c:v>2.5299999999999998</c:v>
                </c:pt>
                <c:pt idx="2784">
                  <c:v>2.5099999999999998</c:v>
                </c:pt>
                <c:pt idx="2785">
                  <c:v>2.83</c:v>
                </c:pt>
                <c:pt idx="2786">
                  <c:v>2.46</c:v>
                </c:pt>
                <c:pt idx="2787">
                  <c:v>2.19</c:v>
                </c:pt>
                <c:pt idx="2788">
                  <c:v>2.4300000000000002</c:v>
                </c:pt>
                <c:pt idx="2789">
                  <c:v>2.0699999999999998</c:v>
                </c:pt>
                <c:pt idx="2790">
                  <c:v>1.1599999999999999</c:v>
                </c:pt>
                <c:pt idx="2791">
                  <c:v>0.94</c:v>
                </c:pt>
                <c:pt idx="2792">
                  <c:v>0</c:v>
                </c:pt>
                <c:pt idx="2793">
                  <c:v>0</c:v>
                </c:pt>
                <c:pt idx="2794">
                  <c:v>1.77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1.51</c:v>
                </c:pt>
                <c:pt idx="2804">
                  <c:v>2.16</c:v>
                </c:pt>
                <c:pt idx="2805">
                  <c:v>2.35</c:v>
                </c:pt>
                <c:pt idx="2806">
                  <c:v>2.69</c:v>
                </c:pt>
                <c:pt idx="2807">
                  <c:v>2.16</c:v>
                </c:pt>
                <c:pt idx="2808">
                  <c:v>1.88</c:v>
                </c:pt>
                <c:pt idx="2809">
                  <c:v>1.96</c:v>
                </c:pt>
                <c:pt idx="2810">
                  <c:v>1.6</c:v>
                </c:pt>
                <c:pt idx="2811">
                  <c:v>1.68</c:v>
                </c:pt>
                <c:pt idx="2812">
                  <c:v>1.87</c:v>
                </c:pt>
                <c:pt idx="2813">
                  <c:v>1.91</c:v>
                </c:pt>
                <c:pt idx="2814">
                  <c:v>0.86</c:v>
                </c:pt>
                <c:pt idx="2815">
                  <c:v>1.49</c:v>
                </c:pt>
                <c:pt idx="2816">
                  <c:v>0</c:v>
                </c:pt>
                <c:pt idx="2817">
                  <c:v>0</c:v>
                </c:pt>
                <c:pt idx="2818">
                  <c:v>2.69</c:v>
                </c:pt>
                <c:pt idx="2819">
                  <c:v>3.74</c:v>
                </c:pt>
                <c:pt idx="2820">
                  <c:v>2.2000000000000002</c:v>
                </c:pt>
                <c:pt idx="2821">
                  <c:v>2.59</c:v>
                </c:pt>
                <c:pt idx="2822">
                  <c:v>3</c:v>
                </c:pt>
                <c:pt idx="2823">
                  <c:v>2.65</c:v>
                </c:pt>
                <c:pt idx="2824">
                  <c:v>0</c:v>
                </c:pt>
                <c:pt idx="2825">
                  <c:v>0</c:v>
                </c:pt>
                <c:pt idx="2826">
                  <c:v>1.45</c:v>
                </c:pt>
                <c:pt idx="2827">
                  <c:v>1.63</c:v>
                </c:pt>
                <c:pt idx="2828">
                  <c:v>2.2200000000000002</c:v>
                </c:pt>
                <c:pt idx="2829">
                  <c:v>2.58</c:v>
                </c:pt>
                <c:pt idx="2830">
                  <c:v>2.06</c:v>
                </c:pt>
                <c:pt idx="2831">
                  <c:v>1.69</c:v>
                </c:pt>
                <c:pt idx="2832">
                  <c:v>2.19</c:v>
                </c:pt>
                <c:pt idx="2833">
                  <c:v>1.5</c:v>
                </c:pt>
                <c:pt idx="2834">
                  <c:v>1.65</c:v>
                </c:pt>
                <c:pt idx="2835">
                  <c:v>1.47</c:v>
                </c:pt>
                <c:pt idx="2836">
                  <c:v>2.0099999999999998</c:v>
                </c:pt>
                <c:pt idx="2837">
                  <c:v>1.54</c:v>
                </c:pt>
                <c:pt idx="2838">
                  <c:v>0.91</c:v>
                </c:pt>
                <c:pt idx="2839">
                  <c:v>1.19</c:v>
                </c:pt>
                <c:pt idx="2840">
                  <c:v>0.99</c:v>
                </c:pt>
                <c:pt idx="2841">
                  <c:v>1.17</c:v>
                </c:pt>
                <c:pt idx="2842">
                  <c:v>2.11</c:v>
                </c:pt>
                <c:pt idx="2843">
                  <c:v>0</c:v>
                </c:pt>
                <c:pt idx="2844">
                  <c:v>0</c:v>
                </c:pt>
                <c:pt idx="2845">
                  <c:v>2.25</c:v>
                </c:pt>
                <c:pt idx="2846">
                  <c:v>3.17</c:v>
                </c:pt>
                <c:pt idx="2847">
                  <c:v>1.83</c:v>
                </c:pt>
                <c:pt idx="2848">
                  <c:v>0</c:v>
                </c:pt>
                <c:pt idx="2849">
                  <c:v>0</c:v>
                </c:pt>
                <c:pt idx="2850">
                  <c:v>1.58</c:v>
                </c:pt>
                <c:pt idx="2851">
                  <c:v>1.63</c:v>
                </c:pt>
                <c:pt idx="2852">
                  <c:v>1.27</c:v>
                </c:pt>
                <c:pt idx="2853">
                  <c:v>1.65</c:v>
                </c:pt>
                <c:pt idx="2854">
                  <c:v>2.4900000000000002</c:v>
                </c:pt>
                <c:pt idx="2855">
                  <c:v>2.54</c:v>
                </c:pt>
                <c:pt idx="2856">
                  <c:v>2.42</c:v>
                </c:pt>
                <c:pt idx="2857">
                  <c:v>2.02</c:v>
                </c:pt>
                <c:pt idx="2858">
                  <c:v>1.67</c:v>
                </c:pt>
                <c:pt idx="2859">
                  <c:v>1.76</c:v>
                </c:pt>
                <c:pt idx="2860">
                  <c:v>2.78</c:v>
                </c:pt>
                <c:pt idx="2861">
                  <c:v>1.33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2.86</c:v>
                </c:pt>
                <c:pt idx="2875">
                  <c:v>2.38</c:v>
                </c:pt>
                <c:pt idx="2876">
                  <c:v>2.5499999999999998</c:v>
                </c:pt>
                <c:pt idx="2877">
                  <c:v>2.04</c:v>
                </c:pt>
                <c:pt idx="2878">
                  <c:v>2.4700000000000002</c:v>
                </c:pt>
                <c:pt idx="2879">
                  <c:v>3.3</c:v>
                </c:pt>
                <c:pt idx="2880">
                  <c:v>3.65</c:v>
                </c:pt>
                <c:pt idx="2881">
                  <c:v>3.38</c:v>
                </c:pt>
                <c:pt idx="2882">
                  <c:v>3.51</c:v>
                </c:pt>
                <c:pt idx="2883">
                  <c:v>3.13</c:v>
                </c:pt>
                <c:pt idx="2884">
                  <c:v>3.58</c:v>
                </c:pt>
                <c:pt idx="2885">
                  <c:v>3.52</c:v>
                </c:pt>
                <c:pt idx="2886">
                  <c:v>2.2799999999999998</c:v>
                </c:pt>
                <c:pt idx="2887">
                  <c:v>1</c:v>
                </c:pt>
                <c:pt idx="2888">
                  <c:v>0.98</c:v>
                </c:pt>
                <c:pt idx="2889">
                  <c:v>1.3</c:v>
                </c:pt>
                <c:pt idx="2890">
                  <c:v>0</c:v>
                </c:pt>
                <c:pt idx="2891">
                  <c:v>0</c:v>
                </c:pt>
                <c:pt idx="2892">
                  <c:v>2.29</c:v>
                </c:pt>
                <c:pt idx="2893">
                  <c:v>1.24</c:v>
                </c:pt>
                <c:pt idx="2894">
                  <c:v>1.1000000000000001</c:v>
                </c:pt>
                <c:pt idx="2895">
                  <c:v>2.34</c:v>
                </c:pt>
                <c:pt idx="2896">
                  <c:v>0</c:v>
                </c:pt>
                <c:pt idx="2897">
                  <c:v>0</c:v>
                </c:pt>
                <c:pt idx="2898">
                  <c:v>1.59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2.2400000000000002</c:v>
                </c:pt>
                <c:pt idx="2903">
                  <c:v>2.56</c:v>
                </c:pt>
                <c:pt idx="2904">
                  <c:v>2.82</c:v>
                </c:pt>
                <c:pt idx="2905">
                  <c:v>2.57</c:v>
                </c:pt>
                <c:pt idx="2906">
                  <c:v>2.33</c:v>
                </c:pt>
                <c:pt idx="2907">
                  <c:v>2.19</c:v>
                </c:pt>
                <c:pt idx="2908">
                  <c:v>2.97</c:v>
                </c:pt>
                <c:pt idx="2909">
                  <c:v>2.1</c:v>
                </c:pt>
                <c:pt idx="2910">
                  <c:v>1.33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1.1000000000000001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1.0900000000000001</c:v>
                </c:pt>
                <c:pt idx="2925">
                  <c:v>1.29</c:v>
                </c:pt>
                <c:pt idx="2926">
                  <c:v>0</c:v>
                </c:pt>
                <c:pt idx="2927">
                  <c:v>0</c:v>
                </c:pt>
                <c:pt idx="2928">
                  <c:v>1.71</c:v>
                </c:pt>
                <c:pt idx="2929">
                  <c:v>1.49</c:v>
                </c:pt>
                <c:pt idx="2930">
                  <c:v>1.5</c:v>
                </c:pt>
                <c:pt idx="2931">
                  <c:v>1.19</c:v>
                </c:pt>
                <c:pt idx="2932">
                  <c:v>1.61</c:v>
                </c:pt>
                <c:pt idx="2933">
                  <c:v>1.33</c:v>
                </c:pt>
                <c:pt idx="2934">
                  <c:v>0.9</c:v>
                </c:pt>
                <c:pt idx="2935">
                  <c:v>1.48</c:v>
                </c:pt>
                <c:pt idx="2936">
                  <c:v>2.87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2.86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1.82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3.91</c:v>
                </c:pt>
                <c:pt idx="2951">
                  <c:v>3.8</c:v>
                </c:pt>
                <c:pt idx="2952">
                  <c:v>3.79</c:v>
                </c:pt>
                <c:pt idx="2953">
                  <c:v>4.07</c:v>
                </c:pt>
                <c:pt idx="2954">
                  <c:v>3.55</c:v>
                </c:pt>
                <c:pt idx="2955">
                  <c:v>3.37</c:v>
                </c:pt>
                <c:pt idx="2956">
                  <c:v>3.64</c:v>
                </c:pt>
                <c:pt idx="2957">
                  <c:v>3.06</c:v>
                </c:pt>
                <c:pt idx="2958">
                  <c:v>0.87</c:v>
                </c:pt>
                <c:pt idx="2959">
                  <c:v>0</c:v>
                </c:pt>
                <c:pt idx="2960">
                  <c:v>0</c:v>
                </c:pt>
                <c:pt idx="2961">
                  <c:v>1.29</c:v>
                </c:pt>
                <c:pt idx="2962">
                  <c:v>1.68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1.2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3.94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3.02</c:v>
                </c:pt>
                <c:pt idx="2977">
                  <c:v>2.63</c:v>
                </c:pt>
                <c:pt idx="2978">
                  <c:v>2.56</c:v>
                </c:pt>
                <c:pt idx="2979">
                  <c:v>2.5499999999999998</c:v>
                </c:pt>
                <c:pt idx="2980">
                  <c:v>2.54</c:v>
                </c:pt>
                <c:pt idx="2981">
                  <c:v>2.62</c:v>
                </c:pt>
                <c:pt idx="2982">
                  <c:v>0</c:v>
                </c:pt>
                <c:pt idx="2983">
                  <c:v>0</c:v>
                </c:pt>
                <c:pt idx="2984">
                  <c:v>1.34</c:v>
                </c:pt>
                <c:pt idx="2985">
                  <c:v>2.15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1.77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1.37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3.3</c:v>
                </c:pt>
                <c:pt idx="2999">
                  <c:v>0</c:v>
                </c:pt>
                <c:pt idx="3000">
                  <c:v>3.9</c:v>
                </c:pt>
                <c:pt idx="3001">
                  <c:v>3.78</c:v>
                </c:pt>
                <c:pt idx="3002">
                  <c:v>4.0999999999999996</c:v>
                </c:pt>
                <c:pt idx="3003">
                  <c:v>3.73</c:v>
                </c:pt>
                <c:pt idx="3004">
                  <c:v>4.0599999999999996</c:v>
                </c:pt>
                <c:pt idx="3005">
                  <c:v>3.44</c:v>
                </c:pt>
                <c:pt idx="3006">
                  <c:v>0.94</c:v>
                </c:pt>
                <c:pt idx="3007">
                  <c:v>1.07</c:v>
                </c:pt>
                <c:pt idx="3008">
                  <c:v>2.86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3.97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3.91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3.93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5.88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6.93</c:v>
                </c:pt>
                <c:pt idx="3049">
                  <c:v>6.45</c:v>
                </c:pt>
                <c:pt idx="3050">
                  <c:v>6.05</c:v>
                </c:pt>
                <c:pt idx="3051">
                  <c:v>5.79</c:v>
                </c:pt>
                <c:pt idx="3052">
                  <c:v>6.08</c:v>
                </c:pt>
                <c:pt idx="3053">
                  <c:v>5.0999999999999996</c:v>
                </c:pt>
                <c:pt idx="3054">
                  <c:v>1.55</c:v>
                </c:pt>
                <c:pt idx="3055">
                  <c:v>1.23</c:v>
                </c:pt>
                <c:pt idx="3056">
                  <c:v>1.34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2.93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4.0999999999999996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1.46</c:v>
                </c:pt>
                <c:pt idx="3069">
                  <c:v>1.63</c:v>
                </c:pt>
                <c:pt idx="3070">
                  <c:v>1.01</c:v>
                </c:pt>
                <c:pt idx="3071">
                  <c:v>2.36</c:v>
                </c:pt>
                <c:pt idx="3072">
                  <c:v>3.38</c:v>
                </c:pt>
                <c:pt idx="3073">
                  <c:v>2.98</c:v>
                </c:pt>
                <c:pt idx="3074">
                  <c:v>2.67</c:v>
                </c:pt>
                <c:pt idx="3075">
                  <c:v>2.86</c:v>
                </c:pt>
                <c:pt idx="3076">
                  <c:v>2.93</c:v>
                </c:pt>
                <c:pt idx="3077">
                  <c:v>2.76</c:v>
                </c:pt>
                <c:pt idx="3078">
                  <c:v>3.26</c:v>
                </c:pt>
                <c:pt idx="3079">
                  <c:v>3.94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5.72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6</c:v>
                </c:pt>
                <c:pt idx="3093">
                  <c:v>0</c:v>
                </c:pt>
                <c:pt idx="3094">
                  <c:v>0</c:v>
                </c:pt>
                <c:pt idx="3095">
                  <c:v>7.75</c:v>
                </c:pt>
                <c:pt idx="3096">
                  <c:v>7.34</c:v>
                </c:pt>
                <c:pt idx="3097">
                  <c:v>6.56</c:v>
                </c:pt>
                <c:pt idx="3098">
                  <c:v>6.14</c:v>
                </c:pt>
                <c:pt idx="3099">
                  <c:v>6.19</c:v>
                </c:pt>
                <c:pt idx="3100">
                  <c:v>6.85</c:v>
                </c:pt>
                <c:pt idx="3101">
                  <c:v>6.15</c:v>
                </c:pt>
                <c:pt idx="3102">
                  <c:v>4.63</c:v>
                </c:pt>
                <c:pt idx="3103">
                  <c:v>2.41</c:v>
                </c:pt>
                <c:pt idx="3104">
                  <c:v>0.96</c:v>
                </c:pt>
                <c:pt idx="3105">
                  <c:v>1.81</c:v>
                </c:pt>
                <c:pt idx="3106">
                  <c:v>1.67</c:v>
                </c:pt>
                <c:pt idx="3107">
                  <c:v>1.25</c:v>
                </c:pt>
                <c:pt idx="3108">
                  <c:v>1.42</c:v>
                </c:pt>
                <c:pt idx="3109">
                  <c:v>0</c:v>
                </c:pt>
                <c:pt idx="3110">
                  <c:v>4.7699999999999996</c:v>
                </c:pt>
                <c:pt idx="3111">
                  <c:v>4.8499999999999996</c:v>
                </c:pt>
                <c:pt idx="3112">
                  <c:v>5.05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5.34</c:v>
                </c:pt>
                <c:pt idx="3117">
                  <c:v>2.61</c:v>
                </c:pt>
                <c:pt idx="3118">
                  <c:v>2.6</c:v>
                </c:pt>
                <c:pt idx="3119">
                  <c:v>4.17</c:v>
                </c:pt>
                <c:pt idx="3120">
                  <c:v>3.74</c:v>
                </c:pt>
                <c:pt idx="3121">
                  <c:v>3.51</c:v>
                </c:pt>
                <c:pt idx="3122">
                  <c:v>3.37</c:v>
                </c:pt>
                <c:pt idx="3123">
                  <c:v>3.6</c:v>
                </c:pt>
                <c:pt idx="3124">
                  <c:v>3.42</c:v>
                </c:pt>
                <c:pt idx="3125">
                  <c:v>3.52</c:v>
                </c:pt>
                <c:pt idx="3126">
                  <c:v>1.4</c:v>
                </c:pt>
                <c:pt idx="3127">
                  <c:v>1.0900000000000001</c:v>
                </c:pt>
                <c:pt idx="3128">
                  <c:v>2.09</c:v>
                </c:pt>
                <c:pt idx="3129">
                  <c:v>2.5099999999999998</c:v>
                </c:pt>
                <c:pt idx="3130">
                  <c:v>3.53</c:v>
                </c:pt>
                <c:pt idx="3131">
                  <c:v>4.13</c:v>
                </c:pt>
                <c:pt idx="3132">
                  <c:v>3.19</c:v>
                </c:pt>
                <c:pt idx="3133">
                  <c:v>5.48</c:v>
                </c:pt>
                <c:pt idx="3134">
                  <c:v>3.85</c:v>
                </c:pt>
                <c:pt idx="3135">
                  <c:v>2.7</c:v>
                </c:pt>
                <c:pt idx="3136">
                  <c:v>4.2699999999999996</c:v>
                </c:pt>
                <c:pt idx="3137">
                  <c:v>3.84</c:v>
                </c:pt>
                <c:pt idx="3138">
                  <c:v>2.74</c:v>
                </c:pt>
                <c:pt idx="3139">
                  <c:v>3.76</c:v>
                </c:pt>
                <c:pt idx="3140">
                  <c:v>3.53</c:v>
                </c:pt>
                <c:pt idx="3141">
                  <c:v>3.28</c:v>
                </c:pt>
                <c:pt idx="3142">
                  <c:v>4.76</c:v>
                </c:pt>
                <c:pt idx="3143">
                  <c:v>4.07</c:v>
                </c:pt>
                <c:pt idx="3144">
                  <c:v>4.1500000000000004</c:v>
                </c:pt>
                <c:pt idx="3145">
                  <c:v>3.5</c:v>
                </c:pt>
                <c:pt idx="3146">
                  <c:v>3.68</c:v>
                </c:pt>
                <c:pt idx="3147">
                  <c:v>3.3</c:v>
                </c:pt>
                <c:pt idx="3148">
                  <c:v>3.23</c:v>
                </c:pt>
                <c:pt idx="3149">
                  <c:v>3.3</c:v>
                </c:pt>
                <c:pt idx="3150">
                  <c:v>1.61</c:v>
                </c:pt>
                <c:pt idx="3151">
                  <c:v>0.93</c:v>
                </c:pt>
                <c:pt idx="3152">
                  <c:v>0.92</c:v>
                </c:pt>
                <c:pt idx="3153">
                  <c:v>3.34</c:v>
                </c:pt>
                <c:pt idx="3154">
                  <c:v>2.42</c:v>
                </c:pt>
                <c:pt idx="3155">
                  <c:v>2.6</c:v>
                </c:pt>
                <c:pt idx="3156">
                  <c:v>1.29</c:v>
                </c:pt>
                <c:pt idx="3157">
                  <c:v>0.84</c:v>
                </c:pt>
                <c:pt idx="3158">
                  <c:v>0.96</c:v>
                </c:pt>
                <c:pt idx="3159">
                  <c:v>1.05</c:v>
                </c:pt>
                <c:pt idx="3160">
                  <c:v>1.1200000000000001</c:v>
                </c:pt>
                <c:pt idx="3161">
                  <c:v>1.93</c:v>
                </c:pt>
                <c:pt idx="3162">
                  <c:v>1.43</c:v>
                </c:pt>
                <c:pt idx="3163">
                  <c:v>1.84</c:v>
                </c:pt>
                <c:pt idx="3164">
                  <c:v>1.48</c:v>
                </c:pt>
                <c:pt idx="3165">
                  <c:v>2.52</c:v>
                </c:pt>
                <c:pt idx="3166">
                  <c:v>2.71</c:v>
                </c:pt>
                <c:pt idx="3167">
                  <c:v>4.1399999999999997</c:v>
                </c:pt>
                <c:pt idx="3168">
                  <c:v>3.93</c:v>
                </c:pt>
                <c:pt idx="3169">
                  <c:v>4.4400000000000004</c:v>
                </c:pt>
                <c:pt idx="3170">
                  <c:v>3.31</c:v>
                </c:pt>
                <c:pt idx="3171">
                  <c:v>3.28</c:v>
                </c:pt>
                <c:pt idx="3172">
                  <c:v>3.81</c:v>
                </c:pt>
                <c:pt idx="3173">
                  <c:v>3.35</c:v>
                </c:pt>
                <c:pt idx="3174">
                  <c:v>0.95</c:v>
                </c:pt>
                <c:pt idx="3175">
                  <c:v>0.93</c:v>
                </c:pt>
                <c:pt idx="3176">
                  <c:v>1.1100000000000001</c:v>
                </c:pt>
                <c:pt idx="3177">
                  <c:v>1.71</c:v>
                </c:pt>
                <c:pt idx="3178">
                  <c:v>0</c:v>
                </c:pt>
                <c:pt idx="3179">
                  <c:v>0</c:v>
                </c:pt>
                <c:pt idx="3180">
                  <c:v>2.39</c:v>
                </c:pt>
                <c:pt idx="3181">
                  <c:v>3.01</c:v>
                </c:pt>
                <c:pt idx="3182">
                  <c:v>3.67</c:v>
                </c:pt>
                <c:pt idx="3183">
                  <c:v>2.96</c:v>
                </c:pt>
                <c:pt idx="3184">
                  <c:v>3.78</c:v>
                </c:pt>
                <c:pt idx="3185">
                  <c:v>0</c:v>
                </c:pt>
                <c:pt idx="3186">
                  <c:v>2.99</c:v>
                </c:pt>
                <c:pt idx="3187">
                  <c:v>2.93</c:v>
                </c:pt>
                <c:pt idx="3188">
                  <c:v>2.83</c:v>
                </c:pt>
                <c:pt idx="3189">
                  <c:v>2.78</c:v>
                </c:pt>
                <c:pt idx="3190">
                  <c:v>3.27</c:v>
                </c:pt>
                <c:pt idx="3191">
                  <c:v>3.05</c:v>
                </c:pt>
                <c:pt idx="3192">
                  <c:v>3.08</c:v>
                </c:pt>
                <c:pt idx="3193">
                  <c:v>2.82</c:v>
                </c:pt>
                <c:pt idx="3194">
                  <c:v>2.59</c:v>
                </c:pt>
                <c:pt idx="3195">
                  <c:v>2.4700000000000002</c:v>
                </c:pt>
                <c:pt idx="3196">
                  <c:v>2.93</c:v>
                </c:pt>
                <c:pt idx="3197">
                  <c:v>2.77</c:v>
                </c:pt>
                <c:pt idx="3198">
                  <c:v>0.88</c:v>
                </c:pt>
                <c:pt idx="3199">
                  <c:v>1.07</c:v>
                </c:pt>
                <c:pt idx="3200">
                  <c:v>0</c:v>
                </c:pt>
                <c:pt idx="3201">
                  <c:v>1.0900000000000001</c:v>
                </c:pt>
                <c:pt idx="3202">
                  <c:v>1.2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1.99</c:v>
                </c:pt>
                <c:pt idx="3207">
                  <c:v>2.29</c:v>
                </c:pt>
                <c:pt idx="3208">
                  <c:v>2.14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2.54</c:v>
                </c:pt>
                <c:pt idx="3213">
                  <c:v>0</c:v>
                </c:pt>
                <c:pt idx="3214">
                  <c:v>0</c:v>
                </c:pt>
                <c:pt idx="3215">
                  <c:v>3.96</c:v>
                </c:pt>
                <c:pt idx="3216">
                  <c:v>3.74</c:v>
                </c:pt>
                <c:pt idx="3217">
                  <c:v>3.62</c:v>
                </c:pt>
                <c:pt idx="3218">
                  <c:v>3.62</c:v>
                </c:pt>
                <c:pt idx="3219">
                  <c:v>3.28</c:v>
                </c:pt>
                <c:pt idx="3220">
                  <c:v>3.86</c:v>
                </c:pt>
                <c:pt idx="3221">
                  <c:v>3.19</c:v>
                </c:pt>
                <c:pt idx="3222">
                  <c:v>0.87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1.3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3.96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4.6900000000000004</c:v>
                </c:pt>
                <c:pt idx="3242">
                  <c:v>4.63</c:v>
                </c:pt>
                <c:pt idx="3243">
                  <c:v>4.72</c:v>
                </c:pt>
                <c:pt idx="3244">
                  <c:v>4.75</c:v>
                </c:pt>
                <c:pt idx="3245">
                  <c:v>3.34</c:v>
                </c:pt>
                <c:pt idx="3246">
                  <c:v>0</c:v>
                </c:pt>
                <c:pt idx="3247">
                  <c:v>0</c:v>
                </c:pt>
                <c:pt idx="3248">
                  <c:v>3.51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3.09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4.9800000000000004</c:v>
                </c:pt>
                <c:pt idx="3266">
                  <c:v>4.41</c:v>
                </c:pt>
                <c:pt idx="3267">
                  <c:v>4.1500000000000004</c:v>
                </c:pt>
                <c:pt idx="3268">
                  <c:v>4.3600000000000003</c:v>
                </c:pt>
                <c:pt idx="3269">
                  <c:v>0</c:v>
                </c:pt>
                <c:pt idx="3270">
                  <c:v>2.5499999999999998</c:v>
                </c:pt>
                <c:pt idx="3271">
                  <c:v>3.26</c:v>
                </c:pt>
                <c:pt idx="3272">
                  <c:v>3.33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4.7699999999999996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4.1900000000000004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4.9400000000000004</c:v>
                </c:pt>
                <c:pt idx="3289">
                  <c:v>0</c:v>
                </c:pt>
                <c:pt idx="3290">
                  <c:v>0</c:v>
                </c:pt>
                <c:pt idx="3291">
                  <c:v>5.28</c:v>
                </c:pt>
                <c:pt idx="3292">
                  <c:v>4.9400000000000004</c:v>
                </c:pt>
                <c:pt idx="3293">
                  <c:v>5.15</c:v>
                </c:pt>
                <c:pt idx="3294">
                  <c:v>3.55</c:v>
                </c:pt>
                <c:pt idx="3295">
                  <c:v>2.2400000000000002</c:v>
                </c:pt>
                <c:pt idx="3296">
                  <c:v>3.87</c:v>
                </c:pt>
                <c:pt idx="3297">
                  <c:v>3.05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4.9000000000000004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7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7.37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7.47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10.64</c:v>
                </c:pt>
                <c:pt idx="3368">
                  <c:v>9.56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11.57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10.6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9.31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10.06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11.81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12.86</c:v>
                </c:pt>
                <c:pt idx="3425">
                  <c:v>0</c:v>
                </c:pt>
                <c:pt idx="3426">
                  <c:v>0</c:v>
                </c:pt>
                <c:pt idx="3427">
                  <c:v>8.44</c:v>
                </c:pt>
                <c:pt idx="3428">
                  <c:v>12.77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10.45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8.61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13.45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10.16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9.7200000000000006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12.54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14.77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13.93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10.029999999999999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13.38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13.78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11.11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11.78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18.079999999999998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11.68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12.7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11.75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10.65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13.38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13.45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8.18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7.12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16.420000000000002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15.9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9.3800000000000008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8.91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11.04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5.22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11.57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7.13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3.77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12.01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11.68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9.98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11.78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10.18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13.2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14.22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14.59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10.199999999999999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10.119999999999999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11.24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12.61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14.37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11.7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11.06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10.58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12.88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12.66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16.79</c:v>
                </c:pt>
                <c:pt idx="3787">
                  <c:v>8.43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11.58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10.15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13.1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14.75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14.91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13.12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14.47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16.920000000000002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11.54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14.44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16.25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17.84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11.32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0.23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15.45</c:v>
                </c:pt>
                <c:pt idx="3877">
                  <c:v>10.24</c:v>
                </c:pt>
                <c:pt idx="3878">
                  <c:v>12.29</c:v>
                </c:pt>
                <c:pt idx="3879">
                  <c:v>14.78</c:v>
                </c:pt>
                <c:pt idx="3880">
                  <c:v>17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16.079999999999998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10.27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13.02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12.44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12.41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11.96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12.39</c:v>
                </c:pt>
                <c:pt idx="3917">
                  <c:v>1.46</c:v>
                </c:pt>
                <c:pt idx="3918">
                  <c:v>0</c:v>
                </c:pt>
                <c:pt idx="3919">
                  <c:v>0</c:v>
                </c:pt>
                <c:pt idx="3920">
                  <c:v>12.44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10.17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16.02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11.63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9.2100000000000009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9.6300000000000008</c:v>
                </c:pt>
                <c:pt idx="3966">
                  <c:v>8.68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12.98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16.78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16.440000000000001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13.67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10.27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10.47</c:v>
                </c:pt>
                <c:pt idx="3991">
                  <c:v>9.58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11.91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14.58</c:v>
                </c:pt>
                <c:pt idx="4001">
                  <c:v>13.81</c:v>
                </c:pt>
                <c:pt idx="4002">
                  <c:v>12.7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9.68</c:v>
                </c:pt>
                <c:pt idx="4007">
                  <c:v>9.0500000000000007</c:v>
                </c:pt>
                <c:pt idx="4008">
                  <c:v>7.96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7.86</c:v>
                </c:pt>
                <c:pt idx="4013">
                  <c:v>10.43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13.14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13.9</c:v>
                </c:pt>
                <c:pt idx="4024">
                  <c:v>0</c:v>
                </c:pt>
                <c:pt idx="4025">
                  <c:v>0</c:v>
                </c:pt>
                <c:pt idx="4026">
                  <c:v>14.17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12.24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10.039999999999999</c:v>
                </c:pt>
                <c:pt idx="4035">
                  <c:v>7.35</c:v>
                </c:pt>
                <c:pt idx="4036">
                  <c:v>0</c:v>
                </c:pt>
                <c:pt idx="4037">
                  <c:v>0</c:v>
                </c:pt>
                <c:pt idx="4038">
                  <c:v>11.72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13.94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12.55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10.67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10.39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10.78</c:v>
                </c:pt>
                <c:pt idx="4065">
                  <c:v>10.48</c:v>
                </c:pt>
                <c:pt idx="4066">
                  <c:v>10.64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11.96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15.2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11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10.029999999999999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10.29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13.08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13.54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9.89</c:v>
                </c:pt>
                <c:pt idx="4105">
                  <c:v>0</c:v>
                </c:pt>
                <c:pt idx="4106">
                  <c:v>0</c:v>
                </c:pt>
                <c:pt idx="4107">
                  <c:v>9</c:v>
                </c:pt>
                <c:pt idx="4108">
                  <c:v>9.6199999999999992</c:v>
                </c:pt>
                <c:pt idx="4109">
                  <c:v>8.41</c:v>
                </c:pt>
                <c:pt idx="4110">
                  <c:v>6.18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14.33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15.72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12.89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10.53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10.220000000000001</c:v>
                </c:pt>
                <c:pt idx="4133">
                  <c:v>10.62</c:v>
                </c:pt>
                <c:pt idx="4134">
                  <c:v>10.72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13.24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10.83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9.7200000000000006</c:v>
                </c:pt>
                <c:pt idx="4155">
                  <c:v>9.35</c:v>
                </c:pt>
                <c:pt idx="4156">
                  <c:v>9.4499999999999993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12.66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10.220000000000001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10.92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13.08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8.25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8.14</c:v>
                </c:pt>
                <c:pt idx="4181">
                  <c:v>7.56</c:v>
                </c:pt>
                <c:pt idx="4182">
                  <c:v>0</c:v>
                </c:pt>
                <c:pt idx="4183">
                  <c:v>0</c:v>
                </c:pt>
                <c:pt idx="4184">
                  <c:v>9.75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16.579999999999998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11.81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8.9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7.29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11.38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12.27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11.35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10.4</c:v>
                </c:pt>
                <c:pt idx="4227">
                  <c:v>10.02</c:v>
                </c:pt>
                <c:pt idx="4228">
                  <c:v>10.29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14.8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15.8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15.46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10.98</c:v>
                </c:pt>
                <c:pt idx="4251">
                  <c:v>9.5500000000000007</c:v>
                </c:pt>
                <c:pt idx="4252">
                  <c:v>10.44</c:v>
                </c:pt>
                <c:pt idx="4253">
                  <c:v>2.15</c:v>
                </c:pt>
                <c:pt idx="4254">
                  <c:v>0</c:v>
                </c:pt>
                <c:pt idx="4255">
                  <c:v>0</c:v>
                </c:pt>
                <c:pt idx="4256">
                  <c:v>8.9499999999999993</c:v>
                </c:pt>
                <c:pt idx="4257">
                  <c:v>8.75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15.73</c:v>
                </c:pt>
                <c:pt idx="4263">
                  <c:v>0</c:v>
                </c:pt>
                <c:pt idx="4264">
                  <c:v>0</c:v>
                </c:pt>
                <c:pt idx="4265">
                  <c:v>12.74</c:v>
                </c:pt>
                <c:pt idx="4266">
                  <c:v>0</c:v>
                </c:pt>
                <c:pt idx="4267">
                  <c:v>0</c:v>
                </c:pt>
                <c:pt idx="4268">
                  <c:v>16.41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9.94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10.72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12.33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14.45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14.06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10.199999999999999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11.03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11.62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13.95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13.03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13.54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8.58</c:v>
                </c:pt>
                <c:pt idx="4323">
                  <c:v>7.87</c:v>
                </c:pt>
                <c:pt idx="4324">
                  <c:v>7.88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13.74</c:v>
                </c:pt>
                <c:pt idx="4329">
                  <c:v>0</c:v>
                </c:pt>
                <c:pt idx="4330">
                  <c:v>13.5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12.54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11.95</c:v>
                </c:pt>
                <c:pt idx="4341">
                  <c:v>10.02</c:v>
                </c:pt>
                <c:pt idx="4342">
                  <c:v>10.29</c:v>
                </c:pt>
                <c:pt idx="4343">
                  <c:v>0</c:v>
                </c:pt>
                <c:pt idx="4344">
                  <c:v>0</c:v>
                </c:pt>
                <c:pt idx="4345">
                  <c:v>9.2200000000000006</c:v>
                </c:pt>
                <c:pt idx="4346">
                  <c:v>8.82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7.85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18.54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13.19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9.81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9.84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12.47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10.82</c:v>
                </c:pt>
                <c:pt idx="4393">
                  <c:v>11.65</c:v>
                </c:pt>
                <c:pt idx="4394">
                  <c:v>0</c:v>
                </c:pt>
                <c:pt idx="4395">
                  <c:v>0</c:v>
                </c:pt>
                <c:pt idx="4396">
                  <c:v>1.9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15.37</c:v>
                </c:pt>
                <c:pt idx="4417">
                  <c:v>11.65</c:v>
                </c:pt>
                <c:pt idx="4418">
                  <c:v>0</c:v>
                </c:pt>
                <c:pt idx="4419">
                  <c:v>0</c:v>
                </c:pt>
                <c:pt idx="4420">
                  <c:v>11</c:v>
                </c:pt>
                <c:pt idx="4421">
                  <c:v>9.1999999999999993</c:v>
                </c:pt>
                <c:pt idx="4422">
                  <c:v>9.2799999999999994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18.899999999999999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11.91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17.86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18.61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21.82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12.18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20.41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19.28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16.27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17.13</c:v>
                </c:pt>
                <c:pt idx="4541">
                  <c:v>15.37</c:v>
                </c:pt>
                <c:pt idx="4542">
                  <c:v>16.43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16.670000000000002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20.329999999999998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11.01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17.100000000000001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19.12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19.16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14.19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11.33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19.77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14.99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13.53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19.22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20.11</c:v>
                </c:pt>
                <c:pt idx="4624">
                  <c:v>15.47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14.7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14.14</c:v>
                </c:pt>
                <c:pt idx="4637">
                  <c:v>13.73</c:v>
                </c:pt>
                <c:pt idx="4638">
                  <c:v>13.65</c:v>
                </c:pt>
                <c:pt idx="4639">
                  <c:v>11.99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17.809999999999999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16.489999999999998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15.79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14.5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8.86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11.96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17.62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11.24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15.3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14.21</c:v>
                </c:pt>
                <c:pt idx="4709">
                  <c:v>14.3</c:v>
                </c:pt>
                <c:pt idx="4710">
                  <c:v>11.38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17.53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17.62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11.24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15.3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15.05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12.83</c:v>
                </c:pt>
                <c:pt idx="4755">
                  <c:v>9.7899999999999991</c:v>
                </c:pt>
                <c:pt idx="4756">
                  <c:v>12.32</c:v>
                </c:pt>
                <c:pt idx="4757">
                  <c:v>12.75</c:v>
                </c:pt>
                <c:pt idx="4758">
                  <c:v>7.51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18.47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14.21</c:v>
                </c:pt>
                <c:pt idx="4781">
                  <c:v>14.3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17.510000000000002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7.59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18.850000000000001</c:v>
                </c:pt>
                <c:pt idx="4797">
                  <c:v>13.74</c:v>
                </c:pt>
                <c:pt idx="4798">
                  <c:v>17.11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13.58</c:v>
                </c:pt>
                <c:pt idx="4803">
                  <c:v>12.27</c:v>
                </c:pt>
                <c:pt idx="4804">
                  <c:v>12.38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14.59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21.72</c:v>
                </c:pt>
                <c:pt idx="4843">
                  <c:v>7.27</c:v>
                </c:pt>
                <c:pt idx="4844">
                  <c:v>0</c:v>
                </c:pt>
                <c:pt idx="4845">
                  <c:v>0</c:v>
                </c:pt>
                <c:pt idx="4846">
                  <c:v>1.76</c:v>
                </c:pt>
                <c:pt idx="4847">
                  <c:v>17.95</c:v>
                </c:pt>
                <c:pt idx="4848">
                  <c:v>15.33</c:v>
                </c:pt>
                <c:pt idx="4849">
                  <c:v>5.75</c:v>
                </c:pt>
                <c:pt idx="4850">
                  <c:v>11.88</c:v>
                </c:pt>
                <c:pt idx="4851">
                  <c:v>10.09</c:v>
                </c:pt>
                <c:pt idx="4852">
                  <c:v>10.71</c:v>
                </c:pt>
                <c:pt idx="4853">
                  <c:v>2.68</c:v>
                </c:pt>
                <c:pt idx="4854">
                  <c:v>0</c:v>
                </c:pt>
                <c:pt idx="4855">
                  <c:v>8.8000000000000007</c:v>
                </c:pt>
                <c:pt idx="4856">
                  <c:v>11.01</c:v>
                </c:pt>
                <c:pt idx="4857">
                  <c:v>4.0199999999999996</c:v>
                </c:pt>
                <c:pt idx="4858">
                  <c:v>0</c:v>
                </c:pt>
                <c:pt idx="4859">
                  <c:v>8.19</c:v>
                </c:pt>
                <c:pt idx="4860">
                  <c:v>5.77</c:v>
                </c:pt>
                <c:pt idx="4861">
                  <c:v>2.87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17.77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16.04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11.32</c:v>
                </c:pt>
                <c:pt idx="4877">
                  <c:v>11.45</c:v>
                </c:pt>
                <c:pt idx="4878">
                  <c:v>11.8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20.010000000000002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8.92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10.3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9.43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15.6</c:v>
                </c:pt>
                <c:pt idx="4915">
                  <c:v>13.22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14.63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15.86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13.12</c:v>
                </c:pt>
                <c:pt idx="4947">
                  <c:v>11.67</c:v>
                </c:pt>
                <c:pt idx="4948">
                  <c:v>11.29</c:v>
                </c:pt>
                <c:pt idx="4949">
                  <c:v>12.38</c:v>
                </c:pt>
                <c:pt idx="4950">
                  <c:v>14.06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4.8</c:v>
                </c:pt>
                <c:pt idx="4957">
                  <c:v>0</c:v>
                </c:pt>
                <c:pt idx="4958">
                  <c:v>16.350000000000001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15.16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13.13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9.89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13.94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16.440000000000001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13.89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10.61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12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13.98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16.350000000000001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15.16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13.13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9.89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13.94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14.5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14.46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8.9</c:v>
                </c:pt>
                <c:pt idx="5042">
                  <c:v>9.64</c:v>
                </c:pt>
                <c:pt idx="5043">
                  <c:v>6.1</c:v>
                </c:pt>
                <c:pt idx="5044">
                  <c:v>7.64</c:v>
                </c:pt>
                <c:pt idx="5045">
                  <c:v>8.02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16.16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14.29</c:v>
                </c:pt>
                <c:pt idx="5063">
                  <c:v>0</c:v>
                </c:pt>
                <c:pt idx="5064">
                  <c:v>0</c:v>
                </c:pt>
                <c:pt idx="5065">
                  <c:v>5.66</c:v>
                </c:pt>
                <c:pt idx="5066">
                  <c:v>12.79</c:v>
                </c:pt>
                <c:pt idx="5067">
                  <c:v>4.74</c:v>
                </c:pt>
                <c:pt idx="5068">
                  <c:v>4.74</c:v>
                </c:pt>
                <c:pt idx="5069">
                  <c:v>5.93</c:v>
                </c:pt>
                <c:pt idx="5070">
                  <c:v>17.89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9.7899999999999991</c:v>
                </c:pt>
                <c:pt idx="5091">
                  <c:v>9.07</c:v>
                </c:pt>
                <c:pt idx="5092">
                  <c:v>9.01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12.24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3.7</c:v>
                </c:pt>
                <c:pt idx="5102">
                  <c:v>0</c:v>
                </c:pt>
                <c:pt idx="5103">
                  <c:v>0</c:v>
                </c:pt>
                <c:pt idx="5104">
                  <c:v>14.38</c:v>
                </c:pt>
                <c:pt idx="5105">
                  <c:v>0</c:v>
                </c:pt>
                <c:pt idx="5106">
                  <c:v>4.9400000000000004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10.28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12.81</c:v>
                </c:pt>
                <c:pt idx="5116">
                  <c:v>11.38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13.62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15.06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16.36</c:v>
                </c:pt>
                <c:pt idx="5135">
                  <c:v>13.7</c:v>
                </c:pt>
                <c:pt idx="5136">
                  <c:v>10.64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9.2799999999999994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14.38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8.82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17.71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16.18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18.7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22.44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16.63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9.76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10.82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18.14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17.559999999999999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18.850000000000001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16.239999999999998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15.21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10.37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13.17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11.48</c:v>
                </c:pt>
                <c:pt idx="5283">
                  <c:v>10.31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11.31</c:v>
                </c:pt>
                <c:pt idx="5288">
                  <c:v>9.98</c:v>
                </c:pt>
                <c:pt idx="5289">
                  <c:v>8.49</c:v>
                </c:pt>
                <c:pt idx="5290">
                  <c:v>8.75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16.86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14.53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11.69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12.03</c:v>
                </c:pt>
                <c:pt idx="5311">
                  <c:v>14.42</c:v>
                </c:pt>
                <c:pt idx="5312">
                  <c:v>15.1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18.649999999999999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11.6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19.64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16.21</c:v>
                </c:pt>
                <c:pt idx="5329">
                  <c:v>14.02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12.46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11.52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18.97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12.83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10.82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10.94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12.24</c:v>
                </c:pt>
                <c:pt idx="5387">
                  <c:v>5.43</c:v>
                </c:pt>
                <c:pt idx="5388">
                  <c:v>0</c:v>
                </c:pt>
                <c:pt idx="5389">
                  <c:v>0</c:v>
                </c:pt>
                <c:pt idx="5390">
                  <c:v>13.41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13.89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10.19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10.79</c:v>
                </c:pt>
                <c:pt idx="5405">
                  <c:v>0</c:v>
                </c:pt>
                <c:pt idx="5406">
                  <c:v>0</c:v>
                </c:pt>
                <c:pt idx="5407">
                  <c:v>9.19</c:v>
                </c:pt>
                <c:pt idx="5408">
                  <c:v>11.31</c:v>
                </c:pt>
                <c:pt idx="5409">
                  <c:v>3.64</c:v>
                </c:pt>
                <c:pt idx="5410">
                  <c:v>0</c:v>
                </c:pt>
                <c:pt idx="5411">
                  <c:v>0</c:v>
                </c:pt>
                <c:pt idx="5412">
                  <c:v>10.01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15.15</c:v>
                </c:pt>
                <c:pt idx="5429">
                  <c:v>14.74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16.079999999999998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16</c:v>
                </c:pt>
                <c:pt idx="5439">
                  <c:v>7.69</c:v>
                </c:pt>
                <c:pt idx="5440">
                  <c:v>0</c:v>
                </c:pt>
                <c:pt idx="5441">
                  <c:v>0</c:v>
                </c:pt>
                <c:pt idx="5442">
                  <c:v>14.4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11.98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12.34</c:v>
                </c:pt>
                <c:pt idx="5451">
                  <c:v>11.15</c:v>
                </c:pt>
                <c:pt idx="5452">
                  <c:v>11.34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14.89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17.309999999999999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13.65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13.28</c:v>
                </c:pt>
                <c:pt idx="5471">
                  <c:v>0</c:v>
                </c:pt>
                <c:pt idx="5472">
                  <c:v>0</c:v>
                </c:pt>
                <c:pt idx="5473">
                  <c:v>4.6900000000000004</c:v>
                </c:pt>
                <c:pt idx="5474">
                  <c:v>11.18</c:v>
                </c:pt>
                <c:pt idx="5475">
                  <c:v>3.5</c:v>
                </c:pt>
                <c:pt idx="5476">
                  <c:v>0</c:v>
                </c:pt>
                <c:pt idx="5477">
                  <c:v>8.27</c:v>
                </c:pt>
                <c:pt idx="5478">
                  <c:v>12.52</c:v>
                </c:pt>
                <c:pt idx="5479">
                  <c:v>12.94</c:v>
                </c:pt>
                <c:pt idx="5480">
                  <c:v>13.28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11.02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10.52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9.9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11.62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10.67</c:v>
                </c:pt>
                <c:pt idx="5501">
                  <c:v>11.06</c:v>
                </c:pt>
                <c:pt idx="5502">
                  <c:v>11.72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14.06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14.38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13.4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11.87</c:v>
                </c:pt>
                <c:pt idx="5519">
                  <c:v>7.83</c:v>
                </c:pt>
                <c:pt idx="5520">
                  <c:v>0</c:v>
                </c:pt>
                <c:pt idx="5521">
                  <c:v>6.34</c:v>
                </c:pt>
                <c:pt idx="5522">
                  <c:v>10.07</c:v>
                </c:pt>
                <c:pt idx="5523">
                  <c:v>9.5399999999999991</c:v>
                </c:pt>
                <c:pt idx="5524">
                  <c:v>9.7899999999999991</c:v>
                </c:pt>
                <c:pt idx="5525">
                  <c:v>2.25</c:v>
                </c:pt>
                <c:pt idx="5526">
                  <c:v>0</c:v>
                </c:pt>
                <c:pt idx="5527">
                  <c:v>7.18</c:v>
                </c:pt>
                <c:pt idx="5528">
                  <c:v>12.35</c:v>
                </c:pt>
                <c:pt idx="5529">
                  <c:v>5.37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16.52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13.95</c:v>
                </c:pt>
                <c:pt idx="5541">
                  <c:v>0</c:v>
                </c:pt>
                <c:pt idx="5542">
                  <c:v>0</c:v>
                </c:pt>
                <c:pt idx="5543">
                  <c:v>4.91</c:v>
                </c:pt>
                <c:pt idx="5544">
                  <c:v>9.8699999999999992</c:v>
                </c:pt>
                <c:pt idx="5545">
                  <c:v>0</c:v>
                </c:pt>
                <c:pt idx="5546">
                  <c:v>0</c:v>
                </c:pt>
                <c:pt idx="5547">
                  <c:v>5.29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7.2</c:v>
                </c:pt>
                <c:pt idx="5553">
                  <c:v>8.59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10.29</c:v>
                </c:pt>
                <c:pt idx="5560">
                  <c:v>11.68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10.61</c:v>
                </c:pt>
                <c:pt idx="5565">
                  <c:v>0</c:v>
                </c:pt>
                <c:pt idx="5566">
                  <c:v>0</c:v>
                </c:pt>
                <c:pt idx="5567">
                  <c:v>12.77</c:v>
                </c:pt>
                <c:pt idx="5568">
                  <c:v>11.64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9.7200000000000006</c:v>
                </c:pt>
                <c:pt idx="5573">
                  <c:v>3.13</c:v>
                </c:pt>
                <c:pt idx="5574">
                  <c:v>0</c:v>
                </c:pt>
                <c:pt idx="5575">
                  <c:v>0</c:v>
                </c:pt>
                <c:pt idx="5576">
                  <c:v>11.3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12.85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7.88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12.38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15.55</c:v>
                </c:pt>
                <c:pt idx="5593">
                  <c:v>5.85</c:v>
                </c:pt>
                <c:pt idx="5594">
                  <c:v>0</c:v>
                </c:pt>
                <c:pt idx="5595">
                  <c:v>0</c:v>
                </c:pt>
                <c:pt idx="5596">
                  <c:v>12.01</c:v>
                </c:pt>
                <c:pt idx="5597">
                  <c:v>12.25</c:v>
                </c:pt>
                <c:pt idx="5598">
                  <c:v>13.01</c:v>
                </c:pt>
                <c:pt idx="5599">
                  <c:v>13.51</c:v>
                </c:pt>
                <c:pt idx="5600">
                  <c:v>14</c:v>
                </c:pt>
                <c:pt idx="5601">
                  <c:v>4.28</c:v>
                </c:pt>
                <c:pt idx="5602">
                  <c:v>0</c:v>
                </c:pt>
                <c:pt idx="5603">
                  <c:v>0</c:v>
                </c:pt>
                <c:pt idx="5604">
                  <c:v>16.32</c:v>
                </c:pt>
                <c:pt idx="5605">
                  <c:v>7.43</c:v>
                </c:pt>
                <c:pt idx="5606">
                  <c:v>0</c:v>
                </c:pt>
                <c:pt idx="5607">
                  <c:v>0</c:v>
                </c:pt>
                <c:pt idx="5608">
                  <c:v>13.51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14.4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13.57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12.46</c:v>
                </c:pt>
                <c:pt idx="5621">
                  <c:v>12.92</c:v>
                </c:pt>
                <c:pt idx="5622">
                  <c:v>13.15</c:v>
                </c:pt>
                <c:pt idx="5623">
                  <c:v>14.32</c:v>
                </c:pt>
                <c:pt idx="5624">
                  <c:v>14.5</c:v>
                </c:pt>
                <c:pt idx="5625">
                  <c:v>2.69</c:v>
                </c:pt>
                <c:pt idx="5626">
                  <c:v>0</c:v>
                </c:pt>
                <c:pt idx="5627">
                  <c:v>0</c:v>
                </c:pt>
                <c:pt idx="5628">
                  <c:v>15.46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14.77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16.88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14.07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11.01</c:v>
                </c:pt>
                <c:pt idx="5645">
                  <c:v>11.59</c:v>
                </c:pt>
                <c:pt idx="5646">
                  <c:v>12.86</c:v>
                </c:pt>
                <c:pt idx="5647">
                  <c:v>12.58</c:v>
                </c:pt>
                <c:pt idx="5648">
                  <c:v>12.4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14.4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15.35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10.67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15.1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10.77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13.38</c:v>
                </c:pt>
                <c:pt idx="5673">
                  <c:v>0</c:v>
                </c:pt>
                <c:pt idx="5674">
                  <c:v>0</c:v>
                </c:pt>
                <c:pt idx="5675">
                  <c:v>7.71</c:v>
                </c:pt>
                <c:pt idx="5676">
                  <c:v>15.18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10.38</c:v>
                </c:pt>
                <c:pt idx="5682">
                  <c:v>17.59</c:v>
                </c:pt>
                <c:pt idx="5683">
                  <c:v>0</c:v>
                </c:pt>
                <c:pt idx="5684">
                  <c:v>0</c:v>
                </c:pt>
                <c:pt idx="5685">
                  <c:v>9.26</c:v>
                </c:pt>
                <c:pt idx="5686">
                  <c:v>14.65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11.09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12.07</c:v>
                </c:pt>
                <c:pt idx="5695">
                  <c:v>12.29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7.6</c:v>
                </c:pt>
                <c:pt idx="5702">
                  <c:v>7.49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11.99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12.89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11.04</c:v>
                </c:pt>
                <c:pt idx="5717">
                  <c:v>0</c:v>
                </c:pt>
                <c:pt idx="5718">
                  <c:v>0</c:v>
                </c:pt>
                <c:pt idx="5719">
                  <c:v>6.54</c:v>
                </c:pt>
                <c:pt idx="5720">
                  <c:v>12.57</c:v>
                </c:pt>
                <c:pt idx="5721">
                  <c:v>5.49</c:v>
                </c:pt>
                <c:pt idx="5722">
                  <c:v>5.49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12.73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11.14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11.16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12.7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13.31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12.92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10.33</c:v>
                </c:pt>
                <c:pt idx="5761">
                  <c:v>9.93</c:v>
                </c:pt>
                <c:pt idx="5762">
                  <c:v>8.4600000000000009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10.94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12.75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11.11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9.26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12.33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10.89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12.47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13.09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17.13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16.57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11.88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12.89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16.11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15.88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14.61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2.75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19.899999999999999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16.48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14.16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13.86</c:v>
                </c:pt>
                <c:pt idx="5855">
                  <c:v>0</c:v>
                </c:pt>
                <c:pt idx="5856">
                  <c:v>0</c:v>
                </c:pt>
                <c:pt idx="5857">
                  <c:v>7.46</c:v>
                </c:pt>
                <c:pt idx="5858">
                  <c:v>11.52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20.57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11.1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14.02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12.08</c:v>
                </c:pt>
                <c:pt idx="5883">
                  <c:v>0</c:v>
                </c:pt>
                <c:pt idx="5884">
                  <c:v>0</c:v>
                </c:pt>
                <c:pt idx="5885">
                  <c:v>3.92</c:v>
                </c:pt>
                <c:pt idx="5886">
                  <c:v>6.1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15.38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18.77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15.72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10.69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13.63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12.88</c:v>
                </c:pt>
                <c:pt idx="5927">
                  <c:v>1.29</c:v>
                </c:pt>
                <c:pt idx="5928">
                  <c:v>0</c:v>
                </c:pt>
                <c:pt idx="5929">
                  <c:v>0</c:v>
                </c:pt>
                <c:pt idx="5930">
                  <c:v>10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6.05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10.68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17.670000000000002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5.18</c:v>
                </c:pt>
                <c:pt idx="5951">
                  <c:v>6.29</c:v>
                </c:pt>
                <c:pt idx="5952">
                  <c:v>0</c:v>
                </c:pt>
                <c:pt idx="5953">
                  <c:v>0</c:v>
                </c:pt>
                <c:pt idx="5954">
                  <c:v>8.24</c:v>
                </c:pt>
                <c:pt idx="5955">
                  <c:v>8.0399999999999991</c:v>
                </c:pt>
                <c:pt idx="5956">
                  <c:v>7.56</c:v>
                </c:pt>
                <c:pt idx="5957">
                  <c:v>1.73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12.33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15.97</c:v>
                </c:pt>
                <c:pt idx="5973">
                  <c:v>14.35</c:v>
                </c:pt>
                <c:pt idx="5974">
                  <c:v>12.73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10.7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12.11</c:v>
                </c:pt>
                <c:pt idx="5983">
                  <c:v>11.89</c:v>
                </c:pt>
                <c:pt idx="5984">
                  <c:v>12.3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11.48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11.32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11.72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9.9700000000000006</c:v>
                </c:pt>
                <c:pt idx="6001">
                  <c:v>9.75</c:v>
                </c:pt>
                <c:pt idx="6002">
                  <c:v>9.6</c:v>
                </c:pt>
                <c:pt idx="6003">
                  <c:v>9.06</c:v>
                </c:pt>
                <c:pt idx="6004">
                  <c:v>8.8000000000000007</c:v>
                </c:pt>
                <c:pt idx="6005">
                  <c:v>5.4</c:v>
                </c:pt>
                <c:pt idx="6006">
                  <c:v>0</c:v>
                </c:pt>
                <c:pt idx="6007">
                  <c:v>0</c:v>
                </c:pt>
                <c:pt idx="6008">
                  <c:v>10.81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6.81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15.24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13.25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9.02</c:v>
                </c:pt>
                <c:pt idx="6025">
                  <c:v>8.4600000000000009</c:v>
                </c:pt>
                <c:pt idx="6026">
                  <c:v>8.17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5.82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12.92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12.89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8.82</c:v>
                </c:pt>
                <c:pt idx="6049">
                  <c:v>8.68</c:v>
                </c:pt>
                <c:pt idx="6050">
                  <c:v>9.6</c:v>
                </c:pt>
                <c:pt idx="6051">
                  <c:v>9</c:v>
                </c:pt>
                <c:pt idx="6052">
                  <c:v>8.8800000000000008</c:v>
                </c:pt>
                <c:pt idx="6053">
                  <c:v>3.06</c:v>
                </c:pt>
                <c:pt idx="6054">
                  <c:v>0</c:v>
                </c:pt>
                <c:pt idx="6055">
                  <c:v>0</c:v>
                </c:pt>
                <c:pt idx="6056">
                  <c:v>13.03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14.02</c:v>
                </c:pt>
                <c:pt idx="6062">
                  <c:v>0</c:v>
                </c:pt>
                <c:pt idx="6063">
                  <c:v>0</c:v>
                </c:pt>
                <c:pt idx="6064">
                  <c:v>11.93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10.039999999999999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9.81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10.92</c:v>
                </c:pt>
                <c:pt idx="6079">
                  <c:v>10.61</c:v>
                </c:pt>
                <c:pt idx="6080">
                  <c:v>11.37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14.19</c:v>
                </c:pt>
                <c:pt idx="6085">
                  <c:v>5.24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13.9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8.6300000000000008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9.5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9.74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10.3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8.9499999999999993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10.039999999999999</c:v>
                </c:pt>
                <c:pt idx="6123">
                  <c:v>1.72</c:v>
                </c:pt>
                <c:pt idx="6124">
                  <c:v>8.24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13.22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13.27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12.11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7.96</c:v>
                </c:pt>
                <c:pt idx="6147">
                  <c:v>8.2100000000000009</c:v>
                </c:pt>
                <c:pt idx="6148">
                  <c:v>8.24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9.69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13.35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9.98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13.35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9.1300000000000008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6.66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9.6999999999999993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13.54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5.24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8.5500000000000007</c:v>
                </c:pt>
                <c:pt idx="6192">
                  <c:v>9.14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9.61</c:v>
                </c:pt>
                <c:pt idx="6197">
                  <c:v>10.199999999999999</c:v>
                </c:pt>
                <c:pt idx="6198">
                  <c:v>10.36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10.54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9.7200000000000006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10.119999999999999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9.39</c:v>
                </c:pt>
                <c:pt idx="6219">
                  <c:v>9.67</c:v>
                </c:pt>
                <c:pt idx="6220">
                  <c:v>9.2200000000000006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13.31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10.86</c:v>
                </c:pt>
                <c:pt idx="6241">
                  <c:v>0.99</c:v>
                </c:pt>
                <c:pt idx="6242">
                  <c:v>0</c:v>
                </c:pt>
                <c:pt idx="6243">
                  <c:v>0</c:v>
                </c:pt>
                <c:pt idx="6244">
                  <c:v>8.82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4.68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9.5399999999999991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13.66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4.2</c:v>
                </c:pt>
                <c:pt idx="6267">
                  <c:v>10.68</c:v>
                </c:pt>
                <c:pt idx="6268">
                  <c:v>10.43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11.93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12.22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7.84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8.24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11.46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9.25</c:v>
                </c:pt>
                <c:pt idx="6293">
                  <c:v>9.3699999999999992</c:v>
                </c:pt>
                <c:pt idx="6294">
                  <c:v>9.26</c:v>
                </c:pt>
                <c:pt idx="6295">
                  <c:v>7.79</c:v>
                </c:pt>
                <c:pt idx="6296">
                  <c:v>0</c:v>
                </c:pt>
                <c:pt idx="6297">
                  <c:v>0</c:v>
                </c:pt>
                <c:pt idx="6298">
                  <c:v>11.27</c:v>
                </c:pt>
                <c:pt idx="6299">
                  <c:v>13.08</c:v>
                </c:pt>
                <c:pt idx="6300">
                  <c:v>14.73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16.72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14.05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12.34</c:v>
                </c:pt>
                <c:pt idx="6313">
                  <c:v>9.5399999999999991</c:v>
                </c:pt>
                <c:pt idx="6314">
                  <c:v>9.16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11.6</c:v>
                </c:pt>
                <c:pt idx="6323">
                  <c:v>11.34</c:v>
                </c:pt>
                <c:pt idx="6324">
                  <c:v>11.64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13.04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8.9600000000000009</c:v>
                </c:pt>
                <c:pt idx="6337">
                  <c:v>8.99</c:v>
                </c:pt>
                <c:pt idx="6338">
                  <c:v>9.3000000000000007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10.75</c:v>
                </c:pt>
                <c:pt idx="6343">
                  <c:v>10.92</c:v>
                </c:pt>
                <c:pt idx="6344">
                  <c:v>11.28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12.3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11.79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11.17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8.9499999999999993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9.91</c:v>
                </c:pt>
                <c:pt idx="6367">
                  <c:v>10.51</c:v>
                </c:pt>
                <c:pt idx="6368">
                  <c:v>10.61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11.62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9.75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10.24</c:v>
                </c:pt>
                <c:pt idx="6381">
                  <c:v>0</c:v>
                </c:pt>
                <c:pt idx="6382">
                  <c:v>9.73</c:v>
                </c:pt>
                <c:pt idx="6383">
                  <c:v>6.54</c:v>
                </c:pt>
                <c:pt idx="6384">
                  <c:v>7.55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9.41</c:v>
                </c:pt>
                <c:pt idx="6389">
                  <c:v>8.93</c:v>
                </c:pt>
                <c:pt idx="6390">
                  <c:v>9.24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11.51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7.3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7.68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5</c:v>
                </c:pt>
                <c:pt idx="6409">
                  <c:v>6.78</c:v>
                </c:pt>
                <c:pt idx="6410">
                  <c:v>5.59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7.76</c:v>
                </c:pt>
                <c:pt idx="6415">
                  <c:v>7.82</c:v>
                </c:pt>
                <c:pt idx="6416">
                  <c:v>8.1999999999999993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7.96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9.43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9.3699999999999992</c:v>
                </c:pt>
                <c:pt idx="6433">
                  <c:v>9.27</c:v>
                </c:pt>
                <c:pt idx="6434">
                  <c:v>8.58</c:v>
                </c:pt>
                <c:pt idx="6435">
                  <c:v>8.85</c:v>
                </c:pt>
                <c:pt idx="6436">
                  <c:v>0</c:v>
                </c:pt>
                <c:pt idx="6437">
                  <c:v>0</c:v>
                </c:pt>
                <c:pt idx="6438">
                  <c:v>9.57</c:v>
                </c:pt>
                <c:pt idx="6439">
                  <c:v>9.74</c:v>
                </c:pt>
                <c:pt idx="6440">
                  <c:v>9.98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9.1300000000000008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12.21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9.7200000000000006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6.54</c:v>
                </c:pt>
                <c:pt idx="6457">
                  <c:v>3.69</c:v>
                </c:pt>
                <c:pt idx="6458">
                  <c:v>6.67</c:v>
                </c:pt>
                <c:pt idx="6459">
                  <c:v>0</c:v>
                </c:pt>
                <c:pt idx="6460">
                  <c:v>6.92</c:v>
                </c:pt>
                <c:pt idx="6461">
                  <c:v>8.2100000000000009</c:v>
                </c:pt>
                <c:pt idx="6462">
                  <c:v>9.44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10.97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10.17</c:v>
                </c:pt>
                <c:pt idx="6477">
                  <c:v>9.15</c:v>
                </c:pt>
                <c:pt idx="6478">
                  <c:v>7.86</c:v>
                </c:pt>
                <c:pt idx="6479">
                  <c:v>0</c:v>
                </c:pt>
                <c:pt idx="6480">
                  <c:v>0</c:v>
                </c:pt>
                <c:pt idx="6481">
                  <c:v>7.28</c:v>
                </c:pt>
                <c:pt idx="6482">
                  <c:v>7.15</c:v>
                </c:pt>
                <c:pt idx="6483">
                  <c:v>6.95</c:v>
                </c:pt>
                <c:pt idx="6484">
                  <c:v>6.82</c:v>
                </c:pt>
                <c:pt idx="6485">
                  <c:v>6.83</c:v>
                </c:pt>
                <c:pt idx="6486">
                  <c:v>7.01</c:v>
                </c:pt>
                <c:pt idx="6487">
                  <c:v>6.99</c:v>
                </c:pt>
                <c:pt idx="6488">
                  <c:v>7.31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10.44</c:v>
                </c:pt>
                <c:pt idx="6493">
                  <c:v>13.65</c:v>
                </c:pt>
                <c:pt idx="6494">
                  <c:v>6.2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8.11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5.85</c:v>
                </c:pt>
                <c:pt idx="6503">
                  <c:v>7.87</c:v>
                </c:pt>
                <c:pt idx="6504">
                  <c:v>8.35</c:v>
                </c:pt>
                <c:pt idx="6505">
                  <c:v>7.21</c:v>
                </c:pt>
                <c:pt idx="6506">
                  <c:v>6.53</c:v>
                </c:pt>
                <c:pt idx="6507">
                  <c:v>6.47</c:v>
                </c:pt>
                <c:pt idx="6508">
                  <c:v>6.43</c:v>
                </c:pt>
                <c:pt idx="6509">
                  <c:v>6.78</c:v>
                </c:pt>
                <c:pt idx="6510">
                  <c:v>6.68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10.16</c:v>
                </c:pt>
                <c:pt idx="6516">
                  <c:v>0</c:v>
                </c:pt>
                <c:pt idx="6517">
                  <c:v>0</c:v>
                </c:pt>
                <c:pt idx="6518">
                  <c:v>7.2</c:v>
                </c:pt>
                <c:pt idx="6519">
                  <c:v>7.91</c:v>
                </c:pt>
                <c:pt idx="6520">
                  <c:v>7.03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8.39</c:v>
                </c:pt>
                <c:pt idx="6525">
                  <c:v>8.15</c:v>
                </c:pt>
                <c:pt idx="6526">
                  <c:v>9.02</c:v>
                </c:pt>
                <c:pt idx="6527">
                  <c:v>7.04</c:v>
                </c:pt>
                <c:pt idx="6528">
                  <c:v>4.84</c:v>
                </c:pt>
                <c:pt idx="6529">
                  <c:v>5.28</c:v>
                </c:pt>
                <c:pt idx="6530">
                  <c:v>5.66</c:v>
                </c:pt>
                <c:pt idx="6531">
                  <c:v>6.09</c:v>
                </c:pt>
                <c:pt idx="6532">
                  <c:v>6.01</c:v>
                </c:pt>
                <c:pt idx="6533">
                  <c:v>4.87</c:v>
                </c:pt>
                <c:pt idx="6534">
                  <c:v>0</c:v>
                </c:pt>
                <c:pt idx="6535">
                  <c:v>0</c:v>
                </c:pt>
                <c:pt idx="6536">
                  <c:v>4.1100000000000003</c:v>
                </c:pt>
                <c:pt idx="6537">
                  <c:v>4.09</c:v>
                </c:pt>
                <c:pt idx="6538">
                  <c:v>3.5</c:v>
                </c:pt>
                <c:pt idx="6539">
                  <c:v>5.16</c:v>
                </c:pt>
                <c:pt idx="6540">
                  <c:v>0</c:v>
                </c:pt>
                <c:pt idx="6541">
                  <c:v>0</c:v>
                </c:pt>
                <c:pt idx="6542">
                  <c:v>5.42</c:v>
                </c:pt>
                <c:pt idx="6543">
                  <c:v>5.97</c:v>
                </c:pt>
                <c:pt idx="6544">
                  <c:v>6.89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10.69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3.89</c:v>
                </c:pt>
                <c:pt idx="6553">
                  <c:v>3.75</c:v>
                </c:pt>
                <c:pt idx="6554">
                  <c:v>3.74</c:v>
                </c:pt>
                <c:pt idx="6555">
                  <c:v>3.66</c:v>
                </c:pt>
                <c:pt idx="6556">
                  <c:v>2.81</c:v>
                </c:pt>
                <c:pt idx="6557">
                  <c:v>2.76</c:v>
                </c:pt>
                <c:pt idx="6558">
                  <c:v>2.67</c:v>
                </c:pt>
                <c:pt idx="6559">
                  <c:v>0</c:v>
                </c:pt>
                <c:pt idx="6560">
                  <c:v>1.1399999999999999</c:v>
                </c:pt>
                <c:pt idx="6561">
                  <c:v>2.2200000000000002</c:v>
                </c:pt>
                <c:pt idx="6562">
                  <c:v>3.73</c:v>
                </c:pt>
                <c:pt idx="6563">
                  <c:v>3.57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3.52</c:v>
                </c:pt>
                <c:pt idx="6568">
                  <c:v>3.44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2.5299999999999998</c:v>
                </c:pt>
                <c:pt idx="6573">
                  <c:v>2.92</c:v>
                </c:pt>
                <c:pt idx="6574">
                  <c:v>3.64</c:v>
                </c:pt>
                <c:pt idx="6575">
                  <c:v>3.59</c:v>
                </c:pt>
                <c:pt idx="6576">
                  <c:v>3.54</c:v>
                </c:pt>
                <c:pt idx="6577">
                  <c:v>3.45</c:v>
                </c:pt>
                <c:pt idx="6578">
                  <c:v>3.51</c:v>
                </c:pt>
                <c:pt idx="6579">
                  <c:v>3.44</c:v>
                </c:pt>
                <c:pt idx="6580">
                  <c:v>2.79</c:v>
                </c:pt>
                <c:pt idx="6581">
                  <c:v>2.21</c:v>
                </c:pt>
                <c:pt idx="6582">
                  <c:v>2.71</c:v>
                </c:pt>
                <c:pt idx="6583">
                  <c:v>2.73</c:v>
                </c:pt>
                <c:pt idx="6584">
                  <c:v>2</c:v>
                </c:pt>
                <c:pt idx="6585">
                  <c:v>2.4700000000000002</c:v>
                </c:pt>
                <c:pt idx="6586">
                  <c:v>3.18</c:v>
                </c:pt>
                <c:pt idx="6587">
                  <c:v>3.27</c:v>
                </c:pt>
                <c:pt idx="6588">
                  <c:v>0</c:v>
                </c:pt>
                <c:pt idx="6589">
                  <c:v>0</c:v>
                </c:pt>
                <c:pt idx="6590">
                  <c:v>2.71</c:v>
                </c:pt>
                <c:pt idx="6591">
                  <c:v>3.93</c:v>
                </c:pt>
                <c:pt idx="6592">
                  <c:v>3.32</c:v>
                </c:pt>
                <c:pt idx="6593">
                  <c:v>2.1800000000000002</c:v>
                </c:pt>
                <c:pt idx="6594">
                  <c:v>2.61</c:v>
                </c:pt>
                <c:pt idx="6595">
                  <c:v>2.2000000000000002</c:v>
                </c:pt>
                <c:pt idx="6596">
                  <c:v>2.61</c:v>
                </c:pt>
                <c:pt idx="6597">
                  <c:v>2.5</c:v>
                </c:pt>
                <c:pt idx="6598">
                  <c:v>2.17</c:v>
                </c:pt>
                <c:pt idx="6599">
                  <c:v>2.5499999999999998</c:v>
                </c:pt>
                <c:pt idx="6600">
                  <c:v>2.4300000000000002</c:v>
                </c:pt>
                <c:pt idx="6601">
                  <c:v>1.35</c:v>
                </c:pt>
                <c:pt idx="6602">
                  <c:v>1.1100000000000001</c:v>
                </c:pt>
                <c:pt idx="6603">
                  <c:v>2.5099999999999998</c:v>
                </c:pt>
                <c:pt idx="6604">
                  <c:v>1.59</c:v>
                </c:pt>
                <c:pt idx="6605">
                  <c:v>1.51</c:v>
                </c:pt>
                <c:pt idx="6606">
                  <c:v>1.48</c:v>
                </c:pt>
                <c:pt idx="6607">
                  <c:v>0.8</c:v>
                </c:pt>
                <c:pt idx="6608">
                  <c:v>0.64</c:v>
                </c:pt>
                <c:pt idx="6609">
                  <c:v>1.02</c:v>
                </c:pt>
                <c:pt idx="6610">
                  <c:v>1.95</c:v>
                </c:pt>
                <c:pt idx="6611">
                  <c:v>1.83</c:v>
                </c:pt>
                <c:pt idx="6612">
                  <c:v>0</c:v>
                </c:pt>
                <c:pt idx="6613">
                  <c:v>0</c:v>
                </c:pt>
                <c:pt idx="6614">
                  <c:v>1.64</c:v>
                </c:pt>
                <c:pt idx="6615">
                  <c:v>1.3</c:v>
                </c:pt>
                <c:pt idx="6616">
                  <c:v>2.4500000000000002</c:v>
                </c:pt>
                <c:pt idx="6617">
                  <c:v>3.33</c:v>
                </c:pt>
                <c:pt idx="6618">
                  <c:v>0</c:v>
                </c:pt>
                <c:pt idx="6619">
                  <c:v>3.32</c:v>
                </c:pt>
                <c:pt idx="6620">
                  <c:v>2.7</c:v>
                </c:pt>
                <c:pt idx="6621">
                  <c:v>1.45</c:v>
                </c:pt>
                <c:pt idx="6622">
                  <c:v>2.4900000000000002</c:v>
                </c:pt>
                <c:pt idx="6623">
                  <c:v>2.25</c:v>
                </c:pt>
                <c:pt idx="6624">
                  <c:v>2.2200000000000002</c:v>
                </c:pt>
                <c:pt idx="6625">
                  <c:v>2.12</c:v>
                </c:pt>
                <c:pt idx="6626">
                  <c:v>2.17</c:v>
                </c:pt>
                <c:pt idx="6627">
                  <c:v>2.09</c:v>
                </c:pt>
                <c:pt idx="6628">
                  <c:v>1.48</c:v>
                </c:pt>
                <c:pt idx="6629">
                  <c:v>1.53</c:v>
                </c:pt>
                <c:pt idx="6630">
                  <c:v>1.44</c:v>
                </c:pt>
                <c:pt idx="6631">
                  <c:v>1.71</c:v>
                </c:pt>
                <c:pt idx="6632">
                  <c:v>0.84</c:v>
                </c:pt>
                <c:pt idx="6633">
                  <c:v>0.6</c:v>
                </c:pt>
                <c:pt idx="6634">
                  <c:v>0.59</c:v>
                </c:pt>
                <c:pt idx="6635">
                  <c:v>1.3</c:v>
                </c:pt>
                <c:pt idx="6636">
                  <c:v>1.01</c:v>
                </c:pt>
                <c:pt idx="6637">
                  <c:v>0.82</c:v>
                </c:pt>
                <c:pt idx="6638">
                  <c:v>1.1599999999999999</c:v>
                </c:pt>
                <c:pt idx="6639">
                  <c:v>5.81</c:v>
                </c:pt>
                <c:pt idx="6640">
                  <c:v>9.4600000000000009</c:v>
                </c:pt>
                <c:pt idx="6641">
                  <c:v>10.09</c:v>
                </c:pt>
                <c:pt idx="6642">
                  <c:v>10.67</c:v>
                </c:pt>
                <c:pt idx="6643">
                  <c:v>10.53</c:v>
                </c:pt>
                <c:pt idx="6644">
                  <c:v>9.93</c:v>
                </c:pt>
                <c:pt idx="6645">
                  <c:v>7.96</c:v>
                </c:pt>
                <c:pt idx="6646">
                  <c:v>5.49</c:v>
                </c:pt>
                <c:pt idx="6647">
                  <c:v>5.33</c:v>
                </c:pt>
                <c:pt idx="6648">
                  <c:v>5.1100000000000003</c:v>
                </c:pt>
                <c:pt idx="6649">
                  <c:v>4.99</c:v>
                </c:pt>
                <c:pt idx="6650">
                  <c:v>4.91</c:v>
                </c:pt>
                <c:pt idx="6651">
                  <c:v>5.04</c:v>
                </c:pt>
                <c:pt idx="6652">
                  <c:v>4.22</c:v>
                </c:pt>
                <c:pt idx="6653">
                  <c:v>4.26</c:v>
                </c:pt>
                <c:pt idx="6654">
                  <c:v>4.29</c:v>
                </c:pt>
                <c:pt idx="6655">
                  <c:v>4.47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8.4</c:v>
                </c:pt>
                <c:pt idx="6660">
                  <c:v>7.98</c:v>
                </c:pt>
                <c:pt idx="6661">
                  <c:v>7.23</c:v>
                </c:pt>
                <c:pt idx="6662">
                  <c:v>8.24</c:v>
                </c:pt>
                <c:pt idx="6663">
                  <c:v>7.78</c:v>
                </c:pt>
                <c:pt idx="6664">
                  <c:v>8.02</c:v>
                </c:pt>
                <c:pt idx="6665">
                  <c:v>7.6</c:v>
                </c:pt>
                <c:pt idx="6666">
                  <c:v>7.03</c:v>
                </c:pt>
                <c:pt idx="6667">
                  <c:v>5.43</c:v>
                </c:pt>
                <c:pt idx="6668">
                  <c:v>3.06</c:v>
                </c:pt>
                <c:pt idx="6669">
                  <c:v>2.38</c:v>
                </c:pt>
                <c:pt idx="6670">
                  <c:v>2.4</c:v>
                </c:pt>
                <c:pt idx="6671">
                  <c:v>2.0299999999999998</c:v>
                </c:pt>
                <c:pt idx="6672">
                  <c:v>2.4700000000000002</c:v>
                </c:pt>
                <c:pt idx="6673">
                  <c:v>3.19</c:v>
                </c:pt>
                <c:pt idx="6674">
                  <c:v>3.48</c:v>
                </c:pt>
                <c:pt idx="6675">
                  <c:v>3.32</c:v>
                </c:pt>
                <c:pt idx="6676">
                  <c:v>3.44</c:v>
                </c:pt>
                <c:pt idx="6677">
                  <c:v>2.6</c:v>
                </c:pt>
                <c:pt idx="6678">
                  <c:v>1.82</c:v>
                </c:pt>
                <c:pt idx="6679">
                  <c:v>1.54</c:v>
                </c:pt>
                <c:pt idx="6680">
                  <c:v>1.96</c:v>
                </c:pt>
                <c:pt idx="6681">
                  <c:v>1.19</c:v>
                </c:pt>
                <c:pt idx="6682">
                  <c:v>1.1399999999999999</c:v>
                </c:pt>
                <c:pt idx="6683">
                  <c:v>0.66</c:v>
                </c:pt>
                <c:pt idx="6684">
                  <c:v>0.63</c:v>
                </c:pt>
                <c:pt idx="6685">
                  <c:v>0.62</c:v>
                </c:pt>
                <c:pt idx="6686">
                  <c:v>1.68</c:v>
                </c:pt>
                <c:pt idx="6687">
                  <c:v>1.1499999999999999</c:v>
                </c:pt>
                <c:pt idx="6688">
                  <c:v>0.88</c:v>
                </c:pt>
                <c:pt idx="6689">
                  <c:v>1.05</c:v>
                </c:pt>
                <c:pt idx="6690">
                  <c:v>1.07</c:v>
                </c:pt>
                <c:pt idx="6691">
                  <c:v>1.04</c:v>
                </c:pt>
                <c:pt idx="6692">
                  <c:v>1.01</c:v>
                </c:pt>
                <c:pt idx="6693">
                  <c:v>2.5</c:v>
                </c:pt>
                <c:pt idx="6694">
                  <c:v>3.22</c:v>
                </c:pt>
                <c:pt idx="6695">
                  <c:v>2.1800000000000002</c:v>
                </c:pt>
                <c:pt idx="6696">
                  <c:v>2.3199999999999998</c:v>
                </c:pt>
                <c:pt idx="6697">
                  <c:v>2.2000000000000002</c:v>
                </c:pt>
                <c:pt idx="6698">
                  <c:v>2.13</c:v>
                </c:pt>
                <c:pt idx="6699">
                  <c:v>1.64</c:v>
                </c:pt>
                <c:pt idx="6700">
                  <c:v>1.98</c:v>
                </c:pt>
                <c:pt idx="6701">
                  <c:v>1.41</c:v>
                </c:pt>
                <c:pt idx="6702">
                  <c:v>1.61</c:v>
                </c:pt>
                <c:pt idx="6703">
                  <c:v>0.94</c:v>
                </c:pt>
                <c:pt idx="6704">
                  <c:v>0.7</c:v>
                </c:pt>
                <c:pt idx="6705">
                  <c:v>1.38</c:v>
                </c:pt>
                <c:pt idx="6706">
                  <c:v>1.42</c:v>
                </c:pt>
                <c:pt idx="6707">
                  <c:v>1.21</c:v>
                </c:pt>
                <c:pt idx="6708">
                  <c:v>0</c:v>
                </c:pt>
                <c:pt idx="6709">
                  <c:v>0</c:v>
                </c:pt>
                <c:pt idx="6710">
                  <c:v>5.96</c:v>
                </c:pt>
                <c:pt idx="6711">
                  <c:v>6.28</c:v>
                </c:pt>
                <c:pt idx="6712">
                  <c:v>4.82</c:v>
                </c:pt>
                <c:pt idx="6713">
                  <c:v>5.22</c:v>
                </c:pt>
                <c:pt idx="6714">
                  <c:v>0</c:v>
                </c:pt>
                <c:pt idx="6715">
                  <c:v>0</c:v>
                </c:pt>
                <c:pt idx="6716">
                  <c:v>2.27</c:v>
                </c:pt>
                <c:pt idx="6717">
                  <c:v>4.04</c:v>
                </c:pt>
                <c:pt idx="6718">
                  <c:v>2.73</c:v>
                </c:pt>
                <c:pt idx="6719">
                  <c:v>2.44</c:v>
                </c:pt>
                <c:pt idx="6720">
                  <c:v>2.4700000000000002</c:v>
                </c:pt>
                <c:pt idx="6721">
                  <c:v>2.33</c:v>
                </c:pt>
                <c:pt idx="6722">
                  <c:v>2.4</c:v>
                </c:pt>
                <c:pt idx="6723">
                  <c:v>2.39</c:v>
                </c:pt>
                <c:pt idx="6724">
                  <c:v>1.58</c:v>
                </c:pt>
                <c:pt idx="6725">
                  <c:v>1.5</c:v>
                </c:pt>
                <c:pt idx="6726">
                  <c:v>1.5</c:v>
                </c:pt>
                <c:pt idx="6727">
                  <c:v>1.96</c:v>
                </c:pt>
                <c:pt idx="6728">
                  <c:v>2.75</c:v>
                </c:pt>
                <c:pt idx="6729">
                  <c:v>2.97</c:v>
                </c:pt>
                <c:pt idx="6730">
                  <c:v>2.89</c:v>
                </c:pt>
                <c:pt idx="6731">
                  <c:v>0</c:v>
                </c:pt>
                <c:pt idx="6732">
                  <c:v>0</c:v>
                </c:pt>
                <c:pt idx="6733">
                  <c:v>6.86</c:v>
                </c:pt>
                <c:pt idx="6734">
                  <c:v>4.53</c:v>
                </c:pt>
                <c:pt idx="6735">
                  <c:v>5.33</c:v>
                </c:pt>
                <c:pt idx="6736">
                  <c:v>4.67</c:v>
                </c:pt>
                <c:pt idx="6737">
                  <c:v>5.4</c:v>
                </c:pt>
                <c:pt idx="6738">
                  <c:v>5.69</c:v>
                </c:pt>
                <c:pt idx="6739">
                  <c:v>4.76</c:v>
                </c:pt>
                <c:pt idx="6740">
                  <c:v>4.4800000000000004</c:v>
                </c:pt>
                <c:pt idx="6741">
                  <c:v>4.9000000000000004</c:v>
                </c:pt>
                <c:pt idx="6742">
                  <c:v>6.13</c:v>
                </c:pt>
                <c:pt idx="6743">
                  <c:v>5.0199999999999996</c:v>
                </c:pt>
                <c:pt idx="6744">
                  <c:v>4.8</c:v>
                </c:pt>
                <c:pt idx="6745">
                  <c:v>4.2699999999999996</c:v>
                </c:pt>
                <c:pt idx="6746">
                  <c:v>4.41</c:v>
                </c:pt>
                <c:pt idx="6747">
                  <c:v>4.12</c:v>
                </c:pt>
                <c:pt idx="6748">
                  <c:v>3.21</c:v>
                </c:pt>
                <c:pt idx="6749">
                  <c:v>4.05</c:v>
                </c:pt>
                <c:pt idx="6750">
                  <c:v>3.91</c:v>
                </c:pt>
                <c:pt idx="6751">
                  <c:v>3.81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4.07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4.49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6.2</c:v>
                </c:pt>
                <c:pt idx="6766">
                  <c:v>7.07</c:v>
                </c:pt>
                <c:pt idx="6767">
                  <c:v>6.36</c:v>
                </c:pt>
                <c:pt idx="6768">
                  <c:v>6.1</c:v>
                </c:pt>
                <c:pt idx="6769">
                  <c:v>5.97</c:v>
                </c:pt>
                <c:pt idx="6770">
                  <c:v>6.04</c:v>
                </c:pt>
                <c:pt idx="6771">
                  <c:v>5.77</c:v>
                </c:pt>
                <c:pt idx="6772">
                  <c:v>4.9800000000000004</c:v>
                </c:pt>
                <c:pt idx="6773">
                  <c:v>5.19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4.18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8.2100000000000009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6.32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5.17</c:v>
                </c:pt>
                <c:pt idx="6792">
                  <c:v>5.6</c:v>
                </c:pt>
                <c:pt idx="6793">
                  <c:v>5.81</c:v>
                </c:pt>
                <c:pt idx="6794">
                  <c:v>5.43</c:v>
                </c:pt>
                <c:pt idx="6795">
                  <c:v>5.62</c:v>
                </c:pt>
                <c:pt idx="6796">
                  <c:v>6.04</c:v>
                </c:pt>
                <c:pt idx="6797">
                  <c:v>6.37</c:v>
                </c:pt>
                <c:pt idx="6798">
                  <c:v>5.44</c:v>
                </c:pt>
                <c:pt idx="6799">
                  <c:v>2.11</c:v>
                </c:pt>
                <c:pt idx="6800">
                  <c:v>2.95</c:v>
                </c:pt>
                <c:pt idx="6801">
                  <c:v>2.19</c:v>
                </c:pt>
                <c:pt idx="6802">
                  <c:v>3.78</c:v>
                </c:pt>
                <c:pt idx="6803">
                  <c:v>3.61</c:v>
                </c:pt>
                <c:pt idx="6804">
                  <c:v>3.44</c:v>
                </c:pt>
                <c:pt idx="6805">
                  <c:v>3.99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4.18</c:v>
                </c:pt>
                <c:pt idx="6810">
                  <c:v>3.71</c:v>
                </c:pt>
                <c:pt idx="6811">
                  <c:v>4.17</c:v>
                </c:pt>
                <c:pt idx="6812">
                  <c:v>4.75</c:v>
                </c:pt>
                <c:pt idx="6813">
                  <c:v>3.97</c:v>
                </c:pt>
                <c:pt idx="6814">
                  <c:v>3.64</c:v>
                </c:pt>
                <c:pt idx="6815">
                  <c:v>3.74</c:v>
                </c:pt>
                <c:pt idx="6816">
                  <c:v>3.58</c:v>
                </c:pt>
                <c:pt idx="6817">
                  <c:v>3.64</c:v>
                </c:pt>
                <c:pt idx="6818">
                  <c:v>3.73</c:v>
                </c:pt>
                <c:pt idx="6819">
                  <c:v>3.2</c:v>
                </c:pt>
                <c:pt idx="6820">
                  <c:v>2.81</c:v>
                </c:pt>
                <c:pt idx="6821">
                  <c:v>2.73</c:v>
                </c:pt>
                <c:pt idx="6822">
                  <c:v>2.65</c:v>
                </c:pt>
                <c:pt idx="6823">
                  <c:v>2.0499999999999998</c:v>
                </c:pt>
                <c:pt idx="6824">
                  <c:v>1.83</c:v>
                </c:pt>
                <c:pt idx="6825">
                  <c:v>1.98</c:v>
                </c:pt>
                <c:pt idx="6826">
                  <c:v>3.25</c:v>
                </c:pt>
                <c:pt idx="6827">
                  <c:v>0</c:v>
                </c:pt>
                <c:pt idx="6828">
                  <c:v>0</c:v>
                </c:pt>
                <c:pt idx="6829">
                  <c:v>5.04</c:v>
                </c:pt>
                <c:pt idx="6830">
                  <c:v>5.29</c:v>
                </c:pt>
                <c:pt idx="6831">
                  <c:v>4.38</c:v>
                </c:pt>
                <c:pt idx="6832">
                  <c:v>3.9</c:v>
                </c:pt>
                <c:pt idx="6833">
                  <c:v>3.81</c:v>
                </c:pt>
                <c:pt idx="6834">
                  <c:v>4.17</c:v>
                </c:pt>
                <c:pt idx="6835">
                  <c:v>4.68</c:v>
                </c:pt>
                <c:pt idx="6836">
                  <c:v>5.43</c:v>
                </c:pt>
                <c:pt idx="6837">
                  <c:v>3.91</c:v>
                </c:pt>
                <c:pt idx="6838">
                  <c:v>1.9</c:v>
                </c:pt>
                <c:pt idx="6839">
                  <c:v>2.08</c:v>
                </c:pt>
                <c:pt idx="6840">
                  <c:v>2.41</c:v>
                </c:pt>
                <c:pt idx="6841">
                  <c:v>2.4500000000000002</c:v>
                </c:pt>
                <c:pt idx="6842">
                  <c:v>2.39</c:v>
                </c:pt>
                <c:pt idx="6843">
                  <c:v>2.4700000000000002</c:v>
                </c:pt>
                <c:pt idx="6844">
                  <c:v>1.99</c:v>
                </c:pt>
                <c:pt idx="6845">
                  <c:v>1.62</c:v>
                </c:pt>
                <c:pt idx="6846">
                  <c:v>1.4</c:v>
                </c:pt>
                <c:pt idx="6847">
                  <c:v>1.44</c:v>
                </c:pt>
                <c:pt idx="6848">
                  <c:v>0.89</c:v>
                </c:pt>
                <c:pt idx="6849">
                  <c:v>0.56999999999999995</c:v>
                </c:pt>
                <c:pt idx="6850">
                  <c:v>0.69</c:v>
                </c:pt>
                <c:pt idx="6851">
                  <c:v>1.26</c:v>
                </c:pt>
                <c:pt idx="6852">
                  <c:v>2.4300000000000002</c:v>
                </c:pt>
                <c:pt idx="6853">
                  <c:v>2.11</c:v>
                </c:pt>
                <c:pt idx="6854">
                  <c:v>2.2200000000000002</c:v>
                </c:pt>
                <c:pt idx="6855">
                  <c:v>2.34</c:v>
                </c:pt>
                <c:pt idx="6856">
                  <c:v>2.2799999999999998</c:v>
                </c:pt>
                <c:pt idx="6857">
                  <c:v>3.3</c:v>
                </c:pt>
                <c:pt idx="6858">
                  <c:v>3.61</c:v>
                </c:pt>
                <c:pt idx="6859">
                  <c:v>3.63</c:v>
                </c:pt>
                <c:pt idx="6860">
                  <c:v>3.65</c:v>
                </c:pt>
                <c:pt idx="6861">
                  <c:v>4.57</c:v>
                </c:pt>
                <c:pt idx="6862">
                  <c:v>3.88</c:v>
                </c:pt>
                <c:pt idx="6863">
                  <c:v>3.79</c:v>
                </c:pt>
                <c:pt idx="6864">
                  <c:v>3.63</c:v>
                </c:pt>
                <c:pt idx="6865">
                  <c:v>3.49</c:v>
                </c:pt>
                <c:pt idx="6866">
                  <c:v>3.54</c:v>
                </c:pt>
                <c:pt idx="6867">
                  <c:v>3.47</c:v>
                </c:pt>
                <c:pt idx="6868">
                  <c:v>2.5499999999999998</c:v>
                </c:pt>
                <c:pt idx="6869">
                  <c:v>2.58</c:v>
                </c:pt>
                <c:pt idx="6870">
                  <c:v>2.6</c:v>
                </c:pt>
                <c:pt idx="6871">
                  <c:v>2.4500000000000002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1.45</c:v>
                </c:pt>
                <c:pt idx="6876">
                  <c:v>1.66</c:v>
                </c:pt>
                <c:pt idx="6877">
                  <c:v>1.6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2.86</c:v>
                </c:pt>
                <c:pt idx="6882">
                  <c:v>3.06</c:v>
                </c:pt>
                <c:pt idx="6883">
                  <c:v>3.23</c:v>
                </c:pt>
                <c:pt idx="6884">
                  <c:v>4.29</c:v>
                </c:pt>
                <c:pt idx="6885">
                  <c:v>4.26</c:v>
                </c:pt>
                <c:pt idx="6886">
                  <c:v>3.43</c:v>
                </c:pt>
                <c:pt idx="6887">
                  <c:v>3.74</c:v>
                </c:pt>
                <c:pt idx="6888">
                  <c:v>3.89</c:v>
                </c:pt>
                <c:pt idx="6889">
                  <c:v>3.75</c:v>
                </c:pt>
                <c:pt idx="6890">
                  <c:v>3.74</c:v>
                </c:pt>
                <c:pt idx="6891">
                  <c:v>3.66</c:v>
                </c:pt>
                <c:pt idx="6892">
                  <c:v>2.81</c:v>
                </c:pt>
                <c:pt idx="6893">
                  <c:v>2.76</c:v>
                </c:pt>
                <c:pt idx="6894">
                  <c:v>2.67</c:v>
                </c:pt>
                <c:pt idx="6895">
                  <c:v>0</c:v>
                </c:pt>
                <c:pt idx="6896">
                  <c:v>1.1399999999999999</c:v>
                </c:pt>
                <c:pt idx="6897">
                  <c:v>2.2200000000000002</c:v>
                </c:pt>
                <c:pt idx="6898">
                  <c:v>3.73</c:v>
                </c:pt>
                <c:pt idx="6899">
                  <c:v>3.57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3.52</c:v>
                </c:pt>
                <c:pt idx="6904">
                  <c:v>3.44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2.5299999999999998</c:v>
                </c:pt>
                <c:pt idx="6909">
                  <c:v>2.92</c:v>
                </c:pt>
                <c:pt idx="6910">
                  <c:v>3.64</c:v>
                </c:pt>
                <c:pt idx="6911">
                  <c:v>3.59</c:v>
                </c:pt>
                <c:pt idx="6912">
                  <c:v>3.54</c:v>
                </c:pt>
                <c:pt idx="6913">
                  <c:v>3.45</c:v>
                </c:pt>
                <c:pt idx="6914">
                  <c:v>3.51</c:v>
                </c:pt>
                <c:pt idx="6915">
                  <c:v>3.44</c:v>
                </c:pt>
                <c:pt idx="6916">
                  <c:v>2.79</c:v>
                </c:pt>
                <c:pt idx="6917">
                  <c:v>2.21</c:v>
                </c:pt>
                <c:pt idx="6918">
                  <c:v>2.71</c:v>
                </c:pt>
                <c:pt idx="6919">
                  <c:v>2.73</c:v>
                </c:pt>
                <c:pt idx="6920">
                  <c:v>2</c:v>
                </c:pt>
                <c:pt idx="6921">
                  <c:v>2.4700000000000002</c:v>
                </c:pt>
                <c:pt idx="6922">
                  <c:v>3.18</c:v>
                </c:pt>
                <c:pt idx="6923">
                  <c:v>3.27</c:v>
                </c:pt>
                <c:pt idx="6924">
                  <c:v>0</c:v>
                </c:pt>
                <c:pt idx="6925">
                  <c:v>0</c:v>
                </c:pt>
                <c:pt idx="6926">
                  <c:v>2.71</c:v>
                </c:pt>
                <c:pt idx="6927">
                  <c:v>3.93</c:v>
                </c:pt>
                <c:pt idx="6928">
                  <c:v>3.32</c:v>
                </c:pt>
                <c:pt idx="6929">
                  <c:v>2.1800000000000002</c:v>
                </c:pt>
                <c:pt idx="6930">
                  <c:v>2.61</c:v>
                </c:pt>
                <c:pt idx="6931">
                  <c:v>2.2000000000000002</c:v>
                </c:pt>
                <c:pt idx="6932">
                  <c:v>2.61</c:v>
                </c:pt>
                <c:pt idx="6933">
                  <c:v>2.5</c:v>
                </c:pt>
                <c:pt idx="6934">
                  <c:v>2.17</c:v>
                </c:pt>
                <c:pt idx="6935">
                  <c:v>2.5499999999999998</c:v>
                </c:pt>
                <c:pt idx="6936">
                  <c:v>2.4300000000000002</c:v>
                </c:pt>
                <c:pt idx="6937">
                  <c:v>1.35</c:v>
                </c:pt>
                <c:pt idx="6938">
                  <c:v>1.1100000000000001</c:v>
                </c:pt>
                <c:pt idx="6939">
                  <c:v>2.5099999999999998</c:v>
                </c:pt>
                <c:pt idx="6940">
                  <c:v>1.59</c:v>
                </c:pt>
                <c:pt idx="6941">
                  <c:v>1.51</c:v>
                </c:pt>
                <c:pt idx="6942">
                  <c:v>1.48</c:v>
                </c:pt>
                <c:pt idx="6943">
                  <c:v>0.8</c:v>
                </c:pt>
                <c:pt idx="6944">
                  <c:v>0.64</c:v>
                </c:pt>
                <c:pt idx="6945">
                  <c:v>1.02</c:v>
                </c:pt>
                <c:pt idx="6946">
                  <c:v>1.95</c:v>
                </c:pt>
                <c:pt idx="6947">
                  <c:v>1.83</c:v>
                </c:pt>
                <c:pt idx="6948">
                  <c:v>0</c:v>
                </c:pt>
                <c:pt idx="6949">
                  <c:v>0</c:v>
                </c:pt>
                <c:pt idx="6950">
                  <c:v>1.64</c:v>
                </c:pt>
                <c:pt idx="6951">
                  <c:v>1.3</c:v>
                </c:pt>
                <c:pt idx="6952">
                  <c:v>2.4500000000000002</c:v>
                </c:pt>
                <c:pt idx="6953">
                  <c:v>3.33</c:v>
                </c:pt>
                <c:pt idx="6954">
                  <c:v>0</c:v>
                </c:pt>
                <c:pt idx="6955">
                  <c:v>3.32</c:v>
                </c:pt>
                <c:pt idx="6956">
                  <c:v>2.7</c:v>
                </c:pt>
                <c:pt idx="6957">
                  <c:v>1.45</c:v>
                </c:pt>
                <c:pt idx="6958">
                  <c:v>2.4900000000000002</c:v>
                </c:pt>
                <c:pt idx="6959">
                  <c:v>2.25</c:v>
                </c:pt>
                <c:pt idx="6960">
                  <c:v>2.2200000000000002</c:v>
                </c:pt>
                <c:pt idx="6961">
                  <c:v>2.12</c:v>
                </c:pt>
                <c:pt idx="6962">
                  <c:v>2.17</c:v>
                </c:pt>
                <c:pt idx="6963">
                  <c:v>2.09</c:v>
                </c:pt>
                <c:pt idx="6964">
                  <c:v>1.48</c:v>
                </c:pt>
                <c:pt idx="6965">
                  <c:v>1.53</c:v>
                </c:pt>
                <c:pt idx="6966">
                  <c:v>1.44</c:v>
                </c:pt>
                <c:pt idx="6967">
                  <c:v>1.71</c:v>
                </c:pt>
                <c:pt idx="6968">
                  <c:v>0.84</c:v>
                </c:pt>
                <c:pt idx="6969">
                  <c:v>0.6</c:v>
                </c:pt>
                <c:pt idx="6970">
                  <c:v>0.59</c:v>
                </c:pt>
                <c:pt idx="6971">
                  <c:v>1.3</c:v>
                </c:pt>
                <c:pt idx="6972">
                  <c:v>1.01</c:v>
                </c:pt>
                <c:pt idx="6973">
                  <c:v>0.82</c:v>
                </c:pt>
                <c:pt idx="6974">
                  <c:v>1.1599999999999999</c:v>
                </c:pt>
                <c:pt idx="6975">
                  <c:v>1.45</c:v>
                </c:pt>
                <c:pt idx="6976">
                  <c:v>2.2799999999999998</c:v>
                </c:pt>
                <c:pt idx="6977">
                  <c:v>1.41</c:v>
                </c:pt>
                <c:pt idx="6978">
                  <c:v>1.98</c:v>
                </c:pt>
                <c:pt idx="6979">
                  <c:v>1.1599999999999999</c:v>
                </c:pt>
                <c:pt idx="6980">
                  <c:v>1.19</c:v>
                </c:pt>
                <c:pt idx="6981">
                  <c:v>1</c:v>
                </c:pt>
                <c:pt idx="6982">
                  <c:v>1.36</c:v>
                </c:pt>
                <c:pt idx="6983">
                  <c:v>1.29</c:v>
                </c:pt>
                <c:pt idx="6984">
                  <c:v>1.1599999999999999</c:v>
                </c:pt>
                <c:pt idx="6985">
                  <c:v>1.22</c:v>
                </c:pt>
                <c:pt idx="6986">
                  <c:v>1.1299999999999999</c:v>
                </c:pt>
                <c:pt idx="6987">
                  <c:v>1.08</c:v>
                </c:pt>
                <c:pt idx="6988">
                  <c:v>0.66</c:v>
                </c:pt>
                <c:pt idx="6989">
                  <c:v>0.44</c:v>
                </c:pt>
                <c:pt idx="6990">
                  <c:v>0.47</c:v>
                </c:pt>
                <c:pt idx="6991">
                  <c:v>0.57999999999999996</c:v>
                </c:pt>
                <c:pt idx="6992">
                  <c:v>0.61</c:v>
                </c:pt>
                <c:pt idx="6993">
                  <c:v>0.86</c:v>
                </c:pt>
                <c:pt idx="6994">
                  <c:v>0.73</c:v>
                </c:pt>
                <c:pt idx="6995">
                  <c:v>0.55000000000000004</c:v>
                </c:pt>
                <c:pt idx="6996">
                  <c:v>0.95</c:v>
                </c:pt>
                <c:pt idx="6997">
                  <c:v>0.95</c:v>
                </c:pt>
                <c:pt idx="6998">
                  <c:v>1.41</c:v>
                </c:pt>
                <c:pt idx="6999">
                  <c:v>1.67</c:v>
                </c:pt>
                <c:pt idx="7000">
                  <c:v>1.44</c:v>
                </c:pt>
                <c:pt idx="7001">
                  <c:v>2.0499999999999998</c:v>
                </c:pt>
                <c:pt idx="7002">
                  <c:v>2.2999999999999998</c:v>
                </c:pt>
                <c:pt idx="7003">
                  <c:v>2.2400000000000002</c:v>
                </c:pt>
                <c:pt idx="7004">
                  <c:v>2.29</c:v>
                </c:pt>
                <c:pt idx="7005">
                  <c:v>2.36</c:v>
                </c:pt>
                <c:pt idx="7006">
                  <c:v>1.78</c:v>
                </c:pt>
                <c:pt idx="7007">
                  <c:v>1.56</c:v>
                </c:pt>
                <c:pt idx="7008">
                  <c:v>1.31</c:v>
                </c:pt>
                <c:pt idx="7009">
                  <c:v>1.19</c:v>
                </c:pt>
                <c:pt idx="7010">
                  <c:v>1.1399999999999999</c:v>
                </c:pt>
                <c:pt idx="7011">
                  <c:v>1.06</c:v>
                </c:pt>
                <c:pt idx="7012">
                  <c:v>0.84</c:v>
                </c:pt>
                <c:pt idx="7013">
                  <c:v>0.49</c:v>
                </c:pt>
                <c:pt idx="7014">
                  <c:v>0.49</c:v>
                </c:pt>
                <c:pt idx="7015">
                  <c:v>0.55000000000000004</c:v>
                </c:pt>
                <c:pt idx="7016">
                  <c:v>0.6</c:v>
                </c:pt>
                <c:pt idx="7017">
                  <c:v>2.74</c:v>
                </c:pt>
                <c:pt idx="7018">
                  <c:v>0.92</c:v>
                </c:pt>
                <c:pt idx="7019">
                  <c:v>0.78</c:v>
                </c:pt>
                <c:pt idx="7020">
                  <c:v>0.89</c:v>
                </c:pt>
                <c:pt idx="7021">
                  <c:v>0.76</c:v>
                </c:pt>
                <c:pt idx="7022">
                  <c:v>0.82</c:v>
                </c:pt>
                <c:pt idx="7023">
                  <c:v>1.79</c:v>
                </c:pt>
                <c:pt idx="7024">
                  <c:v>2.0099999999999998</c:v>
                </c:pt>
                <c:pt idx="7025">
                  <c:v>0.91</c:v>
                </c:pt>
                <c:pt idx="7026">
                  <c:v>1.18</c:v>
                </c:pt>
                <c:pt idx="7027">
                  <c:v>1.19</c:v>
                </c:pt>
                <c:pt idx="7028">
                  <c:v>1.29</c:v>
                </c:pt>
                <c:pt idx="7029">
                  <c:v>1.03</c:v>
                </c:pt>
                <c:pt idx="7030">
                  <c:v>2.29</c:v>
                </c:pt>
                <c:pt idx="7031">
                  <c:v>2.56</c:v>
                </c:pt>
                <c:pt idx="7032">
                  <c:v>1.33</c:v>
                </c:pt>
                <c:pt idx="7033">
                  <c:v>1.35</c:v>
                </c:pt>
                <c:pt idx="7034">
                  <c:v>1.18</c:v>
                </c:pt>
                <c:pt idx="7035">
                  <c:v>1.22</c:v>
                </c:pt>
                <c:pt idx="7036">
                  <c:v>1.08</c:v>
                </c:pt>
                <c:pt idx="7037">
                  <c:v>0.89</c:v>
                </c:pt>
                <c:pt idx="7038">
                  <c:v>1.89</c:v>
                </c:pt>
                <c:pt idx="7039">
                  <c:v>2.1</c:v>
                </c:pt>
                <c:pt idx="7040">
                  <c:v>1.97</c:v>
                </c:pt>
                <c:pt idx="7041">
                  <c:v>2.2599999999999998</c:v>
                </c:pt>
                <c:pt idx="7042">
                  <c:v>2.83</c:v>
                </c:pt>
                <c:pt idx="7043">
                  <c:v>1.65</c:v>
                </c:pt>
                <c:pt idx="7044">
                  <c:v>1.1499999999999999</c:v>
                </c:pt>
                <c:pt idx="7045">
                  <c:v>1.61</c:v>
                </c:pt>
                <c:pt idx="7046">
                  <c:v>2.56</c:v>
                </c:pt>
                <c:pt idx="7047">
                  <c:v>4.18</c:v>
                </c:pt>
                <c:pt idx="7048">
                  <c:v>3.6</c:v>
                </c:pt>
                <c:pt idx="7049">
                  <c:v>3.63</c:v>
                </c:pt>
                <c:pt idx="7050">
                  <c:v>3.48</c:v>
                </c:pt>
                <c:pt idx="7051">
                  <c:v>4</c:v>
                </c:pt>
                <c:pt idx="7052">
                  <c:v>4.2300000000000004</c:v>
                </c:pt>
                <c:pt idx="7053">
                  <c:v>4.42</c:v>
                </c:pt>
                <c:pt idx="7054">
                  <c:v>3.62</c:v>
                </c:pt>
                <c:pt idx="7055">
                  <c:v>2.6</c:v>
                </c:pt>
                <c:pt idx="7056">
                  <c:v>2.11</c:v>
                </c:pt>
                <c:pt idx="7057">
                  <c:v>1.97</c:v>
                </c:pt>
                <c:pt idx="7058">
                  <c:v>2.02</c:v>
                </c:pt>
                <c:pt idx="7059">
                  <c:v>2.0699999999999998</c:v>
                </c:pt>
                <c:pt idx="7060">
                  <c:v>1.92</c:v>
                </c:pt>
                <c:pt idx="7061">
                  <c:v>2.0099999999999998</c:v>
                </c:pt>
                <c:pt idx="7062">
                  <c:v>1.65</c:v>
                </c:pt>
                <c:pt idx="7063">
                  <c:v>1.65</c:v>
                </c:pt>
                <c:pt idx="7064">
                  <c:v>1.27</c:v>
                </c:pt>
                <c:pt idx="7065">
                  <c:v>1.94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2.85</c:v>
                </c:pt>
                <c:pt idx="7070">
                  <c:v>2.71</c:v>
                </c:pt>
                <c:pt idx="7071">
                  <c:v>2.1800000000000002</c:v>
                </c:pt>
                <c:pt idx="7072">
                  <c:v>2.19</c:v>
                </c:pt>
                <c:pt idx="7073">
                  <c:v>2.58</c:v>
                </c:pt>
                <c:pt idx="7074">
                  <c:v>4.04</c:v>
                </c:pt>
                <c:pt idx="7075">
                  <c:v>3.13</c:v>
                </c:pt>
                <c:pt idx="7076">
                  <c:v>3.82</c:v>
                </c:pt>
                <c:pt idx="7077">
                  <c:v>3.05</c:v>
                </c:pt>
                <c:pt idx="7078">
                  <c:v>2.63</c:v>
                </c:pt>
                <c:pt idx="7079">
                  <c:v>3.18</c:v>
                </c:pt>
                <c:pt idx="7080">
                  <c:v>3.26</c:v>
                </c:pt>
                <c:pt idx="7081">
                  <c:v>2.95</c:v>
                </c:pt>
                <c:pt idx="7082">
                  <c:v>2.92</c:v>
                </c:pt>
                <c:pt idx="7083">
                  <c:v>2.83</c:v>
                </c:pt>
                <c:pt idx="7084">
                  <c:v>3.13</c:v>
                </c:pt>
                <c:pt idx="7085">
                  <c:v>3.22</c:v>
                </c:pt>
                <c:pt idx="7086">
                  <c:v>3.27</c:v>
                </c:pt>
                <c:pt idx="7087">
                  <c:v>3.48</c:v>
                </c:pt>
                <c:pt idx="7088">
                  <c:v>3.33</c:v>
                </c:pt>
                <c:pt idx="7089">
                  <c:v>3.29</c:v>
                </c:pt>
                <c:pt idx="7090">
                  <c:v>4.2</c:v>
                </c:pt>
                <c:pt idx="7091">
                  <c:v>4.12</c:v>
                </c:pt>
                <c:pt idx="7092">
                  <c:v>4.84</c:v>
                </c:pt>
                <c:pt idx="7093">
                  <c:v>2.93</c:v>
                </c:pt>
                <c:pt idx="7094">
                  <c:v>2.77</c:v>
                </c:pt>
                <c:pt idx="7095">
                  <c:v>0</c:v>
                </c:pt>
                <c:pt idx="7096">
                  <c:v>2.66</c:v>
                </c:pt>
                <c:pt idx="7097">
                  <c:v>2.2999999999999998</c:v>
                </c:pt>
                <c:pt idx="7098">
                  <c:v>1.72</c:v>
                </c:pt>
                <c:pt idx="7099">
                  <c:v>1.34</c:v>
                </c:pt>
                <c:pt idx="7100">
                  <c:v>1.6</c:v>
                </c:pt>
                <c:pt idx="7101">
                  <c:v>1.5</c:v>
                </c:pt>
                <c:pt idx="7102">
                  <c:v>1.38</c:v>
                </c:pt>
                <c:pt idx="7103">
                  <c:v>1.03</c:v>
                </c:pt>
                <c:pt idx="7104">
                  <c:v>1.02</c:v>
                </c:pt>
                <c:pt idx="7105">
                  <c:v>0.93</c:v>
                </c:pt>
                <c:pt idx="7106">
                  <c:v>0.91</c:v>
                </c:pt>
                <c:pt idx="7107">
                  <c:v>0.92</c:v>
                </c:pt>
                <c:pt idx="7108">
                  <c:v>0.67</c:v>
                </c:pt>
                <c:pt idx="7109">
                  <c:v>0.61</c:v>
                </c:pt>
                <c:pt idx="7110">
                  <c:v>0.63</c:v>
                </c:pt>
                <c:pt idx="7111">
                  <c:v>0.54</c:v>
                </c:pt>
                <c:pt idx="7112">
                  <c:v>0.59</c:v>
                </c:pt>
                <c:pt idx="7113">
                  <c:v>0.57999999999999996</c:v>
                </c:pt>
                <c:pt idx="7114">
                  <c:v>3.38</c:v>
                </c:pt>
                <c:pt idx="7115">
                  <c:v>3.33</c:v>
                </c:pt>
                <c:pt idx="7116">
                  <c:v>3</c:v>
                </c:pt>
                <c:pt idx="7117">
                  <c:v>3.21</c:v>
                </c:pt>
                <c:pt idx="7118">
                  <c:v>3.91</c:v>
                </c:pt>
                <c:pt idx="7119">
                  <c:v>2.98</c:v>
                </c:pt>
                <c:pt idx="7120">
                  <c:v>3.6</c:v>
                </c:pt>
                <c:pt idx="7121">
                  <c:v>1.4</c:v>
                </c:pt>
                <c:pt idx="7122">
                  <c:v>1.52</c:v>
                </c:pt>
                <c:pt idx="7123">
                  <c:v>1.27</c:v>
                </c:pt>
                <c:pt idx="7124">
                  <c:v>3.85</c:v>
                </c:pt>
                <c:pt idx="7125">
                  <c:v>3.42</c:v>
                </c:pt>
                <c:pt idx="7126">
                  <c:v>2.64</c:v>
                </c:pt>
                <c:pt idx="7127">
                  <c:v>3.47</c:v>
                </c:pt>
                <c:pt idx="7128">
                  <c:v>2.23</c:v>
                </c:pt>
                <c:pt idx="7129">
                  <c:v>2.2200000000000002</c:v>
                </c:pt>
                <c:pt idx="7130">
                  <c:v>2.0499999999999998</c:v>
                </c:pt>
                <c:pt idx="7131">
                  <c:v>2.08</c:v>
                </c:pt>
                <c:pt idx="7132">
                  <c:v>2</c:v>
                </c:pt>
                <c:pt idx="7133">
                  <c:v>2.15</c:v>
                </c:pt>
                <c:pt idx="7134">
                  <c:v>2.11</c:v>
                </c:pt>
                <c:pt idx="7135">
                  <c:v>2.11</c:v>
                </c:pt>
                <c:pt idx="7136">
                  <c:v>1.91</c:v>
                </c:pt>
                <c:pt idx="7137">
                  <c:v>2.09</c:v>
                </c:pt>
                <c:pt idx="7138">
                  <c:v>1.91</c:v>
                </c:pt>
                <c:pt idx="7139">
                  <c:v>0.61</c:v>
                </c:pt>
                <c:pt idx="7140">
                  <c:v>1.62</c:v>
                </c:pt>
                <c:pt idx="7141">
                  <c:v>0.92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1.24</c:v>
                </c:pt>
                <c:pt idx="7146">
                  <c:v>0</c:v>
                </c:pt>
                <c:pt idx="7147">
                  <c:v>0</c:v>
                </c:pt>
                <c:pt idx="7148">
                  <c:v>1.52</c:v>
                </c:pt>
                <c:pt idx="7149">
                  <c:v>1.3</c:v>
                </c:pt>
                <c:pt idx="7150">
                  <c:v>1.17</c:v>
                </c:pt>
                <c:pt idx="7151">
                  <c:v>2.62</c:v>
                </c:pt>
                <c:pt idx="7152">
                  <c:v>2.41</c:v>
                </c:pt>
                <c:pt idx="7153">
                  <c:v>2.21</c:v>
                </c:pt>
                <c:pt idx="7154">
                  <c:v>2.15</c:v>
                </c:pt>
                <c:pt idx="7155">
                  <c:v>2.2000000000000002</c:v>
                </c:pt>
                <c:pt idx="7156">
                  <c:v>2.16</c:v>
                </c:pt>
                <c:pt idx="7157">
                  <c:v>2.3199999999999998</c:v>
                </c:pt>
                <c:pt idx="7158">
                  <c:v>2.23</c:v>
                </c:pt>
                <c:pt idx="7159">
                  <c:v>2.58</c:v>
                </c:pt>
                <c:pt idx="7160">
                  <c:v>2.33</c:v>
                </c:pt>
                <c:pt idx="7161">
                  <c:v>2.5099999999999998</c:v>
                </c:pt>
                <c:pt idx="7162">
                  <c:v>3.56</c:v>
                </c:pt>
                <c:pt idx="7163">
                  <c:v>3.03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2.5</c:v>
                </c:pt>
                <c:pt idx="7168">
                  <c:v>2.75</c:v>
                </c:pt>
                <c:pt idx="7169">
                  <c:v>2.35</c:v>
                </c:pt>
                <c:pt idx="7170">
                  <c:v>0</c:v>
                </c:pt>
                <c:pt idx="7171">
                  <c:v>0</c:v>
                </c:pt>
                <c:pt idx="7172">
                  <c:v>2.39</c:v>
                </c:pt>
                <c:pt idx="7173">
                  <c:v>2.52</c:v>
                </c:pt>
                <c:pt idx="7174">
                  <c:v>3.05</c:v>
                </c:pt>
                <c:pt idx="7175">
                  <c:v>2.41</c:v>
                </c:pt>
                <c:pt idx="7176">
                  <c:v>2.37</c:v>
                </c:pt>
                <c:pt idx="7177">
                  <c:v>2.2200000000000002</c:v>
                </c:pt>
                <c:pt idx="7178">
                  <c:v>2.11</c:v>
                </c:pt>
                <c:pt idx="7179">
                  <c:v>2.2400000000000002</c:v>
                </c:pt>
                <c:pt idx="7180">
                  <c:v>2.14</c:v>
                </c:pt>
                <c:pt idx="7181">
                  <c:v>2.25</c:v>
                </c:pt>
                <c:pt idx="7182">
                  <c:v>2.23</c:v>
                </c:pt>
                <c:pt idx="7183">
                  <c:v>2.04</c:v>
                </c:pt>
                <c:pt idx="7184">
                  <c:v>2.13</c:v>
                </c:pt>
                <c:pt idx="7185">
                  <c:v>2.12</c:v>
                </c:pt>
                <c:pt idx="7186">
                  <c:v>0</c:v>
                </c:pt>
                <c:pt idx="7187">
                  <c:v>0</c:v>
                </c:pt>
                <c:pt idx="7188">
                  <c:v>2.0499999999999998</c:v>
                </c:pt>
                <c:pt idx="7189">
                  <c:v>3.43</c:v>
                </c:pt>
                <c:pt idx="7190">
                  <c:v>2.06</c:v>
                </c:pt>
                <c:pt idx="7191">
                  <c:v>1.53</c:v>
                </c:pt>
                <c:pt idx="7192">
                  <c:v>0</c:v>
                </c:pt>
                <c:pt idx="7193">
                  <c:v>0</c:v>
                </c:pt>
                <c:pt idx="7194">
                  <c:v>1.42</c:v>
                </c:pt>
                <c:pt idx="7195">
                  <c:v>1.07</c:v>
                </c:pt>
                <c:pt idx="7196">
                  <c:v>1.38</c:v>
                </c:pt>
                <c:pt idx="7197">
                  <c:v>1.82</c:v>
                </c:pt>
                <c:pt idx="7198">
                  <c:v>2.73</c:v>
                </c:pt>
                <c:pt idx="7199">
                  <c:v>2</c:v>
                </c:pt>
                <c:pt idx="7200">
                  <c:v>1.25</c:v>
                </c:pt>
                <c:pt idx="7201">
                  <c:v>1</c:v>
                </c:pt>
                <c:pt idx="7202">
                  <c:v>0.95</c:v>
                </c:pt>
                <c:pt idx="7203">
                  <c:v>0.94</c:v>
                </c:pt>
                <c:pt idx="7204">
                  <c:v>1.58</c:v>
                </c:pt>
                <c:pt idx="7205">
                  <c:v>1.1000000000000001</c:v>
                </c:pt>
                <c:pt idx="7206">
                  <c:v>0.56000000000000005</c:v>
                </c:pt>
                <c:pt idx="7207">
                  <c:v>0</c:v>
                </c:pt>
                <c:pt idx="7208">
                  <c:v>0.36</c:v>
                </c:pt>
                <c:pt idx="7209">
                  <c:v>0.76</c:v>
                </c:pt>
                <c:pt idx="7210">
                  <c:v>2.92</c:v>
                </c:pt>
                <c:pt idx="7211">
                  <c:v>4.5599999999999996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3.17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6.06</c:v>
                </c:pt>
                <c:pt idx="7220">
                  <c:v>0</c:v>
                </c:pt>
                <c:pt idx="7221">
                  <c:v>0</c:v>
                </c:pt>
                <c:pt idx="7222">
                  <c:v>4.5199999999999996</c:v>
                </c:pt>
                <c:pt idx="7223">
                  <c:v>3.84</c:v>
                </c:pt>
                <c:pt idx="7224">
                  <c:v>3.61</c:v>
                </c:pt>
                <c:pt idx="7225">
                  <c:v>3.48</c:v>
                </c:pt>
                <c:pt idx="7226">
                  <c:v>3.44</c:v>
                </c:pt>
                <c:pt idx="7227">
                  <c:v>3.3</c:v>
                </c:pt>
                <c:pt idx="7228">
                  <c:v>3.36</c:v>
                </c:pt>
                <c:pt idx="7229">
                  <c:v>3.92</c:v>
                </c:pt>
                <c:pt idx="7230">
                  <c:v>3.46</c:v>
                </c:pt>
                <c:pt idx="7231">
                  <c:v>3.53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2.44</c:v>
                </c:pt>
                <c:pt idx="7236">
                  <c:v>0.89</c:v>
                </c:pt>
                <c:pt idx="7237">
                  <c:v>0</c:v>
                </c:pt>
                <c:pt idx="7238">
                  <c:v>0</c:v>
                </c:pt>
                <c:pt idx="7239">
                  <c:v>4.04</c:v>
                </c:pt>
                <c:pt idx="7240">
                  <c:v>3.9</c:v>
                </c:pt>
                <c:pt idx="7241">
                  <c:v>5.73</c:v>
                </c:pt>
                <c:pt idx="7242">
                  <c:v>1.52</c:v>
                </c:pt>
                <c:pt idx="7243">
                  <c:v>1.52</c:v>
                </c:pt>
                <c:pt idx="7244">
                  <c:v>3.07</c:v>
                </c:pt>
                <c:pt idx="7245">
                  <c:v>5.8</c:v>
                </c:pt>
                <c:pt idx="7246">
                  <c:v>4.78</c:v>
                </c:pt>
                <c:pt idx="7247">
                  <c:v>3.96</c:v>
                </c:pt>
                <c:pt idx="7248">
                  <c:v>3.49</c:v>
                </c:pt>
                <c:pt idx="7249">
                  <c:v>3.51</c:v>
                </c:pt>
                <c:pt idx="7250">
                  <c:v>3.43</c:v>
                </c:pt>
                <c:pt idx="7251">
                  <c:v>3.3</c:v>
                </c:pt>
                <c:pt idx="7252">
                  <c:v>3.17</c:v>
                </c:pt>
                <c:pt idx="7253">
                  <c:v>3.15</c:v>
                </c:pt>
                <c:pt idx="7254">
                  <c:v>1.28</c:v>
                </c:pt>
                <c:pt idx="7255">
                  <c:v>1.28</c:v>
                </c:pt>
                <c:pt idx="7256">
                  <c:v>1.34</c:v>
                </c:pt>
                <c:pt idx="7257">
                  <c:v>4.32</c:v>
                </c:pt>
                <c:pt idx="7258">
                  <c:v>3</c:v>
                </c:pt>
                <c:pt idx="7259">
                  <c:v>2.36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4.04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2.82</c:v>
                </c:pt>
                <c:pt idx="7268">
                  <c:v>2.4900000000000002</c:v>
                </c:pt>
                <c:pt idx="7269">
                  <c:v>2.34</c:v>
                </c:pt>
                <c:pt idx="7270">
                  <c:v>2.58</c:v>
                </c:pt>
                <c:pt idx="7271">
                  <c:v>2.15</c:v>
                </c:pt>
                <c:pt idx="7272">
                  <c:v>2.11</c:v>
                </c:pt>
                <c:pt idx="7273">
                  <c:v>2.1800000000000002</c:v>
                </c:pt>
                <c:pt idx="7274">
                  <c:v>1.95</c:v>
                </c:pt>
                <c:pt idx="7275">
                  <c:v>2.0699999999999998</c:v>
                </c:pt>
                <c:pt idx="7276">
                  <c:v>2.4700000000000002</c:v>
                </c:pt>
                <c:pt idx="7277">
                  <c:v>3.53</c:v>
                </c:pt>
                <c:pt idx="7278">
                  <c:v>0</c:v>
                </c:pt>
                <c:pt idx="7279">
                  <c:v>0</c:v>
                </c:pt>
                <c:pt idx="7280">
                  <c:v>2.74</c:v>
                </c:pt>
                <c:pt idx="7281">
                  <c:v>3.55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3.71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3.03</c:v>
                </c:pt>
                <c:pt idx="7290">
                  <c:v>3.48</c:v>
                </c:pt>
                <c:pt idx="7291">
                  <c:v>3.19</c:v>
                </c:pt>
                <c:pt idx="7292">
                  <c:v>2.67</c:v>
                </c:pt>
                <c:pt idx="7293">
                  <c:v>2.7</c:v>
                </c:pt>
                <c:pt idx="7294">
                  <c:v>3.97</c:v>
                </c:pt>
                <c:pt idx="7295">
                  <c:v>3.48</c:v>
                </c:pt>
                <c:pt idx="7296">
                  <c:v>3.41</c:v>
                </c:pt>
                <c:pt idx="7297">
                  <c:v>4.29</c:v>
                </c:pt>
                <c:pt idx="7298">
                  <c:v>4.95</c:v>
                </c:pt>
                <c:pt idx="7299">
                  <c:v>4.92</c:v>
                </c:pt>
                <c:pt idx="7300">
                  <c:v>2.73</c:v>
                </c:pt>
                <c:pt idx="7301">
                  <c:v>2.7</c:v>
                </c:pt>
                <c:pt idx="7302">
                  <c:v>2.75</c:v>
                </c:pt>
                <c:pt idx="7303">
                  <c:v>2.72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4.34</c:v>
                </c:pt>
                <c:pt idx="7308">
                  <c:v>4.4000000000000004</c:v>
                </c:pt>
                <c:pt idx="7309">
                  <c:v>4.1500000000000004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4.3600000000000003</c:v>
                </c:pt>
                <c:pt idx="7314">
                  <c:v>3.28</c:v>
                </c:pt>
                <c:pt idx="7315">
                  <c:v>2</c:v>
                </c:pt>
                <c:pt idx="7316">
                  <c:v>2.02</c:v>
                </c:pt>
                <c:pt idx="7317">
                  <c:v>1.22</c:v>
                </c:pt>
                <c:pt idx="7318">
                  <c:v>1.1599999999999999</c:v>
                </c:pt>
                <c:pt idx="7319">
                  <c:v>0.96</c:v>
                </c:pt>
                <c:pt idx="7320">
                  <c:v>1.06</c:v>
                </c:pt>
                <c:pt idx="7321">
                  <c:v>0.96</c:v>
                </c:pt>
                <c:pt idx="7322">
                  <c:v>0.79</c:v>
                </c:pt>
                <c:pt idx="7323">
                  <c:v>0.91</c:v>
                </c:pt>
                <c:pt idx="7324">
                  <c:v>0.92</c:v>
                </c:pt>
                <c:pt idx="7325">
                  <c:v>0.53</c:v>
                </c:pt>
                <c:pt idx="7326">
                  <c:v>0.61</c:v>
                </c:pt>
                <c:pt idx="7327">
                  <c:v>0.56000000000000005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0.98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1.81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1.45</c:v>
                </c:pt>
                <c:pt idx="7340">
                  <c:v>1.1399999999999999</c:v>
                </c:pt>
                <c:pt idx="7341">
                  <c:v>1.3</c:v>
                </c:pt>
                <c:pt idx="7342">
                  <c:v>0.91</c:v>
                </c:pt>
                <c:pt idx="7343">
                  <c:v>0.84</c:v>
                </c:pt>
                <c:pt idx="7344">
                  <c:v>0.87</c:v>
                </c:pt>
                <c:pt idx="7345">
                  <c:v>0.77</c:v>
                </c:pt>
                <c:pt idx="7346">
                  <c:v>0.82</c:v>
                </c:pt>
                <c:pt idx="7347">
                  <c:v>0.9</c:v>
                </c:pt>
                <c:pt idx="7348">
                  <c:v>2.13</c:v>
                </c:pt>
                <c:pt idx="7349">
                  <c:v>1.1200000000000001</c:v>
                </c:pt>
                <c:pt idx="7350">
                  <c:v>0.8</c:v>
                </c:pt>
                <c:pt idx="7351">
                  <c:v>0.73</c:v>
                </c:pt>
                <c:pt idx="7352">
                  <c:v>0.74</c:v>
                </c:pt>
                <c:pt idx="7353">
                  <c:v>1.17</c:v>
                </c:pt>
                <c:pt idx="7354">
                  <c:v>0.95</c:v>
                </c:pt>
                <c:pt idx="7355">
                  <c:v>0.74</c:v>
                </c:pt>
                <c:pt idx="7356">
                  <c:v>0.67</c:v>
                </c:pt>
                <c:pt idx="7357">
                  <c:v>0.83</c:v>
                </c:pt>
                <c:pt idx="7358">
                  <c:v>1.22</c:v>
                </c:pt>
                <c:pt idx="7359">
                  <c:v>1.56</c:v>
                </c:pt>
                <c:pt idx="7360">
                  <c:v>1.28</c:v>
                </c:pt>
                <c:pt idx="7361">
                  <c:v>1.18</c:v>
                </c:pt>
                <c:pt idx="7362">
                  <c:v>1.1499999999999999</c:v>
                </c:pt>
                <c:pt idx="7363">
                  <c:v>1.33</c:v>
                </c:pt>
                <c:pt idx="7364">
                  <c:v>1.35</c:v>
                </c:pt>
                <c:pt idx="7365">
                  <c:v>1.31</c:v>
                </c:pt>
                <c:pt idx="7366">
                  <c:v>0.92</c:v>
                </c:pt>
                <c:pt idx="7367">
                  <c:v>0.92</c:v>
                </c:pt>
                <c:pt idx="7368">
                  <c:v>0.85</c:v>
                </c:pt>
                <c:pt idx="7369">
                  <c:v>0.88</c:v>
                </c:pt>
                <c:pt idx="7370">
                  <c:v>0.99</c:v>
                </c:pt>
                <c:pt idx="7371">
                  <c:v>0.85</c:v>
                </c:pt>
                <c:pt idx="7372">
                  <c:v>0.84</c:v>
                </c:pt>
                <c:pt idx="7373">
                  <c:v>0.84</c:v>
                </c:pt>
                <c:pt idx="7374">
                  <c:v>1.1599999999999999</c:v>
                </c:pt>
                <c:pt idx="7375">
                  <c:v>1.1499999999999999</c:v>
                </c:pt>
                <c:pt idx="7376">
                  <c:v>0.97</c:v>
                </c:pt>
                <c:pt idx="7377">
                  <c:v>0.94</c:v>
                </c:pt>
                <c:pt idx="7378">
                  <c:v>2.52</c:v>
                </c:pt>
                <c:pt idx="7379">
                  <c:v>3.56</c:v>
                </c:pt>
                <c:pt idx="7380">
                  <c:v>1.31</c:v>
                </c:pt>
                <c:pt idx="7381">
                  <c:v>1.98</c:v>
                </c:pt>
                <c:pt idx="7382">
                  <c:v>3.81</c:v>
                </c:pt>
                <c:pt idx="7383">
                  <c:v>2.95</c:v>
                </c:pt>
                <c:pt idx="7384">
                  <c:v>2.67</c:v>
                </c:pt>
                <c:pt idx="7385">
                  <c:v>1.94</c:v>
                </c:pt>
                <c:pt idx="7386">
                  <c:v>1.5</c:v>
                </c:pt>
                <c:pt idx="7387">
                  <c:v>1.62</c:v>
                </c:pt>
                <c:pt idx="7388">
                  <c:v>1.39</c:v>
                </c:pt>
                <c:pt idx="7389">
                  <c:v>1.8</c:v>
                </c:pt>
                <c:pt idx="7390">
                  <c:v>1.58</c:v>
                </c:pt>
                <c:pt idx="7391">
                  <c:v>0.77</c:v>
                </c:pt>
                <c:pt idx="7392">
                  <c:v>0.73</c:v>
                </c:pt>
                <c:pt idx="7393">
                  <c:v>0.91</c:v>
                </c:pt>
                <c:pt idx="7394">
                  <c:v>0.82</c:v>
                </c:pt>
                <c:pt idx="7395">
                  <c:v>1.05</c:v>
                </c:pt>
                <c:pt idx="7396">
                  <c:v>0.72</c:v>
                </c:pt>
                <c:pt idx="7397">
                  <c:v>0.52</c:v>
                </c:pt>
                <c:pt idx="7398">
                  <c:v>0.6</c:v>
                </c:pt>
                <c:pt idx="7399">
                  <c:v>0.52</c:v>
                </c:pt>
                <c:pt idx="7400">
                  <c:v>0.56999999999999995</c:v>
                </c:pt>
                <c:pt idx="7401">
                  <c:v>0.67</c:v>
                </c:pt>
                <c:pt idx="7402">
                  <c:v>0.81</c:v>
                </c:pt>
                <c:pt idx="7403">
                  <c:v>0.79</c:v>
                </c:pt>
                <c:pt idx="7404">
                  <c:v>0.89</c:v>
                </c:pt>
                <c:pt idx="7405">
                  <c:v>0.95</c:v>
                </c:pt>
                <c:pt idx="7406">
                  <c:v>1.1200000000000001</c:v>
                </c:pt>
                <c:pt idx="7407">
                  <c:v>1.78</c:v>
                </c:pt>
                <c:pt idx="7408">
                  <c:v>1.74</c:v>
                </c:pt>
                <c:pt idx="7409">
                  <c:v>1.97</c:v>
                </c:pt>
                <c:pt idx="7410">
                  <c:v>1.6</c:v>
                </c:pt>
                <c:pt idx="7411">
                  <c:v>1.54</c:v>
                </c:pt>
                <c:pt idx="7412">
                  <c:v>1.5</c:v>
                </c:pt>
                <c:pt idx="7413">
                  <c:v>1.39</c:v>
                </c:pt>
                <c:pt idx="7414">
                  <c:v>1.1299999999999999</c:v>
                </c:pt>
                <c:pt idx="7415">
                  <c:v>0.94</c:v>
                </c:pt>
                <c:pt idx="7416">
                  <c:v>1</c:v>
                </c:pt>
                <c:pt idx="7417">
                  <c:v>0.83</c:v>
                </c:pt>
                <c:pt idx="7418">
                  <c:v>0.78</c:v>
                </c:pt>
                <c:pt idx="7419">
                  <c:v>0.85</c:v>
                </c:pt>
                <c:pt idx="7420">
                  <c:v>0.57999999999999996</c:v>
                </c:pt>
                <c:pt idx="7421">
                  <c:v>0.67</c:v>
                </c:pt>
                <c:pt idx="7422">
                  <c:v>0.55000000000000004</c:v>
                </c:pt>
                <c:pt idx="7423">
                  <c:v>0.61</c:v>
                </c:pt>
                <c:pt idx="7424">
                  <c:v>0.5</c:v>
                </c:pt>
                <c:pt idx="7425">
                  <c:v>0.6</c:v>
                </c:pt>
                <c:pt idx="7426">
                  <c:v>0.51</c:v>
                </c:pt>
                <c:pt idx="7427">
                  <c:v>0.98</c:v>
                </c:pt>
                <c:pt idx="7428">
                  <c:v>1.6</c:v>
                </c:pt>
                <c:pt idx="7429">
                  <c:v>2.77</c:v>
                </c:pt>
                <c:pt idx="7430">
                  <c:v>2.08</c:v>
                </c:pt>
                <c:pt idx="7431">
                  <c:v>2.0699999999999998</c:v>
                </c:pt>
                <c:pt idx="7432">
                  <c:v>1.6</c:v>
                </c:pt>
                <c:pt idx="7433">
                  <c:v>1.73</c:v>
                </c:pt>
                <c:pt idx="7434">
                  <c:v>1.74</c:v>
                </c:pt>
                <c:pt idx="7435">
                  <c:v>1.38</c:v>
                </c:pt>
                <c:pt idx="7436">
                  <c:v>1.57</c:v>
                </c:pt>
                <c:pt idx="7437">
                  <c:v>1.53</c:v>
                </c:pt>
                <c:pt idx="7438">
                  <c:v>1.03</c:v>
                </c:pt>
                <c:pt idx="7439">
                  <c:v>0.82</c:v>
                </c:pt>
                <c:pt idx="7440">
                  <c:v>0.83</c:v>
                </c:pt>
                <c:pt idx="7441">
                  <c:v>0.78</c:v>
                </c:pt>
                <c:pt idx="7442">
                  <c:v>0.72</c:v>
                </c:pt>
                <c:pt idx="7443">
                  <c:v>0.75</c:v>
                </c:pt>
                <c:pt idx="7444">
                  <c:v>0.63</c:v>
                </c:pt>
                <c:pt idx="7445">
                  <c:v>0.63</c:v>
                </c:pt>
                <c:pt idx="7446">
                  <c:v>0.54</c:v>
                </c:pt>
                <c:pt idx="7447">
                  <c:v>0.64</c:v>
                </c:pt>
                <c:pt idx="7448">
                  <c:v>0.67</c:v>
                </c:pt>
                <c:pt idx="7449">
                  <c:v>0</c:v>
                </c:pt>
                <c:pt idx="7450">
                  <c:v>0.54</c:v>
                </c:pt>
                <c:pt idx="7451">
                  <c:v>0.88</c:v>
                </c:pt>
                <c:pt idx="7452">
                  <c:v>1.23</c:v>
                </c:pt>
                <c:pt idx="7453">
                  <c:v>1.08</c:v>
                </c:pt>
                <c:pt idx="7454">
                  <c:v>2.12</c:v>
                </c:pt>
                <c:pt idx="7455">
                  <c:v>2.54</c:v>
                </c:pt>
                <c:pt idx="7456">
                  <c:v>2.06</c:v>
                </c:pt>
                <c:pt idx="7457">
                  <c:v>1.95</c:v>
                </c:pt>
                <c:pt idx="7458">
                  <c:v>1.86</c:v>
                </c:pt>
                <c:pt idx="7459">
                  <c:v>2.02</c:v>
                </c:pt>
                <c:pt idx="7460">
                  <c:v>1.83</c:v>
                </c:pt>
                <c:pt idx="7461">
                  <c:v>1.27</c:v>
                </c:pt>
                <c:pt idx="7462">
                  <c:v>2.4900000000000002</c:v>
                </c:pt>
                <c:pt idx="7463">
                  <c:v>1.29</c:v>
                </c:pt>
                <c:pt idx="7464">
                  <c:v>1.1399999999999999</c:v>
                </c:pt>
                <c:pt idx="7465">
                  <c:v>0.9</c:v>
                </c:pt>
                <c:pt idx="7466">
                  <c:v>1.02</c:v>
                </c:pt>
                <c:pt idx="7467">
                  <c:v>0.99</c:v>
                </c:pt>
                <c:pt idx="7468">
                  <c:v>1.32</c:v>
                </c:pt>
                <c:pt idx="7469">
                  <c:v>0.99</c:v>
                </c:pt>
                <c:pt idx="7470">
                  <c:v>0.77</c:v>
                </c:pt>
                <c:pt idx="7471">
                  <c:v>1.07</c:v>
                </c:pt>
                <c:pt idx="7472">
                  <c:v>1.25</c:v>
                </c:pt>
                <c:pt idx="7473">
                  <c:v>1.93</c:v>
                </c:pt>
                <c:pt idx="7474">
                  <c:v>1.0900000000000001</c:v>
                </c:pt>
                <c:pt idx="7475">
                  <c:v>1.1299999999999999</c:v>
                </c:pt>
                <c:pt idx="7476">
                  <c:v>0.96</c:v>
                </c:pt>
                <c:pt idx="7477">
                  <c:v>1.24</c:v>
                </c:pt>
                <c:pt idx="7478">
                  <c:v>1.29</c:v>
                </c:pt>
                <c:pt idx="7479">
                  <c:v>1.77</c:v>
                </c:pt>
                <c:pt idx="7480">
                  <c:v>3.33</c:v>
                </c:pt>
                <c:pt idx="7481">
                  <c:v>2.65</c:v>
                </c:pt>
                <c:pt idx="7482">
                  <c:v>1.29</c:v>
                </c:pt>
                <c:pt idx="7483">
                  <c:v>1.21</c:v>
                </c:pt>
                <c:pt idx="7484">
                  <c:v>1.46</c:v>
                </c:pt>
                <c:pt idx="7485">
                  <c:v>1.39</c:v>
                </c:pt>
                <c:pt idx="7486">
                  <c:v>1.29</c:v>
                </c:pt>
                <c:pt idx="7487">
                  <c:v>1.01</c:v>
                </c:pt>
                <c:pt idx="7488">
                  <c:v>1.1200000000000001</c:v>
                </c:pt>
                <c:pt idx="7489">
                  <c:v>0.84</c:v>
                </c:pt>
                <c:pt idx="7490">
                  <c:v>0.91</c:v>
                </c:pt>
                <c:pt idx="7491">
                  <c:v>0.8</c:v>
                </c:pt>
                <c:pt idx="7492">
                  <c:v>0.83</c:v>
                </c:pt>
                <c:pt idx="7493">
                  <c:v>0.77</c:v>
                </c:pt>
                <c:pt idx="7494">
                  <c:v>0.83</c:v>
                </c:pt>
                <c:pt idx="7495">
                  <c:v>0.84</c:v>
                </c:pt>
                <c:pt idx="7496">
                  <c:v>1.1000000000000001</c:v>
                </c:pt>
                <c:pt idx="7497">
                  <c:v>1.04</c:v>
                </c:pt>
                <c:pt idx="7498">
                  <c:v>1.05</c:v>
                </c:pt>
                <c:pt idx="7499">
                  <c:v>1.1499999999999999</c:v>
                </c:pt>
                <c:pt idx="7500">
                  <c:v>1.06</c:v>
                </c:pt>
                <c:pt idx="7501">
                  <c:v>1.01</c:v>
                </c:pt>
                <c:pt idx="7502">
                  <c:v>1.44</c:v>
                </c:pt>
                <c:pt idx="7503">
                  <c:v>2.36</c:v>
                </c:pt>
                <c:pt idx="7504">
                  <c:v>2.94</c:v>
                </c:pt>
                <c:pt idx="7505">
                  <c:v>1.74</c:v>
                </c:pt>
                <c:pt idx="7506">
                  <c:v>1.62</c:v>
                </c:pt>
                <c:pt idx="7507">
                  <c:v>1.59</c:v>
                </c:pt>
                <c:pt idx="7508">
                  <c:v>1.49</c:v>
                </c:pt>
                <c:pt idx="7509">
                  <c:v>1.42</c:v>
                </c:pt>
                <c:pt idx="7510">
                  <c:v>1.04</c:v>
                </c:pt>
                <c:pt idx="7511">
                  <c:v>0.88</c:v>
                </c:pt>
                <c:pt idx="7512">
                  <c:v>0.86</c:v>
                </c:pt>
                <c:pt idx="7513">
                  <c:v>0.84</c:v>
                </c:pt>
                <c:pt idx="7514">
                  <c:v>0.84</c:v>
                </c:pt>
                <c:pt idx="7515">
                  <c:v>0.8</c:v>
                </c:pt>
                <c:pt idx="7516">
                  <c:v>0.77</c:v>
                </c:pt>
                <c:pt idx="7517">
                  <c:v>0.82</c:v>
                </c:pt>
                <c:pt idx="7518">
                  <c:v>0.72</c:v>
                </c:pt>
                <c:pt idx="7519">
                  <c:v>0.92</c:v>
                </c:pt>
                <c:pt idx="7520">
                  <c:v>0.81</c:v>
                </c:pt>
                <c:pt idx="7521">
                  <c:v>1.1399999999999999</c:v>
                </c:pt>
                <c:pt idx="7522">
                  <c:v>1.04</c:v>
                </c:pt>
                <c:pt idx="7523">
                  <c:v>1.1100000000000001</c:v>
                </c:pt>
                <c:pt idx="7524">
                  <c:v>1</c:v>
                </c:pt>
                <c:pt idx="7525">
                  <c:v>1</c:v>
                </c:pt>
                <c:pt idx="7526">
                  <c:v>1.37</c:v>
                </c:pt>
                <c:pt idx="7527">
                  <c:v>1.19</c:v>
                </c:pt>
                <c:pt idx="7528">
                  <c:v>1.1499999999999999</c:v>
                </c:pt>
                <c:pt idx="7529">
                  <c:v>1.0900000000000001</c:v>
                </c:pt>
                <c:pt idx="7530">
                  <c:v>1.44</c:v>
                </c:pt>
                <c:pt idx="7531">
                  <c:v>1.51</c:v>
                </c:pt>
                <c:pt idx="7532">
                  <c:v>1.32</c:v>
                </c:pt>
                <c:pt idx="7533">
                  <c:v>0.91</c:v>
                </c:pt>
                <c:pt idx="7534">
                  <c:v>0.68</c:v>
                </c:pt>
                <c:pt idx="7535">
                  <c:v>0.59</c:v>
                </c:pt>
                <c:pt idx="7536">
                  <c:v>0.64</c:v>
                </c:pt>
                <c:pt idx="7537">
                  <c:v>0.64</c:v>
                </c:pt>
                <c:pt idx="7538">
                  <c:v>0.59</c:v>
                </c:pt>
                <c:pt idx="7539">
                  <c:v>0.66</c:v>
                </c:pt>
                <c:pt idx="7540">
                  <c:v>0.56000000000000005</c:v>
                </c:pt>
                <c:pt idx="7541">
                  <c:v>0.74</c:v>
                </c:pt>
                <c:pt idx="7542">
                  <c:v>0.57999999999999996</c:v>
                </c:pt>
                <c:pt idx="7543">
                  <c:v>0.79</c:v>
                </c:pt>
                <c:pt idx="7544">
                  <c:v>0.76</c:v>
                </c:pt>
                <c:pt idx="7545">
                  <c:v>0.63</c:v>
                </c:pt>
                <c:pt idx="7546">
                  <c:v>0.55000000000000004</c:v>
                </c:pt>
                <c:pt idx="7547">
                  <c:v>4.1399999999999997</c:v>
                </c:pt>
                <c:pt idx="7548">
                  <c:v>1.58</c:v>
                </c:pt>
                <c:pt idx="7549">
                  <c:v>0.94</c:v>
                </c:pt>
                <c:pt idx="7550">
                  <c:v>1.21</c:v>
                </c:pt>
                <c:pt idx="7551">
                  <c:v>1.89</c:v>
                </c:pt>
                <c:pt idx="7552">
                  <c:v>3.14</c:v>
                </c:pt>
                <c:pt idx="7553">
                  <c:v>2.54</c:v>
                </c:pt>
                <c:pt idx="7554">
                  <c:v>1.41</c:v>
                </c:pt>
                <c:pt idx="7555">
                  <c:v>1.38</c:v>
                </c:pt>
                <c:pt idx="7556">
                  <c:v>1.69</c:v>
                </c:pt>
                <c:pt idx="7557">
                  <c:v>1.01</c:v>
                </c:pt>
                <c:pt idx="7558">
                  <c:v>0.65</c:v>
                </c:pt>
                <c:pt idx="7559">
                  <c:v>0.93</c:v>
                </c:pt>
                <c:pt idx="7560">
                  <c:v>0.66</c:v>
                </c:pt>
                <c:pt idx="7561">
                  <c:v>0.6</c:v>
                </c:pt>
                <c:pt idx="7562">
                  <c:v>0.85</c:v>
                </c:pt>
                <c:pt idx="7563">
                  <c:v>0.87</c:v>
                </c:pt>
                <c:pt idx="7564">
                  <c:v>0.83</c:v>
                </c:pt>
                <c:pt idx="7565">
                  <c:v>0.85</c:v>
                </c:pt>
                <c:pt idx="7566">
                  <c:v>0.7</c:v>
                </c:pt>
                <c:pt idx="7567">
                  <c:v>0.7</c:v>
                </c:pt>
                <c:pt idx="7568">
                  <c:v>0.81</c:v>
                </c:pt>
                <c:pt idx="7569">
                  <c:v>0.65</c:v>
                </c:pt>
                <c:pt idx="7570">
                  <c:v>0.61</c:v>
                </c:pt>
                <c:pt idx="7571">
                  <c:v>0.61</c:v>
                </c:pt>
                <c:pt idx="7572">
                  <c:v>1.1000000000000001</c:v>
                </c:pt>
                <c:pt idx="7573">
                  <c:v>1.07</c:v>
                </c:pt>
                <c:pt idx="7574">
                  <c:v>1.9</c:v>
                </c:pt>
                <c:pt idx="7575">
                  <c:v>1.51</c:v>
                </c:pt>
                <c:pt idx="7576">
                  <c:v>1.71</c:v>
                </c:pt>
                <c:pt idx="7577">
                  <c:v>1.22</c:v>
                </c:pt>
                <c:pt idx="7578">
                  <c:v>1.56</c:v>
                </c:pt>
                <c:pt idx="7579">
                  <c:v>1.1299999999999999</c:v>
                </c:pt>
                <c:pt idx="7580">
                  <c:v>1.25</c:v>
                </c:pt>
                <c:pt idx="7581">
                  <c:v>1.35</c:v>
                </c:pt>
                <c:pt idx="7582">
                  <c:v>1.02</c:v>
                </c:pt>
                <c:pt idx="7583">
                  <c:v>0.91</c:v>
                </c:pt>
                <c:pt idx="7584">
                  <c:v>0.56999999999999995</c:v>
                </c:pt>
                <c:pt idx="7585">
                  <c:v>0.63</c:v>
                </c:pt>
                <c:pt idx="7586">
                  <c:v>0.52</c:v>
                </c:pt>
                <c:pt idx="7587">
                  <c:v>0.66</c:v>
                </c:pt>
                <c:pt idx="7588">
                  <c:v>0.6</c:v>
                </c:pt>
                <c:pt idx="7589">
                  <c:v>0.56000000000000005</c:v>
                </c:pt>
                <c:pt idx="7590">
                  <c:v>0.59</c:v>
                </c:pt>
                <c:pt idx="7591">
                  <c:v>0.61</c:v>
                </c:pt>
                <c:pt idx="7592">
                  <c:v>0.6</c:v>
                </c:pt>
                <c:pt idx="7593">
                  <c:v>0.59</c:v>
                </c:pt>
                <c:pt idx="7594">
                  <c:v>0.55000000000000004</c:v>
                </c:pt>
                <c:pt idx="7595">
                  <c:v>0.61</c:v>
                </c:pt>
                <c:pt idx="7596">
                  <c:v>0.69</c:v>
                </c:pt>
                <c:pt idx="7597">
                  <c:v>2.46</c:v>
                </c:pt>
                <c:pt idx="7598">
                  <c:v>0</c:v>
                </c:pt>
                <c:pt idx="7599">
                  <c:v>1.59</c:v>
                </c:pt>
                <c:pt idx="7600">
                  <c:v>1.38</c:v>
                </c:pt>
                <c:pt idx="7601">
                  <c:v>1.8</c:v>
                </c:pt>
                <c:pt idx="7602">
                  <c:v>1.05</c:v>
                </c:pt>
                <c:pt idx="7603">
                  <c:v>1.05</c:v>
                </c:pt>
                <c:pt idx="7604">
                  <c:v>1.18</c:v>
                </c:pt>
                <c:pt idx="7605">
                  <c:v>1</c:v>
                </c:pt>
                <c:pt idx="7606">
                  <c:v>0.66</c:v>
                </c:pt>
                <c:pt idx="7607">
                  <c:v>0.51</c:v>
                </c:pt>
                <c:pt idx="7608">
                  <c:v>0.42</c:v>
                </c:pt>
                <c:pt idx="7609">
                  <c:v>0.7</c:v>
                </c:pt>
                <c:pt idx="7610">
                  <c:v>0.64</c:v>
                </c:pt>
                <c:pt idx="7611">
                  <c:v>0.63</c:v>
                </c:pt>
                <c:pt idx="7612">
                  <c:v>0.6</c:v>
                </c:pt>
                <c:pt idx="7613">
                  <c:v>0.43</c:v>
                </c:pt>
                <c:pt idx="7614">
                  <c:v>0.48</c:v>
                </c:pt>
                <c:pt idx="7615">
                  <c:v>0.48</c:v>
                </c:pt>
                <c:pt idx="7616">
                  <c:v>0.45</c:v>
                </c:pt>
                <c:pt idx="7617">
                  <c:v>0.59</c:v>
                </c:pt>
                <c:pt idx="7618">
                  <c:v>0.5</c:v>
                </c:pt>
                <c:pt idx="7619">
                  <c:v>0.81</c:v>
                </c:pt>
                <c:pt idx="7620">
                  <c:v>1.19</c:v>
                </c:pt>
                <c:pt idx="7621">
                  <c:v>2.04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1.18</c:v>
                </c:pt>
                <c:pt idx="7628">
                  <c:v>1.1000000000000001</c:v>
                </c:pt>
                <c:pt idx="7629">
                  <c:v>1.37</c:v>
                </c:pt>
                <c:pt idx="7630">
                  <c:v>1.26</c:v>
                </c:pt>
                <c:pt idx="7631">
                  <c:v>0.84</c:v>
                </c:pt>
                <c:pt idx="7632">
                  <c:v>0.56999999999999995</c:v>
                </c:pt>
                <c:pt idx="7633">
                  <c:v>0.44</c:v>
                </c:pt>
                <c:pt idx="7634">
                  <c:v>0.75</c:v>
                </c:pt>
                <c:pt idx="7635">
                  <c:v>0.73</c:v>
                </c:pt>
                <c:pt idx="7636">
                  <c:v>0.79</c:v>
                </c:pt>
                <c:pt idx="7637">
                  <c:v>0.45</c:v>
                </c:pt>
                <c:pt idx="7638">
                  <c:v>0.57999999999999996</c:v>
                </c:pt>
                <c:pt idx="7639">
                  <c:v>1.05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1.05</c:v>
                </c:pt>
                <c:pt idx="7644">
                  <c:v>0.25</c:v>
                </c:pt>
                <c:pt idx="7645">
                  <c:v>0</c:v>
                </c:pt>
                <c:pt idx="7646">
                  <c:v>0</c:v>
                </c:pt>
                <c:pt idx="7647">
                  <c:v>1.1299999999999999</c:v>
                </c:pt>
                <c:pt idx="7648">
                  <c:v>0.99</c:v>
                </c:pt>
                <c:pt idx="7649">
                  <c:v>1.08</c:v>
                </c:pt>
                <c:pt idx="7650">
                  <c:v>1.03</c:v>
                </c:pt>
                <c:pt idx="7651">
                  <c:v>0.96</c:v>
                </c:pt>
                <c:pt idx="7652">
                  <c:v>0.98</c:v>
                </c:pt>
                <c:pt idx="7653">
                  <c:v>0.86</c:v>
                </c:pt>
                <c:pt idx="7654">
                  <c:v>0.71</c:v>
                </c:pt>
                <c:pt idx="7655">
                  <c:v>0.5</c:v>
                </c:pt>
                <c:pt idx="7656">
                  <c:v>0.48</c:v>
                </c:pt>
                <c:pt idx="7657">
                  <c:v>0.38</c:v>
                </c:pt>
                <c:pt idx="7658">
                  <c:v>0.48</c:v>
                </c:pt>
                <c:pt idx="7659">
                  <c:v>0.39</c:v>
                </c:pt>
                <c:pt idx="7660">
                  <c:v>0.49</c:v>
                </c:pt>
                <c:pt idx="7661">
                  <c:v>0.31</c:v>
                </c:pt>
                <c:pt idx="7662">
                  <c:v>0.43</c:v>
                </c:pt>
                <c:pt idx="7663">
                  <c:v>0.47</c:v>
                </c:pt>
                <c:pt idx="7664">
                  <c:v>0.82</c:v>
                </c:pt>
                <c:pt idx="7665">
                  <c:v>0.55000000000000004</c:v>
                </c:pt>
                <c:pt idx="7666">
                  <c:v>0.97</c:v>
                </c:pt>
                <c:pt idx="7667">
                  <c:v>1.1499999999999999</c:v>
                </c:pt>
                <c:pt idx="7668">
                  <c:v>1.07</c:v>
                </c:pt>
                <c:pt idx="7669">
                  <c:v>0.97</c:v>
                </c:pt>
                <c:pt idx="7670">
                  <c:v>1.71</c:v>
                </c:pt>
                <c:pt idx="7671">
                  <c:v>1.46</c:v>
                </c:pt>
                <c:pt idx="7672">
                  <c:v>1.1599999999999999</c:v>
                </c:pt>
                <c:pt idx="7673">
                  <c:v>1.28</c:v>
                </c:pt>
                <c:pt idx="7674">
                  <c:v>1.18</c:v>
                </c:pt>
                <c:pt idx="7675">
                  <c:v>0.94</c:v>
                </c:pt>
                <c:pt idx="7676">
                  <c:v>1.77</c:v>
                </c:pt>
                <c:pt idx="7677">
                  <c:v>2.17</c:v>
                </c:pt>
                <c:pt idx="7678">
                  <c:v>1.38</c:v>
                </c:pt>
                <c:pt idx="7679">
                  <c:v>1.01</c:v>
                </c:pt>
                <c:pt idx="7680">
                  <c:v>0.41</c:v>
                </c:pt>
                <c:pt idx="7681">
                  <c:v>0.64</c:v>
                </c:pt>
                <c:pt idx="7682">
                  <c:v>0.39</c:v>
                </c:pt>
                <c:pt idx="7683">
                  <c:v>0.8</c:v>
                </c:pt>
                <c:pt idx="7684">
                  <c:v>0.36</c:v>
                </c:pt>
                <c:pt idx="7685">
                  <c:v>0.97</c:v>
                </c:pt>
                <c:pt idx="7686">
                  <c:v>0.45</c:v>
                </c:pt>
                <c:pt idx="7687">
                  <c:v>0.96</c:v>
                </c:pt>
                <c:pt idx="7688">
                  <c:v>0.65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0.88</c:v>
                </c:pt>
                <c:pt idx="7695">
                  <c:v>1.24</c:v>
                </c:pt>
                <c:pt idx="7696">
                  <c:v>0.9</c:v>
                </c:pt>
                <c:pt idx="7697">
                  <c:v>0.99</c:v>
                </c:pt>
                <c:pt idx="7698">
                  <c:v>0.88</c:v>
                </c:pt>
                <c:pt idx="7699">
                  <c:v>0.96</c:v>
                </c:pt>
                <c:pt idx="7700">
                  <c:v>0.83</c:v>
                </c:pt>
                <c:pt idx="7701">
                  <c:v>0.74</c:v>
                </c:pt>
                <c:pt idx="7702">
                  <c:v>0.52</c:v>
                </c:pt>
                <c:pt idx="7703">
                  <c:v>0.47</c:v>
                </c:pt>
                <c:pt idx="7704">
                  <c:v>0.34</c:v>
                </c:pt>
                <c:pt idx="7705">
                  <c:v>0.48</c:v>
                </c:pt>
                <c:pt idx="7706">
                  <c:v>0.4</c:v>
                </c:pt>
                <c:pt idx="7707">
                  <c:v>0.48</c:v>
                </c:pt>
                <c:pt idx="7708">
                  <c:v>0.34</c:v>
                </c:pt>
                <c:pt idx="7709">
                  <c:v>0.51</c:v>
                </c:pt>
                <c:pt idx="7710">
                  <c:v>0.35</c:v>
                </c:pt>
                <c:pt idx="7711">
                  <c:v>0.52</c:v>
                </c:pt>
                <c:pt idx="7712">
                  <c:v>0.55000000000000004</c:v>
                </c:pt>
                <c:pt idx="7713">
                  <c:v>0.55000000000000004</c:v>
                </c:pt>
                <c:pt idx="7714">
                  <c:v>0.66</c:v>
                </c:pt>
                <c:pt idx="7715">
                  <c:v>2.04</c:v>
                </c:pt>
                <c:pt idx="7716">
                  <c:v>1.47</c:v>
                </c:pt>
                <c:pt idx="7717">
                  <c:v>0.93</c:v>
                </c:pt>
                <c:pt idx="7718">
                  <c:v>1.52</c:v>
                </c:pt>
                <c:pt idx="7719">
                  <c:v>0.78</c:v>
                </c:pt>
                <c:pt idx="7720">
                  <c:v>1.02</c:v>
                </c:pt>
                <c:pt idx="7721">
                  <c:v>0.72</c:v>
                </c:pt>
                <c:pt idx="7722">
                  <c:v>1.03</c:v>
                </c:pt>
                <c:pt idx="7723">
                  <c:v>1.05</c:v>
                </c:pt>
                <c:pt idx="7724">
                  <c:v>0.84</c:v>
                </c:pt>
                <c:pt idx="7725">
                  <c:v>0.6</c:v>
                </c:pt>
                <c:pt idx="7726">
                  <c:v>0.43</c:v>
                </c:pt>
                <c:pt idx="7727">
                  <c:v>0.37</c:v>
                </c:pt>
                <c:pt idx="7728">
                  <c:v>0.43</c:v>
                </c:pt>
                <c:pt idx="7729">
                  <c:v>0.36</c:v>
                </c:pt>
                <c:pt idx="7730">
                  <c:v>0.43</c:v>
                </c:pt>
                <c:pt idx="7731">
                  <c:v>0.41</c:v>
                </c:pt>
                <c:pt idx="7732">
                  <c:v>0.49</c:v>
                </c:pt>
                <c:pt idx="7733">
                  <c:v>0.36</c:v>
                </c:pt>
                <c:pt idx="7734">
                  <c:v>0.41</c:v>
                </c:pt>
                <c:pt idx="7735">
                  <c:v>0.36</c:v>
                </c:pt>
                <c:pt idx="7736">
                  <c:v>0.42</c:v>
                </c:pt>
                <c:pt idx="7737">
                  <c:v>0.35</c:v>
                </c:pt>
                <c:pt idx="7738">
                  <c:v>0.44</c:v>
                </c:pt>
                <c:pt idx="7739">
                  <c:v>0.49</c:v>
                </c:pt>
                <c:pt idx="7740">
                  <c:v>1.78</c:v>
                </c:pt>
                <c:pt idx="7741">
                  <c:v>1.0900000000000001</c:v>
                </c:pt>
                <c:pt idx="7742">
                  <c:v>1.19</c:v>
                </c:pt>
                <c:pt idx="7743">
                  <c:v>2.2000000000000002</c:v>
                </c:pt>
                <c:pt idx="7744">
                  <c:v>2.17</c:v>
                </c:pt>
                <c:pt idx="7745">
                  <c:v>1.45</c:v>
                </c:pt>
                <c:pt idx="7746">
                  <c:v>0.93</c:v>
                </c:pt>
                <c:pt idx="7747">
                  <c:v>1.35</c:v>
                </c:pt>
                <c:pt idx="7748">
                  <c:v>1.33</c:v>
                </c:pt>
                <c:pt idx="7749">
                  <c:v>0.73</c:v>
                </c:pt>
                <c:pt idx="7750">
                  <c:v>0.77</c:v>
                </c:pt>
                <c:pt idx="7751">
                  <c:v>0.39</c:v>
                </c:pt>
                <c:pt idx="7752">
                  <c:v>0.44</c:v>
                </c:pt>
                <c:pt idx="7753">
                  <c:v>0.28999999999999998</c:v>
                </c:pt>
                <c:pt idx="7754">
                  <c:v>0.43</c:v>
                </c:pt>
                <c:pt idx="7755">
                  <c:v>0.31</c:v>
                </c:pt>
                <c:pt idx="7756">
                  <c:v>0.66</c:v>
                </c:pt>
                <c:pt idx="7757">
                  <c:v>0.55000000000000004</c:v>
                </c:pt>
                <c:pt idx="7758">
                  <c:v>0</c:v>
                </c:pt>
                <c:pt idx="7759">
                  <c:v>0.4</c:v>
                </c:pt>
                <c:pt idx="7760">
                  <c:v>0.39</c:v>
                </c:pt>
                <c:pt idx="7761">
                  <c:v>0.45</c:v>
                </c:pt>
                <c:pt idx="7762">
                  <c:v>0.56000000000000005</c:v>
                </c:pt>
                <c:pt idx="7763">
                  <c:v>0.44</c:v>
                </c:pt>
                <c:pt idx="7764">
                  <c:v>0.31</c:v>
                </c:pt>
                <c:pt idx="7765">
                  <c:v>1.86</c:v>
                </c:pt>
                <c:pt idx="7766">
                  <c:v>1.46</c:v>
                </c:pt>
                <c:pt idx="7767">
                  <c:v>1.61</c:v>
                </c:pt>
                <c:pt idx="7768">
                  <c:v>1.37</c:v>
                </c:pt>
                <c:pt idx="7769">
                  <c:v>1.07</c:v>
                </c:pt>
                <c:pt idx="7770">
                  <c:v>0.97</c:v>
                </c:pt>
                <c:pt idx="7771">
                  <c:v>1.01</c:v>
                </c:pt>
                <c:pt idx="7772">
                  <c:v>1.29</c:v>
                </c:pt>
                <c:pt idx="7773">
                  <c:v>1.41</c:v>
                </c:pt>
                <c:pt idx="7774">
                  <c:v>0.98</c:v>
                </c:pt>
                <c:pt idx="7775">
                  <c:v>0.68</c:v>
                </c:pt>
                <c:pt idx="7776">
                  <c:v>0.44</c:v>
                </c:pt>
                <c:pt idx="7777">
                  <c:v>0.47</c:v>
                </c:pt>
                <c:pt idx="7778">
                  <c:v>0.64</c:v>
                </c:pt>
                <c:pt idx="7779">
                  <c:v>1.19</c:v>
                </c:pt>
                <c:pt idx="7780">
                  <c:v>1.08</c:v>
                </c:pt>
                <c:pt idx="7781">
                  <c:v>0.74</c:v>
                </c:pt>
                <c:pt idx="7782">
                  <c:v>0.65</c:v>
                </c:pt>
                <c:pt idx="7783">
                  <c:v>0.52</c:v>
                </c:pt>
                <c:pt idx="7784">
                  <c:v>0.53</c:v>
                </c:pt>
                <c:pt idx="7785">
                  <c:v>0.4</c:v>
                </c:pt>
                <c:pt idx="7786">
                  <c:v>0.36</c:v>
                </c:pt>
                <c:pt idx="7787">
                  <c:v>0.83</c:v>
                </c:pt>
                <c:pt idx="7788">
                  <c:v>0.46</c:v>
                </c:pt>
                <c:pt idx="7789">
                  <c:v>0.65</c:v>
                </c:pt>
                <c:pt idx="7790">
                  <c:v>1.4</c:v>
                </c:pt>
                <c:pt idx="7791">
                  <c:v>1</c:v>
                </c:pt>
                <c:pt idx="7792">
                  <c:v>1.18</c:v>
                </c:pt>
                <c:pt idx="7793">
                  <c:v>1.6</c:v>
                </c:pt>
                <c:pt idx="7794">
                  <c:v>1.4</c:v>
                </c:pt>
                <c:pt idx="7795">
                  <c:v>0.93</c:v>
                </c:pt>
                <c:pt idx="7796">
                  <c:v>1.05</c:v>
                </c:pt>
                <c:pt idx="7797">
                  <c:v>1.34</c:v>
                </c:pt>
                <c:pt idx="7798">
                  <c:v>0.99</c:v>
                </c:pt>
                <c:pt idx="7799">
                  <c:v>0.9</c:v>
                </c:pt>
                <c:pt idx="7800">
                  <c:v>0.59</c:v>
                </c:pt>
                <c:pt idx="7801">
                  <c:v>0.52</c:v>
                </c:pt>
                <c:pt idx="7802">
                  <c:v>0.7</c:v>
                </c:pt>
                <c:pt idx="7803">
                  <c:v>0.38</c:v>
                </c:pt>
                <c:pt idx="7804">
                  <c:v>0.56999999999999995</c:v>
                </c:pt>
                <c:pt idx="7805">
                  <c:v>0.34</c:v>
                </c:pt>
                <c:pt idx="7806">
                  <c:v>0.85</c:v>
                </c:pt>
                <c:pt idx="7807">
                  <c:v>0</c:v>
                </c:pt>
                <c:pt idx="7808">
                  <c:v>0</c:v>
                </c:pt>
                <c:pt idx="7809">
                  <c:v>0.72</c:v>
                </c:pt>
                <c:pt idx="7810">
                  <c:v>1.41</c:v>
                </c:pt>
                <c:pt idx="7811">
                  <c:v>1.19</c:v>
                </c:pt>
                <c:pt idx="7812">
                  <c:v>0.39</c:v>
                </c:pt>
                <c:pt idx="7813">
                  <c:v>0.79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1.17</c:v>
                </c:pt>
                <c:pt idx="7818">
                  <c:v>1.41</c:v>
                </c:pt>
                <c:pt idx="7819">
                  <c:v>1.21</c:v>
                </c:pt>
                <c:pt idx="7820">
                  <c:v>0.75</c:v>
                </c:pt>
                <c:pt idx="7821">
                  <c:v>1.02</c:v>
                </c:pt>
                <c:pt idx="7822">
                  <c:v>0.73</c:v>
                </c:pt>
                <c:pt idx="7823">
                  <c:v>0.51</c:v>
                </c:pt>
                <c:pt idx="7824">
                  <c:v>0.63</c:v>
                </c:pt>
                <c:pt idx="7825">
                  <c:v>0.42</c:v>
                </c:pt>
                <c:pt idx="7826">
                  <c:v>0.46</c:v>
                </c:pt>
                <c:pt idx="7827">
                  <c:v>0.66</c:v>
                </c:pt>
                <c:pt idx="7828">
                  <c:v>0.81</c:v>
                </c:pt>
                <c:pt idx="7829">
                  <c:v>0.54</c:v>
                </c:pt>
                <c:pt idx="7830">
                  <c:v>0.42</c:v>
                </c:pt>
                <c:pt idx="7831">
                  <c:v>0.28999999999999998</c:v>
                </c:pt>
                <c:pt idx="7832">
                  <c:v>0.64</c:v>
                </c:pt>
                <c:pt idx="7833">
                  <c:v>0.28999999999999998</c:v>
                </c:pt>
                <c:pt idx="7834">
                  <c:v>0</c:v>
                </c:pt>
                <c:pt idx="7835">
                  <c:v>0</c:v>
                </c:pt>
                <c:pt idx="7836">
                  <c:v>0.99</c:v>
                </c:pt>
                <c:pt idx="7837">
                  <c:v>0.4</c:v>
                </c:pt>
                <c:pt idx="7838">
                  <c:v>1.23</c:v>
                </c:pt>
                <c:pt idx="7839">
                  <c:v>0.86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1.32</c:v>
                </c:pt>
                <c:pt idx="7844">
                  <c:v>1.27</c:v>
                </c:pt>
                <c:pt idx="7845">
                  <c:v>1.42</c:v>
                </c:pt>
                <c:pt idx="7846">
                  <c:v>1.63</c:v>
                </c:pt>
                <c:pt idx="7847">
                  <c:v>0.99</c:v>
                </c:pt>
                <c:pt idx="7848">
                  <c:v>0.82</c:v>
                </c:pt>
                <c:pt idx="7849">
                  <c:v>0.65</c:v>
                </c:pt>
                <c:pt idx="7850">
                  <c:v>0.37</c:v>
                </c:pt>
                <c:pt idx="7851">
                  <c:v>0.54</c:v>
                </c:pt>
                <c:pt idx="7852">
                  <c:v>0.38</c:v>
                </c:pt>
                <c:pt idx="7853">
                  <c:v>0.85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0.69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0.54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0.79</c:v>
                </c:pt>
                <c:pt idx="7866">
                  <c:v>0</c:v>
                </c:pt>
                <c:pt idx="7867">
                  <c:v>0</c:v>
                </c:pt>
                <c:pt idx="7868">
                  <c:v>0.94</c:v>
                </c:pt>
                <c:pt idx="7869">
                  <c:v>1.36</c:v>
                </c:pt>
                <c:pt idx="7870">
                  <c:v>0.79</c:v>
                </c:pt>
                <c:pt idx="7871">
                  <c:v>0.66</c:v>
                </c:pt>
                <c:pt idx="7872">
                  <c:v>0.73</c:v>
                </c:pt>
                <c:pt idx="7873">
                  <c:v>0.44</c:v>
                </c:pt>
                <c:pt idx="7874">
                  <c:v>0.62</c:v>
                </c:pt>
                <c:pt idx="7875">
                  <c:v>0.37</c:v>
                </c:pt>
                <c:pt idx="7876">
                  <c:v>0.41</c:v>
                </c:pt>
                <c:pt idx="7877">
                  <c:v>1</c:v>
                </c:pt>
                <c:pt idx="7878">
                  <c:v>0.35</c:v>
                </c:pt>
                <c:pt idx="7879">
                  <c:v>0.59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1.07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1</c:v>
                </c:pt>
                <c:pt idx="7894">
                  <c:v>0.51</c:v>
                </c:pt>
                <c:pt idx="7895">
                  <c:v>0.63</c:v>
                </c:pt>
                <c:pt idx="7896">
                  <c:v>0.42</c:v>
                </c:pt>
                <c:pt idx="7897">
                  <c:v>0.8</c:v>
                </c:pt>
                <c:pt idx="7898">
                  <c:v>0.28999999999999998</c:v>
                </c:pt>
                <c:pt idx="7899">
                  <c:v>0.93</c:v>
                </c:pt>
                <c:pt idx="7900">
                  <c:v>0.3</c:v>
                </c:pt>
                <c:pt idx="7901">
                  <c:v>0</c:v>
                </c:pt>
                <c:pt idx="7902">
                  <c:v>0.42</c:v>
                </c:pt>
                <c:pt idx="7903">
                  <c:v>0.31</c:v>
                </c:pt>
                <c:pt idx="7904">
                  <c:v>0.3</c:v>
                </c:pt>
                <c:pt idx="7905">
                  <c:v>0.59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0.63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0.93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0.79</c:v>
                </c:pt>
                <c:pt idx="7918">
                  <c:v>0</c:v>
                </c:pt>
                <c:pt idx="7919">
                  <c:v>0</c:v>
                </c:pt>
                <c:pt idx="7920">
                  <c:v>0.3</c:v>
                </c:pt>
                <c:pt idx="7921">
                  <c:v>0.6</c:v>
                </c:pt>
                <c:pt idx="7922">
                  <c:v>0.15</c:v>
                </c:pt>
                <c:pt idx="7923">
                  <c:v>0</c:v>
                </c:pt>
                <c:pt idx="7924">
                  <c:v>0.47</c:v>
                </c:pt>
                <c:pt idx="7925">
                  <c:v>0.35</c:v>
                </c:pt>
                <c:pt idx="7926">
                  <c:v>0</c:v>
                </c:pt>
                <c:pt idx="7927">
                  <c:v>0</c:v>
                </c:pt>
                <c:pt idx="7928">
                  <c:v>0.46</c:v>
                </c:pt>
                <c:pt idx="7929">
                  <c:v>0.4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1.89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0.68</c:v>
                </c:pt>
                <c:pt idx="7941">
                  <c:v>0.92</c:v>
                </c:pt>
                <c:pt idx="7942">
                  <c:v>0.77</c:v>
                </c:pt>
                <c:pt idx="7943">
                  <c:v>0.51</c:v>
                </c:pt>
                <c:pt idx="7944">
                  <c:v>0.67</c:v>
                </c:pt>
                <c:pt idx="7945">
                  <c:v>0.42</c:v>
                </c:pt>
                <c:pt idx="7946">
                  <c:v>0.66</c:v>
                </c:pt>
                <c:pt idx="7947">
                  <c:v>0.48</c:v>
                </c:pt>
                <c:pt idx="7948">
                  <c:v>0.21</c:v>
                </c:pt>
                <c:pt idx="7949">
                  <c:v>0</c:v>
                </c:pt>
                <c:pt idx="7950">
                  <c:v>0.66</c:v>
                </c:pt>
                <c:pt idx="7951">
                  <c:v>0.37</c:v>
                </c:pt>
                <c:pt idx="7952">
                  <c:v>0.17</c:v>
                </c:pt>
                <c:pt idx="7953">
                  <c:v>0</c:v>
                </c:pt>
                <c:pt idx="7954">
                  <c:v>0.5</c:v>
                </c:pt>
                <c:pt idx="7955">
                  <c:v>0.65</c:v>
                </c:pt>
                <c:pt idx="7956">
                  <c:v>0.12</c:v>
                </c:pt>
                <c:pt idx="7957">
                  <c:v>0.12</c:v>
                </c:pt>
                <c:pt idx="7958">
                  <c:v>0.82</c:v>
                </c:pt>
                <c:pt idx="7959">
                  <c:v>1.27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1.32</c:v>
                </c:pt>
                <c:pt idx="7965">
                  <c:v>0.95</c:v>
                </c:pt>
                <c:pt idx="7966">
                  <c:v>0.74</c:v>
                </c:pt>
                <c:pt idx="7967">
                  <c:v>1.05</c:v>
                </c:pt>
                <c:pt idx="7968">
                  <c:v>0.41</c:v>
                </c:pt>
                <c:pt idx="7969">
                  <c:v>0.72</c:v>
                </c:pt>
                <c:pt idx="7970">
                  <c:v>0.35</c:v>
                </c:pt>
                <c:pt idx="7971">
                  <c:v>0.18</c:v>
                </c:pt>
                <c:pt idx="7972">
                  <c:v>0.56000000000000005</c:v>
                </c:pt>
                <c:pt idx="7973">
                  <c:v>0.16</c:v>
                </c:pt>
                <c:pt idx="7974">
                  <c:v>0</c:v>
                </c:pt>
                <c:pt idx="7975">
                  <c:v>0</c:v>
                </c:pt>
                <c:pt idx="7976">
                  <c:v>0.45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0.68</c:v>
                </c:pt>
                <c:pt idx="7981">
                  <c:v>0.65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1.28</c:v>
                </c:pt>
                <c:pt idx="7988">
                  <c:v>0</c:v>
                </c:pt>
                <c:pt idx="7989">
                  <c:v>1.76</c:v>
                </c:pt>
                <c:pt idx="7990">
                  <c:v>1.59</c:v>
                </c:pt>
                <c:pt idx="7991">
                  <c:v>1.24</c:v>
                </c:pt>
                <c:pt idx="7992">
                  <c:v>1.5</c:v>
                </c:pt>
                <c:pt idx="7993">
                  <c:v>1.2</c:v>
                </c:pt>
                <c:pt idx="7994">
                  <c:v>1.43</c:v>
                </c:pt>
                <c:pt idx="7995">
                  <c:v>1.2</c:v>
                </c:pt>
                <c:pt idx="7996">
                  <c:v>1.35</c:v>
                </c:pt>
                <c:pt idx="7997">
                  <c:v>1.1499999999999999</c:v>
                </c:pt>
                <c:pt idx="7998">
                  <c:v>1.05</c:v>
                </c:pt>
                <c:pt idx="7999">
                  <c:v>0.64</c:v>
                </c:pt>
                <c:pt idx="8000">
                  <c:v>0</c:v>
                </c:pt>
                <c:pt idx="8001">
                  <c:v>0</c:v>
                </c:pt>
                <c:pt idx="8002">
                  <c:v>0.97</c:v>
                </c:pt>
                <c:pt idx="8003">
                  <c:v>0.82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1.02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1.26</c:v>
                </c:pt>
                <c:pt idx="8014">
                  <c:v>1.22</c:v>
                </c:pt>
                <c:pt idx="8015">
                  <c:v>0.89</c:v>
                </c:pt>
                <c:pt idx="8016">
                  <c:v>1.43</c:v>
                </c:pt>
                <c:pt idx="8017">
                  <c:v>1.1299999999999999</c:v>
                </c:pt>
                <c:pt idx="8018">
                  <c:v>1.44</c:v>
                </c:pt>
                <c:pt idx="8019">
                  <c:v>1.39</c:v>
                </c:pt>
                <c:pt idx="8020">
                  <c:v>1.7</c:v>
                </c:pt>
                <c:pt idx="8021">
                  <c:v>1.1399999999999999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0.7</c:v>
                </c:pt>
                <c:pt idx="8026">
                  <c:v>0.74</c:v>
                </c:pt>
                <c:pt idx="8027">
                  <c:v>0</c:v>
                </c:pt>
                <c:pt idx="8028">
                  <c:v>0</c:v>
                </c:pt>
                <c:pt idx="8029">
                  <c:v>0.47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1.18</c:v>
                </c:pt>
                <c:pt idx="8035">
                  <c:v>1.39</c:v>
                </c:pt>
                <c:pt idx="8036">
                  <c:v>0</c:v>
                </c:pt>
                <c:pt idx="8037">
                  <c:v>1.37</c:v>
                </c:pt>
                <c:pt idx="8038">
                  <c:v>1</c:v>
                </c:pt>
                <c:pt idx="8039">
                  <c:v>1.1399999999999999</c:v>
                </c:pt>
                <c:pt idx="8040">
                  <c:v>1.75</c:v>
                </c:pt>
                <c:pt idx="8041">
                  <c:v>1.1000000000000001</c:v>
                </c:pt>
                <c:pt idx="8042">
                  <c:v>1.46</c:v>
                </c:pt>
                <c:pt idx="8043">
                  <c:v>1.4</c:v>
                </c:pt>
                <c:pt idx="8044">
                  <c:v>1.66</c:v>
                </c:pt>
                <c:pt idx="8045">
                  <c:v>0.86</c:v>
                </c:pt>
                <c:pt idx="8046">
                  <c:v>0.68</c:v>
                </c:pt>
                <c:pt idx="8047">
                  <c:v>0.43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0.43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1.97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2.69</c:v>
                </c:pt>
                <c:pt idx="8061">
                  <c:v>1.36</c:v>
                </c:pt>
                <c:pt idx="8062">
                  <c:v>0.99</c:v>
                </c:pt>
                <c:pt idx="8063">
                  <c:v>0.99</c:v>
                </c:pt>
                <c:pt idx="8064">
                  <c:v>1.01</c:v>
                </c:pt>
                <c:pt idx="8065">
                  <c:v>1</c:v>
                </c:pt>
                <c:pt idx="8066">
                  <c:v>1.01</c:v>
                </c:pt>
                <c:pt idx="8067">
                  <c:v>0.5</c:v>
                </c:pt>
                <c:pt idx="8068">
                  <c:v>0</c:v>
                </c:pt>
                <c:pt idx="8069">
                  <c:v>2.13</c:v>
                </c:pt>
                <c:pt idx="8070">
                  <c:v>0.7</c:v>
                </c:pt>
                <c:pt idx="8071">
                  <c:v>0.4</c:v>
                </c:pt>
                <c:pt idx="8072">
                  <c:v>0.14000000000000001</c:v>
                </c:pt>
                <c:pt idx="8073">
                  <c:v>0</c:v>
                </c:pt>
                <c:pt idx="8074">
                  <c:v>0.28999999999999998</c:v>
                </c:pt>
                <c:pt idx="8075">
                  <c:v>0.6</c:v>
                </c:pt>
                <c:pt idx="8076">
                  <c:v>0.75</c:v>
                </c:pt>
                <c:pt idx="8077">
                  <c:v>0.8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0.86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0.77</c:v>
                </c:pt>
                <c:pt idx="8086">
                  <c:v>0.86</c:v>
                </c:pt>
                <c:pt idx="8087">
                  <c:v>0.62</c:v>
                </c:pt>
                <c:pt idx="8088">
                  <c:v>0.69</c:v>
                </c:pt>
                <c:pt idx="8089">
                  <c:v>0.32</c:v>
                </c:pt>
                <c:pt idx="8090">
                  <c:v>0.67</c:v>
                </c:pt>
                <c:pt idx="8091">
                  <c:v>0.95</c:v>
                </c:pt>
                <c:pt idx="8092">
                  <c:v>0</c:v>
                </c:pt>
                <c:pt idx="8093">
                  <c:v>0</c:v>
                </c:pt>
                <c:pt idx="8094">
                  <c:v>0.45</c:v>
                </c:pt>
                <c:pt idx="8095">
                  <c:v>0.28999999999999998</c:v>
                </c:pt>
                <c:pt idx="8096">
                  <c:v>0.16</c:v>
                </c:pt>
                <c:pt idx="8097">
                  <c:v>0</c:v>
                </c:pt>
                <c:pt idx="8098">
                  <c:v>0.38</c:v>
                </c:pt>
                <c:pt idx="8099">
                  <c:v>0.5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1.53</c:v>
                </c:pt>
                <c:pt idx="8106">
                  <c:v>0</c:v>
                </c:pt>
                <c:pt idx="8107">
                  <c:v>0</c:v>
                </c:pt>
                <c:pt idx="8108">
                  <c:v>0.69</c:v>
                </c:pt>
                <c:pt idx="8109">
                  <c:v>1.32</c:v>
                </c:pt>
                <c:pt idx="8110">
                  <c:v>0.74</c:v>
                </c:pt>
                <c:pt idx="8111">
                  <c:v>0.51</c:v>
                </c:pt>
                <c:pt idx="8112">
                  <c:v>0.68</c:v>
                </c:pt>
                <c:pt idx="8113">
                  <c:v>0.55000000000000004</c:v>
                </c:pt>
                <c:pt idx="8114">
                  <c:v>0.45</c:v>
                </c:pt>
                <c:pt idx="8115">
                  <c:v>0.85</c:v>
                </c:pt>
                <c:pt idx="8116">
                  <c:v>0</c:v>
                </c:pt>
                <c:pt idx="8117">
                  <c:v>0</c:v>
                </c:pt>
                <c:pt idx="8118">
                  <c:v>0.37</c:v>
                </c:pt>
                <c:pt idx="8119">
                  <c:v>0.74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1.61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1.78</c:v>
                </c:pt>
                <c:pt idx="8132">
                  <c:v>0</c:v>
                </c:pt>
                <c:pt idx="8133">
                  <c:v>1.4</c:v>
                </c:pt>
                <c:pt idx="8134">
                  <c:v>1.21</c:v>
                </c:pt>
                <c:pt idx="8135">
                  <c:v>1.26</c:v>
                </c:pt>
                <c:pt idx="8136">
                  <c:v>1.56</c:v>
                </c:pt>
                <c:pt idx="8137">
                  <c:v>1.33</c:v>
                </c:pt>
                <c:pt idx="8138">
                  <c:v>1.6</c:v>
                </c:pt>
                <c:pt idx="8139">
                  <c:v>1.24</c:v>
                </c:pt>
                <c:pt idx="8140">
                  <c:v>1.39</c:v>
                </c:pt>
                <c:pt idx="8141">
                  <c:v>0.67</c:v>
                </c:pt>
                <c:pt idx="8142">
                  <c:v>0</c:v>
                </c:pt>
                <c:pt idx="8143">
                  <c:v>0</c:v>
                </c:pt>
                <c:pt idx="8144">
                  <c:v>0.38</c:v>
                </c:pt>
                <c:pt idx="8145">
                  <c:v>0.44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0.75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1.47</c:v>
                </c:pt>
                <c:pt idx="8156">
                  <c:v>0</c:v>
                </c:pt>
                <c:pt idx="8157">
                  <c:v>1.1599999999999999</c:v>
                </c:pt>
                <c:pt idx="8158">
                  <c:v>1.2</c:v>
                </c:pt>
                <c:pt idx="8159">
                  <c:v>1.24</c:v>
                </c:pt>
                <c:pt idx="8160">
                  <c:v>0.75</c:v>
                </c:pt>
                <c:pt idx="8161">
                  <c:v>0.96</c:v>
                </c:pt>
                <c:pt idx="8162">
                  <c:v>0.73</c:v>
                </c:pt>
                <c:pt idx="8163">
                  <c:v>1.26</c:v>
                </c:pt>
                <c:pt idx="8164">
                  <c:v>0.64</c:v>
                </c:pt>
                <c:pt idx="8165">
                  <c:v>0.28000000000000003</c:v>
                </c:pt>
                <c:pt idx="8166">
                  <c:v>0.56000000000000005</c:v>
                </c:pt>
                <c:pt idx="8167">
                  <c:v>0.23</c:v>
                </c:pt>
                <c:pt idx="8168">
                  <c:v>0.13</c:v>
                </c:pt>
                <c:pt idx="8169">
                  <c:v>0</c:v>
                </c:pt>
                <c:pt idx="8170">
                  <c:v>0.38</c:v>
                </c:pt>
                <c:pt idx="8171">
                  <c:v>0.83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0.92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1.37</c:v>
                </c:pt>
                <c:pt idx="8182">
                  <c:v>1.51</c:v>
                </c:pt>
                <c:pt idx="8183">
                  <c:v>1.19</c:v>
                </c:pt>
                <c:pt idx="8184">
                  <c:v>1.33</c:v>
                </c:pt>
                <c:pt idx="8185">
                  <c:v>1.5</c:v>
                </c:pt>
                <c:pt idx="8186">
                  <c:v>1.1399999999999999</c:v>
                </c:pt>
                <c:pt idx="8187">
                  <c:v>1.32</c:v>
                </c:pt>
                <c:pt idx="8188">
                  <c:v>3</c:v>
                </c:pt>
                <c:pt idx="8189">
                  <c:v>0</c:v>
                </c:pt>
                <c:pt idx="8190">
                  <c:v>0</c:v>
                </c:pt>
                <c:pt idx="8191">
                  <c:v>1.22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1.92</c:v>
                </c:pt>
                <c:pt idx="8206">
                  <c:v>2.2999999999999998</c:v>
                </c:pt>
                <c:pt idx="8207">
                  <c:v>2.12</c:v>
                </c:pt>
                <c:pt idx="8208">
                  <c:v>2.4500000000000002</c:v>
                </c:pt>
                <c:pt idx="8209">
                  <c:v>1.93</c:v>
                </c:pt>
                <c:pt idx="8210">
                  <c:v>2.14</c:v>
                </c:pt>
                <c:pt idx="8211">
                  <c:v>1</c:v>
                </c:pt>
                <c:pt idx="8212">
                  <c:v>0</c:v>
                </c:pt>
                <c:pt idx="8213">
                  <c:v>2.29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2.2200000000000002</c:v>
                </c:pt>
                <c:pt idx="8232">
                  <c:v>2.2400000000000002</c:v>
                </c:pt>
                <c:pt idx="8233">
                  <c:v>2.0099999999999998</c:v>
                </c:pt>
                <c:pt idx="8234">
                  <c:v>2.11</c:v>
                </c:pt>
                <c:pt idx="8235">
                  <c:v>2.13</c:v>
                </c:pt>
                <c:pt idx="8236">
                  <c:v>0</c:v>
                </c:pt>
                <c:pt idx="8237">
                  <c:v>2.2999999999999998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3.08</c:v>
                </c:pt>
                <c:pt idx="8254">
                  <c:v>1.72</c:v>
                </c:pt>
                <c:pt idx="8255">
                  <c:v>1.65</c:v>
                </c:pt>
                <c:pt idx="8256">
                  <c:v>2.19</c:v>
                </c:pt>
                <c:pt idx="8257">
                  <c:v>2.11</c:v>
                </c:pt>
                <c:pt idx="8258">
                  <c:v>1.86</c:v>
                </c:pt>
                <c:pt idx="8259">
                  <c:v>0</c:v>
                </c:pt>
                <c:pt idx="8260">
                  <c:v>0</c:v>
                </c:pt>
                <c:pt idx="8261">
                  <c:v>1.0900000000000001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0.96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2</c:v>
                </c:pt>
                <c:pt idx="8279">
                  <c:v>2.14</c:v>
                </c:pt>
                <c:pt idx="8280">
                  <c:v>1.75</c:v>
                </c:pt>
                <c:pt idx="8281">
                  <c:v>2.06</c:v>
                </c:pt>
                <c:pt idx="8282">
                  <c:v>1.97</c:v>
                </c:pt>
                <c:pt idx="8283">
                  <c:v>2.2799999999999998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0.84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1.85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2.23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1.89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1.1499999999999999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0.92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1.82</c:v>
                </c:pt>
                <c:pt idx="8328">
                  <c:v>1.77</c:v>
                </c:pt>
                <c:pt idx="8329">
                  <c:v>2.14</c:v>
                </c:pt>
                <c:pt idx="8330">
                  <c:v>1.74</c:v>
                </c:pt>
                <c:pt idx="8331">
                  <c:v>0</c:v>
                </c:pt>
                <c:pt idx="8332">
                  <c:v>0</c:v>
                </c:pt>
                <c:pt idx="8333">
                  <c:v>0.83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0.74</c:v>
                </c:pt>
                <c:pt idx="8339">
                  <c:v>0.91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1.35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1.64</c:v>
                </c:pt>
                <c:pt idx="8348">
                  <c:v>1.89</c:v>
                </c:pt>
                <c:pt idx="8349">
                  <c:v>1.49</c:v>
                </c:pt>
                <c:pt idx="8350">
                  <c:v>1.81</c:v>
                </c:pt>
                <c:pt idx="8351">
                  <c:v>1.57</c:v>
                </c:pt>
                <c:pt idx="8352">
                  <c:v>1.88</c:v>
                </c:pt>
                <c:pt idx="8353">
                  <c:v>1.72</c:v>
                </c:pt>
                <c:pt idx="8354">
                  <c:v>2.11</c:v>
                </c:pt>
                <c:pt idx="8355">
                  <c:v>1.7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0.8</c:v>
                </c:pt>
                <c:pt idx="8360">
                  <c:v>1.82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0.72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1.1599999999999999</c:v>
                </c:pt>
                <c:pt idx="8371">
                  <c:v>1.45</c:v>
                </c:pt>
                <c:pt idx="8372">
                  <c:v>0</c:v>
                </c:pt>
                <c:pt idx="8373">
                  <c:v>0</c:v>
                </c:pt>
                <c:pt idx="8374">
                  <c:v>1.8</c:v>
                </c:pt>
                <c:pt idx="8375">
                  <c:v>1.72</c:v>
                </c:pt>
                <c:pt idx="8376">
                  <c:v>1.56</c:v>
                </c:pt>
                <c:pt idx="8377">
                  <c:v>1.7</c:v>
                </c:pt>
                <c:pt idx="8378">
                  <c:v>1.75</c:v>
                </c:pt>
                <c:pt idx="8379">
                  <c:v>1.78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1.21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2.2599999999999998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1.79</c:v>
                </c:pt>
                <c:pt idx="8398">
                  <c:v>0</c:v>
                </c:pt>
                <c:pt idx="8399">
                  <c:v>0</c:v>
                </c:pt>
                <c:pt idx="8400">
                  <c:v>1.1000000000000001</c:v>
                </c:pt>
                <c:pt idx="8401">
                  <c:v>1.28</c:v>
                </c:pt>
                <c:pt idx="8402">
                  <c:v>1.48</c:v>
                </c:pt>
                <c:pt idx="8403">
                  <c:v>0.99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0.85</c:v>
                </c:pt>
                <c:pt idx="8408">
                  <c:v>0.85</c:v>
                </c:pt>
                <c:pt idx="8409">
                  <c:v>0.85</c:v>
                </c:pt>
                <c:pt idx="8410">
                  <c:v>0.26</c:v>
                </c:pt>
                <c:pt idx="8411">
                  <c:v>0</c:v>
                </c:pt>
                <c:pt idx="8412">
                  <c:v>0</c:v>
                </c:pt>
                <c:pt idx="8413">
                  <c:v>1.66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1.4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1.57</c:v>
                </c:pt>
                <c:pt idx="8422">
                  <c:v>1.77</c:v>
                </c:pt>
                <c:pt idx="8423">
                  <c:v>1.86</c:v>
                </c:pt>
                <c:pt idx="8424">
                  <c:v>1.53</c:v>
                </c:pt>
                <c:pt idx="8425">
                  <c:v>1.74</c:v>
                </c:pt>
                <c:pt idx="8426">
                  <c:v>1.85</c:v>
                </c:pt>
                <c:pt idx="8427">
                  <c:v>1.6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0.75</c:v>
                </c:pt>
                <c:pt idx="8432">
                  <c:v>0.68</c:v>
                </c:pt>
                <c:pt idx="8433">
                  <c:v>0.68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1.66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2.98</c:v>
                </c:pt>
                <c:pt idx="8445">
                  <c:v>1.67</c:v>
                </c:pt>
                <c:pt idx="8446">
                  <c:v>0</c:v>
                </c:pt>
                <c:pt idx="8447">
                  <c:v>2.1</c:v>
                </c:pt>
                <c:pt idx="8448">
                  <c:v>1.59</c:v>
                </c:pt>
                <c:pt idx="8449">
                  <c:v>1.72</c:v>
                </c:pt>
                <c:pt idx="8450">
                  <c:v>1.9</c:v>
                </c:pt>
                <c:pt idx="8451">
                  <c:v>1.78</c:v>
                </c:pt>
                <c:pt idx="8452">
                  <c:v>1.48</c:v>
                </c:pt>
                <c:pt idx="8453">
                  <c:v>1.0900000000000001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1.04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2.6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1.97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1.39</c:v>
                </c:pt>
                <c:pt idx="8471">
                  <c:v>1.74</c:v>
                </c:pt>
                <c:pt idx="8472">
                  <c:v>1.52</c:v>
                </c:pt>
                <c:pt idx="8473">
                  <c:v>1.33</c:v>
                </c:pt>
                <c:pt idx="8474">
                  <c:v>1.5</c:v>
                </c:pt>
                <c:pt idx="8475">
                  <c:v>0</c:v>
                </c:pt>
                <c:pt idx="8476">
                  <c:v>0</c:v>
                </c:pt>
                <c:pt idx="8477">
                  <c:v>0.61</c:v>
                </c:pt>
                <c:pt idx="8478">
                  <c:v>0.87</c:v>
                </c:pt>
                <c:pt idx="8479">
                  <c:v>0.59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0.84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1.83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1.27</c:v>
                </c:pt>
                <c:pt idx="8494">
                  <c:v>1.31</c:v>
                </c:pt>
                <c:pt idx="8495">
                  <c:v>0.91</c:v>
                </c:pt>
                <c:pt idx="8496">
                  <c:v>1.1499999999999999</c:v>
                </c:pt>
                <c:pt idx="8497">
                  <c:v>0.9</c:v>
                </c:pt>
                <c:pt idx="8498">
                  <c:v>0.81</c:v>
                </c:pt>
                <c:pt idx="8499">
                  <c:v>1.46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0.93</c:v>
                </c:pt>
                <c:pt idx="8504">
                  <c:v>0.82</c:v>
                </c:pt>
                <c:pt idx="8505">
                  <c:v>1.1200000000000001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1.1000000000000001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1.32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1.02</c:v>
                </c:pt>
                <c:pt idx="8518">
                  <c:v>0.69</c:v>
                </c:pt>
                <c:pt idx="8519">
                  <c:v>0.52</c:v>
                </c:pt>
                <c:pt idx="8520">
                  <c:v>0.55000000000000004</c:v>
                </c:pt>
                <c:pt idx="8521">
                  <c:v>1.07</c:v>
                </c:pt>
                <c:pt idx="8522">
                  <c:v>0.9</c:v>
                </c:pt>
                <c:pt idx="8523">
                  <c:v>1.01</c:v>
                </c:pt>
                <c:pt idx="8524">
                  <c:v>0.94</c:v>
                </c:pt>
                <c:pt idx="8525">
                  <c:v>1.35</c:v>
                </c:pt>
                <c:pt idx="8526">
                  <c:v>0.74</c:v>
                </c:pt>
                <c:pt idx="8527">
                  <c:v>0.94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0.9</c:v>
                </c:pt>
                <c:pt idx="8532">
                  <c:v>0.85</c:v>
                </c:pt>
                <c:pt idx="8533">
                  <c:v>0</c:v>
                </c:pt>
                <c:pt idx="8534">
                  <c:v>0</c:v>
                </c:pt>
                <c:pt idx="8535">
                  <c:v>1.49</c:v>
                </c:pt>
                <c:pt idx="8536">
                  <c:v>1.34</c:v>
                </c:pt>
                <c:pt idx="8537">
                  <c:v>1.53</c:v>
                </c:pt>
                <c:pt idx="8538">
                  <c:v>1.1000000000000001</c:v>
                </c:pt>
                <c:pt idx="8539">
                  <c:v>1.1499999999999999</c:v>
                </c:pt>
                <c:pt idx="8540">
                  <c:v>1.56</c:v>
                </c:pt>
                <c:pt idx="8541">
                  <c:v>1.43</c:v>
                </c:pt>
                <c:pt idx="8542">
                  <c:v>1.1499999999999999</c:v>
                </c:pt>
                <c:pt idx="8543">
                  <c:v>0.77</c:v>
                </c:pt>
                <c:pt idx="8544">
                  <c:v>0.62</c:v>
                </c:pt>
                <c:pt idx="8545">
                  <c:v>0.89</c:v>
                </c:pt>
                <c:pt idx="8546">
                  <c:v>0.59</c:v>
                </c:pt>
                <c:pt idx="8547">
                  <c:v>0.87</c:v>
                </c:pt>
                <c:pt idx="8548">
                  <c:v>0.71</c:v>
                </c:pt>
                <c:pt idx="8549">
                  <c:v>0.89</c:v>
                </c:pt>
                <c:pt idx="8550">
                  <c:v>0.62</c:v>
                </c:pt>
                <c:pt idx="8551">
                  <c:v>1.34</c:v>
                </c:pt>
                <c:pt idx="8552">
                  <c:v>0</c:v>
                </c:pt>
                <c:pt idx="8553">
                  <c:v>0</c:v>
                </c:pt>
                <c:pt idx="8554">
                  <c:v>1.06</c:v>
                </c:pt>
                <c:pt idx="8555">
                  <c:v>0.64</c:v>
                </c:pt>
                <c:pt idx="8556">
                  <c:v>0.78</c:v>
                </c:pt>
                <c:pt idx="8557">
                  <c:v>0.87</c:v>
                </c:pt>
                <c:pt idx="8558">
                  <c:v>0</c:v>
                </c:pt>
                <c:pt idx="8559">
                  <c:v>0</c:v>
                </c:pt>
                <c:pt idx="8560">
                  <c:v>4.25</c:v>
                </c:pt>
                <c:pt idx="8561">
                  <c:v>1</c:v>
                </c:pt>
                <c:pt idx="8562">
                  <c:v>1.28</c:v>
                </c:pt>
                <c:pt idx="8563">
                  <c:v>1.04</c:v>
                </c:pt>
                <c:pt idx="8564">
                  <c:v>1.25</c:v>
                </c:pt>
                <c:pt idx="8565">
                  <c:v>1.26</c:v>
                </c:pt>
                <c:pt idx="8566">
                  <c:v>0.83</c:v>
                </c:pt>
                <c:pt idx="8567">
                  <c:v>0.43</c:v>
                </c:pt>
                <c:pt idx="8568">
                  <c:v>0.62</c:v>
                </c:pt>
                <c:pt idx="8569">
                  <c:v>0.95</c:v>
                </c:pt>
                <c:pt idx="8570">
                  <c:v>1.07</c:v>
                </c:pt>
                <c:pt idx="8571">
                  <c:v>0.88</c:v>
                </c:pt>
                <c:pt idx="8572">
                  <c:v>0.5</c:v>
                </c:pt>
                <c:pt idx="8573">
                  <c:v>7.0000000000000007E-2</c:v>
                </c:pt>
                <c:pt idx="8574">
                  <c:v>0.82</c:v>
                </c:pt>
                <c:pt idx="8575">
                  <c:v>0.38</c:v>
                </c:pt>
                <c:pt idx="8576">
                  <c:v>0.41</c:v>
                </c:pt>
                <c:pt idx="8577">
                  <c:v>0.85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1.31</c:v>
                </c:pt>
                <c:pt idx="8582">
                  <c:v>1.39</c:v>
                </c:pt>
                <c:pt idx="8583">
                  <c:v>1.17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0.82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1.41</c:v>
                </c:pt>
                <c:pt idx="8592">
                  <c:v>1.42</c:v>
                </c:pt>
                <c:pt idx="8593">
                  <c:v>1.03</c:v>
                </c:pt>
                <c:pt idx="8594">
                  <c:v>1.4</c:v>
                </c:pt>
                <c:pt idx="8595">
                  <c:v>0.9</c:v>
                </c:pt>
                <c:pt idx="8596">
                  <c:v>1.05</c:v>
                </c:pt>
                <c:pt idx="8597">
                  <c:v>0.57999999999999996</c:v>
                </c:pt>
                <c:pt idx="8598">
                  <c:v>0.73</c:v>
                </c:pt>
                <c:pt idx="8599">
                  <c:v>0.71</c:v>
                </c:pt>
                <c:pt idx="8600">
                  <c:v>0</c:v>
                </c:pt>
                <c:pt idx="8601">
                  <c:v>0</c:v>
                </c:pt>
                <c:pt idx="8602">
                  <c:v>0.63</c:v>
                </c:pt>
                <c:pt idx="8603">
                  <c:v>0.75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0.76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0.91</c:v>
                </c:pt>
                <c:pt idx="8612">
                  <c:v>1.01</c:v>
                </c:pt>
                <c:pt idx="8613">
                  <c:v>1.1200000000000001</c:v>
                </c:pt>
                <c:pt idx="8614">
                  <c:v>0.75</c:v>
                </c:pt>
                <c:pt idx="8615">
                  <c:v>0.48</c:v>
                </c:pt>
                <c:pt idx="8616">
                  <c:v>0.59</c:v>
                </c:pt>
                <c:pt idx="8617">
                  <c:v>0.33</c:v>
                </c:pt>
                <c:pt idx="8618">
                  <c:v>0.65</c:v>
                </c:pt>
                <c:pt idx="8619">
                  <c:v>0.36</c:v>
                </c:pt>
                <c:pt idx="8620">
                  <c:v>0.98</c:v>
                </c:pt>
                <c:pt idx="8621">
                  <c:v>0.1</c:v>
                </c:pt>
                <c:pt idx="8622">
                  <c:v>0.43</c:v>
                </c:pt>
                <c:pt idx="8623">
                  <c:v>0.66</c:v>
                </c:pt>
                <c:pt idx="8624">
                  <c:v>0.7</c:v>
                </c:pt>
                <c:pt idx="8625">
                  <c:v>0.83</c:v>
                </c:pt>
                <c:pt idx="8626">
                  <c:v>0</c:v>
                </c:pt>
                <c:pt idx="8627">
                  <c:v>0</c:v>
                </c:pt>
                <c:pt idx="8628">
                  <c:v>1.07</c:v>
                </c:pt>
                <c:pt idx="8629">
                  <c:v>0.98</c:v>
                </c:pt>
                <c:pt idx="8630">
                  <c:v>1.1399999999999999</c:v>
                </c:pt>
                <c:pt idx="8631">
                  <c:v>0.9</c:v>
                </c:pt>
                <c:pt idx="8632">
                  <c:v>0</c:v>
                </c:pt>
                <c:pt idx="8633">
                  <c:v>0</c:v>
                </c:pt>
                <c:pt idx="8634">
                  <c:v>0.61</c:v>
                </c:pt>
                <c:pt idx="8635">
                  <c:v>0.74</c:v>
                </c:pt>
                <c:pt idx="8636">
                  <c:v>0</c:v>
                </c:pt>
                <c:pt idx="8637">
                  <c:v>0.75</c:v>
                </c:pt>
                <c:pt idx="8638">
                  <c:v>1.05</c:v>
                </c:pt>
                <c:pt idx="8639">
                  <c:v>1.04</c:v>
                </c:pt>
                <c:pt idx="8640">
                  <c:v>0.94</c:v>
                </c:pt>
                <c:pt idx="8641">
                  <c:v>0.49</c:v>
                </c:pt>
                <c:pt idx="8642">
                  <c:v>0.56999999999999995</c:v>
                </c:pt>
                <c:pt idx="8643">
                  <c:v>0.63</c:v>
                </c:pt>
                <c:pt idx="8644">
                  <c:v>0.82</c:v>
                </c:pt>
                <c:pt idx="8645">
                  <c:v>0.34</c:v>
                </c:pt>
                <c:pt idx="8646">
                  <c:v>0.43</c:v>
                </c:pt>
                <c:pt idx="8647">
                  <c:v>0.4</c:v>
                </c:pt>
                <c:pt idx="8648">
                  <c:v>0.41</c:v>
                </c:pt>
                <c:pt idx="8649">
                  <c:v>0.76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1.1000000000000001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1.06</c:v>
                </c:pt>
                <c:pt idx="8658">
                  <c:v>0.41</c:v>
                </c:pt>
                <c:pt idx="8659">
                  <c:v>0</c:v>
                </c:pt>
                <c:pt idx="8660">
                  <c:v>0</c:v>
                </c:pt>
                <c:pt idx="8661">
                  <c:v>1.07</c:v>
                </c:pt>
                <c:pt idx="8662">
                  <c:v>0.85</c:v>
                </c:pt>
                <c:pt idx="8663">
                  <c:v>0.83</c:v>
                </c:pt>
                <c:pt idx="8664">
                  <c:v>0.57999999999999996</c:v>
                </c:pt>
                <c:pt idx="8665">
                  <c:v>0.41</c:v>
                </c:pt>
                <c:pt idx="8666">
                  <c:v>0.34</c:v>
                </c:pt>
                <c:pt idx="8667">
                  <c:v>1.1000000000000001</c:v>
                </c:pt>
                <c:pt idx="8668">
                  <c:v>0</c:v>
                </c:pt>
                <c:pt idx="8669">
                  <c:v>0</c:v>
                </c:pt>
                <c:pt idx="8670">
                  <c:v>0.38</c:v>
                </c:pt>
                <c:pt idx="8671">
                  <c:v>0.72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0.95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1.54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0.73</c:v>
                </c:pt>
                <c:pt idx="8684">
                  <c:v>0.97</c:v>
                </c:pt>
                <c:pt idx="8685">
                  <c:v>0.81</c:v>
                </c:pt>
                <c:pt idx="8686">
                  <c:v>1.1200000000000001</c:v>
                </c:pt>
                <c:pt idx="8687">
                  <c:v>0.51</c:v>
                </c:pt>
                <c:pt idx="8688">
                  <c:v>1.1200000000000001</c:v>
                </c:pt>
                <c:pt idx="8689">
                  <c:v>1.1299999999999999</c:v>
                </c:pt>
                <c:pt idx="8690">
                  <c:v>1.05</c:v>
                </c:pt>
                <c:pt idx="8691">
                  <c:v>1.1000000000000001</c:v>
                </c:pt>
                <c:pt idx="8692">
                  <c:v>0</c:v>
                </c:pt>
                <c:pt idx="8693">
                  <c:v>0</c:v>
                </c:pt>
                <c:pt idx="8694">
                  <c:v>0.38</c:v>
                </c:pt>
                <c:pt idx="8695">
                  <c:v>0.72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2.39</c:v>
                </c:pt>
                <c:pt idx="8700">
                  <c:v>0.96</c:v>
                </c:pt>
                <c:pt idx="8701">
                  <c:v>0.69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1.23</c:v>
                </c:pt>
                <c:pt idx="8706">
                  <c:v>0</c:v>
                </c:pt>
                <c:pt idx="8707">
                  <c:v>0</c:v>
                </c:pt>
                <c:pt idx="8708">
                  <c:v>1.56</c:v>
                </c:pt>
                <c:pt idx="8709">
                  <c:v>0.59</c:v>
                </c:pt>
                <c:pt idx="8710">
                  <c:v>0.7</c:v>
                </c:pt>
                <c:pt idx="8711">
                  <c:v>0.86</c:v>
                </c:pt>
                <c:pt idx="8712">
                  <c:v>0.7</c:v>
                </c:pt>
                <c:pt idx="8713">
                  <c:v>0.77</c:v>
                </c:pt>
                <c:pt idx="8714">
                  <c:v>1.35</c:v>
                </c:pt>
                <c:pt idx="8715">
                  <c:v>0.71</c:v>
                </c:pt>
                <c:pt idx="8716">
                  <c:v>0.96</c:v>
                </c:pt>
                <c:pt idx="8717">
                  <c:v>0.78</c:v>
                </c:pt>
                <c:pt idx="8718">
                  <c:v>0.41</c:v>
                </c:pt>
                <c:pt idx="8719">
                  <c:v>0.93</c:v>
                </c:pt>
                <c:pt idx="8720">
                  <c:v>0.64</c:v>
                </c:pt>
                <c:pt idx="8721">
                  <c:v>1.21</c:v>
                </c:pt>
                <c:pt idx="8722">
                  <c:v>0</c:v>
                </c:pt>
                <c:pt idx="8723">
                  <c:v>0</c:v>
                </c:pt>
                <c:pt idx="8724">
                  <c:v>1.29</c:v>
                </c:pt>
                <c:pt idx="8725">
                  <c:v>1.69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0.83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1.39</c:v>
                </c:pt>
                <c:pt idx="8734">
                  <c:v>1.24</c:v>
                </c:pt>
                <c:pt idx="8735">
                  <c:v>1.49</c:v>
                </c:pt>
                <c:pt idx="8736">
                  <c:v>1.18</c:v>
                </c:pt>
                <c:pt idx="8737">
                  <c:v>1.1100000000000001</c:v>
                </c:pt>
                <c:pt idx="8738">
                  <c:v>1.41</c:v>
                </c:pt>
                <c:pt idx="8739">
                  <c:v>1.07</c:v>
                </c:pt>
                <c:pt idx="8740">
                  <c:v>1.48</c:v>
                </c:pt>
                <c:pt idx="8741">
                  <c:v>1.29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1.41</c:v>
                </c:pt>
                <c:pt idx="8746">
                  <c:v>0</c:v>
                </c:pt>
                <c:pt idx="8747">
                  <c:v>0</c:v>
                </c:pt>
                <c:pt idx="8748">
                  <c:v>0.44</c:v>
                </c:pt>
                <c:pt idx="8749">
                  <c:v>0.32</c:v>
                </c:pt>
                <c:pt idx="8750">
                  <c:v>1.25</c:v>
                </c:pt>
                <c:pt idx="8751">
                  <c:v>0.89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0.7</c:v>
                </c:pt>
                <c:pt idx="8756">
                  <c:v>0.96</c:v>
                </c:pt>
                <c:pt idx="8757">
                  <c:v>0.93</c:v>
                </c:pt>
                <c:pt idx="8758">
                  <c:v>0.69</c:v>
                </c:pt>
                <c:pt idx="875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9-478B-86F4-1D614BEE9F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0.56999999999999995</c:v>
                </c:pt>
                <c:pt idx="11">
                  <c:v>0.7</c:v>
                </c:pt>
                <c:pt idx="12">
                  <c:v>0.44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0.61</c:v>
                </c:pt>
                <c:pt idx="17">
                  <c:v>0.96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0.21</c:v>
                </c:pt>
                <c:pt idx="31">
                  <c:v>0.42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0.44</c:v>
                </c:pt>
                <c:pt idx="37">
                  <c:v>1.08</c:v>
                </c:pt>
                <c:pt idx="38">
                  <c:v>0.71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0.8</c:v>
                </c:pt>
                <c:pt idx="43">
                  <c:v>2.17</c:v>
                </c:pt>
                <c:pt idx="44">
                  <c:v>0.56000000000000005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0.76</c:v>
                </c:pt>
                <c:pt idx="61">
                  <c:v>1.6</c:v>
                </c:pt>
                <c:pt idx="62">
                  <c:v>0.33</c:v>
                </c:pt>
                <c:pt idx="63">
                  <c:v>0</c:v>
                </c:pt>
                <c:pt idx="64">
                  <c:v>1.17</c:v>
                </c:pt>
                <c:pt idx="65">
                  <c:v>1.91</c:v>
                </c:pt>
                <c:pt idx="66">
                  <c:v>0.51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0.98</c:v>
                </c:pt>
                <c:pt idx="81">
                  <c:v>1.26</c:v>
                </c:pt>
                <c:pt idx="82">
                  <c:v>0.49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1.08</c:v>
                </c:pt>
                <c:pt idx="88">
                  <c:v>1.49</c:v>
                </c:pt>
                <c:pt idx="89">
                  <c:v>0.84</c:v>
                </c:pt>
                <c:pt idx="90">
                  <c:v>0</c:v>
                </c:pt>
                <c:pt idx="91">
                  <c:v>0</c:v>
                </c:pt>
                <c:pt idx="92">
                  <c:v>1.1100000000000001</c:v>
                </c:pt>
                <c:pt idx="93">
                  <c:v>1.38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0.88</c:v>
                </c:pt>
                <c:pt idx="105">
                  <c:v>1.48</c:v>
                </c:pt>
                <c:pt idx="106">
                  <c:v>0.46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1.04</c:v>
                </c:pt>
                <c:pt idx="111">
                  <c:v>1.35</c:v>
                </c:pt>
                <c:pt idx="112">
                  <c:v>0.39</c:v>
                </c:pt>
                <c:pt idx="113">
                  <c:v>0</c:v>
                </c:pt>
                <c:pt idx="114">
                  <c:v>0.7</c:v>
                </c:pt>
                <c:pt idx="115">
                  <c:v>1.31</c:v>
                </c:pt>
                <c:pt idx="116">
                  <c:v>0.3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1.28</c:v>
                </c:pt>
                <c:pt idx="131">
                  <c:v>1.4</c:v>
                </c:pt>
                <c:pt idx="132">
                  <c:v>0.41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0.95</c:v>
                </c:pt>
                <c:pt idx="137">
                  <c:v>1.32</c:v>
                </c:pt>
                <c:pt idx="138">
                  <c:v>0.77</c:v>
                </c:pt>
                <c:pt idx="139">
                  <c:v>0</c:v>
                </c:pt>
                <c:pt idx="140">
                  <c:v>0.47</c:v>
                </c:pt>
                <c:pt idx="141">
                  <c:v>0.53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0.56999999999999995</c:v>
                </c:pt>
                <c:pt idx="153">
                  <c:v>0.75</c:v>
                </c:pt>
                <c:pt idx="154">
                  <c:v>0.27</c:v>
                </c:pt>
                <c:pt idx="155">
                  <c:v>0</c:v>
                </c:pt>
                <c:pt idx="156">
                  <c:v>0.61</c:v>
                </c:pt>
                <c:pt idx="157">
                  <c:v>1.53</c:v>
                </c:pt>
                <c:pt idx="158">
                  <c:v>0.35</c:v>
                </c:pt>
                <c:pt idx="159">
                  <c:v>0</c:v>
                </c:pt>
                <c:pt idx="160">
                  <c:v>0</c:v>
                </c:pt>
                <c:pt idx="161">
                  <c:v>1.61</c:v>
                </c:pt>
                <c:pt idx="162">
                  <c:v>0.45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0.7</c:v>
                </c:pt>
                <c:pt idx="175">
                  <c:v>0.84</c:v>
                </c:pt>
                <c:pt idx="176">
                  <c:v>0.42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1.17</c:v>
                </c:pt>
                <c:pt idx="181">
                  <c:v>1.7</c:v>
                </c:pt>
                <c:pt idx="182">
                  <c:v>0.75</c:v>
                </c:pt>
                <c:pt idx="183">
                  <c:v>0</c:v>
                </c:pt>
                <c:pt idx="184">
                  <c:v>1.06</c:v>
                </c:pt>
                <c:pt idx="185">
                  <c:v>1.56</c:v>
                </c:pt>
                <c:pt idx="186">
                  <c:v>0.66</c:v>
                </c:pt>
                <c:pt idx="187">
                  <c:v>0</c:v>
                </c:pt>
                <c:pt idx="188">
                  <c:v>0.88</c:v>
                </c:pt>
                <c:pt idx="189">
                  <c:v>1.27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0.79</c:v>
                </c:pt>
                <c:pt idx="201">
                  <c:v>1.45</c:v>
                </c:pt>
                <c:pt idx="202">
                  <c:v>0.92</c:v>
                </c:pt>
                <c:pt idx="203">
                  <c:v>0</c:v>
                </c:pt>
                <c:pt idx="204">
                  <c:v>0.5</c:v>
                </c:pt>
                <c:pt idx="205">
                  <c:v>0.86</c:v>
                </c:pt>
                <c:pt idx="206">
                  <c:v>0.61</c:v>
                </c:pt>
                <c:pt idx="207">
                  <c:v>0</c:v>
                </c:pt>
                <c:pt idx="208">
                  <c:v>0.85</c:v>
                </c:pt>
                <c:pt idx="209">
                  <c:v>1.52</c:v>
                </c:pt>
                <c:pt idx="210">
                  <c:v>1.07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1.07</c:v>
                </c:pt>
                <c:pt idx="221">
                  <c:v>0.7</c:v>
                </c:pt>
                <c:pt idx="222">
                  <c:v>0.27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0.48</c:v>
                </c:pt>
                <c:pt idx="227">
                  <c:v>0.83</c:v>
                </c:pt>
                <c:pt idx="228">
                  <c:v>0.69</c:v>
                </c:pt>
                <c:pt idx="229">
                  <c:v>0</c:v>
                </c:pt>
                <c:pt idx="230">
                  <c:v>1.1499999999999999</c:v>
                </c:pt>
                <c:pt idx="231">
                  <c:v>2.61</c:v>
                </c:pt>
                <c:pt idx="232">
                  <c:v>1.32</c:v>
                </c:pt>
                <c:pt idx="233">
                  <c:v>0</c:v>
                </c:pt>
                <c:pt idx="234">
                  <c:v>0.72</c:v>
                </c:pt>
                <c:pt idx="235">
                  <c:v>1.38</c:v>
                </c:pt>
                <c:pt idx="236">
                  <c:v>0.46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0.27</c:v>
                </c:pt>
                <c:pt idx="248">
                  <c:v>0.38</c:v>
                </c:pt>
                <c:pt idx="249">
                  <c:v>0</c:v>
                </c:pt>
                <c:pt idx="250">
                  <c:v>0.63</c:v>
                </c:pt>
                <c:pt idx="251">
                  <c:v>1.53</c:v>
                </c:pt>
                <c:pt idx="252">
                  <c:v>1.59</c:v>
                </c:pt>
                <c:pt idx="253">
                  <c:v>0.36</c:v>
                </c:pt>
                <c:pt idx="254">
                  <c:v>1.01</c:v>
                </c:pt>
                <c:pt idx="255">
                  <c:v>1.56</c:v>
                </c:pt>
                <c:pt idx="256">
                  <c:v>1.48</c:v>
                </c:pt>
                <c:pt idx="257">
                  <c:v>1.45</c:v>
                </c:pt>
                <c:pt idx="258">
                  <c:v>0.42</c:v>
                </c:pt>
                <c:pt idx="259">
                  <c:v>0</c:v>
                </c:pt>
                <c:pt idx="260">
                  <c:v>0.81</c:v>
                </c:pt>
                <c:pt idx="261">
                  <c:v>1.52</c:v>
                </c:pt>
                <c:pt idx="262">
                  <c:v>0.38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0.65</c:v>
                </c:pt>
                <c:pt idx="271">
                  <c:v>0.62</c:v>
                </c:pt>
                <c:pt idx="272">
                  <c:v>0.64</c:v>
                </c:pt>
                <c:pt idx="273">
                  <c:v>0</c:v>
                </c:pt>
                <c:pt idx="274">
                  <c:v>0.46</c:v>
                </c:pt>
                <c:pt idx="275">
                  <c:v>1.17</c:v>
                </c:pt>
                <c:pt idx="276">
                  <c:v>1.1200000000000001</c:v>
                </c:pt>
                <c:pt idx="277">
                  <c:v>0.41</c:v>
                </c:pt>
                <c:pt idx="278">
                  <c:v>0</c:v>
                </c:pt>
                <c:pt idx="279">
                  <c:v>1.3</c:v>
                </c:pt>
                <c:pt idx="280">
                  <c:v>1.41</c:v>
                </c:pt>
                <c:pt idx="281">
                  <c:v>1.27</c:v>
                </c:pt>
                <c:pt idx="282">
                  <c:v>0.49</c:v>
                </c:pt>
                <c:pt idx="283">
                  <c:v>0</c:v>
                </c:pt>
                <c:pt idx="284">
                  <c:v>1.19</c:v>
                </c:pt>
                <c:pt idx="285">
                  <c:v>1.83</c:v>
                </c:pt>
                <c:pt idx="286">
                  <c:v>0.44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0.27</c:v>
                </c:pt>
                <c:pt idx="296">
                  <c:v>1.3</c:v>
                </c:pt>
                <c:pt idx="297">
                  <c:v>1.21</c:v>
                </c:pt>
                <c:pt idx="298">
                  <c:v>0.5</c:v>
                </c:pt>
                <c:pt idx="299">
                  <c:v>0</c:v>
                </c:pt>
                <c:pt idx="300">
                  <c:v>0.71</c:v>
                </c:pt>
                <c:pt idx="301">
                  <c:v>1.43</c:v>
                </c:pt>
                <c:pt idx="302">
                  <c:v>0.92</c:v>
                </c:pt>
                <c:pt idx="303">
                  <c:v>0</c:v>
                </c:pt>
                <c:pt idx="304">
                  <c:v>0.93</c:v>
                </c:pt>
                <c:pt idx="305">
                  <c:v>1.36</c:v>
                </c:pt>
                <c:pt idx="306">
                  <c:v>1.38</c:v>
                </c:pt>
                <c:pt idx="307">
                  <c:v>1.41</c:v>
                </c:pt>
                <c:pt idx="308">
                  <c:v>0.4</c:v>
                </c:pt>
                <c:pt idx="309">
                  <c:v>0</c:v>
                </c:pt>
                <c:pt idx="310">
                  <c:v>1.17</c:v>
                </c:pt>
                <c:pt idx="311">
                  <c:v>1.93</c:v>
                </c:pt>
                <c:pt idx="312">
                  <c:v>0.37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0.47</c:v>
                </c:pt>
                <c:pt idx="319">
                  <c:v>0.89</c:v>
                </c:pt>
                <c:pt idx="320">
                  <c:v>0.37</c:v>
                </c:pt>
                <c:pt idx="321">
                  <c:v>0</c:v>
                </c:pt>
                <c:pt idx="322">
                  <c:v>0.55000000000000004</c:v>
                </c:pt>
                <c:pt idx="323">
                  <c:v>0.95</c:v>
                </c:pt>
                <c:pt idx="324">
                  <c:v>1.35</c:v>
                </c:pt>
                <c:pt idx="325">
                  <c:v>1.4</c:v>
                </c:pt>
                <c:pt idx="326">
                  <c:v>0.7</c:v>
                </c:pt>
                <c:pt idx="327">
                  <c:v>0</c:v>
                </c:pt>
                <c:pt idx="328">
                  <c:v>0.65</c:v>
                </c:pt>
                <c:pt idx="329">
                  <c:v>1.36</c:v>
                </c:pt>
                <c:pt idx="330">
                  <c:v>0.66</c:v>
                </c:pt>
                <c:pt idx="331">
                  <c:v>0</c:v>
                </c:pt>
                <c:pt idx="332">
                  <c:v>0.56999999999999995</c:v>
                </c:pt>
                <c:pt idx="333">
                  <c:v>1.74</c:v>
                </c:pt>
                <c:pt idx="334">
                  <c:v>0.67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0.72</c:v>
                </c:pt>
                <c:pt idx="344">
                  <c:v>0.88</c:v>
                </c:pt>
                <c:pt idx="345">
                  <c:v>0.84</c:v>
                </c:pt>
                <c:pt idx="346">
                  <c:v>0.28999999999999998</c:v>
                </c:pt>
                <c:pt idx="347">
                  <c:v>0</c:v>
                </c:pt>
                <c:pt idx="348">
                  <c:v>0.61</c:v>
                </c:pt>
                <c:pt idx="349">
                  <c:v>1.03</c:v>
                </c:pt>
                <c:pt idx="350">
                  <c:v>1.49</c:v>
                </c:pt>
                <c:pt idx="351">
                  <c:v>1.61</c:v>
                </c:pt>
                <c:pt idx="352">
                  <c:v>0.35</c:v>
                </c:pt>
                <c:pt idx="353">
                  <c:v>0</c:v>
                </c:pt>
                <c:pt idx="354">
                  <c:v>1.05</c:v>
                </c:pt>
                <c:pt idx="355">
                  <c:v>1.47</c:v>
                </c:pt>
                <c:pt idx="356">
                  <c:v>0.25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1.23</c:v>
                </c:pt>
                <c:pt idx="365">
                  <c:v>2.0099999999999998</c:v>
                </c:pt>
                <c:pt idx="366">
                  <c:v>0.57999999999999996</c:v>
                </c:pt>
                <c:pt idx="367">
                  <c:v>0</c:v>
                </c:pt>
                <c:pt idx="368">
                  <c:v>0</c:v>
                </c:pt>
                <c:pt idx="369">
                  <c:v>1.0900000000000001</c:v>
                </c:pt>
                <c:pt idx="370">
                  <c:v>1.06</c:v>
                </c:pt>
                <c:pt idx="371">
                  <c:v>0.96</c:v>
                </c:pt>
                <c:pt idx="372">
                  <c:v>0</c:v>
                </c:pt>
                <c:pt idx="373">
                  <c:v>0</c:v>
                </c:pt>
                <c:pt idx="374">
                  <c:v>0.85</c:v>
                </c:pt>
                <c:pt idx="375">
                  <c:v>1.1000000000000001</c:v>
                </c:pt>
                <c:pt idx="376">
                  <c:v>0.48</c:v>
                </c:pt>
                <c:pt idx="377">
                  <c:v>0</c:v>
                </c:pt>
                <c:pt idx="378">
                  <c:v>0.8</c:v>
                </c:pt>
                <c:pt idx="379">
                  <c:v>1.26</c:v>
                </c:pt>
                <c:pt idx="380">
                  <c:v>1.25</c:v>
                </c:pt>
                <c:pt idx="381">
                  <c:v>1.01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1.77</c:v>
                </c:pt>
                <c:pt idx="388">
                  <c:v>1.94</c:v>
                </c:pt>
                <c:pt idx="389">
                  <c:v>1.9</c:v>
                </c:pt>
                <c:pt idx="390">
                  <c:v>0.56999999999999995</c:v>
                </c:pt>
                <c:pt idx="391">
                  <c:v>0</c:v>
                </c:pt>
                <c:pt idx="392">
                  <c:v>0.76</c:v>
                </c:pt>
                <c:pt idx="393">
                  <c:v>1.06</c:v>
                </c:pt>
                <c:pt idx="394">
                  <c:v>0.9</c:v>
                </c:pt>
                <c:pt idx="395">
                  <c:v>0.38</c:v>
                </c:pt>
                <c:pt idx="396">
                  <c:v>0.7</c:v>
                </c:pt>
                <c:pt idx="397">
                  <c:v>1.17</c:v>
                </c:pt>
                <c:pt idx="398">
                  <c:v>1.0900000000000001</c:v>
                </c:pt>
                <c:pt idx="399">
                  <c:v>1.3</c:v>
                </c:pt>
                <c:pt idx="400">
                  <c:v>0.43</c:v>
                </c:pt>
                <c:pt idx="401">
                  <c:v>0.8</c:v>
                </c:pt>
                <c:pt idx="402">
                  <c:v>1.34</c:v>
                </c:pt>
                <c:pt idx="403">
                  <c:v>1.26</c:v>
                </c:pt>
                <c:pt idx="404">
                  <c:v>0.42</c:v>
                </c:pt>
                <c:pt idx="405">
                  <c:v>0</c:v>
                </c:pt>
                <c:pt idx="406">
                  <c:v>1.17</c:v>
                </c:pt>
                <c:pt idx="407">
                  <c:v>1.85</c:v>
                </c:pt>
                <c:pt idx="408">
                  <c:v>0.53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0.96</c:v>
                </c:pt>
                <c:pt idx="415">
                  <c:v>1.1399999999999999</c:v>
                </c:pt>
                <c:pt idx="416">
                  <c:v>0.28999999999999998</c:v>
                </c:pt>
                <c:pt idx="417">
                  <c:v>0</c:v>
                </c:pt>
                <c:pt idx="418">
                  <c:v>0.6</c:v>
                </c:pt>
                <c:pt idx="419">
                  <c:v>1.08</c:v>
                </c:pt>
                <c:pt idx="420">
                  <c:v>0.31</c:v>
                </c:pt>
                <c:pt idx="421">
                  <c:v>0</c:v>
                </c:pt>
                <c:pt idx="422">
                  <c:v>0.7</c:v>
                </c:pt>
                <c:pt idx="423">
                  <c:v>1.06</c:v>
                </c:pt>
                <c:pt idx="424">
                  <c:v>0.64</c:v>
                </c:pt>
                <c:pt idx="425">
                  <c:v>0</c:v>
                </c:pt>
                <c:pt idx="426">
                  <c:v>0.77</c:v>
                </c:pt>
                <c:pt idx="427">
                  <c:v>1.34</c:v>
                </c:pt>
                <c:pt idx="428">
                  <c:v>1.32</c:v>
                </c:pt>
                <c:pt idx="429">
                  <c:v>0.59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0.76</c:v>
                </c:pt>
                <c:pt idx="444">
                  <c:v>0.65</c:v>
                </c:pt>
                <c:pt idx="445">
                  <c:v>0</c:v>
                </c:pt>
                <c:pt idx="446">
                  <c:v>0</c:v>
                </c:pt>
                <c:pt idx="447">
                  <c:v>0.35</c:v>
                </c:pt>
                <c:pt idx="448">
                  <c:v>1.97</c:v>
                </c:pt>
                <c:pt idx="449">
                  <c:v>1.62</c:v>
                </c:pt>
                <c:pt idx="450">
                  <c:v>0.43</c:v>
                </c:pt>
                <c:pt idx="451">
                  <c:v>0</c:v>
                </c:pt>
                <c:pt idx="452">
                  <c:v>0.89</c:v>
                </c:pt>
                <c:pt idx="453">
                  <c:v>1.8</c:v>
                </c:pt>
                <c:pt idx="454">
                  <c:v>0.54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0.37</c:v>
                </c:pt>
                <c:pt idx="462">
                  <c:v>0.73</c:v>
                </c:pt>
                <c:pt idx="463">
                  <c:v>0.97</c:v>
                </c:pt>
                <c:pt idx="464">
                  <c:v>0.5</c:v>
                </c:pt>
                <c:pt idx="465">
                  <c:v>0</c:v>
                </c:pt>
                <c:pt idx="466">
                  <c:v>0.78</c:v>
                </c:pt>
                <c:pt idx="467">
                  <c:v>1.1200000000000001</c:v>
                </c:pt>
                <c:pt idx="468">
                  <c:v>1.18</c:v>
                </c:pt>
                <c:pt idx="469">
                  <c:v>0.47</c:v>
                </c:pt>
                <c:pt idx="470">
                  <c:v>0</c:v>
                </c:pt>
                <c:pt idx="471">
                  <c:v>0</c:v>
                </c:pt>
                <c:pt idx="472">
                  <c:v>0.95</c:v>
                </c:pt>
                <c:pt idx="473">
                  <c:v>1.88</c:v>
                </c:pt>
                <c:pt idx="474">
                  <c:v>1.55</c:v>
                </c:pt>
                <c:pt idx="475">
                  <c:v>0.65</c:v>
                </c:pt>
                <c:pt idx="476">
                  <c:v>0</c:v>
                </c:pt>
                <c:pt idx="477">
                  <c:v>0</c:v>
                </c:pt>
                <c:pt idx="478">
                  <c:v>0.46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0.27</c:v>
                </c:pt>
                <c:pt idx="487">
                  <c:v>0.67</c:v>
                </c:pt>
                <c:pt idx="488">
                  <c:v>0.41</c:v>
                </c:pt>
                <c:pt idx="489">
                  <c:v>0</c:v>
                </c:pt>
                <c:pt idx="490">
                  <c:v>1.3</c:v>
                </c:pt>
                <c:pt idx="491">
                  <c:v>2.06</c:v>
                </c:pt>
                <c:pt idx="492">
                  <c:v>0.72</c:v>
                </c:pt>
                <c:pt idx="493">
                  <c:v>0</c:v>
                </c:pt>
                <c:pt idx="494">
                  <c:v>1.37</c:v>
                </c:pt>
                <c:pt idx="495">
                  <c:v>1.94</c:v>
                </c:pt>
                <c:pt idx="496">
                  <c:v>1.86</c:v>
                </c:pt>
                <c:pt idx="497">
                  <c:v>1.66</c:v>
                </c:pt>
                <c:pt idx="498">
                  <c:v>0.27</c:v>
                </c:pt>
                <c:pt idx="499">
                  <c:v>0</c:v>
                </c:pt>
                <c:pt idx="500">
                  <c:v>0.94</c:v>
                </c:pt>
                <c:pt idx="501">
                  <c:v>1.48</c:v>
                </c:pt>
                <c:pt idx="502">
                  <c:v>0.52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2.11</c:v>
                </c:pt>
                <c:pt idx="508">
                  <c:v>0.48</c:v>
                </c:pt>
                <c:pt idx="509">
                  <c:v>0</c:v>
                </c:pt>
                <c:pt idx="510">
                  <c:v>0.37</c:v>
                </c:pt>
                <c:pt idx="511">
                  <c:v>0.69</c:v>
                </c:pt>
                <c:pt idx="512">
                  <c:v>0.89</c:v>
                </c:pt>
                <c:pt idx="513">
                  <c:v>1.68</c:v>
                </c:pt>
                <c:pt idx="514">
                  <c:v>1.33</c:v>
                </c:pt>
                <c:pt idx="515">
                  <c:v>0</c:v>
                </c:pt>
                <c:pt idx="516">
                  <c:v>1.02</c:v>
                </c:pt>
                <c:pt idx="517">
                  <c:v>1.28</c:v>
                </c:pt>
                <c:pt idx="518">
                  <c:v>1.31</c:v>
                </c:pt>
                <c:pt idx="519">
                  <c:v>0.59</c:v>
                </c:pt>
                <c:pt idx="520">
                  <c:v>0.92</c:v>
                </c:pt>
                <c:pt idx="521">
                  <c:v>1.45</c:v>
                </c:pt>
                <c:pt idx="522">
                  <c:v>2.2400000000000002</c:v>
                </c:pt>
                <c:pt idx="523">
                  <c:v>2.17</c:v>
                </c:pt>
                <c:pt idx="524">
                  <c:v>0.86</c:v>
                </c:pt>
                <c:pt idx="525">
                  <c:v>0</c:v>
                </c:pt>
                <c:pt idx="526">
                  <c:v>0.8</c:v>
                </c:pt>
                <c:pt idx="527">
                  <c:v>1.26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0.47</c:v>
                </c:pt>
                <c:pt idx="535">
                  <c:v>0.89</c:v>
                </c:pt>
                <c:pt idx="536">
                  <c:v>0.4</c:v>
                </c:pt>
                <c:pt idx="537">
                  <c:v>0</c:v>
                </c:pt>
                <c:pt idx="538">
                  <c:v>1.39</c:v>
                </c:pt>
                <c:pt idx="539">
                  <c:v>2.04</c:v>
                </c:pt>
                <c:pt idx="540">
                  <c:v>0.74</c:v>
                </c:pt>
                <c:pt idx="541">
                  <c:v>1.73</c:v>
                </c:pt>
                <c:pt idx="542">
                  <c:v>2.59</c:v>
                </c:pt>
                <c:pt idx="543">
                  <c:v>2.33</c:v>
                </c:pt>
                <c:pt idx="544">
                  <c:v>0.56999999999999995</c:v>
                </c:pt>
                <c:pt idx="545">
                  <c:v>1.4</c:v>
                </c:pt>
                <c:pt idx="546">
                  <c:v>2.0499999999999998</c:v>
                </c:pt>
                <c:pt idx="547">
                  <c:v>2.48</c:v>
                </c:pt>
                <c:pt idx="548">
                  <c:v>0.59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1.18</c:v>
                </c:pt>
                <c:pt idx="564">
                  <c:v>0</c:v>
                </c:pt>
                <c:pt idx="565">
                  <c:v>0</c:v>
                </c:pt>
                <c:pt idx="566">
                  <c:v>1.05</c:v>
                </c:pt>
                <c:pt idx="567">
                  <c:v>2.19</c:v>
                </c:pt>
                <c:pt idx="568">
                  <c:v>1.07</c:v>
                </c:pt>
                <c:pt idx="569">
                  <c:v>1.95</c:v>
                </c:pt>
                <c:pt idx="570">
                  <c:v>0.95</c:v>
                </c:pt>
                <c:pt idx="571">
                  <c:v>0</c:v>
                </c:pt>
                <c:pt idx="572">
                  <c:v>1.18</c:v>
                </c:pt>
                <c:pt idx="573">
                  <c:v>2.02</c:v>
                </c:pt>
                <c:pt idx="574">
                  <c:v>0.72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0.48</c:v>
                </c:pt>
                <c:pt idx="581">
                  <c:v>0.84</c:v>
                </c:pt>
                <c:pt idx="582">
                  <c:v>0.27</c:v>
                </c:pt>
                <c:pt idx="583">
                  <c:v>0</c:v>
                </c:pt>
                <c:pt idx="584">
                  <c:v>0</c:v>
                </c:pt>
                <c:pt idx="585">
                  <c:v>0.96</c:v>
                </c:pt>
                <c:pt idx="586">
                  <c:v>1.23</c:v>
                </c:pt>
                <c:pt idx="587">
                  <c:v>1.18</c:v>
                </c:pt>
                <c:pt idx="588">
                  <c:v>0.53</c:v>
                </c:pt>
                <c:pt idx="589">
                  <c:v>0</c:v>
                </c:pt>
                <c:pt idx="590">
                  <c:v>1.54</c:v>
                </c:pt>
                <c:pt idx="591">
                  <c:v>1.92</c:v>
                </c:pt>
                <c:pt idx="592">
                  <c:v>1.79</c:v>
                </c:pt>
                <c:pt idx="593">
                  <c:v>0.68</c:v>
                </c:pt>
                <c:pt idx="594">
                  <c:v>0.9</c:v>
                </c:pt>
                <c:pt idx="595">
                  <c:v>1.95</c:v>
                </c:pt>
                <c:pt idx="596">
                  <c:v>1.52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0.57999999999999996</c:v>
                </c:pt>
                <c:pt idx="605">
                  <c:v>0.94</c:v>
                </c:pt>
                <c:pt idx="606">
                  <c:v>0.36</c:v>
                </c:pt>
                <c:pt idx="607">
                  <c:v>0</c:v>
                </c:pt>
                <c:pt idx="608">
                  <c:v>1.08</c:v>
                </c:pt>
                <c:pt idx="609">
                  <c:v>1.69</c:v>
                </c:pt>
                <c:pt idx="610">
                  <c:v>1.55</c:v>
                </c:pt>
                <c:pt idx="611">
                  <c:v>0</c:v>
                </c:pt>
                <c:pt idx="612">
                  <c:v>0.76</c:v>
                </c:pt>
                <c:pt idx="613">
                  <c:v>1.4</c:v>
                </c:pt>
                <c:pt idx="614">
                  <c:v>1.79</c:v>
                </c:pt>
                <c:pt idx="615">
                  <c:v>2.0099999999999998</c:v>
                </c:pt>
                <c:pt idx="616">
                  <c:v>0.5</c:v>
                </c:pt>
                <c:pt idx="617">
                  <c:v>0</c:v>
                </c:pt>
                <c:pt idx="618">
                  <c:v>0.91</c:v>
                </c:pt>
                <c:pt idx="619">
                  <c:v>1.84</c:v>
                </c:pt>
                <c:pt idx="620">
                  <c:v>0.97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0.45</c:v>
                </c:pt>
                <c:pt idx="629">
                  <c:v>0.74</c:v>
                </c:pt>
                <c:pt idx="630">
                  <c:v>0.36</c:v>
                </c:pt>
                <c:pt idx="631">
                  <c:v>0</c:v>
                </c:pt>
                <c:pt idx="632">
                  <c:v>1.08</c:v>
                </c:pt>
                <c:pt idx="633">
                  <c:v>1.69</c:v>
                </c:pt>
                <c:pt idx="634">
                  <c:v>1.55</c:v>
                </c:pt>
                <c:pt idx="635">
                  <c:v>0.36</c:v>
                </c:pt>
                <c:pt idx="636">
                  <c:v>1.44</c:v>
                </c:pt>
                <c:pt idx="637">
                  <c:v>1.74</c:v>
                </c:pt>
                <c:pt idx="638">
                  <c:v>2.04</c:v>
                </c:pt>
                <c:pt idx="639">
                  <c:v>2.2999999999999998</c:v>
                </c:pt>
                <c:pt idx="640">
                  <c:v>0.65</c:v>
                </c:pt>
                <c:pt idx="641">
                  <c:v>1.2</c:v>
                </c:pt>
                <c:pt idx="642">
                  <c:v>1.77</c:v>
                </c:pt>
                <c:pt idx="643">
                  <c:v>2.12</c:v>
                </c:pt>
                <c:pt idx="644">
                  <c:v>0.61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1.19</c:v>
                </c:pt>
                <c:pt idx="652">
                  <c:v>0.73</c:v>
                </c:pt>
                <c:pt idx="653">
                  <c:v>0</c:v>
                </c:pt>
                <c:pt idx="654">
                  <c:v>0.37</c:v>
                </c:pt>
                <c:pt idx="655">
                  <c:v>0.82</c:v>
                </c:pt>
                <c:pt idx="656">
                  <c:v>0.93</c:v>
                </c:pt>
                <c:pt idx="657">
                  <c:v>0.45</c:v>
                </c:pt>
                <c:pt idx="658">
                  <c:v>0.8</c:v>
                </c:pt>
                <c:pt idx="659">
                  <c:v>1.37</c:v>
                </c:pt>
                <c:pt idx="660">
                  <c:v>1.46</c:v>
                </c:pt>
                <c:pt idx="661">
                  <c:v>0.93</c:v>
                </c:pt>
                <c:pt idx="662">
                  <c:v>0.35</c:v>
                </c:pt>
                <c:pt idx="663">
                  <c:v>0</c:v>
                </c:pt>
                <c:pt idx="664">
                  <c:v>1.58</c:v>
                </c:pt>
                <c:pt idx="665">
                  <c:v>2.1800000000000002</c:v>
                </c:pt>
                <c:pt idx="666">
                  <c:v>1.74</c:v>
                </c:pt>
                <c:pt idx="667">
                  <c:v>2.0699999999999998</c:v>
                </c:pt>
                <c:pt idx="668">
                  <c:v>0.63</c:v>
                </c:pt>
                <c:pt idx="669">
                  <c:v>0</c:v>
                </c:pt>
                <c:pt idx="670">
                  <c:v>0.73</c:v>
                </c:pt>
                <c:pt idx="671">
                  <c:v>1.32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0.65</c:v>
                </c:pt>
                <c:pt idx="677">
                  <c:v>1.25</c:v>
                </c:pt>
                <c:pt idx="678">
                  <c:v>1.08</c:v>
                </c:pt>
                <c:pt idx="679">
                  <c:v>1.03</c:v>
                </c:pt>
                <c:pt idx="680">
                  <c:v>1.24</c:v>
                </c:pt>
                <c:pt idx="681">
                  <c:v>1.17</c:v>
                </c:pt>
                <c:pt idx="682">
                  <c:v>0</c:v>
                </c:pt>
                <c:pt idx="683">
                  <c:v>0</c:v>
                </c:pt>
                <c:pt idx="684">
                  <c:v>1.31</c:v>
                </c:pt>
                <c:pt idx="685">
                  <c:v>2.2000000000000002</c:v>
                </c:pt>
                <c:pt idx="686">
                  <c:v>2.21</c:v>
                </c:pt>
                <c:pt idx="687">
                  <c:v>0.91</c:v>
                </c:pt>
                <c:pt idx="688">
                  <c:v>1.38</c:v>
                </c:pt>
                <c:pt idx="689">
                  <c:v>2.2999999999999998</c:v>
                </c:pt>
                <c:pt idx="690">
                  <c:v>2.29</c:v>
                </c:pt>
                <c:pt idx="691">
                  <c:v>2.1</c:v>
                </c:pt>
                <c:pt idx="692">
                  <c:v>0.79</c:v>
                </c:pt>
                <c:pt idx="693">
                  <c:v>0</c:v>
                </c:pt>
                <c:pt idx="694">
                  <c:v>0.92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0.68</c:v>
                </c:pt>
                <c:pt idx="701">
                  <c:v>0.93</c:v>
                </c:pt>
                <c:pt idx="702">
                  <c:v>0.71</c:v>
                </c:pt>
                <c:pt idx="703">
                  <c:v>0.75</c:v>
                </c:pt>
                <c:pt idx="704">
                  <c:v>0.92</c:v>
                </c:pt>
                <c:pt idx="705">
                  <c:v>0</c:v>
                </c:pt>
                <c:pt idx="706">
                  <c:v>0.92</c:v>
                </c:pt>
                <c:pt idx="707">
                  <c:v>1.32</c:v>
                </c:pt>
                <c:pt idx="708">
                  <c:v>1.4</c:v>
                </c:pt>
                <c:pt idx="709">
                  <c:v>1.41</c:v>
                </c:pt>
                <c:pt idx="710">
                  <c:v>0.77</c:v>
                </c:pt>
                <c:pt idx="711">
                  <c:v>0.8</c:v>
                </c:pt>
                <c:pt idx="712">
                  <c:v>1.56</c:v>
                </c:pt>
                <c:pt idx="713">
                  <c:v>2.2400000000000002</c:v>
                </c:pt>
                <c:pt idx="714">
                  <c:v>2.21</c:v>
                </c:pt>
                <c:pt idx="715">
                  <c:v>2.2200000000000002</c:v>
                </c:pt>
                <c:pt idx="716">
                  <c:v>1.78</c:v>
                </c:pt>
                <c:pt idx="717">
                  <c:v>1.94</c:v>
                </c:pt>
                <c:pt idx="718">
                  <c:v>0.63</c:v>
                </c:pt>
                <c:pt idx="719">
                  <c:v>0</c:v>
                </c:pt>
                <c:pt idx="720">
                  <c:v>0.72</c:v>
                </c:pt>
                <c:pt idx="721">
                  <c:v>0.82</c:v>
                </c:pt>
                <c:pt idx="722">
                  <c:v>0</c:v>
                </c:pt>
                <c:pt idx="723">
                  <c:v>0</c:v>
                </c:pt>
                <c:pt idx="724">
                  <c:v>0.7</c:v>
                </c:pt>
                <c:pt idx="725">
                  <c:v>0.86</c:v>
                </c:pt>
                <c:pt idx="726">
                  <c:v>0.71</c:v>
                </c:pt>
                <c:pt idx="727">
                  <c:v>0.26</c:v>
                </c:pt>
                <c:pt idx="728">
                  <c:v>0.6</c:v>
                </c:pt>
                <c:pt idx="729">
                  <c:v>0.92</c:v>
                </c:pt>
                <c:pt idx="730">
                  <c:v>1.2</c:v>
                </c:pt>
                <c:pt idx="731">
                  <c:v>1.3</c:v>
                </c:pt>
                <c:pt idx="732">
                  <c:v>1.33</c:v>
                </c:pt>
                <c:pt idx="733">
                  <c:v>0.4</c:v>
                </c:pt>
                <c:pt idx="734">
                  <c:v>0.85</c:v>
                </c:pt>
                <c:pt idx="735">
                  <c:v>1.3</c:v>
                </c:pt>
                <c:pt idx="736">
                  <c:v>1.21</c:v>
                </c:pt>
                <c:pt idx="737">
                  <c:v>1.17</c:v>
                </c:pt>
                <c:pt idx="738">
                  <c:v>1.24</c:v>
                </c:pt>
                <c:pt idx="739">
                  <c:v>0.52</c:v>
                </c:pt>
                <c:pt idx="740">
                  <c:v>0.95</c:v>
                </c:pt>
                <c:pt idx="741">
                  <c:v>1.23</c:v>
                </c:pt>
                <c:pt idx="742">
                  <c:v>0.53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1.1200000000000001</c:v>
                </c:pt>
                <c:pt idx="747">
                  <c:v>2.75</c:v>
                </c:pt>
                <c:pt idx="748">
                  <c:v>0.97</c:v>
                </c:pt>
                <c:pt idx="749">
                  <c:v>0</c:v>
                </c:pt>
                <c:pt idx="750">
                  <c:v>1.07</c:v>
                </c:pt>
                <c:pt idx="751">
                  <c:v>2.1800000000000002</c:v>
                </c:pt>
                <c:pt idx="752">
                  <c:v>1.43</c:v>
                </c:pt>
                <c:pt idx="753">
                  <c:v>0.89</c:v>
                </c:pt>
                <c:pt idx="754">
                  <c:v>0.34</c:v>
                </c:pt>
                <c:pt idx="755">
                  <c:v>0.7</c:v>
                </c:pt>
                <c:pt idx="756">
                  <c:v>1.1100000000000001</c:v>
                </c:pt>
                <c:pt idx="757">
                  <c:v>1.33</c:v>
                </c:pt>
                <c:pt idx="758">
                  <c:v>0.51</c:v>
                </c:pt>
                <c:pt idx="759">
                  <c:v>0</c:v>
                </c:pt>
                <c:pt idx="760">
                  <c:v>0.68</c:v>
                </c:pt>
                <c:pt idx="761">
                  <c:v>1.34</c:v>
                </c:pt>
                <c:pt idx="762">
                  <c:v>0.71</c:v>
                </c:pt>
                <c:pt idx="763">
                  <c:v>0</c:v>
                </c:pt>
                <c:pt idx="764">
                  <c:v>0.69</c:v>
                </c:pt>
                <c:pt idx="765">
                  <c:v>1.1000000000000001</c:v>
                </c:pt>
                <c:pt idx="766">
                  <c:v>0.47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1.57</c:v>
                </c:pt>
                <c:pt idx="775">
                  <c:v>2.37</c:v>
                </c:pt>
                <c:pt idx="776">
                  <c:v>0.93</c:v>
                </c:pt>
                <c:pt idx="777">
                  <c:v>0.73</c:v>
                </c:pt>
                <c:pt idx="778">
                  <c:v>1.41</c:v>
                </c:pt>
                <c:pt idx="779">
                  <c:v>1.28</c:v>
                </c:pt>
                <c:pt idx="780">
                  <c:v>0.37</c:v>
                </c:pt>
                <c:pt idx="781">
                  <c:v>0</c:v>
                </c:pt>
                <c:pt idx="782">
                  <c:v>0.69</c:v>
                </c:pt>
                <c:pt idx="783">
                  <c:v>1.29</c:v>
                </c:pt>
                <c:pt idx="784">
                  <c:v>1.33</c:v>
                </c:pt>
                <c:pt idx="785">
                  <c:v>1.37</c:v>
                </c:pt>
                <c:pt idx="786">
                  <c:v>1.75</c:v>
                </c:pt>
                <c:pt idx="787">
                  <c:v>0</c:v>
                </c:pt>
                <c:pt idx="788">
                  <c:v>0.7</c:v>
                </c:pt>
                <c:pt idx="789">
                  <c:v>1.0900000000000001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1.82</c:v>
                </c:pt>
                <c:pt idx="797">
                  <c:v>1.69</c:v>
                </c:pt>
                <c:pt idx="798">
                  <c:v>0.71</c:v>
                </c:pt>
                <c:pt idx="799">
                  <c:v>0.93</c:v>
                </c:pt>
                <c:pt idx="800">
                  <c:v>1.56</c:v>
                </c:pt>
                <c:pt idx="801">
                  <c:v>1.36</c:v>
                </c:pt>
                <c:pt idx="802">
                  <c:v>0.41</c:v>
                </c:pt>
                <c:pt idx="803">
                  <c:v>0.61</c:v>
                </c:pt>
                <c:pt idx="804">
                  <c:v>1.41</c:v>
                </c:pt>
                <c:pt idx="805">
                  <c:v>2.25</c:v>
                </c:pt>
                <c:pt idx="806">
                  <c:v>0.73</c:v>
                </c:pt>
                <c:pt idx="807">
                  <c:v>0.83</c:v>
                </c:pt>
                <c:pt idx="808">
                  <c:v>1.39</c:v>
                </c:pt>
                <c:pt idx="809">
                  <c:v>1.4</c:v>
                </c:pt>
                <c:pt idx="810">
                  <c:v>1.37</c:v>
                </c:pt>
                <c:pt idx="811">
                  <c:v>0.51</c:v>
                </c:pt>
                <c:pt idx="812">
                  <c:v>0.73</c:v>
                </c:pt>
                <c:pt idx="813">
                  <c:v>1.31</c:v>
                </c:pt>
                <c:pt idx="814">
                  <c:v>1.05</c:v>
                </c:pt>
                <c:pt idx="815">
                  <c:v>0.85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0.97</c:v>
                </c:pt>
                <c:pt idx="823">
                  <c:v>1.96</c:v>
                </c:pt>
                <c:pt idx="824">
                  <c:v>0.54</c:v>
                </c:pt>
                <c:pt idx="825">
                  <c:v>0.87</c:v>
                </c:pt>
                <c:pt idx="826">
                  <c:v>1.33</c:v>
                </c:pt>
                <c:pt idx="827">
                  <c:v>1.08</c:v>
                </c:pt>
                <c:pt idx="828">
                  <c:v>1.1399999999999999</c:v>
                </c:pt>
                <c:pt idx="829">
                  <c:v>1.22</c:v>
                </c:pt>
                <c:pt idx="830">
                  <c:v>0.32</c:v>
                </c:pt>
                <c:pt idx="831">
                  <c:v>1.5</c:v>
                </c:pt>
                <c:pt idx="832">
                  <c:v>1.33</c:v>
                </c:pt>
                <c:pt idx="833">
                  <c:v>1.41</c:v>
                </c:pt>
                <c:pt idx="834">
                  <c:v>0.44</c:v>
                </c:pt>
                <c:pt idx="835">
                  <c:v>0.92</c:v>
                </c:pt>
                <c:pt idx="836">
                  <c:v>1.0900000000000001</c:v>
                </c:pt>
                <c:pt idx="837">
                  <c:v>1.72</c:v>
                </c:pt>
                <c:pt idx="838">
                  <c:v>0.49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0.56000000000000005</c:v>
                </c:pt>
                <c:pt idx="843">
                  <c:v>2.04</c:v>
                </c:pt>
                <c:pt idx="844">
                  <c:v>0.9</c:v>
                </c:pt>
                <c:pt idx="845">
                  <c:v>0</c:v>
                </c:pt>
                <c:pt idx="846">
                  <c:v>0</c:v>
                </c:pt>
                <c:pt idx="847">
                  <c:v>1.28</c:v>
                </c:pt>
                <c:pt idx="848">
                  <c:v>0.8</c:v>
                </c:pt>
                <c:pt idx="849">
                  <c:v>1.1200000000000001</c:v>
                </c:pt>
                <c:pt idx="850">
                  <c:v>0.41</c:v>
                </c:pt>
                <c:pt idx="851">
                  <c:v>0.55000000000000004</c:v>
                </c:pt>
                <c:pt idx="852">
                  <c:v>0.98</c:v>
                </c:pt>
                <c:pt idx="853">
                  <c:v>1.0900000000000001</c:v>
                </c:pt>
                <c:pt idx="854">
                  <c:v>0.28999999999999998</c:v>
                </c:pt>
                <c:pt idx="855">
                  <c:v>0.72</c:v>
                </c:pt>
                <c:pt idx="856">
                  <c:v>1.27</c:v>
                </c:pt>
                <c:pt idx="857">
                  <c:v>0.91</c:v>
                </c:pt>
                <c:pt idx="858">
                  <c:v>0</c:v>
                </c:pt>
                <c:pt idx="859">
                  <c:v>0</c:v>
                </c:pt>
                <c:pt idx="860">
                  <c:v>0.99</c:v>
                </c:pt>
                <c:pt idx="861">
                  <c:v>0.62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0.79</c:v>
                </c:pt>
                <c:pt idx="871">
                  <c:v>1.1200000000000001</c:v>
                </c:pt>
                <c:pt idx="872">
                  <c:v>0.32</c:v>
                </c:pt>
                <c:pt idx="873">
                  <c:v>0</c:v>
                </c:pt>
                <c:pt idx="874">
                  <c:v>0.52</c:v>
                </c:pt>
                <c:pt idx="875">
                  <c:v>0.83</c:v>
                </c:pt>
                <c:pt idx="876">
                  <c:v>0.93</c:v>
                </c:pt>
                <c:pt idx="877">
                  <c:v>0</c:v>
                </c:pt>
                <c:pt idx="878">
                  <c:v>0.64</c:v>
                </c:pt>
                <c:pt idx="879">
                  <c:v>1.23</c:v>
                </c:pt>
                <c:pt idx="880">
                  <c:v>0.73</c:v>
                </c:pt>
                <c:pt idx="881">
                  <c:v>0</c:v>
                </c:pt>
                <c:pt idx="882">
                  <c:v>0.69</c:v>
                </c:pt>
                <c:pt idx="883">
                  <c:v>1.17</c:v>
                </c:pt>
                <c:pt idx="884">
                  <c:v>0.48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0.39</c:v>
                </c:pt>
                <c:pt idx="894">
                  <c:v>0.69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0.81</c:v>
                </c:pt>
                <c:pt idx="899">
                  <c:v>1.1499999999999999</c:v>
                </c:pt>
                <c:pt idx="900">
                  <c:v>0.31</c:v>
                </c:pt>
                <c:pt idx="901">
                  <c:v>0</c:v>
                </c:pt>
                <c:pt idx="902">
                  <c:v>0.66</c:v>
                </c:pt>
                <c:pt idx="903">
                  <c:v>1.4</c:v>
                </c:pt>
                <c:pt idx="904">
                  <c:v>0.74</c:v>
                </c:pt>
                <c:pt idx="905">
                  <c:v>0.42</c:v>
                </c:pt>
                <c:pt idx="906">
                  <c:v>1.08</c:v>
                </c:pt>
                <c:pt idx="907">
                  <c:v>1.39</c:v>
                </c:pt>
                <c:pt idx="908">
                  <c:v>0.9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1.93</c:v>
                </c:pt>
                <c:pt idx="920">
                  <c:v>1.99</c:v>
                </c:pt>
                <c:pt idx="921">
                  <c:v>1.3</c:v>
                </c:pt>
                <c:pt idx="922">
                  <c:v>0.21</c:v>
                </c:pt>
                <c:pt idx="923">
                  <c:v>0</c:v>
                </c:pt>
                <c:pt idx="924">
                  <c:v>1.37</c:v>
                </c:pt>
                <c:pt idx="925">
                  <c:v>1.3</c:v>
                </c:pt>
                <c:pt idx="926">
                  <c:v>0.36</c:v>
                </c:pt>
                <c:pt idx="927">
                  <c:v>0</c:v>
                </c:pt>
                <c:pt idx="928">
                  <c:v>0.75</c:v>
                </c:pt>
                <c:pt idx="929">
                  <c:v>1.1100000000000001</c:v>
                </c:pt>
                <c:pt idx="930">
                  <c:v>0.43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0.96</c:v>
                </c:pt>
                <c:pt idx="943">
                  <c:v>0</c:v>
                </c:pt>
                <c:pt idx="944">
                  <c:v>1.62</c:v>
                </c:pt>
                <c:pt idx="945">
                  <c:v>1.35</c:v>
                </c:pt>
                <c:pt idx="946">
                  <c:v>0.6</c:v>
                </c:pt>
                <c:pt idx="947">
                  <c:v>0</c:v>
                </c:pt>
                <c:pt idx="948">
                  <c:v>0.57999999999999996</c:v>
                </c:pt>
                <c:pt idx="949">
                  <c:v>0.96</c:v>
                </c:pt>
                <c:pt idx="950">
                  <c:v>0.64</c:v>
                </c:pt>
                <c:pt idx="951">
                  <c:v>0</c:v>
                </c:pt>
                <c:pt idx="952">
                  <c:v>1.0900000000000001</c:v>
                </c:pt>
                <c:pt idx="953">
                  <c:v>1.34</c:v>
                </c:pt>
                <c:pt idx="954">
                  <c:v>1.31</c:v>
                </c:pt>
                <c:pt idx="955">
                  <c:v>0.32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1.24</c:v>
                </c:pt>
                <c:pt idx="967">
                  <c:v>1.2</c:v>
                </c:pt>
                <c:pt idx="968">
                  <c:v>0.53</c:v>
                </c:pt>
                <c:pt idx="969">
                  <c:v>0</c:v>
                </c:pt>
                <c:pt idx="970">
                  <c:v>0.68</c:v>
                </c:pt>
                <c:pt idx="971">
                  <c:v>1.18</c:v>
                </c:pt>
                <c:pt idx="972">
                  <c:v>0.51</c:v>
                </c:pt>
                <c:pt idx="973">
                  <c:v>0</c:v>
                </c:pt>
                <c:pt idx="974">
                  <c:v>0</c:v>
                </c:pt>
                <c:pt idx="975">
                  <c:v>1.3</c:v>
                </c:pt>
                <c:pt idx="976">
                  <c:v>0.63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0.49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0.48</c:v>
                </c:pt>
                <c:pt idx="993">
                  <c:v>0.83</c:v>
                </c:pt>
                <c:pt idx="994">
                  <c:v>0.32</c:v>
                </c:pt>
                <c:pt idx="995">
                  <c:v>0</c:v>
                </c:pt>
                <c:pt idx="996">
                  <c:v>0.47</c:v>
                </c:pt>
                <c:pt idx="997">
                  <c:v>1.55</c:v>
                </c:pt>
                <c:pt idx="998">
                  <c:v>0.88</c:v>
                </c:pt>
                <c:pt idx="999">
                  <c:v>0</c:v>
                </c:pt>
                <c:pt idx="1000">
                  <c:v>0.67</c:v>
                </c:pt>
                <c:pt idx="1001">
                  <c:v>0.84</c:v>
                </c:pt>
                <c:pt idx="1002">
                  <c:v>0.42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0.24</c:v>
                </c:pt>
                <c:pt idx="1013">
                  <c:v>0.83</c:v>
                </c:pt>
                <c:pt idx="1014">
                  <c:v>0.74</c:v>
                </c:pt>
                <c:pt idx="1015">
                  <c:v>0.25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0.3</c:v>
                </c:pt>
                <c:pt idx="1021">
                  <c:v>0.6</c:v>
                </c:pt>
                <c:pt idx="1022">
                  <c:v>0.27</c:v>
                </c:pt>
                <c:pt idx="1023">
                  <c:v>0</c:v>
                </c:pt>
                <c:pt idx="1024">
                  <c:v>0.43</c:v>
                </c:pt>
                <c:pt idx="1025">
                  <c:v>0.67</c:v>
                </c:pt>
                <c:pt idx="1026">
                  <c:v>0.28999999999999998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0.69</c:v>
                </c:pt>
                <c:pt idx="1042">
                  <c:v>0.33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0.72</c:v>
                </c:pt>
                <c:pt idx="1065">
                  <c:v>1.34</c:v>
                </c:pt>
                <c:pt idx="1066">
                  <c:v>0</c:v>
                </c:pt>
                <c:pt idx="1067">
                  <c:v>0</c:v>
                </c:pt>
                <c:pt idx="1068">
                  <c:v>0.21</c:v>
                </c:pt>
                <c:pt idx="1069">
                  <c:v>0.46</c:v>
                </c:pt>
                <c:pt idx="1070">
                  <c:v>0.33</c:v>
                </c:pt>
                <c:pt idx="1071">
                  <c:v>0</c:v>
                </c:pt>
                <c:pt idx="1072">
                  <c:v>0.59</c:v>
                </c:pt>
                <c:pt idx="1073">
                  <c:v>0.97</c:v>
                </c:pt>
                <c:pt idx="1074">
                  <c:v>0.87</c:v>
                </c:pt>
                <c:pt idx="1075">
                  <c:v>1.1000000000000001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0.5</c:v>
                </c:pt>
                <c:pt idx="1084">
                  <c:v>0.31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0.56999999999999995</c:v>
                </c:pt>
                <c:pt idx="1089">
                  <c:v>0.85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0.22</c:v>
                </c:pt>
                <c:pt idx="1094">
                  <c:v>0.42</c:v>
                </c:pt>
                <c:pt idx="1095">
                  <c:v>0.44</c:v>
                </c:pt>
                <c:pt idx="1096">
                  <c:v>0</c:v>
                </c:pt>
                <c:pt idx="1097">
                  <c:v>0</c:v>
                </c:pt>
                <c:pt idx="1098">
                  <c:v>0.6</c:v>
                </c:pt>
                <c:pt idx="1099">
                  <c:v>1.03</c:v>
                </c:pt>
                <c:pt idx="1100">
                  <c:v>0.53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0.42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0.74</c:v>
                </c:pt>
                <c:pt idx="1136">
                  <c:v>1.1000000000000001</c:v>
                </c:pt>
                <c:pt idx="1137">
                  <c:v>0.44</c:v>
                </c:pt>
                <c:pt idx="1138">
                  <c:v>0</c:v>
                </c:pt>
                <c:pt idx="1139">
                  <c:v>0</c:v>
                </c:pt>
                <c:pt idx="1140">
                  <c:v>0.4</c:v>
                </c:pt>
                <c:pt idx="1141">
                  <c:v>1.22</c:v>
                </c:pt>
                <c:pt idx="1142">
                  <c:v>0.72</c:v>
                </c:pt>
                <c:pt idx="1143">
                  <c:v>0.51</c:v>
                </c:pt>
                <c:pt idx="1144">
                  <c:v>1.04</c:v>
                </c:pt>
                <c:pt idx="1145">
                  <c:v>0.85</c:v>
                </c:pt>
                <c:pt idx="1146">
                  <c:v>0.59</c:v>
                </c:pt>
                <c:pt idx="1147">
                  <c:v>0.11</c:v>
                </c:pt>
                <c:pt idx="1148">
                  <c:v>0.4</c:v>
                </c:pt>
                <c:pt idx="1149">
                  <c:v>0.36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0.27</c:v>
                </c:pt>
                <c:pt idx="1159">
                  <c:v>0.56999999999999995</c:v>
                </c:pt>
                <c:pt idx="1160">
                  <c:v>0.4</c:v>
                </c:pt>
                <c:pt idx="1161">
                  <c:v>0</c:v>
                </c:pt>
                <c:pt idx="1162">
                  <c:v>1.66</c:v>
                </c:pt>
                <c:pt idx="1163">
                  <c:v>1.4</c:v>
                </c:pt>
                <c:pt idx="1164">
                  <c:v>0.21</c:v>
                </c:pt>
                <c:pt idx="1165">
                  <c:v>0.77</c:v>
                </c:pt>
                <c:pt idx="1166">
                  <c:v>1.1100000000000001</c:v>
                </c:pt>
                <c:pt idx="1167">
                  <c:v>1.04</c:v>
                </c:pt>
                <c:pt idx="1168">
                  <c:v>1.0900000000000001</c:v>
                </c:pt>
                <c:pt idx="1169">
                  <c:v>0.32</c:v>
                </c:pt>
                <c:pt idx="1170">
                  <c:v>0.56999999999999995</c:v>
                </c:pt>
                <c:pt idx="1171">
                  <c:v>0</c:v>
                </c:pt>
                <c:pt idx="1172">
                  <c:v>0.54</c:v>
                </c:pt>
                <c:pt idx="1173">
                  <c:v>0.48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0.31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0.42</c:v>
                </c:pt>
                <c:pt idx="1188">
                  <c:v>0</c:v>
                </c:pt>
                <c:pt idx="1189">
                  <c:v>0</c:v>
                </c:pt>
                <c:pt idx="1190">
                  <c:v>1.02</c:v>
                </c:pt>
                <c:pt idx="1191">
                  <c:v>1.54</c:v>
                </c:pt>
                <c:pt idx="1192">
                  <c:v>0.99</c:v>
                </c:pt>
                <c:pt idx="1193">
                  <c:v>0.82</c:v>
                </c:pt>
                <c:pt idx="1194">
                  <c:v>0</c:v>
                </c:pt>
                <c:pt idx="1195">
                  <c:v>0</c:v>
                </c:pt>
                <c:pt idx="1196">
                  <c:v>0.4</c:v>
                </c:pt>
                <c:pt idx="1197">
                  <c:v>0.36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0.27</c:v>
                </c:pt>
                <c:pt idx="1207">
                  <c:v>0.56999999999999995</c:v>
                </c:pt>
                <c:pt idx="1208">
                  <c:v>0.4</c:v>
                </c:pt>
                <c:pt idx="1209">
                  <c:v>0</c:v>
                </c:pt>
                <c:pt idx="1210">
                  <c:v>0.28999999999999998</c:v>
                </c:pt>
                <c:pt idx="1211">
                  <c:v>0.63</c:v>
                </c:pt>
                <c:pt idx="1212">
                  <c:v>0.59</c:v>
                </c:pt>
                <c:pt idx="1213">
                  <c:v>0.63</c:v>
                </c:pt>
                <c:pt idx="1214">
                  <c:v>0.37</c:v>
                </c:pt>
                <c:pt idx="1215">
                  <c:v>0</c:v>
                </c:pt>
                <c:pt idx="1216">
                  <c:v>0.86</c:v>
                </c:pt>
                <c:pt idx="1217">
                  <c:v>1.02</c:v>
                </c:pt>
                <c:pt idx="1218">
                  <c:v>1.51</c:v>
                </c:pt>
                <c:pt idx="1219">
                  <c:v>0.24</c:v>
                </c:pt>
                <c:pt idx="1220">
                  <c:v>1.04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0.21</c:v>
                </c:pt>
                <c:pt idx="1233">
                  <c:v>0.32</c:v>
                </c:pt>
                <c:pt idx="1234">
                  <c:v>0</c:v>
                </c:pt>
                <c:pt idx="1235">
                  <c:v>0</c:v>
                </c:pt>
                <c:pt idx="1236">
                  <c:v>0.28000000000000003</c:v>
                </c:pt>
                <c:pt idx="1237">
                  <c:v>0.73</c:v>
                </c:pt>
                <c:pt idx="1238">
                  <c:v>0.56000000000000005</c:v>
                </c:pt>
                <c:pt idx="1239">
                  <c:v>0</c:v>
                </c:pt>
                <c:pt idx="1240">
                  <c:v>0.55000000000000004</c:v>
                </c:pt>
                <c:pt idx="1241">
                  <c:v>1.03</c:v>
                </c:pt>
                <c:pt idx="1242">
                  <c:v>1.03</c:v>
                </c:pt>
                <c:pt idx="1243">
                  <c:v>0.61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0.87</c:v>
                </c:pt>
                <c:pt idx="1253">
                  <c:v>0.26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0.35</c:v>
                </c:pt>
                <c:pt idx="1259">
                  <c:v>0.86</c:v>
                </c:pt>
                <c:pt idx="1260">
                  <c:v>0.31</c:v>
                </c:pt>
                <c:pt idx="1261">
                  <c:v>0</c:v>
                </c:pt>
                <c:pt idx="1262">
                  <c:v>0.36</c:v>
                </c:pt>
                <c:pt idx="1263">
                  <c:v>1.5</c:v>
                </c:pt>
                <c:pt idx="1264">
                  <c:v>0.37</c:v>
                </c:pt>
                <c:pt idx="1265">
                  <c:v>0</c:v>
                </c:pt>
                <c:pt idx="1266">
                  <c:v>0.51</c:v>
                </c:pt>
                <c:pt idx="1267">
                  <c:v>0.87</c:v>
                </c:pt>
                <c:pt idx="1268">
                  <c:v>0.46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0.66</c:v>
                </c:pt>
                <c:pt idx="1281">
                  <c:v>0.63</c:v>
                </c:pt>
                <c:pt idx="1282">
                  <c:v>0.33</c:v>
                </c:pt>
                <c:pt idx="1283">
                  <c:v>0</c:v>
                </c:pt>
                <c:pt idx="1284">
                  <c:v>0</c:v>
                </c:pt>
                <c:pt idx="1285">
                  <c:v>0.72</c:v>
                </c:pt>
                <c:pt idx="1286">
                  <c:v>0.69</c:v>
                </c:pt>
                <c:pt idx="1287">
                  <c:v>1.39</c:v>
                </c:pt>
                <c:pt idx="1288">
                  <c:v>0.45</c:v>
                </c:pt>
                <c:pt idx="1289">
                  <c:v>0</c:v>
                </c:pt>
                <c:pt idx="1290">
                  <c:v>0.46</c:v>
                </c:pt>
                <c:pt idx="1291">
                  <c:v>0.7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1.0900000000000001</c:v>
                </c:pt>
                <c:pt idx="1307">
                  <c:v>1.19</c:v>
                </c:pt>
                <c:pt idx="1308">
                  <c:v>0.2</c:v>
                </c:pt>
                <c:pt idx="1309">
                  <c:v>0</c:v>
                </c:pt>
                <c:pt idx="1310">
                  <c:v>0.79</c:v>
                </c:pt>
                <c:pt idx="1311">
                  <c:v>1.18</c:v>
                </c:pt>
                <c:pt idx="1312">
                  <c:v>0.28000000000000003</c:v>
                </c:pt>
                <c:pt idx="1313">
                  <c:v>0</c:v>
                </c:pt>
                <c:pt idx="1314">
                  <c:v>0.64</c:v>
                </c:pt>
                <c:pt idx="1315">
                  <c:v>0.84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0.32</c:v>
                </c:pt>
                <c:pt idx="1325">
                  <c:v>0.74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0.45</c:v>
                </c:pt>
                <c:pt idx="1331">
                  <c:v>0.86</c:v>
                </c:pt>
                <c:pt idx="1332">
                  <c:v>0.5</c:v>
                </c:pt>
                <c:pt idx="1333">
                  <c:v>0</c:v>
                </c:pt>
                <c:pt idx="1334">
                  <c:v>0.38</c:v>
                </c:pt>
                <c:pt idx="1335">
                  <c:v>0.92</c:v>
                </c:pt>
                <c:pt idx="1336">
                  <c:v>0.35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0.59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0.25</c:v>
                </c:pt>
                <c:pt idx="1353">
                  <c:v>0.32</c:v>
                </c:pt>
                <c:pt idx="1354">
                  <c:v>0</c:v>
                </c:pt>
                <c:pt idx="1355">
                  <c:v>0</c:v>
                </c:pt>
                <c:pt idx="1356">
                  <c:v>0.22</c:v>
                </c:pt>
                <c:pt idx="1357">
                  <c:v>0.67</c:v>
                </c:pt>
                <c:pt idx="1358">
                  <c:v>0.84</c:v>
                </c:pt>
                <c:pt idx="1359">
                  <c:v>0</c:v>
                </c:pt>
                <c:pt idx="1360">
                  <c:v>1.01</c:v>
                </c:pt>
                <c:pt idx="1361">
                  <c:v>0.9</c:v>
                </c:pt>
                <c:pt idx="1362">
                  <c:v>0.41</c:v>
                </c:pt>
                <c:pt idx="1363">
                  <c:v>0</c:v>
                </c:pt>
                <c:pt idx="1364">
                  <c:v>0.24</c:v>
                </c:pt>
                <c:pt idx="1365">
                  <c:v>0.31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0.41</c:v>
                </c:pt>
                <c:pt idx="1380">
                  <c:v>0.2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0.61</c:v>
                </c:pt>
                <c:pt idx="1385">
                  <c:v>1</c:v>
                </c:pt>
                <c:pt idx="1386">
                  <c:v>0.52</c:v>
                </c:pt>
                <c:pt idx="1387">
                  <c:v>0</c:v>
                </c:pt>
                <c:pt idx="1388">
                  <c:v>0.27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0.5</c:v>
                </c:pt>
                <c:pt idx="1401">
                  <c:v>0.63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0.68</c:v>
                </c:pt>
                <c:pt idx="1409">
                  <c:v>0.77</c:v>
                </c:pt>
                <c:pt idx="1410">
                  <c:v>0.4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0.32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0.59</c:v>
                </c:pt>
                <c:pt idx="1450">
                  <c:v>0.83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0.67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0.32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0.34</c:v>
                </c:pt>
                <c:pt idx="1568">
                  <c:v>0.46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0.59</c:v>
                </c:pt>
                <c:pt idx="1579">
                  <c:v>0.36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0.8</c:v>
                </c:pt>
                <c:pt idx="1618">
                  <c:v>1.31</c:v>
                </c:pt>
                <c:pt idx="1619">
                  <c:v>0.23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0.68</c:v>
                </c:pt>
                <c:pt idx="1649">
                  <c:v>0.21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0.76</c:v>
                </c:pt>
                <c:pt idx="1674">
                  <c:v>0.28000000000000003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0.3</c:v>
                </c:pt>
                <c:pt idx="1692">
                  <c:v>0.54</c:v>
                </c:pt>
                <c:pt idx="1693">
                  <c:v>0</c:v>
                </c:pt>
                <c:pt idx="1694">
                  <c:v>0</c:v>
                </c:pt>
                <c:pt idx="1695">
                  <c:v>0.34</c:v>
                </c:pt>
                <c:pt idx="1696">
                  <c:v>1.26</c:v>
                </c:pt>
                <c:pt idx="1697">
                  <c:v>0.62</c:v>
                </c:pt>
                <c:pt idx="1698">
                  <c:v>0</c:v>
                </c:pt>
                <c:pt idx="1699">
                  <c:v>0.84</c:v>
                </c:pt>
                <c:pt idx="1700">
                  <c:v>1.0900000000000001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0.5</c:v>
                </c:pt>
                <c:pt idx="1718">
                  <c:v>0.33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0.53</c:v>
                </c:pt>
                <c:pt idx="1745">
                  <c:v>0.28000000000000003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0.81</c:v>
                </c:pt>
                <c:pt idx="1786">
                  <c:v>1.24</c:v>
                </c:pt>
                <c:pt idx="1787">
                  <c:v>0.3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1.1100000000000001</c:v>
                </c:pt>
                <c:pt idx="1890">
                  <c:v>0.31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0.86</c:v>
                </c:pt>
                <c:pt idx="1954">
                  <c:v>0.24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0.53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1.25</c:v>
                </c:pt>
                <c:pt idx="1978">
                  <c:v>2.35</c:v>
                </c:pt>
                <c:pt idx="1979">
                  <c:v>0.76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0.31</c:v>
                </c:pt>
                <c:pt idx="2001">
                  <c:v>0.2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0.72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0.63</c:v>
                </c:pt>
                <c:pt idx="2033">
                  <c:v>0.53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0.7</c:v>
                </c:pt>
                <c:pt idx="2051">
                  <c:v>0.32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0.97</c:v>
                </c:pt>
                <c:pt idx="2058">
                  <c:v>1.41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0.45</c:v>
                </c:pt>
                <c:pt idx="2072">
                  <c:v>0</c:v>
                </c:pt>
                <c:pt idx="2073">
                  <c:v>0</c:v>
                </c:pt>
                <c:pt idx="2074">
                  <c:v>1.03</c:v>
                </c:pt>
                <c:pt idx="2075">
                  <c:v>1.1399999999999999</c:v>
                </c:pt>
                <c:pt idx="2076">
                  <c:v>0.93</c:v>
                </c:pt>
                <c:pt idx="2077">
                  <c:v>0.41</c:v>
                </c:pt>
                <c:pt idx="2078">
                  <c:v>0.7</c:v>
                </c:pt>
                <c:pt idx="2079">
                  <c:v>1.03</c:v>
                </c:pt>
                <c:pt idx="2080">
                  <c:v>1.18</c:v>
                </c:pt>
                <c:pt idx="2081">
                  <c:v>1.31</c:v>
                </c:pt>
                <c:pt idx="2082">
                  <c:v>0.36</c:v>
                </c:pt>
                <c:pt idx="2083">
                  <c:v>1.02</c:v>
                </c:pt>
                <c:pt idx="2084">
                  <c:v>1.24</c:v>
                </c:pt>
                <c:pt idx="2085">
                  <c:v>0.55000000000000004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0.72</c:v>
                </c:pt>
                <c:pt idx="2098">
                  <c:v>0.82</c:v>
                </c:pt>
                <c:pt idx="2099">
                  <c:v>0.4</c:v>
                </c:pt>
                <c:pt idx="2100">
                  <c:v>0.52</c:v>
                </c:pt>
                <c:pt idx="2101">
                  <c:v>0.78</c:v>
                </c:pt>
                <c:pt idx="2102">
                  <c:v>0.42</c:v>
                </c:pt>
                <c:pt idx="2103">
                  <c:v>0.36</c:v>
                </c:pt>
                <c:pt idx="2104">
                  <c:v>1.1200000000000001</c:v>
                </c:pt>
                <c:pt idx="2105">
                  <c:v>1.05</c:v>
                </c:pt>
                <c:pt idx="2106">
                  <c:v>0.38</c:v>
                </c:pt>
                <c:pt idx="2107">
                  <c:v>0.96</c:v>
                </c:pt>
                <c:pt idx="2108">
                  <c:v>1.36</c:v>
                </c:pt>
                <c:pt idx="2109">
                  <c:v>1.27</c:v>
                </c:pt>
                <c:pt idx="2110">
                  <c:v>0.65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0.93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1.07</c:v>
                </c:pt>
                <c:pt idx="2130">
                  <c:v>1.97</c:v>
                </c:pt>
                <c:pt idx="2131">
                  <c:v>0.2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1.44</c:v>
                </c:pt>
                <c:pt idx="2146">
                  <c:v>2.4300000000000002</c:v>
                </c:pt>
                <c:pt idx="2147">
                  <c:v>0.68</c:v>
                </c:pt>
                <c:pt idx="2148">
                  <c:v>0</c:v>
                </c:pt>
                <c:pt idx="2149">
                  <c:v>0.74</c:v>
                </c:pt>
                <c:pt idx="2150">
                  <c:v>1.1299999999999999</c:v>
                </c:pt>
                <c:pt idx="2151">
                  <c:v>0.46</c:v>
                </c:pt>
                <c:pt idx="2152">
                  <c:v>0</c:v>
                </c:pt>
                <c:pt idx="2153">
                  <c:v>1.38</c:v>
                </c:pt>
                <c:pt idx="2154">
                  <c:v>2.4</c:v>
                </c:pt>
                <c:pt idx="2155">
                  <c:v>1.07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0.49</c:v>
                </c:pt>
                <c:pt idx="2170">
                  <c:v>0.8</c:v>
                </c:pt>
                <c:pt idx="2171">
                  <c:v>0.2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1.26</c:v>
                </c:pt>
                <c:pt idx="2176">
                  <c:v>1.48</c:v>
                </c:pt>
                <c:pt idx="2177">
                  <c:v>0.61</c:v>
                </c:pt>
                <c:pt idx="2178">
                  <c:v>0</c:v>
                </c:pt>
                <c:pt idx="2179">
                  <c:v>1.1399999999999999</c:v>
                </c:pt>
                <c:pt idx="2180">
                  <c:v>2.2999999999999998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0.84</c:v>
                </c:pt>
                <c:pt idx="2199">
                  <c:v>0.37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1.18</c:v>
                </c:pt>
                <c:pt idx="2204">
                  <c:v>0.75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0.91</c:v>
                </c:pt>
                <c:pt idx="2219">
                  <c:v>0.51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1.44</c:v>
                </c:pt>
                <c:pt idx="2226">
                  <c:v>2.61</c:v>
                </c:pt>
                <c:pt idx="2227">
                  <c:v>1.06</c:v>
                </c:pt>
                <c:pt idx="2228">
                  <c:v>0</c:v>
                </c:pt>
                <c:pt idx="2229">
                  <c:v>0.53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0.56000000000000005</c:v>
                </c:pt>
                <c:pt idx="2242">
                  <c:v>0.92</c:v>
                </c:pt>
                <c:pt idx="2243">
                  <c:v>0.42</c:v>
                </c:pt>
                <c:pt idx="2244">
                  <c:v>0</c:v>
                </c:pt>
                <c:pt idx="2245">
                  <c:v>1.1200000000000001</c:v>
                </c:pt>
                <c:pt idx="2246">
                  <c:v>2.2400000000000002</c:v>
                </c:pt>
                <c:pt idx="2247">
                  <c:v>0.84</c:v>
                </c:pt>
                <c:pt idx="2248">
                  <c:v>0</c:v>
                </c:pt>
                <c:pt idx="2249">
                  <c:v>1.59</c:v>
                </c:pt>
                <c:pt idx="2250">
                  <c:v>2.48</c:v>
                </c:pt>
                <c:pt idx="2251">
                  <c:v>2.3199999999999998</c:v>
                </c:pt>
                <c:pt idx="2252">
                  <c:v>1.66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0.81</c:v>
                </c:pt>
                <c:pt idx="2263">
                  <c:v>0.24</c:v>
                </c:pt>
                <c:pt idx="2264">
                  <c:v>0</c:v>
                </c:pt>
                <c:pt idx="2265">
                  <c:v>0.56999999999999995</c:v>
                </c:pt>
                <c:pt idx="2266">
                  <c:v>0.98</c:v>
                </c:pt>
                <c:pt idx="2267">
                  <c:v>0.45</c:v>
                </c:pt>
                <c:pt idx="2268">
                  <c:v>0</c:v>
                </c:pt>
                <c:pt idx="2269">
                  <c:v>0.56999999999999995</c:v>
                </c:pt>
                <c:pt idx="2270">
                  <c:v>1.34</c:v>
                </c:pt>
                <c:pt idx="2271">
                  <c:v>1.6</c:v>
                </c:pt>
                <c:pt idx="2272">
                  <c:v>2.34</c:v>
                </c:pt>
                <c:pt idx="2273">
                  <c:v>0.66</c:v>
                </c:pt>
                <c:pt idx="2274">
                  <c:v>0</c:v>
                </c:pt>
                <c:pt idx="2275">
                  <c:v>0.98</c:v>
                </c:pt>
                <c:pt idx="2276">
                  <c:v>1.66</c:v>
                </c:pt>
                <c:pt idx="2277">
                  <c:v>1.94</c:v>
                </c:pt>
                <c:pt idx="2278">
                  <c:v>2.19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1.38</c:v>
                </c:pt>
                <c:pt idx="2290">
                  <c:v>1.76</c:v>
                </c:pt>
                <c:pt idx="2291">
                  <c:v>0.86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1.29</c:v>
                </c:pt>
                <c:pt idx="2296">
                  <c:v>1.53</c:v>
                </c:pt>
                <c:pt idx="2297">
                  <c:v>0.68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0.63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0.81</c:v>
                </c:pt>
                <c:pt idx="2315">
                  <c:v>0.62</c:v>
                </c:pt>
                <c:pt idx="2316">
                  <c:v>0.92</c:v>
                </c:pt>
                <c:pt idx="2317">
                  <c:v>0.62</c:v>
                </c:pt>
                <c:pt idx="2318">
                  <c:v>0</c:v>
                </c:pt>
                <c:pt idx="2319">
                  <c:v>1.27</c:v>
                </c:pt>
                <c:pt idx="2320">
                  <c:v>2.23</c:v>
                </c:pt>
                <c:pt idx="2321">
                  <c:v>1.78</c:v>
                </c:pt>
                <c:pt idx="2322">
                  <c:v>1.66</c:v>
                </c:pt>
                <c:pt idx="2323">
                  <c:v>0.24</c:v>
                </c:pt>
                <c:pt idx="2324">
                  <c:v>0</c:v>
                </c:pt>
                <c:pt idx="2325">
                  <c:v>0.87</c:v>
                </c:pt>
                <c:pt idx="2326">
                  <c:v>1.01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0.63</c:v>
                </c:pt>
                <c:pt idx="2338">
                  <c:v>0.95</c:v>
                </c:pt>
                <c:pt idx="2339">
                  <c:v>0.34</c:v>
                </c:pt>
                <c:pt idx="2340">
                  <c:v>0.82</c:v>
                </c:pt>
                <c:pt idx="2341">
                  <c:v>2.36</c:v>
                </c:pt>
                <c:pt idx="2342">
                  <c:v>2.17</c:v>
                </c:pt>
                <c:pt idx="2343">
                  <c:v>2.08</c:v>
                </c:pt>
                <c:pt idx="2344">
                  <c:v>0.54</c:v>
                </c:pt>
                <c:pt idx="2345">
                  <c:v>0.81</c:v>
                </c:pt>
                <c:pt idx="2346">
                  <c:v>1.19</c:v>
                </c:pt>
                <c:pt idx="2347">
                  <c:v>1.29</c:v>
                </c:pt>
                <c:pt idx="2348">
                  <c:v>1.25</c:v>
                </c:pt>
                <c:pt idx="2349">
                  <c:v>0.53</c:v>
                </c:pt>
                <c:pt idx="2350">
                  <c:v>0.71</c:v>
                </c:pt>
                <c:pt idx="2351">
                  <c:v>0.66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0.56999999999999995</c:v>
                </c:pt>
                <c:pt idx="2362">
                  <c:v>0.76</c:v>
                </c:pt>
                <c:pt idx="2363">
                  <c:v>1.08</c:v>
                </c:pt>
                <c:pt idx="2364">
                  <c:v>1.3</c:v>
                </c:pt>
                <c:pt idx="2365">
                  <c:v>0</c:v>
                </c:pt>
                <c:pt idx="2366">
                  <c:v>0.95</c:v>
                </c:pt>
                <c:pt idx="2367">
                  <c:v>1.42</c:v>
                </c:pt>
                <c:pt idx="2368">
                  <c:v>1.52</c:v>
                </c:pt>
                <c:pt idx="2369">
                  <c:v>0.3</c:v>
                </c:pt>
                <c:pt idx="2370">
                  <c:v>0</c:v>
                </c:pt>
                <c:pt idx="2371">
                  <c:v>1.5</c:v>
                </c:pt>
                <c:pt idx="2372">
                  <c:v>2.62</c:v>
                </c:pt>
                <c:pt idx="2373">
                  <c:v>2.4900000000000002</c:v>
                </c:pt>
                <c:pt idx="2374">
                  <c:v>2.2599999999999998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0.24</c:v>
                </c:pt>
                <c:pt idx="2382">
                  <c:v>0.26</c:v>
                </c:pt>
                <c:pt idx="2383">
                  <c:v>0</c:v>
                </c:pt>
                <c:pt idx="2384">
                  <c:v>0</c:v>
                </c:pt>
                <c:pt idx="2385">
                  <c:v>0.66</c:v>
                </c:pt>
                <c:pt idx="2386">
                  <c:v>2.17</c:v>
                </c:pt>
                <c:pt idx="2387">
                  <c:v>2.36</c:v>
                </c:pt>
                <c:pt idx="2388">
                  <c:v>2.12</c:v>
                </c:pt>
                <c:pt idx="2389">
                  <c:v>0.24</c:v>
                </c:pt>
                <c:pt idx="2390">
                  <c:v>0</c:v>
                </c:pt>
                <c:pt idx="2391">
                  <c:v>0.98</c:v>
                </c:pt>
                <c:pt idx="2392">
                  <c:v>1.4</c:v>
                </c:pt>
                <c:pt idx="2393">
                  <c:v>1.42</c:v>
                </c:pt>
                <c:pt idx="2394">
                  <c:v>0.35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0.6</c:v>
                </c:pt>
                <c:pt idx="2408">
                  <c:v>0.99</c:v>
                </c:pt>
                <c:pt idx="2409">
                  <c:v>0.49</c:v>
                </c:pt>
                <c:pt idx="2410">
                  <c:v>0</c:v>
                </c:pt>
                <c:pt idx="2411">
                  <c:v>1.62</c:v>
                </c:pt>
                <c:pt idx="2412">
                  <c:v>2.82</c:v>
                </c:pt>
                <c:pt idx="2413">
                  <c:v>1.1599999999999999</c:v>
                </c:pt>
                <c:pt idx="2414">
                  <c:v>1.33</c:v>
                </c:pt>
                <c:pt idx="2415">
                  <c:v>0.41</c:v>
                </c:pt>
                <c:pt idx="2416">
                  <c:v>0</c:v>
                </c:pt>
                <c:pt idx="2417">
                  <c:v>0.8</c:v>
                </c:pt>
                <c:pt idx="2418">
                  <c:v>1.29</c:v>
                </c:pt>
                <c:pt idx="2419">
                  <c:v>1.28</c:v>
                </c:pt>
                <c:pt idx="2420">
                  <c:v>1.37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0.72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0.82</c:v>
                </c:pt>
                <c:pt idx="2438">
                  <c:v>0.94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0.68</c:v>
                </c:pt>
                <c:pt idx="2460">
                  <c:v>2.37</c:v>
                </c:pt>
                <c:pt idx="2461">
                  <c:v>0.69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0.74</c:v>
                </c:pt>
                <c:pt idx="2466">
                  <c:v>1.28</c:v>
                </c:pt>
                <c:pt idx="2467">
                  <c:v>0.22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1.1000000000000001</c:v>
                </c:pt>
                <c:pt idx="2482">
                  <c:v>2.19</c:v>
                </c:pt>
                <c:pt idx="2483">
                  <c:v>1.35</c:v>
                </c:pt>
                <c:pt idx="2484">
                  <c:v>0</c:v>
                </c:pt>
                <c:pt idx="2485">
                  <c:v>1.26</c:v>
                </c:pt>
                <c:pt idx="2486">
                  <c:v>1.82</c:v>
                </c:pt>
                <c:pt idx="2487">
                  <c:v>1.47</c:v>
                </c:pt>
                <c:pt idx="2488">
                  <c:v>2.12</c:v>
                </c:pt>
                <c:pt idx="2489">
                  <c:v>2.83</c:v>
                </c:pt>
                <c:pt idx="2490">
                  <c:v>0</c:v>
                </c:pt>
                <c:pt idx="2491">
                  <c:v>0</c:v>
                </c:pt>
                <c:pt idx="2492">
                  <c:v>0.5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1.05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0.57999999999999996</c:v>
                </c:pt>
                <c:pt idx="2506">
                  <c:v>1.04</c:v>
                </c:pt>
                <c:pt idx="2507">
                  <c:v>1.06</c:v>
                </c:pt>
                <c:pt idx="2508">
                  <c:v>1.1200000000000001</c:v>
                </c:pt>
                <c:pt idx="2509">
                  <c:v>0.34</c:v>
                </c:pt>
                <c:pt idx="2510">
                  <c:v>0.47</c:v>
                </c:pt>
                <c:pt idx="2511">
                  <c:v>0.91</c:v>
                </c:pt>
                <c:pt idx="2512">
                  <c:v>1.52</c:v>
                </c:pt>
                <c:pt idx="2513">
                  <c:v>0.71</c:v>
                </c:pt>
                <c:pt idx="2514">
                  <c:v>0</c:v>
                </c:pt>
                <c:pt idx="2515">
                  <c:v>0.87</c:v>
                </c:pt>
                <c:pt idx="2516">
                  <c:v>1.35</c:v>
                </c:pt>
                <c:pt idx="2517">
                  <c:v>0.56999999999999995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0.28999999999999998</c:v>
                </c:pt>
                <c:pt idx="2529">
                  <c:v>1.04</c:v>
                </c:pt>
                <c:pt idx="2530">
                  <c:v>1.06</c:v>
                </c:pt>
                <c:pt idx="2531">
                  <c:v>0.28000000000000003</c:v>
                </c:pt>
                <c:pt idx="2532">
                  <c:v>0.52</c:v>
                </c:pt>
                <c:pt idx="2533">
                  <c:v>1.1100000000000001</c:v>
                </c:pt>
                <c:pt idx="2534">
                  <c:v>0.84</c:v>
                </c:pt>
                <c:pt idx="2535">
                  <c:v>0.21</c:v>
                </c:pt>
                <c:pt idx="2536">
                  <c:v>0</c:v>
                </c:pt>
                <c:pt idx="2537">
                  <c:v>1.48</c:v>
                </c:pt>
                <c:pt idx="2538">
                  <c:v>2.36</c:v>
                </c:pt>
                <c:pt idx="2539">
                  <c:v>1.98</c:v>
                </c:pt>
                <c:pt idx="2540">
                  <c:v>0.92</c:v>
                </c:pt>
                <c:pt idx="2541">
                  <c:v>1.22</c:v>
                </c:pt>
                <c:pt idx="2542">
                  <c:v>1.94</c:v>
                </c:pt>
                <c:pt idx="2543">
                  <c:v>0.67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0.63</c:v>
                </c:pt>
                <c:pt idx="2551">
                  <c:v>0.25</c:v>
                </c:pt>
                <c:pt idx="2552">
                  <c:v>0</c:v>
                </c:pt>
                <c:pt idx="2553">
                  <c:v>0.66</c:v>
                </c:pt>
                <c:pt idx="2554">
                  <c:v>0.92</c:v>
                </c:pt>
                <c:pt idx="2555">
                  <c:v>0.97</c:v>
                </c:pt>
                <c:pt idx="2556">
                  <c:v>0.87</c:v>
                </c:pt>
                <c:pt idx="2557">
                  <c:v>0.34</c:v>
                </c:pt>
                <c:pt idx="2558">
                  <c:v>0</c:v>
                </c:pt>
                <c:pt idx="2559">
                  <c:v>0.94</c:v>
                </c:pt>
                <c:pt idx="2560">
                  <c:v>1.1200000000000001</c:v>
                </c:pt>
                <c:pt idx="2561">
                  <c:v>2.68</c:v>
                </c:pt>
                <c:pt idx="2562">
                  <c:v>1.2</c:v>
                </c:pt>
                <c:pt idx="2563">
                  <c:v>0</c:v>
                </c:pt>
                <c:pt idx="2564">
                  <c:v>0</c:v>
                </c:pt>
                <c:pt idx="2565">
                  <c:v>0.79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0.88</c:v>
                </c:pt>
                <c:pt idx="2579">
                  <c:v>0.44</c:v>
                </c:pt>
                <c:pt idx="2580">
                  <c:v>0</c:v>
                </c:pt>
                <c:pt idx="2581">
                  <c:v>0.44</c:v>
                </c:pt>
                <c:pt idx="2582">
                  <c:v>1.1499999999999999</c:v>
                </c:pt>
                <c:pt idx="2583">
                  <c:v>1.44</c:v>
                </c:pt>
                <c:pt idx="2584">
                  <c:v>1.04</c:v>
                </c:pt>
                <c:pt idx="2585">
                  <c:v>0.55000000000000004</c:v>
                </c:pt>
                <c:pt idx="2586">
                  <c:v>0</c:v>
                </c:pt>
                <c:pt idx="2587">
                  <c:v>0.84</c:v>
                </c:pt>
                <c:pt idx="2588">
                  <c:v>1.79</c:v>
                </c:pt>
                <c:pt idx="2589">
                  <c:v>2.14</c:v>
                </c:pt>
                <c:pt idx="2590">
                  <c:v>2.31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0.73</c:v>
                </c:pt>
                <c:pt idx="2601">
                  <c:v>0.48</c:v>
                </c:pt>
                <c:pt idx="2602">
                  <c:v>0.93</c:v>
                </c:pt>
                <c:pt idx="2603">
                  <c:v>0.56000000000000005</c:v>
                </c:pt>
                <c:pt idx="2604">
                  <c:v>0</c:v>
                </c:pt>
                <c:pt idx="2605">
                  <c:v>0.59</c:v>
                </c:pt>
                <c:pt idx="2606">
                  <c:v>1.78</c:v>
                </c:pt>
                <c:pt idx="2607">
                  <c:v>0.98</c:v>
                </c:pt>
                <c:pt idx="2608">
                  <c:v>0</c:v>
                </c:pt>
                <c:pt idx="2609">
                  <c:v>1.1499999999999999</c:v>
                </c:pt>
                <c:pt idx="2610">
                  <c:v>1.24</c:v>
                </c:pt>
                <c:pt idx="2611">
                  <c:v>1.98</c:v>
                </c:pt>
                <c:pt idx="2612">
                  <c:v>1.66</c:v>
                </c:pt>
                <c:pt idx="2613">
                  <c:v>0.89</c:v>
                </c:pt>
                <c:pt idx="2614">
                  <c:v>0</c:v>
                </c:pt>
                <c:pt idx="2615">
                  <c:v>1.59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1.28</c:v>
                </c:pt>
                <c:pt idx="2626">
                  <c:v>1.51</c:v>
                </c:pt>
                <c:pt idx="2627">
                  <c:v>1.57</c:v>
                </c:pt>
                <c:pt idx="2628">
                  <c:v>0</c:v>
                </c:pt>
                <c:pt idx="2629">
                  <c:v>0.7</c:v>
                </c:pt>
                <c:pt idx="2630">
                  <c:v>1.08</c:v>
                </c:pt>
                <c:pt idx="2631">
                  <c:v>2.02</c:v>
                </c:pt>
                <c:pt idx="2632">
                  <c:v>0.62</c:v>
                </c:pt>
                <c:pt idx="2633">
                  <c:v>0.84</c:v>
                </c:pt>
                <c:pt idx="2634">
                  <c:v>1.41</c:v>
                </c:pt>
                <c:pt idx="2635">
                  <c:v>1.4</c:v>
                </c:pt>
                <c:pt idx="2636">
                  <c:v>0.94</c:v>
                </c:pt>
                <c:pt idx="2637">
                  <c:v>1.1299999999999999</c:v>
                </c:pt>
                <c:pt idx="2638">
                  <c:v>2.59</c:v>
                </c:pt>
                <c:pt idx="2639">
                  <c:v>2.67</c:v>
                </c:pt>
                <c:pt idx="2640">
                  <c:v>2.56</c:v>
                </c:pt>
                <c:pt idx="2641">
                  <c:v>1.45</c:v>
                </c:pt>
                <c:pt idx="2642">
                  <c:v>0</c:v>
                </c:pt>
                <c:pt idx="2643">
                  <c:v>0</c:v>
                </c:pt>
                <c:pt idx="2644">
                  <c:v>2.4700000000000002</c:v>
                </c:pt>
                <c:pt idx="2645">
                  <c:v>1.28</c:v>
                </c:pt>
                <c:pt idx="2646">
                  <c:v>0</c:v>
                </c:pt>
                <c:pt idx="2647">
                  <c:v>0.94</c:v>
                </c:pt>
                <c:pt idx="2648">
                  <c:v>2.1</c:v>
                </c:pt>
                <c:pt idx="2649">
                  <c:v>3.15</c:v>
                </c:pt>
                <c:pt idx="2650">
                  <c:v>3.21</c:v>
                </c:pt>
                <c:pt idx="2651">
                  <c:v>1.03</c:v>
                </c:pt>
                <c:pt idx="2652">
                  <c:v>1.82</c:v>
                </c:pt>
                <c:pt idx="2653">
                  <c:v>2.66</c:v>
                </c:pt>
                <c:pt idx="2654">
                  <c:v>2.21</c:v>
                </c:pt>
                <c:pt idx="2655">
                  <c:v>1.1100000000000001</c:v>
                </c:pt>
                <c:pt idx="2656">
                  <c:v>0</c:v>
                </c:pt>
                <c:pt idx="2657">
                  <c:v>1.45</c:v>
                </c:pt>
                <c:pt idx="2658">
                  <c:v>1.19</c:v>
                </c:pt>
                <c:pt idx="2659">
                  <c:v>0</c:v>
                </c:pt>
                <c:pt idx="2660">
                  <c:v>1.86</c:v>
                </c:pt>
                <c:pt idx="2661">
                  <c:v>2.4300000000000002</c:v>
                </c:pt>
                <c:pt idx="2662">
                  <c:v>0.77</c:v>
                </c:pt>
                <c:pt idx="2663">
                  <c:v>1.27</c:v>
                </c:pt>
                <c:pt idx="2664">
                  <c:v>2.4900000000000002</c:v>
                </c:pt>
                <c:pt idx="2665">
                  <c:v>0.71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0.56999999999999995</c:v>
                </c:pt>
                <c:pt idx="2670">
                  <c:v>0.81</c:v>
                </c:pt>
                <c:pt idx="2671">
                  <c:v>0.86</c:v>
                </c:pt>
                <c:pt idx="2672">
                  <c:v>0</c:v>
                </c:pt>
                <c:pt idx="2673">
                  <c:v>0.95</c:v>
                </c:pt>
                <c:pt idx="2674">
                  <c:v>1.03</c:v>
                </c:pt>
                <c:pt idx="2675">
                  <c:v>0.8</c:v>
                </c:pt>
                <c:pt idx="2676">
                  <c:v>0</c:v>
                </c:pt>
                <c:pt idx="2677">
                  <c:v>0.88</c:v>
                </c:pt>
                <c:pt idx="2678">
                  <c:v>1.3</c:v>
                </c:pt>
                <c:pt idx="2679">
                  <c:v>0.67</c:v>
                </c:pt>
                <c:pt idx="2680">
                  <c:v>0.43</c:v>
                </c:pt>
                <c:pt idx="2681">
                  <c:v>1.6</c:v>
                </c:pt>
                <c:pt idx="2682">
                  <c:v>1.02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0.82</c:v>
                </c:pt>
                <c:pt idx="2697">
                  <c:v>0.67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0.65</c:v>
                </c:pt>
                <c:pt idx="2702">
                  <c:v>2.21</c:v>
                </c:pt>
                <c:pt idx="2703">
                  <c:v>0.88</c:v>
                </c:pt>
                <c:pt idx="2704">
                  <c:v>0</c:v>
                </c:pt>
                <c:pt idx="2705">
                  <c:v>1.34</c:v>
                </c:pt>
                <c:pt idx="2706">
                  <c:v>1.8</c:v>
                </c:pt>
                <c:pt idx="2707">
                  <c:v>0.73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0.88</c:v>
                </c:pt>
                <c:pt idx="2719">
                  <c:v>0.3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0.68</c:v>
                </c:pt>
                <c:pt idx="2724">
                  <c:v>0.97</c:v>
                </c:pt>
                <c:pt idx="2725">
                  <c:v>0.32</c:v>
                </c:pt>
                <c:pt idx="2726">
                  <c:v>0</c:v>
                </c:pt>
                <c:pt idx="2727">
                  <c:v>1.04</c:v>
                </c:pt>
                <c:pt idx="2728">
                  <c:v>1.73</c:v>
                </c:pt>
                <c:pt idx="2729">
                  <c:v>1.44</c:v>
                </c:pt>
                <c:pt idx="2730">
                  <c:v>1.7</c:v>
                </c:pt>
                <c:pt idx="2731">
                  <c:v>0.44</c:v>
                </c:pt>
                <c:pt idx="2732">
                  <c:v>1.47</c:v>
                </c:pt>
                <c:pt idx="2733">
                  <c:v>1.98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0.49</c:v>
                </c:pt>
                <c:pt idx="2744">
                  <c:v>0.94</c:v>
                </c:pt>
                <c:pt idx="2745">
                  <c:v>0.28000000000000003</c:v>
                </c:pt>
                <c:pt idx="2746">
                  <c:v>0</c:v>
                </c:pt>
                <c:pt idx="2747">
                  <c:v>0</c:v>
                </c:pt>
                <c:pt idx="2748">
                  <c:v>0.89</c:v>
                </c:pt>
                <c:pt idx="2749">
                  <c:v>1.06</c:v>
                </c:pt>
                <c:pt idx="2750">
                  <c:v>2.0099999999999998</c:v>
                </c:pt>
                <c:pt idx="2751">
                  <c:v>1.05</c:v>
                </c:pt>
                <c:pt idx="2752">
                  <c:v>0</c:v>
                </c:pt>
                <c:pt idx="2753">
                  <c:v>0.75</c:v>
                </c:pt>
                <c:pt idx="2754">
                  <c:v>1.1299999999999999</c:v>
                </c:pt>
                <c:pt idx="2755">
                  <c:v>1.18</c:v>
                </c:pt>
                <c:pt idx="2756">
                  <c:v>2.39</c:v>
                </c:pt>
                <c:pt idx="2757">
                  <c:v>0.7</c:v>
                </c:pt>
                <c:pt idx="2758">
                  <c:v>0</c:v>
                </c:pt>
                <c:pt idx="2759">
                  <c:v>1.64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0.77</c:v>
                </c:pt>
                <c:pt idx="2770">
                  <c:v>1</c:v>
                </c:pt>
                <c:pt idx="2771">
                  <c:v>0.45</c:v>
                </c:pt>
                <c:pt idx="2772">
                  <c:v>0</c:v>
                </c:pt>
                <c:pt idx="2773">
                  <c:v>0.72</c:v>
                </c:pt>
                <c:pt idx="2774">
                  <c:v>1.2</c:v>
                </c:pt>
                <c:pt idx="2775">
                  <c:v>1.08</c:v>
                </c:pt>
                <c:pt idx="2776">
                  <c:v>1.26</c:v>
                </c:pt>
                <c:pt idx="2777">
                  <c:v>0.86</c:v>
                </c:pt>
                <c:pt idx="2778">
                  <c:v>0</c:v>
                </c:pt>
                <c:pt idx="2779">
                  <c:v>2.54</c:v>
                </c:pt>
                <c:pt idx="2780">
                  <c:v>3.05</c:v>
                </c:pt>
                <c:pt idx="2781">
                  <c:v>1.03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0.79</c:v>
                </c:pt>
                <c:pt idx="2793">
                  <c:v>0.4</c:v>
                </c:pt>
                <c:pt idx="2794">
                  <c:v>0</c:v>
                </c:pt>
                <c:pt idx="2795">
                  <c:v>1.1399999999999999</c:v>
                </c:pt>
                <c:pt idx="2796">
                  <c:v>1.52</c:v>
                </c:pt>
                <c:pt idx="2797">
                  <c:v>1.19</c:v>
                </c:pt>
                <c:pt idx="2798">
                  <c:v>0.51</c:v>
                </c:pt>
                <c:pt idx="2799">
                  <c:v>1.67</c:v>
                </c:pt>
                <c:pt idx="2800">
                  <c:v>1.96</c:v>
                </c:pt>
                <c:pt idx="2801">
                  <c:v>1.75</c:v>
                </c:pt>
                <c:pt idx="2802">
                  <c:v>0.75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0.44</c:v>
                </c:pt>
                <c:pt idx="2817">
                  <c:v>0.83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1.54</c:v>
                </c:pt>
                <c:pt idx="2825">
                  <c:v>0.44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1.51</c:v>
                </c:pt>
                <c:pt idx="2844">
                  <c:v>0.34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1.19</c:v>
                </c:pt>
                <c:pt idx="2849">
                  <c:v>0.45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0.98</c:v>
                </c:pt>
                <c:pt idx="2863">
                  <c:v>0.95</c:v>
                </c:pt>
                <c:pt idx="2864">
                  <c:v>0.88</c:v>
                </c:pt>
                <c:pt idx="2865">
                  <c:v>0.87</c:v>
                </c:pt>
                <c:pt idx="2866">
                  <c:v>0.84</c:v>
                </c:pt>
                <c:pt idx="2867">
                  <c:v>0.81</c:v>
                </c:pt>
                <c:pt idx="2868">
                  <c:v>1</c:v>
                </c:pt>
                <c:pt idx="2869">
                  <c:v>1.22</c:v>
                </c:pt>
                <c:pt idx="2870">
                  <c:v>2.4</c:v>
                </c:pt>
                <c:pt idx="2871">
                  <c:v>2</c:v>
                </c:pt>
                <c:pt idx="2872">
                  <c:v>1.77</c:v>
                </c:pt>
                <c:pt idx="2873">
                  <c:v>1.3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0.54</c:v>
                </c:pt>
                <c:pt idx="2891">
                  <c:v>0.54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2.02</c:v>
                </c:pt>
                <c:pt idx="2897">
                  <c:v>1.05</c:v>
                </c:pt>
                <c:pt idx="2898">
                  <c:v>0</c:v>
                </c:pt>
                <c:pt idx="2899">
                  <c:v>1.08</c:v>
                </c:pt>
                <c:pt idx="2900">
                  <c:v>2.41</c:v>
                </c:pt>
                <c:pt idx="2901">
                  <c:v>0.62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0.67</c:v>
                </c:pt>
                <c:pt idx="2912">
                  <c:v>0.93</c:v>
                </c:pt>
                <c:pt idx="2913">
                  <c:v>0.56000000000000005</c:v>
                </c:pt>
                <c:pt idx="2914">
                  <c:v>0</c:v>
                </c:pt>
                <c:pt idx="2915">
                  <c:v>0.56999999999999995</c:v>
                </c:pt>
                <c:pt idx="2916">
                  <c:v>0.99</c:v>
                </c:pt>
                <c:pt idx="2917">
                  <c:v>1.69</c:v>
                </c:pt>
                <c:pt idx="2918">
                  <c:v>1.61</c:v>
                </c:pt>
                <c:pt idx="2919">
                  <c:v>0.42</c:v>
                </c:pt>
                <c:pt idx="2920">
                  <c:v>0.5</c:v>
                </c:pt>
                <c:pt idx="2921">
                  <c:v>0.66</c:v>
                </c:pt>
                <c:pt idx="2922">
                  <c:v>0.98</c:v>
                </c:pt>
                <c:pt idx="2923">
                  <c:v>0.37</c:v>
                </c:pt>
                <c:pt idx="2924">
                  <c:v>0</c:v>
                </c:pt>
                <c:pt idx="2925">
                  <c:v>0</c:v>
                </c:pt>
                <c:pt idx="2926">
                  <c:v>0.31</c:v>
                </c:pt>
                <c:pt idx="2927">
                  <c:v>0.79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0.31</c:v>
                </c:pt>
                <c:pt idx="2938">
                  <c:v>1.1100000000000001</c:v>
                </c:pt>
                <c:pt idx="2939">
                  <c:v>1</c:v>
                </c:pt>
                <c:pt idx="2940">
                  <c:v>1.46</c:v>
                </c:pt>
                <c:pt idx="2941">
                  <c:v>0.32</c:v>
                </c:pt>
                <c:pt idx="2942">
                  <c:v>0</c:v>
                </c:pt>
                <c:pt idx="2943">
                  <c:v>0.86</c:v>
                </c:pt>
                <c:pt idx="2944">
                  <c:v>1.26</c:v>
                </c:pt>
                <c:pt idx="2945">
                  <c:v>0.42</c:v>
                </c:pt>
                <c:pt idx="2946">
                  <c:v>0</c:v>
                </c:pt>
                <c:pt idx="2947">
                  <c:v>1.19</c:v>
                </c:pt>
                <c:pt idx="2948">
                  <c:v>2.2799999999999998</c:v>
                </c:pt>
                <c:pt idx="2949">
                  <c:v>0.82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0.32</c:v>
                </c:pt>
                <c:pt idx="2960">
                  <c:v>0.25</c:v>
                </c:pt>
                <c:pt idx="2961">
                  <c:v>0</c:v>
                </c:pt>
                <c:pt idx="2962">
                  <c:v>0</c:v>
                </c:pt>
                <c:pt idx="2963">
                  <c:v>0.62</c:v>
                </c:pt>
                <c:pt idx="2964">
                  <c:v>1.21</c:v>
                </c:pt>
                <c:pt idx="2965">
                  <c:v>0.67</c:v>
                </c:pt>
                <c:pt idx="2966">
                  <c:v>0</c:v>
                </c:pt>
                <c:pt idx="2967">
                  <c:v>0.22</c:v>
                </c:pt>
                <c:pt idx="2968">
                  <c:v>1.22</c:v>
                </c:pt>
                <c:pt idx="2969">
                  <c:v>1.36</c:v>
                </c:pt>
                <c:pt idx="2970">
                  <c:v>1.89</c:v>
                </c:pt>
                <c:pt idx="2971">
                  <c:v>1.45</c:v>
                </c:pt>
                <c:pt idx="2972">
                  <c:v>0</c:v>
                </c:pt>
                <c:pt idx="2973">
                  <c:v>1.74</c:v>
                </c:pt>
                <c:pt idx="2974">
                  <c:v>2.33</c:v>
                </c:pt>
                <c:pt idx="2975">
                  <c:v>1.24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0.6</c:v>
                </c:pt>
                <c:pt idx="2983">
                  <c:v>0.36</c:v>
                </c:pt>
                <c:pt idx="2984">
                  <c:v>0</c:v>
                </c:pt>
                <c:pt idx="2985">
                  <c:v>0</c:v>
                </c:pt>
                <c:pt idx="2986">
                  <c:v>0.3</c:v>
                </c:pt>
                <c:pt idx="2987">
                  <c:v>1.24</c:v>
                </c:pt>
                <c:pt idx="2988">
                  <c:v>2.64</c:v>
                </c:pt>
                <c:pt idx="2989">
                  <c:v>0.97</c:v>
                </c:pt>
                <c:pt idx="2990">
                  <c:v>0</c:v>
                </c:pt>
                <c:pt idx="2991">
                  <c:v>1.79</c:v>
                </c:pt>
                <c:pt idx="2992">
                  <c:v>1.05</c:v>
                </c:pt>
                <c:pt idx="2993">
                  <c:v>0.42</c:v>
                </c:pt>
                <c:pt idx="2994">
                  <c:v>0</c:v>
                </c:pt>
                <c:pt idx="2995">
                  <c:v>0.85</c:v>
                </c:pt>
                <c:pt idx="2996">
                  <c:v>1.2</c:v>
                </c:pt>
                <c:pt idx="2997">
                  <c:v>0.45</c:v>
                </c:pt>
                <c:pt idx="2998">
                  <c:v>0</c:v>
                </c:pt>
                <c:pt idx="2999">
                  <c:v>0.82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0.6</c:v>
                </c:pt>
                <c:pt idx="3010">
                  <c:v>1.18</c:v>
                </c:pt>
                <c:pt idx="3011">
                  <c:v>0.75</c:v>
                </c:pt>
                <c:pt idx="3012">
                  <c:v>0.6</c:v>
                </c:pt>
                <c:pt idx="3013">
                  <c:v>1.51</c:v>
                </c:pt>
                <c:pt idx="3014">
                  <c:v>3</c:v>
                </c:pt>
                <c:pt idx="3015">
                  <c:v>2.12</c:v>
                </c:pt>
                <c:pt idx="3016">
                  <c:v>1.39</c:v>
                </c:pt>
                <c:pt idx="3017">
                  <c:v>2.44</c:v>
                </c:pt>
                <c:pt idx="3018">
                  <c:v>0.67</c:v>
                </c:pt>
                <c:pt idx="3019">
                  <c:v>1.54</c:v>
                </c:pt>
                <c:pt idx="3020">
                  <c:v>2.59</c:v>
                </c:pt>
                <c:pt idx="3021">
                  <c:v>3.35</c:v>
                </c:pt>
                <c:pt idx="3022">
                  <c:v>3.53</c:v>
                </c:pt>
                <c:pt idx="3023">
                  <c:v>1.44</c:v>
                </c:pt>
                <c:pt idx="3024">
                  <c:v>0</c:v>
                </c:pt>
                <c:pt idx="3025">
                  <c:v>0.57999999999999996</c:v>
                </c:pt>
                <c:pt idx="3026">
                  <c:v>2.5299999999999998</c:v>
                </c:pt>
                <c:pt idx="3027">
                  <c:v>1.94</c:v>
                </c:pt>
                <c:pt idx="3028">
                  <c:v>0</c:v>
                </c:pt>
                <c:pt idx="3029">
                  <c:v>1.23</c:v>
                </c:pt>
                <c:pt idx="3030">
                  <c:v>2.23</c:v>
                </c:pt>
                <c:pt idx="3031">
                  <c:v>2.0299999999999998</c:v>
                </c:pt>
                <c:pt idx="3032">
                  <c:v>1.02</c:v>
                </c:pt>
                <c:pt idx="3033">
                  <c:v>0</c:v>
                </c:pt>
                <c:pt idx="3034">
                  <c:v>0.23</c:v>
                </c:pt>
                <c:pt idx="3035">
                  <c:v>1.1599999999999999</c:v>
                </c:pt>
                <c:pt idx="3036">
                  <c:v>1.17</c:v>
                </c:pt>
                <c:pt idx="3037">
                  <c:v>1.1599999999999999</c:v>
                </c:pt>
                <c:pt idx="3038">
                  <c:v>0.99</c:v>
                </c:pt>
                <c:pt idx="3039">
                  <c:v>0.27</c:v>
                </c:pt>
                <c:pt idx="3040">
                  <c:v>1.37</c:v>
                </c:pt>
                <c:pt idx="3041">
                  <c:v>1.75</c:v>
                </c:pt>
                <c:pt idx="3042">
                  <c:v>1.22</c:v>
                </c:pt>
                <c:pt idx="3043">
                  <c:v>0.22</c:v>
                </c:pt>
                <c:pt idx="3044">
                  <c:v>0</c:v>
                </c:pt>
                <c:pt idx="3045">
                  <c:v>1.69</c:v>
                </c:pt>
                <c:pt idx="3046">
                  <c:v>2.4300000000000002</c:v>
                </c:pt>
                <c:pt idx="3047">
                  <c:v>1.59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0.83</c:v>
                </c:pt>
                <c:pt idx="3058">
                  <c:v>1.4</c:v>
                </c:pt>
                <c:pt idx="3059">
                  <c:v>0.75</c:v>
                </c:pt>
                <c:pt idx="3060">
                  <c:v>0</c:v>
                </c:pt>
                <c:pt idx="3061">
                  <c:v>1.84</c:v>
                </c:pt>
                <c:pt idx="3062">
                  <c:v>1.17</c:v>
                </c:pt>
                <c:pt idx="3063">
                  <c:v>0.47</c:v>
                </c:pt>
                <c:pt idx="3064">
                  <c:v>0</c:v>
                </c:pt>
                <c:pt idx="3065">
                  <c:v>0.98</c:v>
                </c:pt>
                <c:pt idx="3066">
                  <c:v>1.44</c:v>
                </c:pt>
                <c:pt idx="3067">
                  <c:v>0.71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0.87</c:v>
                </c:pt>
                <c:pt idx="3081">
                  <c:v>1.3</c:v>
                </c:pt>
                <c:pt idx="3082">
                  <c:v>1.21</c:v>
                </c:pt>
                <c:pt idx="3083">
                  <c:v>1.1499999999999999</c:v>
                </c:pt>
                <c:pt idx="3084">
                  <c:v>1.87</c:v>
                </c:pt>
                <c:pt idx="3085">
                  <c:v>1.99</c:v>
                </c:pt>
                <c:pt idx="3086">
                  <c:v>1.52</c:v>
                </c:pt>
                <c:pt idx="3087">
                  <c:v>1.28</c:v>
                </c:pt>
                <c:pt idx="3088">
                  <c:v>0</c:v>
                </c:pt>
                <c:pt idx="3089">
                  <c:v>0.99</c:v>
                </c:pt>
                <c:pt idx="3090">
                  <c:v>1.53</c:v>
                </c:pt>
                <c:pt idx="3091">
                  <c:v>0.6</c:v>
                </c:pt>
                <c:pt idx="3092">
                  <c:v>0</c:v>
                </c:pt>
                <c:pt idx="3093">
                  <c:v>1.59</c:v>
                </c:pt>
                <c:pt idx="3094">
                  <c:v>1.9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1.07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1.1499999999999999</c:v>
                </c:pt>
                <c:pt idx="3114">
                  <c:v>2.44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0.68</c:v>
                </c:pt>
                <c:pt idx="3179">
                  <c:v>0.24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0.74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0.63</c:v>
                </c:pt>
                <c:pt idx="3201">
                  <c:v>0</c:v>
                </c:pt>
                <c:pt idx="3202">
                  <c:v>0</c:v>
                </c:pt>
                <c:pt idx="3203">
                  <c:v>0.53</c:v>
                </c:pt>
                <c:pt idx="3204">
                  <c:v>0.84</c:v>
                </c:pt>
                <c:pt idx="3205">
                  <c:v>0.43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0.86</c:v>
                </c:pt>
                <c:pt idx="3210">
                  <c:v>1.83</c:v>
                </c:pt>
                <c:pt idx="3211">
                  <c:v>0.73</c:v>
                </c:pt>
                <c:pt idx="3212">
                  <c:v>0</c:v>
                </c:pt>
                <c:pt idx="3213">
                  <c:v>0.79</c:v>
                </c:pt>
                <c:pt idx="3214">
                  <c:v>0.4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0.54</c:v>
                </c:pt>
                <c:pt idx="3224">
                  <c:v>0.89</c:v>
                </c:pt>
                <c:pt idx="3225">
                  <c:v>0.28999999999999998</c:v>
                </c:pt>
                <c:pt idx="3226">
                  <c:v>0</c:v>
                </c:pt>
                <c:pt idx="3227">
                  <c:v>0.64</c:v>
                </c:pt>
                <c:pt idx="3228">
                  <c:v>0.87</c:v>
                </c:pt>
                <c:pt idx="3229">
                  <c:v>1.08</c:v>
                </c:pt>
                <c:pt idx="3230">
                  <c:v>0</c:v>
                </c:pt>
                <c:pt idx="3231">
                  <c:v>0.57999999999999996</c:v>
                </c:pt>
                <c:pt idx="3232">
                  <c:v>1.32</c:v>
                </c:pt>
                <c:pt idx="3233">
                  <c:v>1.62</c:v>
                </c:pt>
                <c:pt idx="3234">
                  <c:v>3.03</c:v>
                </c:pt>
                <c:pt idx="3235">
                  <c:v>3.42</c:v>
                </c:pt>
                <c:pt idx="3236">
                  <c:v>0.93</c:v>
                </c:pt>
                <c:pt idx="3237">
                  <c:v>1.53</c:v>
                </c:pt>
                <c:pt idx="3238">
                  <c:v>2.61</c:v>
                </c:pt>
                <c:pt idx="3239">
                  <c:v>2.84</c:v>
                </c:pt>
                <c:pt idx="3240">
                  <c:v>0.91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0.89</c:v>
                </c:pt>
                <c:pt idx="3247">
                  <c:v>0.46</c:v>
                </c:pt>
                <c:pt idx="3248">
                  <c:v>0</c:v>
                </c:pt>
                <c:pt idx="3249">
                  <c:v>0.55000000000000004</c:v>
                </c:pt>
                <c:pt idx="3250">
                  <c:v>1.9</c:v>
                </c:pt>
                <c:pt idx="3251">
                  <c:v>2.12</c:v>
                </c:pt>
                <c:pt idx="3252">
                  <c:v>0.92</c:v>
                </c:pt>
                <c:pt idx="3253">
                  <c:v>1.21</c:v>
                </c:pt>
                <c:pt idx="3254">
                  <c:v>2.96</c:v>
                </c:pt>
                <c:pt idx="3255">
                  <c:v>0.61</c:v>
                </c:pt>
                <c:pt idx="3256">
                  <c:v>0</c:v>
                </c:pt>
                <c:pt idx="3257">
                  <c:v>0.97</c:v>
                </c:pt>
                <c:pt idx="3258">
                  <c:v>1.43</c:v>
                </c:pt>
                <c:pt idx="3259">
                  <c:v>1.66</c:v>
                </c:pt>
                <c:pt idx="3260">
                  <c:v>0.79</c:v>
                </c:pt>
                <c:pt idx="3261">
                  <c:v>1.61</c:v>
                </c:pt>
                <c:pt idx="3262">
                  <c:v>2.36</c:v>
                </c:pt>
                <c:pt idx="3263">
                  <c:v>2.5299999999999998</c:v>
                </c:pt>
                <c:pt idx="3264">
                  <c:v>1.04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0.33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0.85</c:v>
                </c:pt>
                <c:pt idx="3274">
                  <c:v>2.15</c:v>
                </c:pt>
                <c:pt idx="3275">
                  <c:v>2.19</c:v>
                </c:pt>
                <c:pt idx="3276">
                  <c:v>2.08</c:v>
                </c:pt>
                <c:pt idx="3277">
                  <c:v>1.1599999999999999</c:v>
                </c:pt>
                <c:pt idx="3278">
                  <c:v>0</c:v>
                </c:pt>
                <c:pt idx="3279">
                  <c:v>0.84</c:v>
                </c:pt>
                <c:pt idx="3280">
                  <c:v>1.39</c:v>
                </c:pt>
                <c:pt idx="3281">
                  <c:v>1.84</c:v>
                </c:pt>
                <c:pt idx="3282">
                  <c:v>1.66</c:v>
                </c:pt>
                <c:pt idx="3283">
                  <c:v>0.73</c:v>
                </c:pt>
                <c:pt idx="3284">
                  <c:v>0</c:v>
                </c:pt>
                <c:pt idx="3285">
                  <c:v>1.71</c:v>
                </c:pt>
                <c:pt idx="3286">
                  <c:v>2.82</c:v>
                </c:pt>
                <c:pt idx="3287">
                  <c:v>1.18</c:v>
                </c:pt>
                <c:pt idx="3288">
                  <c:v>0</c:v>
                </c:pt>
                <c:pt idx="3289">
                  <c:v>1.43</c:v>
                </c:pt>
                <c:pt idx="3290">
                  <c:v>1.01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1.62</c:v>
                </c:pt>
                <c:pt idx="3299">
                  <c:v>2.11</c:v>
                </c:pt>
                <c:pt idx="3300">
                  <c:v>2.2999999999999998</c:v>
                </c:pt>
                <c:pt idx="3301">
                  <c:v>0.98</c:v>
                </c:pt>
                <c:pt idx="3302">
                  <c:v>0.51</c:v>
                </c:pt>
                <c:pt idx="3303">
                  <c:v>1.31</c:v>
                </c:pt>
                <c:pt idx="3304">
                  <c:v>2.7</c:v>
                </c:pt>
                <c:pt idx="3305">
                  <c:v>0.72</c:v>
                </c:pt>
                <c:pt idx="3306">
                  <c:v>0.93</c:v>
                </c:pt>
                <c:pt idx="3307">
                  <c:v>2.17</c:v>
                </c:pt>
                <c:pt idx="3308">
                  <c:v>3.31</c:v>
                </c:pt>
                <c:pt idx="3309">
                  <c:v>1.08</c:v>
                </c:pt>
                <c:pt idx="3310">
                  <c:v>1.69</c:v>
                </c:pt>
                <c:pt idx="3311">
                  <c:v>3.11</c:v>
                </c:pt>
                <c:pt idx="3312">
                  <c:v>2.94</c:v>
                </c:pt>
                <c:pt idx="3313">
                  <c:v>1.05</c:v>
                </c:pt>
                <c:pt idx="3314">
                  <c:v>1.21</c:v>
                </c:pt>
                <c:pt idx="3315">
                  <c:v>2.67</c:v>
                </c:pt>
                <c:pt idx="3316">
                  <c:v>2.72</c:v>
                </c:pt>
                <c:pt idx="3317">
                  <c:v>0.87</c:v>
                </c:pt>
                <c:pt idx="3318">
                  <c:v>0</c:v>
                </c:pt>
                <c:pt idx="3319">
                  <c:v>1.56</c:v>
                </c:pt>
                <c:pt idx="3320">
                  <c:v>2.13</c:v>
                </c:pt>
                <c:pt idx="3321">
                  <c:v>0.92</c:v>
                </c:pt>
                <c:pt idx="3322">
                  <c:v>0</c:v>
                </c:pt>
                <c:pt idx="3323">
                  <c:v>1.91</c:v>
                </c:pt>
                <c:pt idx="3324">
                  <c:v>3.17</c:v>
                </c:pt>
                <c:pt idx="3325">
                  <c:v>2.89</c:v>
                </c:pt>
                <c:pt idx="3326">
                  <c:v>1.89</c:v>
                </c:pt>
                <c:pt idx="3327">
                  <c:v>2.41</c:v>
                </c:pt>
                <c:pt idx="3328">
                  <c:v>0.44</c:v>
                </c:pt>
                <c:pt idx="3329">
                  <c:v>1.55</c:v>
                </c:pt>
                <c:pt idx="3330">
                  <c:v>1.61</c:v>
                </c:pt>
                <c:pt idx="3331">
                  <c:v>2.78</c:v>
                </c:pt>
                <c:pt idx="3332">
                  <c:v>3.17</c:v>
                </c:pt>
                <c:pt idx="3333">
                  <c:v>2.82</c:v>
                </c:pt>
                <c:pt idx="3334">
                  <c:v>2.39</c:v>
                </c:pt>
                <c:pt idx="3335">
                  <c:v>0.83</c:v>
                </c:pt>
                <c:pt idx="3336">
                  <c:v>0</c:v>
                </c:pt>
                <c:pt idx="3337">
                  <c:v>1.73</c:v>
                </c:pt>
                <c:pt idx="3338">
                  <c:v>2.5099999999999998</c:v>
                </c:pt>
                <c:pt idx="3339">
                  <c:v>0.51</c:v>
                </c:pt>
                <c:pt idx="3340">
                  <c:v>0</c:v>
                </c:pt>
                <c:pt idx="3341">
                  <c:v>0.74</c:v>
                </c:pt>
                <c:pt idx="3342">
                  <c:v>1.78</c:v>
                </c:pt>
                <c:pt idx="3343">
                  <c:v>1.97</c:v>
                </c:pt>
                <c:pt idx="3344">
                  <c:v>2.29</c:v>
                </c:pt>
                <c:pt idx="3345">
                  <c:v>0.31</c:v>
                </c:pt>
                <c:pt idx="3346">
                  <c:v>2.4500000000000002</c:v>
                </c:pt>
                <c:pt idx="3347">
                  <c:v>2.94</c:v>
                </c:pt>
                <c:pt idx="3348">
                  <c:v>2.31</c:v>
                </c:pt>
                <c:pt idx="3349">
                  <c:v>2.63</c:v>
                </c:pt>
                <c:pt idx="3350">
                  <c:v>3.13</c:v>
                </c:pt>
                <c:pt idx="3351">
                  <c:v>2.5</c:v>
                </c:pt>
                <c:pt idx="3352">
                  <c:v>2.06</c:v>
                </c:pt>
                <c:pt idx="3353">
                  <c:v>1.23</c:v>
                </c:pt>
                <c:pt idx="3354">
                  <c:v>1.0900000000000001</c:v>
                </c:pt>
                <c:pt idx="3355">
                  <c:v>1.56</c:v>
                </c:pt>
                <c:pt idx="3356">
                  <c:v>1.91</c:v>
                </c:pt>
                <c:pt idx="3357">
                  <c:v>1.82</c:v>
                </c:pt>
                <c:pt idx="3358">
                  <c:v>0.82</c:v>
                </c:pt>
                <c:pt idx="3359">
                  <c:v>1.69</c:v>
                </c:pt>
                <c:pt idx="3360">
                  <c:v>2.77</c:v>
                </c:pt>
                <c:pt idx="3361">
                  <c:v>2.97</c:v>
                </c:pt>
                <c:pt idx="3362">
                  <c:v>1.08</c:v>
                </c:pt>
                <c:pt idx="3363">
                  <c:v>0.64</c:v>
                </c:pt>
                <c:pt idx="3364">
                  <c:v>2.69</c:v>
                </c:pt>
                <c:pt idx="3365">
                  <c:v>0.94</c:v>
                </c:pt>
                <c:pt idx="3366">
                  <c:v>1.08</c:v>
                </c:pt>
                <c:pt idx="3367">
                  <c:v>0</c:v>
                </c:pt>
                <c:pt idx="3368">
                  <c:v>0</c:v>
                </c:pt>
                <c:pt idx="3369">
                  <c:v>1.42</c:v>
                </c:pt>
                <c:pt idx="3370">
                  <c:v>2.63</c:v>
                </c:pt>
                <c:pt idx="3371">
                  <c:v>1.37</c:v>
                </c:pt>
                <c:pt idx="3372">
                  <c:v>0</c:v>
                </c:pt>
                <c:pt idx="3373">
                  <c:v>2.2200000000000002</c:v>
                </c:pt>
                <c:pt idx="3374">
                  <c:v>1.46</c:v>
                </c:pt>
                <c:pt idx="3375">
                  <c:v>0.9</c:v>
                </c:pt>
                <c:pt idx="3376">
                  <c:v>1.96</c:v>
                </c:pt>
                <c:pt idx="3377">
                  <c:v>1.01</c:v>
                </c:pt>
                <c:pt idx="3378">
                  <c:v>2.63</c:v>
                </c:pt>
                <c:pt idx="3379">
                  <c:v>2.95</c:v>
                </c:pt>
                <c:pt idx="3380">
                  <c:v>2.11</c:v>
                </c:pt>
                <c:pt idx="3381">
                  <c:v>0.55000000000000004</c:v>
                </c:pt>
                <c:pt idx="3382">
                  <c:v>0.82</c:v>
                </c:pt>
                <c:pt idx="3383">
                  <c:v>3.19</c:v>
                </c:pt>
                <c:pt idx="3384">
                  <c:v>3.72</c:v>
                </c:pt>
                <c:pt idx="3385">
                  <c:v>0.87</c:v>
                </c:pt>
                <c:pt idx="3386">
                  <c:v>0</c:v>
                </c:pt>
                <c:pt idx="3387">
                  <c:v>1.76</c:v>
                </c:pt>
                <c:pt idx="3388">
                  <c:v>2.84</c:v>
                </c:pt>
                <c:pt idx="3389">
                  <c:v>1.2</c:v>
                </c:pt>
                <c:pt idx="3390">
                  <c:v>0</c:v>
                </c:pt>
                <c:pt idx="3391">
                  <c:v>0.89</c:v>
                </c:pt>
                <c:pt idx="3392">
                  <c:v>1.54</c:v>
                </c:pt>
                <c:pt idx="3393">
                  <c:v>1.1299999999999999</c:v>
                </c:pt>
                <c:pt idx="3394">
                  <c:v>1.59</c:v>
                </c:pt>
                <c:pt idx="3395">
                  <c:v>0.77</c:v>
                </c:pt>
                <c:pt idx="3396">
                  <c:v>1.9</c:v>
                </c:pt>
                <c:pt idx="3397">
                  <c:v>3.76</c:v>
                </c:pt>
                <c:pt idx="3398">
                  <c:v>3.7</c:v>
                </c:pt>
                <c:pt idx="3399">
                  <c:v>1.3</c:v>
                </c:pt>
                <c:pt idx="3400">
                  <c:v>2.61</c:v>
                </c:pt>
                <c:pt idx="3401">
                  <c:v>3.93</c:v>
                </c:pt>
                <c:pt idx="3402">
                  <c:v>3.9</c:v>
                </c:pt>
                <c:pt idx="3403">
                  <c:v>1.27</c:v>
                </c:pt>
                <c:pt idx="3404">
                  <c:v>2.02</c:v>
                </c:pt>
                <c:pt idx="3405">
                  <c:v>3.52</c:v>
                </c:pt>
                <c:pt idx="3406">
                  <c:v>3.41</c:v>
                </c:pt>
                <c:pt idx="3407">
                  <c:v>1.07</c:v>
                </c:pt>
                <c:pt idx="3408">
                  <c:v>1.72</c:v>
                </c:pt>
                <c:pt idx="3409">
                  <c:v>2.83</c:v>
                </c:pt>
                <c:pt idx="3410">
                  <c:v>2.77</c:v>
                </c:pt>
                <c:pt idx="3411">
                  <c:v>0.97</c:v>
                </c:pt>
                <c:pt idx="3412">
                  <c:v>0</c:v>
                </c:pt>
                <c:pt idx="3413">
                  <c:v>1.6</c:v>
                </c:pt>
                <c:pt idx="3414">
                  <c:v>1.53</c:v>
                </c:pt>
                <c:pt idx="3415">
                  <c:v>2.2000000000000002</c:v>
                </c:pt>
                <c:pt idx="3416">
                  <c:v>2.15</c:v>
                </c:pt>
                <c:pt idx="3417">
                  <c:v>0.71</c:v>
                </c:pt>
                <c:pt idx="3418">
                  <c:v>0</c:v>
                </c:pt>
                <c:pt idx="3419">
                  <c:v>0.87</c:v>
                </c:pt>
                <c:pt idx="3420">
                  <c:v>1.29</c:v>
                </c:pt>
                <c:pt idx="3421">
                  <c:v>2.25</c:v>
                </c:pt>
                <c:pt idx="3422">
                  <c:v>3.81</c:v>
                </c:pt>
                <c:pt idx="3423">
                  <c:v>1.02</c:v>
                </c:pt>
                <c:pt idx="3424">
                  <c:v>0</c:v>
                </c:pt>
                <c:pt idx="3425">
                  <c:v>1.71</c:v>
                </c:pt>
                <c:pt idx="3426">
                  <c:v>3.66</c:v>
                </c:pt>
                <c:pt idx="3427">
                  <c:v>0</c:v>
                </c:pt>
                <c:pt idx="3428">
                  <c:v>0</c:v>
                </c:pt>
                <c:pt idx="3429">
                  <c:v>2.13</c:v>
                </c:pt>
                <c:pt idx="3430">
                  <c:v>2.2000000000000002</c:v>
                </c:pt>
                <c:pt idx="3431">
                  <c:v>2.93</c:v>
                </c:pt>
                <c:pt idx="3432">
                  <c:v>2.96</c:v>
                </c:pt>
                <c:pt idx="3433">
                  <c:v>0.66</c:v>
                </c:pt>
                <c:pt idx="3434">
                  <c:v>0</c:v>
                </c:pt>
                <c:pt idx="3435">
                  <c:v>1.88</c:v>
                </c:pt>
                <c:pt idx="3436">
                  <c:v>2.78</c:v>
                </c:pt>
                <c:pt idx="3437">
                  <c:v>1.32</c:v>
                </c:pt>
                <c:pt idx="3438">
                  <c:v>0</c:v>
                </c:pt>
                <c:pt idx="3439">
                  <c:v>1.76</c:v>
                </c:pt>
                <c:pt idx="3440">
                  <c:v>2.8</c:v>
                </c:pt>
                <c:pt idx="3441">
                  <c:v>1.68</c:v>
                </c:pt>
                <c:pt idx="3442">
                  <c:v>2.1800000000000002</c:v>
                </c:pt>
                <c:pt idx="3443">
                  <c:v>1.19</c:v>
                </c:pt>
                <c:pt idx="3444">
                  <c:v>0</c:v>
                </c:pt>
                <c:pt idx="3445">
                  <c:v>1.96</c:v>
                </c:pt>
                <c:pt idx="3446">
                  <c:v>2.19</c:v>
                </c:pt>
                <c:pt idx="3447">
                  <c:v>2.37</c:v>
                </c:pt>
                <c:pt idx="3448">
                  <c:v>3.06</c:v>
                </c:pt>
                <c:pt idx="3449">
                  <c:v>0.22</c:v>
                </c:pt>
                <c:pt idx="3450">
                  <c:v>1.97</c:v>
                </c:pt>
                <c:pt idx="3451">
                  <c:v>2.06</c:v>
                </c:pt>
                <c:pt idx="3452">
                  <c:v>3.53</c:v>
                </c:pt>
                <c:pt idx="3453">
                  <c:v>3.73</c:v>
                </c:pt>
                <c:pt idx="3454">
                  <c:v>2.77</c:v>
                </c:pt>
                <c:pt idx="3455">
                  <c:v>1.31</c:v>
                </c:pt>
                <c:pt idx="3456">
                  <c:v>0</c:v>
                </c:pt>
                <c:pt idx="3457">
                  <c:v>1.65</c:v>
                </c:pt>
                <c:pt idx="3458">
                  <c:v>2.77</c:v>
                </c:pt>
                <c:pt idx="3459">
                  <c:v>0.99</c:v>
                </c:pt>
                <c:pt idx="3460">
                  <c:v>0</c:v>
                </c:pt>
                <c:pt idx="3461">
                  <c:v>1.49</c:v>
                </c:pt>
                <c:pt idx="3462">
                  <c:v>1.36</c:v>
                </c:pt>
                <c:pt idx="3463">
                  <c:v>0.7</c:v>
                </c:pt>
                <c:pt idx="3464">
                  <c:v>0</c:v>
                </c:pt>
                <c:pt idx="3465">
                  <c:v>1.1200000000000001</c:v>
                </c:pt>
                <c:pt idx="3466">
                  <c:v>2.15</c:v>
                </c:pt>
                <c:pt idx="3467">
                  <c:v>2.4900000000000002</c:v>
                </c:pt>
                <c:pt idx="3468">
                  <c:v>3.54</c:v>
                </c:pt>
                <c:pt idx="3469">
                  <c:v>1.19</c:v>
                </c:pt>
                <c:pt idx="3470">
                  <c:v>0</c:v>
                </c:pt>
                <c:pt idx="3471">
                  <c:v>2.4300000000000002</c:v>
                </c:pt>
                <c:pt idx="3472">
                  <c:v>2.78</c:v>
                </c:pt>
                <c:pt idx="3473">
                  <c:v>3.22</c:v>
                </c:pt>
                <c:pt idx="3474">
                  <c:v>3.02</c:v>
                </c:pt>
                <c:pt idx="3475">
                  <c:v>0.79</c:v>
                </c:pt>
                <c:pt idx="3476">
                  <c:v>0</c:v>
                </c:pt>
                <c:pt idx="3477">
                  <c:v>1.2</c:v>
                </c:pt>
                <c:pt idx="3478">
                  <c:v>3</c:v>
                </c:pt>
                <c:pt idx="3479">
                  <c:v>1.05</c:v>
                </c:pt>
                <c:pt idx="3480">
                  <c:v>0</c:v>
                </c:pt>
                <c:pt idx="3481">
                  <c:v>1.87</c:v>
                </c:pt>
                <c:pt idx="3482">
                  <c:v>2.77</c:v>
                </c:pt>
                <c:pt idx="3483">
                  <c:v>2.78</c:v>
                </c:pt>
                <c:pt idx="3484">
                  <c:v>2.84</c:v>
                </c:pt>
                <c:pt idx="3485">
                  <c:v>1.24</c:v>
                </c:pt>
                <c:pt idx="3486">
                  <c:v>1.03</c:v>
                </c:pt>
                <c:pt idx="3487">
                  <c:v>2.42</c:v>
                </c:pt>
                <c:pt idx="3488">
                  <c:v>2.44</c:v>
                </c:pt>
                <c:pt idx="3489">
                  <c:v>1.77</c:v>
                </c:pt>
                <c:pt idx="3490">
                  <c:v>2.57</c:v>
                </c:pt>
                <c:pt idx="3491">
                  <c:v>0.97</c:v>
                </c:pt>
                <c:pt idx="3492">
                  <c:v>1.85</c:v>
                </c:pt>
                <c:pt idx="3493">
                  <c:v>3.59</c:v>
                </c:pt>
                <c:pt idx="3494">
                  <c:v>3.4</c:v>
                </c:pt>
                <c:pt idx="3495">
                  <c:v>4.37</c:v>
                </c:pt>
                <c:pt idx="3496">
                  <c:v>2.97</c:v>
                </c:pt>
                <c:pt idx="3497">
                  <c:v>1.05</c:v>
                </c:pt>
                <c:pt idx="3498">
                  <c:v>0</c:v>
                </c:pt>
                <c:pt idx="3499">
                  <c:v>1.59</c:v>
                </c:pt>
                <c:pt idx="3500">
                  <c:v>2.98</c:v>
                </c:pt>
                <c:pt idx="3501">
                  <c:v>3.59</c:v>
                </c:pt>
                <c:pt idx="3502">
                  <c:v>3.24</c:v>
                </c:pt>
                <c:pt idx="3503">
                  <c:v>2.96</c:v>
                </c:pt>
                <c:pt idx="3504">
                  <c:v>2.75</c:v>
                </c:pt>
                <c:pt idx="3505">
                  <c:v>1.18</c:v>
                </c:pt>
                <c:pt idx="3506">
                  <c:v>1.35</c:v>
                </c:pt>
                <c:pt idx="3507">
                  <c:v>2.81</c:v>
                </c:pt>
                <c:pt idx="3508">
                  <c:v>2.69</c:v>
                </c:pt>
                <c:pt idx="3509">
                  <c:v>0.92</c:v>
                </c:pt>
                <c:pt idx="3510">
                  <c:v>0.36</c:v>
                </c:pt>
                <c:pt idx="3511">
                  <c:v>0.95</c:v>
                </c:pt>
                <c:pt idx="3512">
                  <c:v>1.35</c:v>
                </c:pt>
                <c:pt idx="3513">
                  <c:v>2.0699999999999998</c:v>
                </c:pt>
                <c:pt idx="3514">
                  <c:v>1.97</c:v>
                </c:pt>
                <c:pt idx="3515">
                  <c:v>1.03</c:v>
                </c:pt>
                <c:pt idx="3516">
                  <c:v>1.31</c:v>
                </c:pt>
                <c:pt idx="3517">
                  <c:v>3.86</c:v>
                </c:pt>
                <c:pt idx="3518">
                  <c:v>3.95</c:v>
                </c:pt>
                <c:pt idx="3519">
                  <c:v>3.56</c:v>
                </c:pt>
                <c:pt idx="3520">
                  <c:v>3.96</c:v>
                </c:pt>
                <c:pt idx="3521">
                  <c:v>1.0900000000000001</c:v>
                </c:pt>
                <c:pt idx="3522">
                  <c:v>3.13</c:v>
                </c:pt>
                <c:pt idx="3523">
                  <c:v>4.3499999999999996</c:v>
                </c:pt>
                <c:pt idx="3524">
                  <c:v>4.37</c:v>
                </c:pt>
                <c:pt idx="3525">
                  <c:v>1.85</c:v>
                </c:pt>
                <c:pt idx="3526">
                  <c:v>0</c:v>
                </c:pt>
                <c:pt idx="3527">
                  <c:v>2.0499999999999998</c:v>
                </c:pt>
                <c:pt idx="3528">
                  <c:v>2.87</c:v>
                </c:pt>
                <c:pt idx="3529">
                  <c:v>1.96</c:v>
                </c:pt>
                <c:pt idx="3530">
                  <c:v>0</c:v>
                </c:pt>
                <c:pt idx="3531">
                  <c:v>1.4</c:v>
                </c:pt>
                <c:pt idx="3532">
                  <c:v>2.78</c:v>
                </c:pt>
                <c:pt idx="3533">
                  <c:v>2.12</c:v>
                </c:pt>
                <c:pt idx="3534">
                  <c:v>0</c:v>
                </c:pt>
                <c:pt idx="3535">
                  <c:v>0.54</c:v>
                </c:pt>
                <c:pt idx="3536">
                  <c:v>1.1000000000000001</c:v>
                </c:pt>
                <c:pt idx="3537">
                  <c:v>2.19</c:v>
                </c:pt>
                <c:pt idx="3538">
                  <c:v>2.1800000000000002</c:v>
                </c:pt>
                <c:pt idx="3539">
                  <c:v>1.1299999999999999</c:v>
                </c:pt>
                <c:pt idx="3540">
                  <c:v>0</c:v>
                </c:pt>
                <c:pt idx="3541">
                  <c:v>1.22</c:v>
                </c:pt>
                <c:pt idx="3542">
                  <c:v>2.0499999999999998</c:v>
                </c:pt>
                <c:pt idx="3543">
                  <c:v>1.1000000000000001</c:v>
                </c:pt>
                <c:pt idx="3544">
                  <c:v>1.7</c:v>
                </c:pt>
                <c:pt idx="3545">
                  <c:v>3.09</c:v>
                </c:pt>
                <c:pt idx="3546">
                  <c:v>3.96</c:v>
                </c:pt>
                <c:pt idx="3547">
                  <c:v>4.37</c:v>
                </c:pt>
                <c:pt idx="3548">
                  <c:v>4.3099999999999996</c:v>
                </c:pt>
                <c:pt idx="3549">
                  <c:v>4.33</c:v>
                </c:pt>
                <c:pt idx="3550">
                  <c:v>3.97</c:v>
                </c:pt>
                <c:pt idx="3551">
                  <c:v>3.39</c:v>
                </c:pt>
                <c:pt idx="3552">
                  <c:v>2.76</c:v>
                </c:pt>
                <c:pt idx="3553">
                  <c:v>2.96</c:v>
                </c:pt>
                <c:pt idx="3554">
                  <c:v>0.37</c:v>
                </c:pt>
                <c:pt idx="3555">
                  <c:v>2.06</c:v>
                </c:pt>
                <c:pt idx="3556">
                  <c:v>2.7</c:v>
                </c:pt>
                <c:pt idx="3557">
                  <c:v>1.94</c:v>
                </c:pt>
                <c:pt idx="3558">
                  <c:v>1.55</c:v>
                </c:pt>
                <c:pt idx="3559">
                  <c:v>1.01</c:v>
                </c:pt>
                <c:pt idx="3560">
                  <c:v>1.51</c:v>
                </c:pt>
                <c:pt idx="3561">
                  <c:v>1.78</c:v>
                </c:pt>
                <c:pt idx="3562">
                  <c:v>1.49</c:v>
                </c:pt>
                <c:pt idx="3563">
                  <c:v>3.58</c:v>
                </c:pt>
                <c:pt idx="3564">
                  <c:v>3.69</c:v>
                </c:pt>
                <c:pt idx="3565">
                  <c:v>3.89</c:v>
                </c:pt>
                <c:pt idx="3566">
                  <c:v>3.77</c:v>
                </c:pt>
                <c:pt idx="3567">
                  <c:v>1.71</c:v>
                </c:pt>
                <c:pt idx="3568">
                  <c:v>2.14</c:v>
                </c:pt>
                <c:pt idx="3569">
                  <c:v>4.3899999999999997</c:v>
                </c:pt>
                <c:pt idx="3570">
                  <c:v>4.46</c:v>
                </c:pt>
                <c:pt idx="3571">
                  <c:v>4.34</c:v>
                </c:pt>
                <c:pt idx="3572">
                  <c:v>4.21</c:v>
                </c:pt>
                <c:pt idx="3573">
                  <c:v>1.26</c:v>
                </c:pt>
                <c:pt idx="3574">
                  <c:v>2.08</c:v>
                </c:pt>
                <c:pt idx="3575">
                  <c:v>3</c:v>
                </c:pt>
                <c:pt idx="3576">
                  <c:v>2.62</c:v>
                </c:pt>
                <c:pt idx="3577">
                  <c:v>2.94</c:v>
                </c:pt>
                <c:pt idx="3578">
                  <c:v>2.92</c:v>
                </c:pt>
                <c:pt idx="3579">
                  <c:v>2.86</c:v>
                </c:pt>
                <c:pt idx="3580">
                  <c:v>2.89</c:v>
                </c:pt>
                <c:pt idx="3581">
                  <c:v>3.14</c:v>
                </c:pt>
                <c:pt idx="3582">
                  <c:v>2.2400000000000002</c:v>
                </c:pt>
                <c:pt idx="3583">
                  <c:v>0.7</c:v>
                </c:pt>
                <c:pt idx="3584">
                  <c:v>1.07</c:v>
                </c:pt>
                <c:pt idx="3585">
                  <c:v>3.19</c:v>
                </c:pt>
                <c:pt idx="3586">
                  <c:v>1.9</c:v>
                </c:pt>
                <c:pt idx="3587">
                  <c:v>1.17</c:v>
                </c:pt>
                <c:pt idx="3588">
                  <c:v>2.25</c:v>
                </c:pt>
                <c:pt idx="3589">
                  <c:v>4.29</c:v>
                </c:pt>
                <c:pt idx="3590">
                  <c:v>3.9</c:v>
                </c:pt>
                <c:pt idx="3591">
                  <c:v>1.46</c:v>
                </c:pt>
                <c:pt idx="3592">
                  <c:v>0.98</c:v>
                </c:pt>
                <c:pt idx="3593">
                  <c:v>4.22</c:v>
                </c:pt>
                <c:pt idx="3594">
                  <c:v>4.33</c:v>
                </c:pt>
                <c:pt idx="3595">
                  <c:v>1.53</c:v>
                </c:pt>
                <c:pt idx="3596">
                  <c:v>2.67</c:v>
                </c:pt>
                <c:pt idx="3597">
                  <c:v>2.85</c:v>
                </c:pt>
                <c:pt idx="3598">
                  <c:v>2.84</c:v>
                </c:pt>
                <c:pt idx="3599">
                  <c:v>2.96</c:v>
                </c:pt>
                <c:pt idx="3600">
                  <c:v>0</c:v>
                </c:pt>
                <c:pt idx="3601">
                  <c:v>1.48</c:v>
                </c:pt>
                <c:pt idx="3602">
                  <c:v>2.91</c:v>
                </c:pt>
                <c:pt idx="3603">
                  <c:v>2.81</c:v>
                </c:pt>
                <c:pt idx="3604">
                  <c:v>2.71</c:v>
                </c:pt>
                <c:pt idx="3605">
                  <c:v>0.73</c:v>
                </c:pt>
                <c:pt idx="3606">
                  <c:v>2.2400000000000002</c:v>
                </c:pt>
                <c:pt idx="3607">
                  <c:v>0.84</c:v>
                </c:pt>
                <c:pt idx="3608">
                  <c:v>2.64</c:v>
                </c:pt>
                <c:pt idx="3609">
                  <c:v>2.2400000000000002</c:v>
                </c:pt>
                <c:pt idx="3610">
                  <c:v>0.73</c:v>
                </c:pt>
                <c:pt idx="3611">
                  <c:v>0.68</c:v>
                </c:pt>
                <c:pt idx="3612">
                  <c:v>1.86</c:v>
                </c:pt>
                <c:pt idx="3613">
                  <c:v>2.46</c:v>
                </c:pt>
                <c:pt idx="3614">
                  <c:v>2.4900000000000002</c:v>
                </c:pt>
                <c:pt idx="3615">
                  <c:v>1.2</c:v>
                </c:pt>
                <c:pt idx="3616">
                  <c:v>0</c:v>
                </c:pt>
                <c:pt idx="3617">
                  <c:v>1.75</c:v>
                </c:pt>
                <c:pt idx="3618">
                  <c:v>3.14</c:v>
                </c:pt>
                <c:pt idx="3619">
                  <c:v>3.83</c:v>
                </c:pt>
                <c:pt idx="3620">
                  <c:v>4.0199999999999996</c:v>
                </c:pt>
                <c:pt idx="3621">
                  <c:v>1.57</c:v>
                </c:pt>
                <c:pt idx="3622">
                  <c:v>0</c:v>
                </c:pt>
                <c:pt idx="3623">
                  <c:v>1.89</c:v>
                </c:pt>
                <c:pt idx="3624">
                  <c:v>2.83</c:v>
                </c:pt>
                <c:pt idx="3625">
                  <c:v>2.92</c:v>
                </c:pt>
                <c:pt idx="3626">
                  <c:v>2.86</c:v>
                </c:pt>
                <c:pt idx="3627">
                  <c:v>0.66</c:v>
                </c:pt>
                <c:pt idx="3628">
                  <c:v>0</c:v>
                </c:pt>
                <c:pt idx="3629">
                  <c:v>1.56</c:v>
                </c:pt>
                <c:pt idx="3630">
                  <c:v>2.0299999999999998</c:v>
                </c:pt>
                <c:pt idx="3631">
                  <c:v>0.92</c:v>
                </c:pt>
                <c:pt idx="3632">
                  <c:v>0</c:v>
                </c:pt>
                <c:pt idx="3633">
                  <c:v>0.64</c:v>
                </c:pt>
                <c:pt idx="3634">
                  <c:v>1.87</c:v>
                </c:pt>
                <c:pt idx="3635">
                  <c:v>1.25</c:v>
                </c:pt>
                <c:pt idx="3636">
                  <c:v>0</c:v>
                </c:pt>
                <c:pt idx="3637">
                  <c:v>0.69</c:v>
                </c:pt>
                <c:pt idx="3638">
                  <c:v>2.4300000000000002</c:v>
                </c:pt>
                <c:pt idx="3639">
                  <c:v>1.34</c:v>
                </c:pt>
                <c:pt idx="3640">
                  <c:v>1.07</c:v>
                </c:pt>
                <c:pt idx="3641">
                  <c:v>2.59</c:v>
                </c:pt>
                <c:pt idx="3642">
                  <c:v>4.1399999999999997</c:v>
                </c:pt>
                <c:pt idx="3643">
                  <c:v>4.45</c:v>
                </c:pt>
                <c:pt idx="3644">
                  <c:v>1</c:v>
                </c:pt>
                <c:pt idx="3645">
                  <c:v>1.73</c:v>
                </c:pt>
                <c:pt idx="3646">
                  <c:v>4.1500000000000004</c:v>
                </c:pt>
                <c:pt idx="3647">
                  <c:v>2.0699999999999998</c:v>
                </c:pt>
                <c:pt idx="3648">
                  <c:v>0</c:v>
                </c:pt>
                <c:pt idx="3649">
                  <c:v>3.05</c:v>
                </c:pt>
                <c:pt idx="3650">
                  <c:v>3.04</c:v>
                </c:pt>
                <c:pt idx="3651">
                  <c:v>2.97</c:v>
                </c:pt>
                <c:pt idx="3652">
                  <c:v>2.91</c:v>
                </c:pt>
                <c:pt idx="3653">
                  <c:v>0.55000000000000004</c:v>
                </c:pt>
                <c:pt idx="3654">
                  <c:v>0</c:v>
                </c:pt>
                <c:pt idx="3655">
                  <c:v>0.74</c:v>
                </c:pt>
                <c:pt idx="3656">
                  <c:v>3.4</c:v>
                </c:pt>
                <c:pt idx="3657">
                  <c:v>2.0099999999999998</c:v>
                </c:pt>
                <c:pt idx="3658">
                  <c:v>0</c:v>
                </c:pt>
                <c:pt idx="3659">
                  <c:v>1.98</c:v>
                </c:pt>
                <c:pt idx="3660">
                  <c:v>3.48</c:v>
                </c:pt>
                <c:pt idx="3661">
                  <c:v>3.72</c:v>
                </c:pt>
                <c:pt idx="3662">
                  <c:v>3.82</c:v>
                </c:pt>
                <c:pt idx="3663">
                  <c:v>1.98</c:v>
                </c:pt>
                <c:pt idx="3664">
                  <c:v>0</c:v>
                </c:pt>
                <c:pt idx="3665">
                  <c:v>3.24</c:v>
                </c:pt>
                <c:pt idx="3666">
                  <c:v>3.44</c:v>
                </c:pt>
                <c:pt idx="3667">
                  <c:v>1.38</c:v>
                </c:pt>
                <c:pt idx="3668">
                  <c:v>1.56</c:v>
                </c:pt>
                <c:pt idx="3669">
                  <c:v>1.45</c:v>
                </c:pt>
                <c:pt idx="3670">
                  <c:v>2.34</c:v>
                </c:pt>
                <c:pt idx="3671">
                  <c:v>1.1399999999999999</c:v>
                </c:pt>
                <c:pt idx="3672">
                  <c:v>0</c:v>
                </c:pt>
                <c:pt idx="3673">
                  <c:v>1.67</c:v>
                </c:pt>
                <c:pt idx="3674">
                  <c:v>2.81</c:v>
                </c:pt>
                <c:pt idx="3675">
                  <c:v>1.1299999999999999</c:v>
                </c:pt>
                <c:pt idx="3676">
                  <c:v>0</c:v>
                </c:pt>
                <c:pt idx="3677">
                  <c:v>1.38</c:v>
                </c:pt>
                <c:pt idx="3678">
                  <c:v>2.56</c:v>
                </c:pt>
                <c:pt idx="3679">
                  <c:v>2.1800000000000002</c:v>
                </c:pt>
                <c:pt idx="3680">
                  <c:v>2.19</c:v>
                </c:pt>
                <c:pt idx="3681">
                  <c:v>0.84</c:v>
                </c:pt>
                <c:pt idx="3682">
                  <c:v>0</c:v>
                </c:pt>
                <c:pt idx="3683">
                  <c:v>1.36</c:v>
                </c:pt>
                <c:pt idx="3684">
                  <c:v>3.1</c:v>
                </c:pt>
                <c:pt idx="3685">
                  <c:v>1.4</c:v>
                </c:pt>
                <c:pt idx="3686">
                  <c:v>0</c:v>
                </c:pt>
                <c:pt idx="3687">
                  <c:v>1.73</c:v>
                </c:pt>
                <c:pt idx="3688">
                  <c:v>2.84</c:v>
                </c:pt>
                <c:pt idx="3689">
                  <c:v>2.4300000000000002</c:v>
                </c:pt>
                <c:pt idx="3690">
                  <c:v>2.21</c:v>
                </c:pt>
                <c:pt idx="3691">
                  <c:v>0.79</c:v>
                </c:pt>
                <c:pt idx="3692">
                  <c:v>0</c:v>
                </c:pt>
                <c:pt idx="3693">
                  <c:v>2.08</c:v>
                </c:pt>
                <c:pt idx="3694">
                  <c:v>3.45</c:v>
                </c:pt>
                <c:pt idx="3695">
                  <c:v>3.16</c:v>
                </c:pt>
                <c:pt idx="3696">
                  <c:v>3.24</c:v>
                </c:pt>
                <c:pt idx="3697">
                  <c:v>1.1000000000000001</c:v>
                </c:pt>
                <c:pt idx="3698">
                  <c:v>0</c:v>
                </c:pt>
                <c:pt idx="3699">
                  <c:v>1.3</c:v>
                </c:pt>
                <c:pt idx="3700">
                  <c:v>2.78</c:v>
                </c:pt>
                <c:pt idx="3701">
                  <c:v>0.65</c:v>
                </c:pt>
                <c:pt idx="3702">
                  <c:v>0</c:v>
                </c:pt>
                <c:pt idx="3703">
                  <c:v>0.89</c:v>
                </c:pt>
                <c:pt idx="3704">
                  <c:v>2.02</c:v>
                </c:pt>
                <c:pt idx="3705">
                  <c:v>0.71</c:v>
                </c:pt>
                <c:pt idx="3706">
                  <c:v>0</c:v>
                </c:pt>
                <c:pt idx="3707">
                  <c:v>0.67</c:v>
                </c:pt>
                <c:pt idx="3708">
                  <c:v>2</c:v>
                </c:pt>
                <c:pt idx="3709">
                  <c:v>0.82</c:v>
                </c:pt>
                <c:pt idx="3710">
                  <c:v>0</c:v>
                </c:pt>
                <c:pt idx="3711">
                  <c:v>0.81</c:v>
                </c:pt>
                <c:pt idx="3712">
                  <c:v>3.71</c:v>
                </c:pt>
                <c:pt idx="3713">
                  <c:v>1.65</c:v>
                </c:pt>
                <c:pt idx="3714">
                  <c:v>0</c:v>
                </c:pt>
                <c:pt idx="3715">
                  <c:v>1.81</c:v>
                </c:pt>
                <c:pt idx="3716">
                  <c:v>3.02</c:v>
                </c:pt>
                <c:pt idx="3717">
                  <c:v>2.99</c:v>
                </c:pt>
                <c:pt idx="3718">
                  <c:v>3.2</c:v>
                </c:pt>
                <c:pt idx="3719">
                  <c:v>1.3</c:v>
                </c:pt>
                <c:pt idx="3720">
                  <c:v>0</c:v>
                </c:pt>
                <c:pt idx="3721">
                  <c:v>2.16</c:v>
                </c:pt>
                <c:pt idx="3722">
                  <c:v>2.93</c:v>
                </c:pt>
                <c:pt idx="3723">
                  <c:v>0.79</c:v>
                </c:pt>
                <c:pt idx="3724">
                  <c:v>0</c:v>
                </c:pt>
                <c:pt idx="3725">
                  <c:v>1.55</c:v>
                </c:pt>
                <c:pt idx="3726">
                  <c:v>1.8</c:v>
                </c:pt>
                <c:pt idx="3727">
                  <c:v>1.01</c:v>
                </c:pt>
                <c:pt idx="3728">
                  <c:v>0</c:v>
                </c:pt>
                <c:pt idx="3729">
                  <c:v>1.58</c:v>
                </c:pt>
                <c:pt idx="3730">
                  <c:v>2.11</c:v>
                </c:pt>
                <c:pt idx="3731">
                  <c:v>2.37</c:v>
                </c:pt>
                <c:pt idx="3732">
                  <c:v>2.5499999999999998</c:v>
                </c:pt>
                <c:pt idx="3733">
                  <c:v>0.95</c:v>
                </c:pt>
                <c:pt idx="3734">
                  <c:v>0</c:v>
                </c:pt>
                <c:pt idx="3735">
                  <c:v>1.93</c:v>
                </c:pt>
                <c:pt idx="3736">
                  <c:v>4.05</c:v>
                </c:pt>
                <c:pt idx="3737">
                  <c:v>2.96</c:v>
                </c:pt>
                <c:pt idx="3738">
                  <c:v>4.1500000000000004</c:v>
                </c:pt>
                <c:pt idx="3739">
                  <c:v>1.18</c:v>
                </c:pt>
                <c:pt idx="3740">
                  <c:v>0</c:v>
                </c:pt>
                <c:pt idx="3741">
                  <c:v>1.57</c:v>
                </c:pt>
                <c:pt idx="3742">
                  <c:v>3.45</c:v>
                </c:pt>
                <c:pt idx="3743">
                  <c:v>1.65</c:v>
                </c:pt>
                <c:pt idx="3744">
                  <c:v>0</c:v>
                </c:pt>
                <c:pt idx="3745">
                  <c:v>1.35</c:v>
                </c:pt>
                <c:pt idx="3746">
                  <c:v>2.87</c:v>
                </c:pt>
                <c:pt idx="3747">
                  <c:v>1.4</c:v>
                </c:pt>
                <c:pt idx="3748">
                  <c:v>0</c:v>
                </c:pt>
                <c:pt idx="3749">
                  <c:v>0.36</c:v>
                </c:pt>
                <c:pt idx="3750">
                  <c:v>1.23</c:v>
                </c:pt>
                <c:pt idx="3751">
                  <c:v>0.38</c:v>
                </c:pt>
                <c:pt idx="3752">
                  <c:v>0</c:v>
                </c:pt>
                <c:pt idx="3753">
                  <c:v>1.08</c:v>
                </c:pt>
                <c:pt idx="3754">
                  <c:v>1.97</c:v>
                </c:pt>
                <c:pt idx="3755">
                  <c:v>1.02</c:v>
                </c:pt>
                <c:pt idx="3756">
                  <c:v>0</c:v>
                </c:pt>
                <c:pt idx="3757">
                  <c:v>2.04</c:v>
                </c:pt>
                <c:pt idx="3758">
                  <c:v>3.76</c:v>
                </c:pt>
                <c:pt idx="3759">
                  <c:v>1.99</c:v>
                </c:pt>
                <c:pt idx="3760">
                  <c:v>0</c:v>
                </c:pt>
                <c:pt idx="3761">
                  <c:v>1.92</c:v>
                </c:pt>
                <c:pt idx="3762">
                  <c:v>3.87</c:v>
                </c:pt>
                <c:pt idx="3763">
                  <c:v>1.66</c:v>
                </c:pt>
                <c:pt idx="3764">
                  <c:v>0</c:v>
                </c:pt>
                <c:pt idx="3765">
                  <c:v>1.92</c:v>
                </c:pt>
                <c:pt idx="3766">
                  <c:v>3.63</c:v>
                </c:pt>
                <c:pt idx="3767">
                  <c:v>0.96</c:v>
                </c:pt>
                <c:pt idx="3768">
                  <c:v>0</c:v>
                </c:pt>
                <c:pt idx="3769">
                  <c:v>1.84</c:v>
                </c:pt>
                <c:pt idx="3770">
                  <c:v>2.96</c:v>
                </c:pt>
                <c:pt idx="3771">
                  <c:v>1.08</c:v>
                </c:pt>
                <c:pt idx="3772">
                  <c:v>0</c:v>
                </c:pt>
                <c:pt idx="3773">
                  <c:v>1.31</c:v>
                </c:pt>
                <c:pt idx="3774">
                  <c:v>1.62</c:v>
                </c:pt>
                <c:pt idx="3775">
                  <c:v>1.01</c:v>
                </c:pt>
                <c:pt idx="3776">
                  <c:v>0</c:v>
                </c:pt>
                <c:pt idx="3777">
                  <c:v>1.05</c:v>
                </c:pt>
                <c:pt idx="3778">
                  <c:v>1.94</c:v>
                </c:pt>
                <c:pt idx="3779">
                  <c:v>2.08</c:v>
                </c:pt>
                <c:pt idx="3780">
                  <c:v>3.5</c:v>
                </c:pt>
                <c:pt idx="3781">
                  <c:v>1.82</c:v>
                </c:pt>
                <c:pt idx="3782">
                  <c:v>0</c:v>
                </c:pt>
                <c:pt idx="3783">
                  <c:v>2.37</c:v>
                </c:pt>
                <c:pt idx="3784">
                  <c:v>4.32</c:v>
                </c:pt>
                <c:pt idx="3785">
                  <c:v>1.95</c:v>
                </c:pt>
                <c:pt idx="3786">
                  <c:v>0</c:v>
                </c:pt>
                <c:pt idx="3787">
                  <c:v>0</c:v>
                </c:pt>
                <c:pt idx="3788">
                  <c:v>2.4</c:v>
                </c:pt>
                <c:pt idx="3789">
                  <c:v>4.04</c:v>
                </c:pt>
                <c:pt idx="3790">
                  <c:v>4.3</c:v>
                </c:pt>
                <c:pt idx="3791">
                  <c:v>1.19</c:v>
                </c:pt>
                <c:pt idx="3792">
                  <c:v>0</c:v>
                </c:pt>
                <c:pt idx="3793">
                  <c:v>1.89</c:v>
                </c:pt>
                <c:pt idx="3794">
                  <c:v>3.03</c:v>
                </c:pt>
                <c:pt idx="3795">
                  <c:v>1.1499999999999999</c:v>
                </c:pt>
                <c:pt idx="3796">
                  <c:v>0</c:v>
                </c:pt>
                <c:pt idx="3797">
                  <c:v>0.88</c:v>
                </c:pt>
                <c:pt idx="3798">
                  <c:v>2.21</c:v>
                </c:pt>
                <c:pt idx="3799">
                  <c:v>1.1200000000000001</c:v>
                </c:pt>
                <c:pt idx="3800">
                  <c:v>0</c:v>
                </c:pt>
                <c:pt idx="3801">
                  <c:v>2.14</c:v>
                </c:pt>
                <c:pt idx="3802">
                  <c:v>2.9</c:v>
                </c:pt>
                <c:pt idx="3803">
                  <c:v>1.64</c:v>
                </c:pt>
                <c:pt idx="3804">
                  <c:v>0</c:v>
                </c:pt>
                <c:pt idx="3805">
                  <c:v>1.97</c:v>
                </c:pt>
                <c:pt idx="3806">
                  <c:v>3.06</c:v>
                </c:pt>
                <c:pt idx="3807">
                  <c:v>3.29</c:v>
                </c:pt>
                <c:pt idx="3808">
                  <c:v>3.48</c:v>
                </c:pt>
                <c:pt idx="3809">
                  <c:v>0.28999999999999998</c:v>
                </c:pt>
                <c:pt idx="3810">
                  <c:v>0</c:v>
                </c:pt>
                <c:pt idx="3811">
                  <c:v>3.26</c:v>
                </c:pt>
                <c:pt idx="3812">
                  <c:v>3.77</c:v>
                </c:pt>
                <c:pt idx="3813">
                  <c:v>1.78</c:v>
                </c:pt>
                <c:pt idx="3814">
                  <c:v>0</c:v>
                </c:pt>
                <c:pt idx="3815">
                  <c:v>1.61</c:v>
                </c:pt>
                <c:pt idx="3816">
                  <c:v>2.99</c:v>
                </c:pt>
                <c:pt idx="3817">
                  <c:v>3.03</c:v>
                </c:pt>
                <c:pt idx="3818">
                  <c:v>1.38</c:v>
                </c:pt>
                <c:pt idx="3819">
                  <c:v>1.51</c:v>
                </c:pt>
                <c:pt idx="3820">
                  <c:v>2.76</c:v>
                </c:pt>
                <c:pt idx="3821">
                  <c:v>1.55</c:v>
                </c:pt>
                <c:pt idx="3822">
                  <c:v>2.2400000000000002</c:v>
                </c:pt>
                <c:pt idx="3823">
                  <c:v>0.88</c:v>
                </c:pt>
                <c:pt idx="3824">
                  <c:v>0</c:v>
                </c:pt>
                <c:pt idx="3825">
                  <c:v>2.64</c:v>
                </c:pt>
                <c:pt idx="3826">
                  <c:v>4.3600000000000003</c:v>
                </c:pt>
                <c:pt idx="3827">
                  <c:v>4.41</c:v>
                </c:pt>
                <c:pt idx="3828">
                  <c:v>4.1900000000000004</c:v>
                </c:pt>
                <c:pt idx="3829">
                  <c:v>2.02</c:v>
                </c:pt>
                <c:pt idx="3830">
                  <c:v>0</c:v>
                </c:pt>
                <c:pt idx="3831">
                  <c:v>1.49</c:v>
                </c:pt>
                <c:pt idx="3832">
                  <c:v>3.79</c:v>
                </c:pt>
                <c:pt idx="3833">
                  <c:v>3.82</c:v>
                </c:pt>
                <c:pt idx="3834">
                  <c:v>4.51</c:v>
                </c:pt>
                <c:pt idx="3835">
                  <c:v>3.14</c:v>
                </c:pt>
                <c:pt idx="3836">
                  <c:v>0.69</c:v>
                </c:pt>
                <c:pt idx="3837">
                  <c:v>2.39</c:v>
                </c:pt>
                <c:pt idx="3838">
                  <c:v>4.07</c:v>
                </c:pt>
                <c:pt idx="3839">
                  <c:v>3.05</c:v>
                </c:pt>
                <c:pt idx="3840">
                  <c:v>3.19</c:v>
                </c:pt>
                <c:pt idx="3841">
                  <c:v>1.07</c:v>
                </c:pt>
                <c:pt idx="3842">
                  <c:v>0</c:v>
                </c:pt>
                <c:pt idx="3843">
                  <c:v>1.87</c:v>
                </c:pt>
                <c:pt idx="3844">
                  <c:v>2.95</c:v>
                </c:pt>
                <c:pt idx="3845">
                  <c:v>2.99</c:v>
                </c:pt>
                <c:pt idx="3846">
                  <c:v>2.4500000000000002</c:v>
                </c:pt>
                <c:pt idx="3847">
                  <c:v>1.5</c:v>
                </c:pt>
                <c:pt idx="3848">
                  <c:v>0</c:v>
                </c:pt>
                <c:pt idx="3849">
                  <c:v>1.21</c:v>
                </c:pt>
                <c:pt idx="3850">
                  <c:v>2.2200000000000002</c:v>
                </c:pt>
                <c:pt idx="3851">
                  <c:v>2.0099999999999998</c:v>
                </c:pt>
                <c:pt idx="3852">
                  <c:v>2.82</c:v>
                </c:pt>
                <c:pt idx="3853">
                  <c:v>1.68</c:v>
                </c:pt>
                <c:pt idx="3854">
                  <c:v>0</c:v>
                </c:pt>
                <c:pt idx="3855">
                  <c:v>1.98</c:v>
                </c:pt>
                <c:pt idx="3856">
                  <c:v>4.2</c:v>
                </c:pt>
                <c:pt idx="3857">
                  <c:v>3.77</c:v>
                </c:pt>
                <c:pt idx="3858">
                  <c:v>4.8499999999999996</c:v>
                </c:pt>
                <c:pt idx="3859">
                  <c:v>2.13</c:v>
                </c:pt>
                <c:pt idx="3860">
                  <c:v>0</c:v>
                </c:pt>
                <c:pt idx="3861">
                  <c:v>2.2400000000000002</c:v>
                </c:pt>
                <c:pt idx="3862">
                  <c:v>3.54</c:v>
                </c:pt>
                <c:pt idx="3863">
                  <c:v>3.52</c:v>
                </c:pt>
                <c:pt idx="3864">
                  <c:v>3.05</c:v>
                </c:pt>
                <c:pt idx="3865">
                  <c:v>1.05</c:v>
                </c:pt>
                <c:pt idx="3866">
                  <c:v>0</c:v>
                </c:pt>
                <c:pt idx="3867">
                  <c:v>1.74</c:v>
                </c:pt>
                <c:pt idx="3868">
                  <c:v>2.67</c:v>
                </c:pt>
                <c:pt idx="3869">
                  <c:v>0.68</c:v>
                </c:pt>
                <c:pt idx="3870">
                  <c:v>0</c:v>
                </c:pt>
                <c:pt idx="3871">
                  <c:v>0.55000000000000004</c:v>
                </c:pt>
                <c:pt idx="3872">
                  <c:v>1.51</c:v>
                </c:pt>
                <c:pt idx="3873">
                  <c:v>2.68</c:v>
                </c:pt>
                <c:pt idx="3874">
                  <c:v>2.54</c:v>
                </c:pt>
                <c:pt idx="3875">
                  <c:v>1.41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1.68</c:v>
                </c:pt>
                <c:pt idx="3882">
                  <c:v>3.42</c:v>
                </c:pt>
                <c:pt idx="3883">
                  <c:v>3.75</c:v>
                </c:pt>
                <c:pt idx="3884">
                  <c:v>3.52</c:v>
                </c:pt>
                <c:pt idx="3885">
                  <c:v>1.1599999999999999</c:v>
                </c:pt>
                <c:pt idx="3886">
                  <c:v>0</c:v>
                </c:pt>
                <c:pt idx="3887">
                  <c:v>1.58</c:v>
                </c:pt>
                <c:pt idx="3888">
                  <c:v>2.67</c:v>
                </c:pt>
                <c:pt idx="3889">
                  <c:v>2.98</c:v>
                </c:pt>
                <c:pt idx="3890">
                  <c:v>0</c:v>
                </c:pt>
                <c:pt idx="3891">
                  <c:v>1.28</c:v>
                </c:pt>
                <c:pt idx="3892">
                  <c:v>2.86</c:v>
                </c:pt>
                <c:pt idx="3893">
                  <c:v>2.5</c:v>
                </c:pt>
                <c:pt idx="3894">
                  <c:v>2.15</c:v>
                </c:pt>
                <c:pt idx="3895">
                  <c:v>0.41</c:v>
                </c:pt>
                <c:pt idx="3896">
                  <c:v>0</c:v>
                </c:pt>
                <c:pt idx="3897">
                  <c:v>1.61</c:v>
                </c:pt>
                <c:pt idx="3898">
                  <c:v>3.36</c:v>
                </c:pt>
                <c:pt idx="3899">
                  <c:v>1.18</c:v>
                </c:pt>
                <c:pt idx="3900">
                  <c:v>0</c:v>
                </c:pt>
                <c:pt idx="3901">
                  <c:v>1.59</c:v>
                </c:pt>
                <c:pt idx="3902">
                  <c:v>2.57</c:v>
                </c:pt>
                <c:pt idx="3903">
                  <c:v>2.4500000000000002</c:v>
                </c:pt>
                <c:pt idx="3904">
                  <c:v>3.19</c:v>
                </c:pt>
                <c:pt idx="3905">
                  <c:v>0.64</c:v>
                </c:pt>
                <c:pt idx="3906">
                  <c:v>0</c:v>
                </c:pt>
                <c:pt idx="3907">
                  <c:v>1.92</c:v>
                </c:pt>
                <c:pt idx="3908">
                  <c:v>3.77</c:v>
                </c:pt>
                <c:pt idx="3909">
                  <c:v>2.74</c:v>
                </c:pt>
                <c:pt idx="3910">
                  <c:v>3.52</c:v>
                </c:pt>
                <c:pt idx="3911">
                  <c:v>1.59</c:v>
                </c:pt>
                <c:pt idx="3912">
                  <c:v>0</c:v>
                </c:pt>
                <c:pt idx="3913">
                  <c:v>1.89</c:v>
                </c:pt>
                <c:pt idx="3914">
                  <c:v>2.69</c:v>
                </c:pt>
                <c:pt idx="3915">
                  <c:v>0.78</c:v>
                </c:pt>
                <c:pt idx="3916">
                  <c:v>0</c:v>
                </c:pt>
                <c:pt idx="3917">
                  <c:v>0</c:v>
                </c:pt>
                <c:pt idx="3918">
                  <c:v>0.26</c:v>
                </c:pt>
                <c:pt idx="3919">
                  <c:v>1.37</c:v>
                </c:pt>
                <c:pt idx="3920">
                  <c:v>0</c:v>
                </c:pt>
                <c:pt idx="3921">
                  <c:v>1.36</c:v>
                </c:pt>
                <c:pt idx="3922">
                  <c:v>2.11</c:v>
                </c:pt>
                <c:pt idx="3923">
                  <c:v>2.1</c:v>
                </c:pt>
                <c:pt idx="3924">
                  <c:v>0.25</c:v>
                </c:pt>
                <c:pt idx="3925">
                  <c:v>0.76</c:v>
                </c:pt>
                <c:pt idx="3926">
                  <c:v>3.26</c:v>
                </c:pt>
                <c:pt idx="3927">
                  <c:v>3.28</c:v>
                </c:pt>
                <c:pt idx="3928">
                  <c:v>3.62</c:v>
                </c:pt>
                <c:pt idx="3929">
                  <c:v>3.85</c:v>
                </c:pt>
                <c:pt idx="3930">
                  <c:v>3.73</c:v>
                </c:pt>
                <c:pt idx="3931">
                  <c:v>1.5</c:v>
                </c:pt>
                <c:pt idx="3932">
                  <c:v>2.2400000000000002</c:v>
                </c:pt>
                <c:pt idx="3933">
                  <c:v>1.67</c:v>
                </c:pt>
                <c:pt idx="3934">
                  <c:v>0</c:v>
                </c:pt>
                <c:pt idx="3935">
                  <c:v>0.51</c:v>
                </c:pt>
                <c:pt idx="3936">
                  <c:v>2.78</c:v>
                </c:pt>
                <c:pt idx="3937">
                  <c:v>2.92</c:v>
                </c:pt>
                <c:pt idx="3938">
                  <c:v>2.94</c:v>
                </c:pt>
                <c:pt idx="3939">
                  <c:v>0.63</c:v>
                </c:pt>
                <c:pt idx="3940">
                  <c:v>2.2200000000000002</c:v>
                </c:pt>
                <c:pt idx="3941">
                  <c:v>2.92</c:v>
                </c:pt>
                <c:pt idx="3942">
                  <c:v>2.59</c:v>
                </c:pt>
                <c:pt idx="3943">
                  <c:v>0.64</c:v>
                </c:pt>
                <c:pt idx="3944">
                  <c:v>0.71</c:v>
                </c:pt>
                <c:pt idx="3945">
                  <c:v>2.09</c:v>
                </c:pt>
                <c:pt idx="3946">
                  <c:v>2.27</c:v>
                </c:pt>
                <c:pt idx="3947">
                  <c:v>0.24</c:v>
                </c:pt>
                <c:pt idx="3948">
                  <c:v>0</c:v>
                </c:pt>
                <c:pt idx="3949">
                  <c:v>1.37</c:v>
                </c:pt>
                <c:pt idx="3950">
                  <c:v>3</c:v>
                </c:pt>
                <c:pt idx="3951">
                  <c:v>4.28</c:v>
                </c:pt>
                <c:pt idx="3952">
                  <c:v>3.33</c:v>
                </c:pt>
                <c:pt idx="3953">
                  <c:v>1.84</c:v>
                </c:pt>
                <c:pt idx="3954">
                  <c:v>0</c:v>
                </c:pt>
                <c:pt idx="3955">
                  <c:v>3.53</c:v>
                </c:pt>
                <c:pt idx="3956">
                  <c:v>3.64</c:v>
                </c:pt>
                <c:pt idx="3957">
                  <c:v>3.5</c:v>
                </c:pt>
                <c:pt idx="3958">
                  <c:v>2.34</c:v>
                </c:pt>
                <c:pt idx="3959">
                  <c:v>1.1100000000000001</c:v>
                </c:pt>
                <c:pt idx="3960">
                  <c:v>0</c:v>
                </c:pt>
                <c:pt idx="3961">
                  <c:v>1.77</c:v>
                </c:pt>
                <c:pt idx="3962">
                  <c:v>2.92</c:v>
                </c:pt>
                <c:pt idx="3963">
                  <c:v>2.84</c:v>
                </c:pt>
                <c:pt idx="3964">
                  <c:v>1.72</c:v>
                </c:pt>
                <c:pt idx="3965">
                  <c:v>0</c:v>
                </c:pt>
                <c:pt idx="3966">
                  <c:v>0</c:v>
                </c:pt>
                <c:pt idx="3967">
                  <c:v>1.47</c:v>
                </c:pt>
                <c:pt idx="3968">
                  <c:v>3.37</c:v>
                </c:pt>
                <c:pt idx="3969">
                  <c:v>1.2</c:v>
                </c:pt>
                <c:pt idx="3970">
                  <c:v>0</c:v>
                </c:pt>
                <c:pt idx="3971">
                  <c:v>1.77</c:v>
                </c:pt>
                <c:pt idx="3972">
                  <c:v>2.57</c:v>
                </c:pt>
                <c:pt idx="3973">
                  <c:v>1.3</c:v>
                </c:pt>
                <c:pt idx="3974">
                  <c:v>0</c:v>
                </c:pt>
                <c:pt idx="3975">
                  <c:v>1.2</c:v>
                </c:pt>
                <c:pt idx="3976">
                  <c:v>3.15</c:v>
                </c:pt>
                <c:pt idx="3977">
                  <c:v>1.19</c:v>
                </c:pt>
                <c:pt idx="3978">
                  <c:v>0</c:v>
                </c:pt>
                <c:pt idx="3979">
                  <c:v>2.08</c:v>
                </c:pt>
                <c:pt idx="3980">
                  <c:v>3.57</c:v>
                </c:pt>
                <c:pt idx="3981">
                  <c:v>1.56</c:v>
                </c:pt>
                <c:pt idx="3982">
                  <c:v>0</c:v>
                </c:pt>
                <c:pt idx="3983">
                  <c:v>1.38</c:v>
                </c:pt>
                <c:pt idx="3984">
                  <c:v>3</c:v>
                </c:pt>
                <c:pt idx="3985">
                  <c:v>1.48</c:v>
                </c:pt>
                <c:pt idx="3986">
                  <c:v>0</c:v>
                </c:pt>
                <c:pt idx="3987">
                  <c:v>1.28</c:v>
                </c:pt>
                <c:pt idx="3988">
                  <c:v>2.97</c:v>
                </c:pt>
                <c:pt idx="3989">
                  <c:v>1.23</c:v>
                </c:pt>
                <c:pt idx="3990">
                  <c:v>0</c:v>
                </c:pt>
                <c:pt idx="3991">
                  <c:v>0</c:v>
                </c:pt>
                <c:pt idx="3992">
                  <c:v>3.13</c:v>
                </c:pt>
                <c:pt idx="3993">
                  <c:v>3.65</c:v>
                </c:pt>
                <c:pt idx="3994">
                  <c:v>4.16</c:v>
                </c:pt>
                <c:pt idx="3995">
                  <c:v>1.87</c:v>
                </c:pt>
                <c:pt idx="3996">
                  <c:v>0</c:v>
                </c:pt>
                <c:pt idx="3997">
                  <c:v>1.59</c:v>
                </c:pt>
                <c:pt idx="3998">
                  <c:v>2.59</c:v>
                </c:pt>
                <c:pt idx="3999">
                  <c:v>1.69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2.02</c:v>
                </c:pt>
                <c:pt idx="4004">
                  <c:v>3.54</c:v>
                </c:pt>
                <c:pt idx="4005">
                  <c:v>1.05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1.92</c:v>
                </c:pt>
                <c:pt idx="4010">
                  <c:v>3.09</c:v>
                </c:pt>
                <c:pt idx="4011">
                  <c:v>0.62</c:v>
                </c:pt>
                <c:pt idx="4012">
                  <c:v>0</c:v>
                </c:pt>
                <c:pt idx="4013">
                  <c:v>0</c:v>
                </c:pt>
                <c:pt idx="4014">
                  <c:v>0.4</c:v>
                </c:pt>
                <c:pt idx="4015">
                  <c:v>2.11</c:v>
                </c:pt>
                <c:pt idx="4016">
                  <c:v>3.5</c:v>
                </c:pt>
                <c:pt idx="4017">
                  <c:v>1.29</c:v>
                </c:pt>
                <c:pt idx="4018">
                  <c:v>0</c:v>
                </c:pt>
                <c:pt idx="4019">
                  <c:v>0.64</c:v>
                </c:pt>
                <c:pt idx="4020">
                  <c:v>2.54</c:v>
                </c:pt>
                <c:pt idx="4021">
                  <c:v>1.81</c:v>
                </c:pt>
                <c:pt idx="4022">
                  <c:v>1.85</c:v>
                </c:pt>
                <c:pt idx="4023">
                  <c:v>0</c:v>
                </c:pt>
                <c:pt idx="4024">
                  <c:v>2.83</c:v>
                </c:pt>
                <c:pt idx="4025">
                  <c:v>1.59</c:v>
                </c:pt>
                <c:pt idx="4026">
                  <c:v>0</c:v>
                </c:pt>
                <c:pt idx="4027">
                  <c:v>1.51</c:v>
                </c:pt>
                <c:pt idx="4028">
                  <c:v>3.52</c:v>
                </c:pt>
                <c:pt idx="4029">
                  <c:v>1.27</c:v>
                </c:pt>
                <c:pt idx="4030">
                  <c:v>0</c:v>
                </c:pt>
                <c:pt idx="4031">
                  <c:v>1.08</c:v>
                </c:pt>
                <c:pt idx="4032">
                  <c:v>2.5499999999999998</c:v>
                </c:pt>
                <c:pt idx="4033">
                  <c:v>1.47</c:v>
                </c:pt>
                <c:pt idx="4034">
                  <c:v>0</c:v>
                </c:pt>
                <c:pt idx="4035">
                  <c:v>0</c:v>
                </c:pt>
                <c:pt idx="4036">
                  <c:v>2.87</c:v>
                </c:pt>
                <c:pt idx="4037">
                  <c:v>1.1100000000000001</c:v>
                </c:pt>
                <c:pt idx="4038">
                  <c:v>0</c:v>
                </c:pt>
                <c:pt idx="4039">
                  <c:v>0.86</c:v>
                </c:pt>
                <c:pt idx="4040">
                  <c:v>2.84</c:v>
                </c:pt>
                <c:pt idx="4041">
                  <c:v>3.95</c:v>
                </c:pt>
                <c:pt idx="4042">
                  <c:v>3.71</c:v>
                </c:pt>
                <c:pt idx="4043">
                  <c:v>1.68</c:v>
                </c:pt>
                <c:pt idx="4044">
                  <c:v>0</c:v>
                </c:pt>
                <c:pt idx="4045">
                  <c:v>2.21</c:v>
                </c:pt>
                <c:pt idx="4046">
                  <c:v>3.65</c:v>
                </c:pt>
                <c:pt idx="4047">
                  <c:v>1.25</c:v>
                </c:pt>
                <c:pt idx="4048">
                  <c:v>0.21</c:v>
                </c:pt>
                <c:pt idx="4049">
                  <c:v>1.66</c:v>
                </c:pt>
                <c:pt idx="4050">
                  <c:v>3.17</c:v>
                </c:pt>
                <c:pt idx="4051">
                  <c:v>1.46</c:v>
                </c:pt>
                <c:pt idx="4052">
                  <c:v>0</c:v>
                </c:pt>
                <c:pt idx="4053">
                  <c:v>1.75</c:v>
                </c:pt>
                <c:pt idx="4054">
                  <c:v>3.15</c:v>
                </c:pt>
                <c:pt idx="4055">
                  <c:v>0.87</c:v>
                </c:pt>
                <c:pt idx="4056">
                  <c:v>0</c:v>
                </c:pt>
                <c:pt idx="4057">
                  <c:v>0.79</c:v>
                </c:pt>
                <c:pt idx="4058">
                  <c:v>2.04</c:v>
                </c:pt>
                <c:pt idx="4059">
                  <c:v>1.03</c:v>
                </c:pt>
                <c:pt idx="4060">
                  <c:v>0</c:v>
                </c:pt>
                <c:pt idx="4061">
                  <c:v>1.1499999999999999</c:v>
                </c:pt>
                <c:pt idx="4062">
                  <c:v>2.2200000000000002</c:v>
                </c:pt>
                <c:pt idx="4063">
                  <c:v>1.61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1.7</c:v>
                </c:pt>
                <c:pt idx="4068">
                  <c:v>2.39</c:v>
                </c:pt>
                <c:pt idx="4069">
                  <c:v>0.97</c:v>
                </c:pt>
                <c:pt idx="4070">
                  <c:v>0</c:v>
                </c:pt>
                <c:pt idx="4071">
                  <c:v>1.91</c:v>
                </c:pt>
                <c:pt idx="4072">
                  <c:v>3.41</c:v>
                </c:pt>
                <c:pt idx="4073">
                  <c:v>1.21</c:v>
                </c:pt>
                <c:pt idx="4074">
                  <c:v>0</c:v>
                </c:pt>
                <c:pt idx="4075">
                  <c:v>2.04</c:v>
                </c:pt>
                <c:pt idx="4076">
                  <c:v>3.79</c:v>
                </c:pt>
                <c:pt idx="4077">
                  <c:v>3.39</c:v>
                </c:pt>
                <c:pt idx="4078">
                  <c:v>2.8</c:v>
                </c:pt>
                <c:pt idx="4079">
                  <c:v>0.89</c:v>
                </c:pt>
                <c:pt idx="4080">
                  <c:v>0</c:v>
                </c:pt>
                <c:pt idx="4081">
                  <c:v>1.64</c:v>
                </c:pt>
                <c:pt idx="4082">
                  <c:v>2.73</c:v>
                </c:pt>
                <c:pt idx="4083">
                  <c:v>0.93</c:v>
                </c:pt>
                <c:pt idx="4084">
                  <c:v>0</c:v>
                </c:pt>
                <c:pt idx="4085">
                  <c:v>1.1200000000000001</c:v>
                </c:pt>
                <c:pt idx="4086">
                  <c:v>2.78</c:v>
                </c:pt>
                <c:pt idx="4087">
                  <c:v>2.23</c:v>
                </c:pt>
                <c:pt idx="4088">
                  <c:v>3.48</c:v>
                </c:pt>
                <c:pt idx="4089">
                  <c:v>1.27</c:v>
                </c:pt>
                <c:pt idx="4090">
                  <c:v>0</c:v>
                </c:pt>
                <c:pt idx="4091">
                  <c:v>1.1000000000000001</c:v>
                </c:pt>
                <c:pt idx="4092">
                  <c:v>2.76</c:v>
                </c:pt>
                <c:pt idx="4093">
                  <c:v>2.59</c:v>
                </c:pt>
                <c:pt idx="4094">
                  <c:v>3.37</c:v>
                </c:pt>
                <c:pt idx="4095">
                  <c:v>1.01</c:v>
                </c:pt>
                <c:pt idx="4096">
                  <c:v>0</c:v>
                </c:pt>
                <c:pt idx="4097">
                  <c:v>2.16</c:v>
                </c:pt>
                <c:pt idx="4098">
                  <c:v>1.95</c:v>
                </c:pt>
                <c:pt idx="4099">
                  <c:v>0.44</c:v>
                </c:pt>
                <c:pt idx="4100">
                  <c:v>0</c:v>
                </c:pt>
                <c:pt idx="4101">
                  <c:v>2.1800000000000002</c:v>
                </c:pt>
                <c:pt idx="4102">
                  <c:v>2.64</c:v>
                </c:pt>
                <c:pt idx="4103">
                  <c:v>0.59</c:v>
                </c:pt>
                <c:pt idx="4104">
                  <c:v>0</c:v>
                </c:pt>
                <c:pt idx="4105">
                  <c:v>1.93</c:v>
                </c:pt>
                <c:pt idx="4106">
                  <c:v>0.47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0.98</c:v>
                </c:pt>
                <c:pt idx="4112">
                  <c:v>1.19</c:v>
                </c:pt>
                <c:pt idx="4113">
                  <c:v>1.49</c:v>
                </c:pt>
                <c:pt idx="4114">
                  <c:v>2.09</c:v>
                </c:pt>
                <c:pt idx="4115">
                  <c:v>1.1299999999999999</c:v>
                </c:pt>
                <c:pt idx="4116">
                  <c:v>0</c:v>
                </c:pt>
                <c:pt idx="4117">
                  <c:v>1.03</c:v>
                </c:pt>
                <c:pt idx="4118">
                  <c:v>2.06</c:v>
                </c:pt>
                <c:pt idx="4119">
                  <c:v>0.96</c:v>
                </c:pt>
                <c:pt idx="4120">
                  <c:v>0</c:v>
                </c:pt>
                <c:pt idx="4121">
                  <c:v>1</c:v>
                </c:pt>
                <c:pt idx="4122">
                  <c:v>2.76</c:v>
                </c:pt>
                <c:pt idx="4123">
                  <c:v>1.63</c:v>
                </c:pt>
                <c:pt idx="4124">
                  <c:v>0</c:v>
                </c:pt>
                <c:pt idx="4125">
                  <c:v>1.17</c:v>
                </c:pt>
                <c:pt idx="4126">
                  <c:v>2.04</c:v>
                </c:pt>
                <c:pt idx="4127">
                  <c:v>0.97</c:v>
                </c:pt>
                <c:pt idx="4128">
                  <c:v>0</c:v>
                </c:pt>
                <c:pt idx="4129">
                  <c:v>1.35</c:v>
                </c:pt>
                <c:pt idx="4130">
                  <c:v>2.33</c:v>
                </c:pt>
                <c:pt idx="4131">
                  <c:v>0.86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1.96</c:v>
                </c:pt>
                <c:pt idx="4136">
                  <c:v>3.21</c:v>
                </c:pt>
                <c:pt idx="4137">
                  <c:v>1.1299999999999999</c:v>
                </c:pt>
                <c:pt idx="4138">
                  <c:v>0.46</c:v>
                </c:pt>
                <c:pt idx="4139">
                  <c:v>0.87</c:v>
                </c:pt>
                <c:pt idx="4140">
                  <c:v>1.25</c:v>
                </c:pt>
                <c:pt idx="4141">
                  <c:v>0.69</c:v>
                </c:pt>
                <c:pt idx="4142">
                  <c:v>0.41</c:v>
                </c:pt>
                <c:pt idx="4143">
                  <c:v>1.78</c:v>
                </c:pt>
                <c:pt idx="4144">
                  <c:v>3.02</c:v>
                </c:pt>
                <c:pt idx="4145">
                  <c:v>1.34</c:v>
                </c:pt>
                <c:pt idx="4146">
                  <c:v>0</c:v>
                </c:pt>
                <c:pt idx="4147">
                  <c:v>2.39</c:v>
                </c:pt>
                <c:pt idx="4148">
                  <c:v>3.53</c:v>
                </c:pt>
                <c:pt idx="4149">
                  <c:v>1.02</c:v>
                </c:pt>
                <c:pt idx="4150">
                  <c:v>0</c:v>
                </c:pt>
                <c:pt idx="4151">
                  <c:v>1.64</c:v>
                </c:pt>
                <c:pt idx="4152">
                  <c:v>2.29</c:v>
                </c:pt>
                <c:pt idx="4153">
                  <c:v>0.7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1.29</c:v>
                </c:pt>
                <c:pt idx="4158">
                  <c:v>2.0499999999999998</c:v>
                </c:pt>
                <c:pt idx="4159">
                  <c:v>0.88</c:v>
                </c:pt>
                <c:pt idx="4160">
                  <c:v>0</c:v>
                </c:pt>
                <c:pt idx="4161">
                  <c:v>1.34</c:v>
                </c:pt>
                <c:pt idx="4162">
                  <c:v>3.1</c:v>
                </c:pt>
                <c:pt idx="4163">
                  <c:v>1.8</c:v>
                </c:pt>
                <c:pt idx="4164">
                  <c:v>0</c:v>
                </c:pt>
                <c:pt idx="4165">
                  <c:v>1.6</c:v>
                </c:pt>
                <c:pt idx="4166">
                  <c:v>3.08</c:v>
                </c:pt>
                <c:pt idx="4167">
                  <c:v>1.08</c:v>
                </c:pt>
                <c:pt idx="4168">
                  <c:v>0</c:v>
                </c:pt>
                <c:pt idx="4169">
                  <c:v>2.27</c:v>
                </c:pt>
                <c:pt idx="4170">
                  <c:v>3.21</c:v>
                </c:pt>
                <c:pt idx="4171">
                  <c:v>1.02</c:v>
                </c:pt>
                <c:pt idx="4172">
                  <c:v>0</c:v>
                </c:pt>
                <c:pt idx="4173">
                  <c:v>1.96</c:v>
                </c:pt>
                <c:pt idx="4174">
                  <c:v>3.1</c:v>
                </c:pt>
                <c:pt idx="4175">
                  <c:v>0.7</c:v>
                </c:pt>
                <c:pt idx="4176">
                  <c:v>0</c:v>
                </c:pt>
                <c:pt idx="4177">
                  <c:v>0.97</c:v>
                </c:pt>
                <c:pt idx="4178">
                  <c:v>2.81</c:v>
                </c:pt>
                <c:pt idx="4179">
                  <c:v>0.63</c:v>
                </c:pt>
                <c:pt idx="4180">
                  <c:v>0</c:v>
                </c:pt>
                <c:pt idx="4181">
                  <c:v>0</c:v>
                </c:pt>
                <c:pt idx="4182">
                  <c:v>0.44</c:v>
                </c:pt>
                <c:pt idx="4183">
                  <c:v>1.58</c:v>
                </c:pt>
                <c:pt idx="4184">
                  <c:v>0</c:v>
                </c:pt>
                <c:pt idx="4185">
                  <c:v>2.87</c:v>
                </c:pt>
                <c:pt idx="4186">
                  <c:v>3.91</c:v>
                </c:pt>
                <c:pt idx="4187">
                  <c:v>2.65</c:v>
                </c:pt>
                <c:pt idx="4188">
                  <c:v>0.77</c:v>
                </c:pt>
                <c:pt idx="4189">
                  <c:v>2.0699999999999998</c:v>
                </c:pt>
                <c:pt idx="4190">
                  <c:v>3.17</c:v>
                </c:pt>
                <c:pt idx="4191">
                  <c:v>3.28</c:v>
                </c:pt>
                <c:pt idx="4192">
                  <c:v>3.09</c:v>
                </c:pt>
                <c:pt idx="4193">
                  <c:v>1.02</c:v>
                </c:pt>
                <c:pt idx="4194">
                  <c:v>0</c:v>
                </c:pt>
                <c:pt idx="4195">
                  <c:v>2.48</c:v>
                </c:pt>
                <c:pt idx="4196">
                  <c:v>3.33</c:v>
                </c:pt>
                <c:pt idx="4197">
                  <c:v>1.1200000000000001</c:v>
                </c:pt>
                <c:pt idx="4198">
                  <c:v>0</c:v>
                </c:pt>
                <c:pt idx="4199">
                  <c:v>1.55</c:v>
                </c:pt>
                <c:pt idx="4200">
                  <c:v>2.16</c:v>
                </c:pt>
                <c:pt idx="4201">
                  <c:v>0.75</c:v>
                </c:pt>
                <c:pt idx="4202">
                  <c:v>0</c:v>
                </c:pt>
                <c:pt idx="4203">
                  <c:v>1.73</c:v>
                </c:pt>
                <c:pt idx="4204">
                  <c:v>2.68</c:v>
                </c:pt>
                <c:pt idx="4205">
                  <c:v>1.4</c:v>
                </c:pt>
                <c:pt idx="4206">
                  <c:v>0</c:v>
                </c:pt>
                <c:pt idx="4207">
                  <c:v>0.25</c:v>
                </c:pt>
                <c:pt idx="4208">
                  <c:v>0.98</c:v>
                </c:pt>
                <c:pt idx="4209">
                  <c:v>2.57</c:v>
                </c:pt>
                <c:pt idx="4210">
                  <c:v>2.87</c:v>
                </c:pt>
                <c:pt idx="4211">
                  <c:v>2.16</c:v>
                </c:pt>
                <c:pt idx="4212">
                  <c:v>0</c:v>
                </c:pt>
                <c:pt idx="4213">
                  <c:v>3.02</c:v>
                </c:pt>
                <c:pt idx="4214">
                  <c:v>4.24</c:v>
                </c:pt>
                <c:pt idx="4215">
                  <c:v>2.4500000000000002</c:v>
                </c:pt>
                <c:pt idx="4216">
                  <c:v>3.36</c:v>
                </c:pt>
                <c:pt idx="4217">
                  <c:v>0.92</c:v>
                </c:pt>
                <c:pt idx="4218">
                  <c:v>0</c:v>
                </c:pt>
                <c:pt idx="4219">
                  <c:v>2.14</c:v>
                </c:pt>
                <c:pt idx="4220">
                  <c:v>3.25</c:v>
                </c:pt>
                <c:pt idx="4221">
                  <c:v>1.77</c:v>
                </c:pt>
                <c:pt idx="4222">
                  <c:v>0</c:v>
                </c:pt>
                <c:pt idx="4223">
                  <c:v>1.34</c:v>
                </c:pt>
                <c:pt idx="4224">
                  <c:v>2.31</c:v>
                </c:pt>
                <c:pt idx="4225">
                  <c:v>1.45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1.5</c:v>
                </c:pt>
                <c:pt idx="4230">
                  <c:v>1.99</c:v>
                </c:pt>
                <c:pt idx="4231">
                  <c:v>0.74</c:v>
                </c:pt>
                <c:pt idx="4232">
                  <c:v>0</c:v>
                </c:pt>
                <c:pt idx="4233">
                  <c:v>1.81</c:v>
                </c:pt>
                <c:pt idx="4234">
                  <c:v>3.59</c:v>
                </c:pt>
                <c:pt idx="4235">
                  <c:v>1.81</c:v>
                </c:pt>
                <c:pt idx="4236">
                  <c:v>0</c:v>
                </c:pt>
                <c:pt idx="4237">
                  <c:v>2.62</c:v>
                </c:pt>
                <c:pt idx="4238">
                  <c:v>3.31</c:v>
                </c:pt>
                <c:pt idx="4239">
                  <c:v>3.56</c:v>
                </c:pt>
                <c:pt idx="4240">
                  <c:v>3.38</c:v>
                </c:pt>
                <c:pt idx="4241">
                  <c:v>1.86</c:v>
                </c:pt>
                <c:pt idx="4242">
                  <c:v>0.42</c:v>
                </c:pt>
                <c:pt idx="4243">
                  <c:v>2.63</c:v>
                </c:pt>
                <c:pt idx="4244">
                  <c:v>3.48</c:v>
                </c:pt>
                <c:pt idx="4245">
                  <c:v>1.43</c:v>
                </c:pt>
                <c:pt idx="4246">
                  <c:v>0</c:v>
                </c:pt>
                <c:pt idx="4247">
                  <c:v>1.41</c:v>
                </c:pt>
                <c:pt idx="4248">
                  <c:v>2.36</c:v>
                </c:pt>
                <c:pt idx="4249">
                  <c:v>1.33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1.6</c:v>
                </c:pt>
                <c:pt idx="4255">
                  <c:v>0.69</c:v>
                </c:pt>
                <c:pt idx="4256">
                  <c:v>0</c:v>
                </c:pt>
                <c:pt idx="4257">
                  <c:v>0</c:v>
                </c:pt>
                <c:pt idx="4258">
                  <c:v>0.39</c:v>
                </c:pt>
                <c:pt idx="4259">
                  <c:v>0.68</c:v>
                </c:pt>
                <c:pt idx="4260">
                  <c:v>3.59</c:v>
                </c:pt>
                <c:pt idx="4261">
                  <c:v>0.81</c:v>
                </c:pt>
                <c:pt idx="4262">
                  <c:v>0</c:v>
                </c:pt>
                <c:pt idx="4263">
                  <c:v>1.28</c:v>
                </c:pt>
                <c:pt idx="4264">
                  <c:v>2.88</c:v>
                </c:pt>
                <c:pt idx="4265">
                  <c:v>0</c:v>
                </c:pt>
                <c:pt idx="4266">
                  <c:v>3.48</c:v>
                </c:pt>
                <c:pt idx="4267">
                  <c:v>3.26</c:v>
                </c:pt>
                <c:pt idx="4268">
                  <c:v>0</c:v>
                </c:pt>
                <c:pt idx="4269">
                  <c:v>1.92</c:v>
                </c:pt>
                <c:pt idx="4270">
                  <c:v>2.66</c:v>
                </c:pt>
                <c:pt idx="4271">
                  <c:v>0.88</c:v>
                </c:pt>
                <c:pt idx="4272">
                  <c:v>0</c:v>
                </c:pt>
                <c:pt idx="4273">
                  <c:v>0.26</c:v>
                </c:pt>
                <c:pt idx="4274">
                  <c:v>2.72</c:v>
                </c:pt>
                <c:pt idx="4275">
                  <c:v>1.17</c:v>
                </c:pt>
                <c:pt idx="4276">
                  <c:v>0</c:v>
                </c:pt>
                <c:pt idx="4277">
                  <c:v>1.81</c:v>
                </c:pt>
                <c:pt idx="4278">
                  <c:v>3.54</c:v>
                </c:pt>
                <c:pt idx="4279">
                  <c:v>2.56</c:v>
                </c:pt>
                <c:pt idx="4280">
                  <c:v>0</c:v>
                </c:pt>
                <c:pt idx="4281">
                  <c:v>3.15</c:v>
                </c:pt>
                <c:pt idx="4282">
                  <c:v>3.69</c:v>
                </c:pt>
                <c:pt idx="4283">
                  <c:v>1.6</c:v>
                </c:pt>
                <c:pt idx="4284">
                  <c:v>0.62</c:v>
                </c:pt>
                <c:pt idx="4285">
                  <c:v>3.6</c:v>
                </c:pt>
                <c:pt idx="4286">
                  <c:v>3.77</c:v>
                </c:pt>
                <c:pt idx="4287">
                  <c:v>3.82</c:v>
                </c:pt>
                <c:pt idx="4288">
                  <c:v>1.8</c:v>
                </c:pt>
                <c:pt idx="4289">
                  <c:v>0</c:v>
                </c:pt>
                <c:pt idx="4290">
                  <c:v>0.38</c:v>
                </c:pt>
                <c:pt idx="4291">
                  <c:v>3.88</c:v>
                </c:pt>
                <c:pt idx="4292">
                  <c:v>3.77</c:v>
                </c:pt>
                <c:pt idx="4293">
                  <c:v>1.31</c:v>
                </c:pt>
                <c:pt idx="4294">
                  <c:v>0</c:v>
                </c:pt>
                <c:pt idx="4295">
                  <c:v>1.34</c:v>
                </c:pt>
                <c:pt idx="4296">
                  <c:v>2.42</c:v>
                </c:pt>
                <c:pt idx="4297">
                  <c:v>0.85</c:v>
                </c:pt>
                <c:pt idx="4298">
                  <c:v>0</c:v>
                </c:pt>
                <c:pt idx="4299">
                  <c:v>2.0299999999999998</c:v>
                </c:pt>
                <c:pt idx="4300">
                  <c:v>2.84</c:v>
                </c:pt>
                <c:pt idx="4301">
                  <c:v>0.96</c:v>
                </c:pt>
                <c:pt idx="4302">
                  <c:v>0</c:v>
                </c:pt>
                <c:pt idx="4303">
                  <c:v>1.67</c:v>
                </c:pt>
                <c:pt idx="4304">
                  <c:v>1.79</c:v>
                </c:pt>
                <c:pt idx="4305">
                  <c:v>0.52</c:v>
                </c:pt>
                <c:pt idx="4306">
                  <c:v>0</c:v>
                </c:pt>
                <c:pt idx="4307">
                  <c:v>2.04</c:v>
                </c:pt>
                <c:pt idx="4308">
                  <c:v>2.79</c:v>
                </c:pt>
                <c:pt idx="4309">
                  <c:v>1.25</c:v>
                </c:pt>
                <c:pt idx="4310">
                  <c:v>0</c:v>
                </c:pt>
                <c:pt idx="4311">
                  <c:v>2.4500000000000002</c:v>
                </c:pt>
                <c:pt idx="4312">
                  <c:v>3.26</c:v>
                </c:pt>
                <c:pt idx="4313">
                  <c:v>2</c:v>
                </c:pt>
                <c:pt idx="4314">
                  <c:v>0</c:v>
                </c:pt>
                <c:pt idx="4315">
                  <c:v>2.2000000000000002</c:v>
                </c:pt>
                <c:pt idx="4316">
                  <c:v>3.48</c:v>
                </c:pt>
                <c:pt idx="4317">
                  <c:v>1.43</c:v>
                </c:pt>
                <c:pt idx="4318">
                  <c:v>0</c:v>
                </c:pt>
                <c:pt idx="4319">
                  <c:v>1.35</c:v>
                </c:pt>
                <c:pt idx="4320">
                  <c:v>1.73</c:v>
                </c:pt>
                <c:pt idx="4321">
                  <c:v>0.68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1.1200000000000001</c:v>
                </c:pt>
                <c:pt idx="4326">
                  <c:v>1.8</c:v>
                </c:pt>
                <c:pt idx="4327">
                  <c:v>1.56</c:v>
                </c:pt>
                <c:pt idx="4328">
                  <c:v>0</c:v>
                </c:pt>
                <c:pt idx="4329">
                  <c:v>0.79</c:v>
                </c:pt>
                <c:pt idx="4330">
                  <c:v>0</c:v>
                </c:pt>
                <c:pt idx="4331">
                  <c:v>1.5</c:v>
                </c:pt>
                <c:pt idx="4332">
                  <c:v>2.23</c:v>
                </c:pt>
                <c:pt idx="4333">
                  <c:v>0.5</c:v>
                </c:pt>
                <c:pt idx="4334">
                  <c:v>0</c:v>
                </c:pt>
                <c:pt idx="4335">
                  <c:v>0.31</c:v>
                </c:pt>
                <c:pt idx="4336">
                  <c:v>2.83</c:v>
                </c:pt>
                <c:pt idx="4337">
                  <c:v>1.33</c:v>
                </c:pt>
                <c:pt idx="4338">
                  <c:v>1.68</c:v>
                </c:pt>
                <c:pt idx="4339">
                  <c:v>2.25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2.27</c:v>
                </c:pt>
                <c:pt idx="4344">
                  <c:v>2.89</c:v>
                </c:pt>
                <c:pt idx="4345">
                  <c:v>0</c:v>
                </c:pt>
                <c:pt idx="4346">
                  <c:v>0</c:v>
                </c:pt>
                <c:pt idx="4347">
                  <c:v>1.1599999999999999</c:v>
                </c:pt>
                <c:pt idx="4348">
                  <c:v>2.71</c:v>
                </c:pt>
                <c:pt idx="4349">
                  <c:v>1.59</c:v>
                </c:pt>
                <c:pt idx="4350">
                  <c:v>1.38</c:v>
                </c:pt>
                <c:pt idx="4351">
                  <c:v>0.78</c:v>
                </c:pt>
                <c:pt idx="4352">
                  <c:v>0</c:v>
                </c:pt>
                <c:pt idx="4353">
                  <c:v>2.99</c:v>
                </c:pt>
                <c:pt idx="4354">
                  <c:v>3.2</c:v>
                </c:pt>
                <c:pt idx="4355">
                  <c:v>1.91</c:v>
                </c:pt>
                <c:pt idx="4356">
                  <c:v>1.04</c:v>
                </c:pt>
                <c:pt idx="4357">
                  <c:v>2.2000000000000002</c:v>
                </c:pt>
                <c:pt idx="4358">
                  <c:v>3.42</c:v>
                </c:pt>
                <c:pt idx="4359">
                  <c:v>3.67</c:v>
                </c:pt>
                <c:pt idx="4360">
                  <c:v>3.39</c:v>
                </c:pt>
                <c:pt idx="4361">
                  <c:v>0.74</c:v>
                </c:pt>
                <c:pt idx="4362">
                  <c:v>0</c:v>
                </c:pt>
                <c:pt idx="4363">
                  <c:v>2.65</c:v>
                </c:pt>
                <c:pt idx="4364">
                  <c:v>3.71</c:v>
                </c:pt>
                <c:pt idx="4365">
                  <c:v>3.63</c:v>
                </c:pt>
                <c:pt idx="4366">
                  <c:v>3.47</c:v>
                </c:pt>
                <c:pt idx="4367">
                  <c:v>1.55</c:v>
                </c:pt>
                <c:pt idx="4368">
                  <c:v>0</c:v>
                </c:pt>
                <c:pt idx="4369">
                  <c:v>2.2799999999999998</c:v>
                </c:pt>
                <c:pt idx="4370">
                  <c:v>3.06</c:v>
                </c:pt>
                <c:pt idx="4371">
                  <c:v>0.56000000000000005</c:v>
                </c:pt>
                <c:pt idx="4372">
                  <c:v>0</c:v>
                </c:pt>
                <c:pt idx="4373">
                  <c:v>1.65</c:v>
                </c:pt>
                <c:pt idx="4374">
                  <c:v>3.05</c:v>
                </c:pt>
                <c:pt idx="4375">
                  <c:v>1.1200000000000001</c:v>
                </c:pt>
                <c:pt idx="4376">
                  <c:v>0</c:v>
                </c:pt>
                <c:pt idx="4377">
                  <c:v>2.09</c:v>
                </c:pt>
                <c:pt idx="4378">
                  <c:v>3.12</c:v>
                </c:pt>
                <c:pt idx="4379">
                  <c:v>1.87</c:v>
                </c:pt>
                <c:pt idx="4380">
                  <c:v>0</c:v>
                </c:pt>
                <c:pt idx="4381">
                  <c:v>3.41</c:v>
                </c:pt>
                <c:pt idx="4382">
                  <c:v>3.73</c:v>
                </c:pt>
                <c:pt idx="4383">
                  <c:v>3.1</c:v>
                </c:pt>
                <c:pt idx="4384">
                  <c:v>3.34</c:v>
                </c:pt>
                <c:pt idx="4385">
                  <c:v>1.94</c:v>
                </c:pt>
                <c:pt idx="4386">
                  <c:v>0.51</c:v>
                </c:pt>
                <c:pt idx="4387">
                  <c:v>3.04</c:v>
                </c:pt>
                <c:pt idx="4388">
                  <c:v>2.83</c:v>
                </c:pt>
                <c:pt idx="4389">
                  <c:v>3.87</c:v>
                </c:pt>
                <c:pt idx="4390">
                  <c:v>3.51</c:v>
                </c:pt>
                <c:pt idx="4391">
                  <c:v>1.29</c:v>
                </c:pt>
                <c:pt idx="4392">
                  <c:v>0</c:v>
                </c:pt>
                <c:pt idx="4393">
                  <c:v>0</c:v>
                </c:pt>
                <c:pt idx="4394">
                  <c:v>1.98</c:v>
                </c:pt>
                <c:pt idx="4395">
                  <c:v>1.69</c:v>
                </c:pt>
                <c:pt idx="4396">
                  <c:v>0</c:v>
                </c:pt>
                <c:pt idx="4397">
                  <c:v>1.48</c:v>
                </c:pt>
                <c:pt idx="4398">
                  <c:v>2.63</c:v>
                </c:pt>
                <c:pt idx="4399">
                  <c:v>2.1</c:v>
                </c:pt>
                <c:pt idx="4400">
                  <c:v>1.61</c:v>
                </c:pt>
                <c:pt idx="4401">
                  <c:v>1.8</c:v>
                </c:pt>
                <c:pt idx="4402">
                  <c:v>3.59</c:v>
                </c:pt>
                <c:pt idx="4403">
                  <c:v>1.83</c:v>
                </c:pt>
                <c:pt idx="4404">
                  <c:v>4.05</c:v>
                </c:pt>
                <c:pt idx="4405">
                  <c:v>3.75</c:v>
                </c:pt>
                <c:pt idx="4406">
                  <c:v>3.5</c:v>
                </c:pt>
                <c:pt idx="4407">
                  <c:v>2.04</c:v>
                </c:pt>
                <c:pt idx="4408">
                  <c:v>3.08</c:v>
                </c:pt>
                <c:pt idx="4409">
                  <c:v>3.09</c:v>
                </c:pt>
                <c:pt idx="4410">
                  <c:v>1.54</c:v>
                </c:pt>
                <c:pt idx="4411">
                  <c:v>1.9</c:v>
                </c:pt>
                <c:pt idx="4412">
                  <c:v>3.67</c:v>
                </c:pt>
                <c:pt idx="4413">
                  <c:v>3.6</c:v>
                </c:pt>
                <c:pt idx="4414">
                  <c:v>3.55</c:v>
                </c:pt>
                <c:pt idx="4415">
                  <c:v>1.66</c:v>
                </c:pt>
                <c:pt idx="4416">
                  <c:v>0</c:v>
                </c:pt>
                <c:pt idx="4417">
                  <c:v>0</c:v>
                </c:pt>
                <c:pt idx="4418">
                  <c:v>1.98</c:v>
                </c:pt>
                <c:pt idx="4419">
                  <c:v>1.69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1.27</c:v>
                </c:pt>
                <c:pt idx="4424">
                  <c:v>1.72</c:v>
                </c:pt>
                <c:pt idx="4425">
                  <c:v>1.36</c:v>
                </c:pt>
                <c:pt idx="4426">
                  <c:v>1.49</c:v>
                </c:pt>
                <c:pt idx="4427">
                  <c:v>3.02</c:v>
                </c:pt>
                <c:pt idx="4428">
                  <c:v>1.75</c:v>
                </c:pt>
                <c:pt idx="4429">
                  <c:v>2.4</c:v>
                </c:pt>
                <c:pt idx="4430">
                  <c:v>3.3</c:v>
                </c:pt>
                <c:pt idx="4431">
                  <c:v>3.25</c:v>
                </c:pt>
                <c:pt idx="4432">
                  <c:v>0.76</c:v>
                </c:pt>
                <c:pt idx="4433">
                  <c:v>3.46</c:v>
                </c:pt>
                <c:pt idx="4434">
                  <c:v>3.69</c:v>
                </c:pt>
                <c:pt idx="4435">
                  <c:v>1.1000000000000001</c:v>
                </c:pt>
                <c:pt idx="4436">
                  <c:v>0</c:v>
                </c:pt>
                <c:pt idx="4437">
                  <c:v>2.4</c:v>
                </c:pt>
                <c:pt idx="4438">
                  <c:v>3.7</c:v>
                </c:pt>
                <c:pt idx="4439">
                  <c:v>2.97</c:v>
                </c:pt>
                <c:pt idx="4440">
                  <c:v>2.67</c:v>
                </c:pt>
                <c:pt idx="4441">
                  <c:v>0.96</c:v>
                </c:pt>
                <c:pt idx="4442">
                  <c:v>0</c:v>
                </c:pt>
                <c:pt idx="4443">
                  <c:v>1.78</c:v>
                </c:pt>
                <c:pt idx="4444">
                  <c:v>3.07</c:v>
                </c:pt>
                <c:pt idx="4445">
                  <c:v>3.06</c:v>
                </c:pt>
                <c:pt idx="4446">
                  <c:v>3.36</c:v>
                </c:pt>
                <c:pt idx="4447">
                  <c:v>1.59</c:v>
                </c:pt>
                <c:pt idx="4448">
                  <c:v>0</c:v>
                </c:pt>
                <c:pt idx="4449">
                  <c:v>1.61</c:v>
                </c:pt>
                <c:pt idx="4450">
                  <c:v>3.74</c:v>
                </c:pt>
                <c:pt idx="4451">
                  <c:v>2.88</c:v>
                </c:pt>
                <c:pt idx="4452">
                  <c:v>3.67</c:v>
                </c:pt>
                <c:pt idx="4453">
                  <c:v>1.69</c:v>
                </c:pt>
                <c:pt idx="4454">
                  <c:v>0.97</c:v>
                </c:pt>
                <c:pt idx="4455">
                  <c:v>2.08</c:v>
                </c:pt>
                <c:pt idx="4456">
                  <c:v>4</c:v>
                </c:pt>
                <c:pt idx="4457">
                  <c:v>3.23</c:v>
                </c:pt>
                <c:pt idx="4458">
                  <c:v>4.16</c:v>
                </c:pt>
                <c:pt idx="4459">
                  <c:v>1.1499999999999999</c:v>
                </c:pt>
                <c:pt idx="4460">
                  <c:v>0</c:v>
                </c:pt>
                <c:pt idx="4461">
                  <c:v>2.08</c:v>
                </c:pt>
                <c:pt idx="4462">
                  <c:v>3.44</c:v>
                </c:pt>
                <c:pt idx="4463">
                  <c:v>2.9</c:v>
                </c:pt>
                <c:pt idx="4464">
                  <c:v>1.03</c:v>
                </c:pt>
                <c:pt idx="4465">
                  <c:v>1.56</c:v>
                </c:pt>
                <c:pt idx="4466">
                  <c:v>3.13</c:v>
                </c:pt>
                <c:pt idx="4467">
                  <c:v>3.16</c:v>
                </c:pt>
                <c:pt idx="4468">
                  <c:v>3.06</c:v>
                </c:pt>
                <c:pt idx="4469">
                  <c:v>1.02</c:v>
                </c:pt>
                <c:pt idx="4470">
                  <c:v>1.69</c:v>
                </c:pt>
                <c:pt idx="4471">
                  <c:v>3.57</c:v>
                </c:pt>
                <c:pt idx="4472">
                  <c:v>3.22</c:v>
                </c:pt>
                <c:pt idx="4473">
                  <c:v>3.82</c:v>
                </c:pt>
                <c:pt idx="4474">
                  <c:v>2.78</c:v>
                </c:pt>
                <c:pt idx="4475">
                  <c:v>0.52</c:v>
                </c:pt>
                <c:pt idx="4476">
                  <c:v>2.2000000000000002</c:v>
                </c:pt>
                <c:pt idx="4477">
                  <c:v>3.48</c:v>
                </c:pt>
                <c:pt idx="4478">
                  <c:v>0.9</c:v>
                </c:pt>
                <c:pt idx="4479">
                  <c:v>3.17</c:v>
                </c:pt>
                <c:pt idx="4480">
                  <c:v>3.83</c:v>
                </c:pt>
                <c:pt idx="4481">
                  <c:v>1.5</c:v>
                </c:pt>
                <c:pt idx="4482">
                  <c:v>2.15</c:v>
                </c:pt>
                <c:pt idx="4483">
                  <c:v>3.2</c:v>
                </c:pt>
                <c:pt idx="4484">
                  <c:v>3.5</c:v>
                </c:pt>
                <c:pt idx="4485">
                  <c:v>3.14</c:v>
                </c:pt>
                <c:pt idx="4486">
                  <c:v>0</c:v>
                </c:pt>
                <c:pt idx="4487">
                  <c:v>1.52</c:v>
                </c:pt>
                <c:pt idx="4488">
                  <c:v>2.5499999999999998</c:v>
                </c:pt>
                <c:pt idx="4489">
                  <c:v>0.83</c:v>
                </c:pt>
                <c:pt idx="4490">
                  <c:v>0</c:v>
                </c:pt>
                <c:pt idx="4491">
                  <c:v>1.26</c:v>
                </c:pt>
                <c:pt idx="4492">
                  <c:v>2.2999999999999998</c:v>
                </c:pt>
                <c:pt idx="4493">
                  <c:v>0.78</c:v>
                </c:pt>
                <c:pt idx="4494">
                  <c:v>0.81</c:v>
                </c:pt>
                <c:pt idx="4495">
                  <c:v>3.48</c:v>
                </c:pt>
                <c:pt idx="4496">
                  <c:v>3.4</c:v>
                </c:pt>
                <c:pt idx="4497">
                  <c:v>3.41</c:v>
                </c:pt>
                <c:pt idx="4498">
                  <c:v>2.94</c:v>
                </c:pt>
                <c:pt idx="4499">
                  <c:v>1.53</c:v>
                </c:pt>
                <c:pt idx="4500">
                  <c:v>0</c:v>
                </c:pt>
                <c:pt idx="4501">
                  <c:v>1.9</c:v>
                </c:pt>
                <c:pt idx="4502">
                  <c:v>2.68</c:v>
                </c:pt>
                <c:pt idx="4503">
                  <c:v>2.06</c:v>
                </c:pt>
                <c:pt idx="4504">
                  <c:v>0.78</c:v>
                </c:pt>
                <c:pt idx="4505">
                  <c:v>2.71</c:v>
                </c:pt>
                <c:pt idx="4506">
                  <c:v>3.89</c:v>
                </c:pt>
                <c:pt idx="4507">
                  <c:v>1.97</c:v>
                </c:pt>
                <c:pt idx="4508">
                  <c:v>1.38</c:v>
                </c:pt>
                <c:pt idx="4509">
                  <c:v>2.74</c:v>
                </c:pt>
                <c:pt idx="4510">
                  <c:v>3.51</c:v>
                </c:pt>
                <c:pt idx="4511">
                  <c:v>3.21</c:v>
                </c:pt>
                <c:pt idx="4512">
                  <c:v>3.74</c:v>
                </c:pt>
                <c:pt idx="4513">
                  <c:v>1.21</c:v>
                </c:pt>
                <c:pt idx="4514">
                  <c:v>2.58</c:v>
                </c:pt>
                <c:pt idx="4515">
                  <c:v>4.47</c:v>
                </c:pt>
                <c:pt idx="4516">
                  <c:v>4.5599999999999996</c:v>
                </c:pt>
                <c:pt idx="4517">
                  <c:v>4.58</c:v>
                </c:pt>
                <c:pt idx="4518">
                  <c:v>1.62</c:v>
                </c:pt>
                <c:pt idx="4519">
                  <c:v>1.45</c:v>
                </c:pt>
                <c:pt idx="4520">
                  <c:v>3.45</c:v>
                </c:pt>
                <c:pt idx="4521">
                  <c:v>3.61</c:v>
                </c:pt>
                <c:pt idx="4522">
                  <c:v>3.22</c:v>
                </c:pt>
                <c:pt idx="4523">
                  <c:v>3.46</c:v>
                </c:pt>
                <c:pt idx="4524">
                  <c:v>4.08</c:v>
                </c:pt>
                <c:pt idx="4525">
                  <c:v>4.08</c:v>
                </c:pt>
                <c:pt idx="4526">
                  <c:v>4.47</c:v>
                </c:pt>
                <c:pt idx="4527">
                  <c:v>3.8</c:v>
                </c:pt>
                <c:pt idx="4528">
                  <c:v>1.31</c:v>
                </c:pt>
                <c:pt idx="4529">
                  <c:v>1.93</c:v>
                </c:pt>
                <c:pt idx="4530">
                  <c:v>4.1100000000000003</c:v>
                </c:pt>
                <c:pt idx="4531">
                  <c:v>1.49</c:v>
                </c:pt>
                <c:pt idx="4532">
                  <c:v>0</c:v>
                </c:pt>
                <c:pt idx="4533">
                  <c:v>2.54</c:v>
                </c:pt>
                <c:pt idx="4534">
                  <c:v>3.83</c:v>
                </c:pt>
                <c:pt idx="4535">
                  <c:v>1.45</c:v>
                </c:pt>
                <c:pt idx="4536">
                  <c:v>0</c:v>
                </c:pt>
                <c:pt idx="4537">
                  <c:v>1.31</c:v>
                </c:pt>
                <c:pt idx="4538">
                  <c:v>2.91</c:v>
                </c:pt>
                <c:pt idx="4539">
                  <c:v>1.08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1.26</c:v>
                </c:pt>
                <c:pt idx="4544">
                  <c:v>3.62</c:v>
                </c:pt>
                <c:pt idx="4545">
                  <c:v>2.09</c:v>
                </c:pt>
                <c:pt idx="4546">
                  <c:v>0</c:v>
                </c:pt>
                <c:pt idx="4547">
                  <c:v>1.87</c:v>
                </c:pt>
                <c:pt idx="4548">
                  <c:v>3.42</c:v>
                </c:pt>
                <c:pt idx="4549">
                  <c:v>3.48</c:v>
                </c:pt>
                <c:pt idx="4550">
                  <c:v>4.24</c:v>
                </c:pt>
                <c:pt idx="4551">
                  <c:v>1.76</c:v>
                </c:pt>
                <c:pt idx="4552">
                  <c:v>0</c:v>
                </c:pt>
                <c:pt idx="4553">
                  <c:v>2.84</c:v>
                </c:pt>
                <c:pt idx="4554">
                  <c:v>3.99</c:v>
                </c:pt>
                <c:pt idx="4555">
                  <c:v>4.25</c:v>
                </c:pt>
                <c:pt idx="4556">
                  <c:v>4.0599999999999996</c:v>
                </c:pt>
                <c:pt idx="4557">
                  <c:v>1.72</c:v>
                </c:pt>
                <c:pt idx="4558">
                  <c:v>0</c:v>
                </c:pt>
                <c:pt idx="4559">
                  <c:v>1.97</c:v>
                </c:pt>
                <c:pt idx="4560">
                  <c:v>2.79</c:v>
                </c:pt>
                <c:pt idx="4561">
                  <c:v>3.04</c:v>
                </c:pt>
                <c:pt idx="4562">
                  <c:v>3.05</c:v>
                </c:pt>
                <c:pt idx="4563">
                  <c:v>0.69</c:v>
                </c:pt>
                <c:pt idx="4564">
                  <c:v>0</c:v>
                </c:pt>
                <c:pt idx="4565">
                  <c:v>1.47</c:v>
                </c:pt>
                <c:pt idx="4566">
                  <c:v>2.59</c:v>
                </c:pt>
                <c:pt idx="4567">
                  <c:v>1.73</c:v>
                </c:pt>
                <c:pt idx="4568">
                  <c:v>0.37</c:v>
                </c:pt>
                <c:pt idx="4569">
                  <c:v>2.42</c:v>
                </c:pt>
                <c:pt idx="4570">
                  <c:v>3.54</c:v>
                </c:pt>
                <c:pt idx="4571">
                  <c:v>2.93</c:v>
                </c:pt>
                <c:pt idx="4572">
                  <c:v>3.53</c:v>
                </c:pt>
                <c:pt idx="4573">
                  <c:v>1.52</c:v>
                </c:pt>
                <c:pt idx="4574">
                  <c:v>0</c:v>
                </c:pt>
                <c:pt idx="4575">
                  <c:v>2.4300000000000002</c:v>
                </c:pt>
                <c:pt idx="4576">
                  <c:v>4.2</c:v>
                </c:pt>
                <c:pt idx="4577">
                  <c:v>4.25</c:v>
                </c:pt>
                <c:pt idx="4578">
                  <c:v>4.0199999999999996</c:v>
                </c:pt>
                <c:pt idx="4579">
                  <c:v>1.46</c:v>
                </c:pt>
                <c:pt idx="4580">
                  <c:v>0</c:v>
                </c:pt>
                <c:pt idx="4581">
                  <c:v>2.16</c:v>
                </c:pt>
                <c:pt idx="4582">
                  <c:v>3.71</c:v>
                </c:pt>
                <c:pt idx="4583">
                  <c:v>3.42</c:v>
                </c:pt>
                <c:pt idx="4584">
                  <c:v>3.64</c:v>
                </c:pt>
                <c:pt idx="4585">
                  <c:v>0.75</c:v>
                </c:pt>
                <c:pt idx="4586">
                  <c:v>0</c:v>
                </c:pt>
                <c:pt idx="4587">
                  <c:v>1.57</c:v>
                </c:pt>
                <c:pt idx="4588">
                  <c:v>2.98</c:v>
                </c:pt>
                <c:pt idx="4589">
                  <c:v>2.0699999999999998</c:v>
                </c:pt>
                <c:pt idx="4590">
                  <c:v>3.39</c:v>
                </c:pt>
                <c:pt idx="4591">
                  <c:v>0.92</c:v>
                </c:pt>
                <c:pt idx="4592">
                  <c:v>0.66</c:v>
                </c:pt>
                <c:pt idx="4593">
                  <c:v>1.93</c:v>
                </c:pt>
                <c:pt idx="4594">
                  <c:v>3.44</c:v>
                </c:pt>
                <c:pt idx="4595">
                  <c:v>3.51</c:v>
                </c:pt>
                <c:pt idx="4596">
                  <c:v>3.64</c:v>
                </c:pt>
                <c:pt idx="4597">
                  <c:v>1.81</c:v>
                </c:pt>
                <c:pt idx="4598">
                  <c:v>0</c:v>
                </c:pt>
                <c:pt idx="4599">
                  <c:v>1.9</c:v>
                </c:pt>
                <c:pt idx="4600">
                  <c:v>3.49</c:v>
                </c:pt>
                <c:pt idx="4601">
                  <c:v>3.13</c:v>
                </c:pt>
                <c:pt idx="4602">
                  <c:v>4.0199999999999996</c:v>
                </c:pt>
                <c:pt idx="4603">
                  <c:v>1.31</c:v>
                </c:pt>
                <c:pt idx="4604">
                  <c:v>0</c:v>
                </c:pt>
                <c:pt idx="4605">
                  <c:v>2.39</c:v>
                </c:pt>
                <c:pt idx="4606">
                  <c:v>3.61</c:v>
                </c:pt>
                <c:pt idx="4607">
                  <c:v>1.76</c:v>
                </c:pt>
                <c:pt idx="4608">
                  <c:v>0</c:v>
                </c:pt>
                <c:pt idx="4609">
                  <c:v>1.3</c:v>
                </c:pt>
                <c:pt idx="4610">
                  <c:v>2.95</c:v>
                </c:pt>
                <c:pt idx="4611">
                  <c:v>1.49</c:v>
                </c:pt>
                <c:pt idx="4612">
                  <c:v>0</c:v>
                </c:pt>
                <c:pt idx="4613">
                  <c:v>1.6</c:v>
                </c:pt>
                <c:pt idx="4614">
                  <c:v>3.31</c:v>
                </c:pt>
                <c:pt idx="4615">
                  <c:v>3.65</c:v>
                </c:pt>
                <c:pt idx="4616">
                  <c:v>3.77</c:v>
                </c:pt>
                <c:pt idx="4617">
                  <c:v>1.56</c:v>
                </c:pt>
                <c:pt idx="4618">
                  <c:v>0</c:v>
                </c:pt>
                <c:pt idx="4619">
                  <c:v>3.18</c:v>
                </c:pt>
                <c:pt idx="4620">
                  <c:v>3.09</c:v>
                </c:pt>
                <c:pt idx="4621">
                  <c:v>3.3</c:v>
                </c:pt>
                <c:pt idx="4622">
                  <c:v>3.68</c:v>
                </c:pt>
                <c:pt idx="4623">
                  <c:v>0</c:v>
                </c:pt>
                <c:pt idx="4624">
                  <c:v>0</c:v>
                </c:pt>
                <c:pt idx="4625">
                  <c:v>1.03</c:v>
                </c:pt>
                <c:pt idx="4626">
                  <c:v>1.17</c:v>
                </c:pt>
                <c:pt idx="4627">
                  <c:v>4.1900000000000004</c:v>
                </c:pt>
                <c:pt idx="4628">
                  <c:v>4</c:v>
                </c:pt>
                <c:pt idx="4629">
                  <c:v>1.18</c:v>
                </c:pt>
                <c:pt idx="4630">
                  <c:v>2.15</c:v>
                </c:pt>
                <c:pt idx="4631">
                  <c:v>1.29</c:v>
                </c:pt>
                <c:pt idx="4632">
                  <c:v>0</c:v>
                </c:pt>
                <c:pt idx="4633">
                  <c:v>1.81</c:v>
                </c:pt>
                <c:pt idx="4634">
                  <c:v>2.97</c:v>
                </c:pt>
                <c:pt idx="4635">
                  <c:v>2.4500000000000002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0.65</c:v>
                </c:pt>
                <c:pt idx="4641">
                  <c:v>3.1</c:v>
                </c:pt>
                <c:pt idx="4642">
                  <c:v>3.66</c:v>
                </c:pt>
                <c:pt idx="4643">
                  <c:v>1.1200000000000001</c:v>
                </c:pt>
                <c:pt idx="4644">
                  <c:v>0</c:v>
                </c:pt>
                <c:pt idx="4645">
                  <c:v>2.11</c:v>
                </c:pt>
                <c:pt idx="4646">
                  <c:v>3.2</c:v>
                </c:pt>
                <c:pt idx="4647">
                  <c:v>0.89</c:v>
                </c:pt>
                <c:pt idx="4648">
                  <c:v>0</c:v>
                </c:pt>
                <c:pt idx="4649">
                  <c:v>2.73</c:v>
                </c:pt>
                <c:pt idx="4650">
                  <c:v>3.8</c:v>
                </c:pt>
                <c:pt idx="4651">
                  <c:v>1.39</c:v>
                </c:pt>
                <c:pt idx="4652">
                  <c:v>0</c:v>
                </c:pt>
                <c:pt idx="4653">
                  <c:v>2.73</c:v>
                </c:pt>
                <c:pt idx="4654">
                  <c:v>3.68</c:v>
                </c:pt>
                <c:pt idx="4655">
                  <c:v>1.22</c:v>
                </c:pt>
                <c:pt idx="4656">
                  <c:v>0</c:v>
                </c:pt>
                <c:pt idx="4657">
                  <c:v>0.95</c:v>
                </c:pt>
                <c:pt idx="4658">
                  <c:v>2.56</c:v>
                </c:pt>
                <c:pt idx="4659">
                  <c:v>0.38</c:v>
                </c:pt>
                <c:pt idx="4660">
                  <c:v>0</c:v>
                </c:pt>
                <c:pt idx="4661">
                  <c:v>0.72</c:v>
                </c:pt>
                <c:pt idx="4662">
                  <c:v>2.21</c:v>
                </c:pt>
                <c:pt idx="4663">
                  <c:v>1.01</c:v>
                </c:pt>
                <c:pt idx="4664">
                  <c:v>0</c:v>
                </c:pt>
                <c:pt idx="4665">
                  <c:v>2.23</c:v>
                </c:pt>
                <c:pt idx="4666">
                  <c:v>3.56</c:v>
                </c:pt>
                <c:pt idx="4667">
                  <c:v>3.51</c:v>
                </c:pt>
                <c:pt idx="4668">
                  <c:v>3.36</c:v>
                </c:pt>
                <c:pt idx="4669">
                  <c:v>0.74</c:v>
                </c:pt>
                <c:pt idx="4670">
                  <c:v>3.61</c:v>
                </c:pt>
                <c:pt idx="4671">
                  <c:v>3.03</c:v>
                </c:pt>
                <c:pt idx="4672">
                  <c:v>1.5</c:v>
                </c:pt>
                <c:pt idx="4673">
                  <c:v>2.09</c:v>
                </c:pt>
                <c:pt idx="4674">
                  <c:v>3.87</c:v>
                </c:pt>
                <c:pt idx="4675">
                  <c:v>3.71</c:v>
                </c:pt>
                <c:pt idx="4676">
                  <c:v>3.78</c:v>
                </c:pt>
                <c:pt idx="4677">
                  <c:v>1.56</c:v>
                </c:pt>
                <c:pt idx="4678">
                  <c:v>0</c:v>
                </c:pt>
                <c:pt idx="4679">
                  <c:v>0.52</c:v>
                </c:pt>
                <c:pt idx="4680">
                  <c:v>2.87</c:v>
                </c:pt>
                <c:pt idx="4681">
                  <c:v>0.95</c:v>
                </c:pt>
                <c:pt idx="4682">
                  <c:v>0</c:v>
                </c:pt>
                <c:pt idx="4683">
                  <c:v>0.78</c:v>
                </c:pt>
                <c:pt idx="4684">
                  <c:v>1.61</c:v>
                </c:pt>
                <c:pt idx="4685">
                  <c:v>0.76</c:v>
                </c:pt>
                <c:pt idx="4686">
                  <c:v>0.69</c:v>
                </c:pt>
                <c:pt idx="4687">
                  <c:v>0.31</c:v>
                </c:pt>
                <c:pt idx="4688">
                  <c:v>0.56000000000000005</c:v>
                </c:pt>
                <c:pt idx="4689">
                  <c:v>3.24</c:v>
                </c:pt>
                <c:pt idx="4690">
                  <c:v>3.38</c:v>
                </c:pt>
                <c:pt idx="4691">
                  <c:v>1.24</c:v>
                </c:pt>
                <c:pt idx="4692">
                  <c:v>0</c:v>
                </c:pt>
                <c:pt idx="4693">
                  <c:v>2.39</c:v>
                </c:pt>
                <c:pt idx="4694">
                  <c:v>3.25</c:v>
                </c:pt>
                <c:pt idx="4695">
                  <c:v>1.33</c:v>
                </c:pt>
                <c:pt idx="4696">
                  <c:v>1.02</c:v>
                </c:pt>
                <c:pt idx="4697">
                  <c:v>1.64</c:v>
                </c:pt>
                <c:pt idx="4698">
                  <c:v>3.94</c:v>
                </c:pt>
                <c:pt idx="4699">
                  <c:v>3.9</c:v>
                </c:pt>
                <c:pt idx="4700">
                  <c:v>3.66</c:v>
                </c:pt>
                <c:pt idx="4701">
                  <c:v>1.74</c:v>
                </c:pt>
                <c:pt idx="4702">
                  <c:v>3.42</c:v>
                </c:pt>
                <c:pt idx="4703">
                  <c:v>3.06</c:v>
                </c:pt>
                <c:pt idx="4704">
                  <c:v>2.99</c:v>
                </c:pt>
                <c:pt idx="4705">
                  <c:v>0.47</c:v>
                </c:pt>
                <c:pt idx="4706">
                  <c:v>4.46</c:v>
                </c:pt>
                <c:pt idx="4707">
                  <c:v>1.96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0.6</c:v>
                </c:pt>
                <c:pt idx="4712">
                  <c:v>1.97</c:v>
                </c:pt>
                <c:pt idx="4713">
                  <c:v>3.4</c:v>
                </c:pt>
                <c:pt idx="4714">
                  <c:v>3.68</c:v>
                </c:pt>
                <c:pt idx="4715">
                  <c:v>1.1499999999999999</c:v>
                </c:pt>
                <c:pt idx="4716">
                  <c:v>0</c:v>
                </c:pt>
                <c:pt idx="4717">
                  <c:v>2.38</c:v>
                </c:pt>
                <c:pt idx="4718">
                  <c:v>3.61</c:v>
                </c:pt>
                <c:pt idx="4719">
                  <c:v>3.03</c:v>
                </c:pt>
                <c:pt idx="4720">
                  <c:v>1.5</c:v>
                </c:pt>
                <c:pt idx="4721">
                  <c:v>2.09</c:v>
                </c:pt>
                <c:pt idx="4722">
                  <c:v>3.87</c:v>
                </c:pt>
                <c:pt idx="4723">
                  <c:v>3.71</c:v>
                </c:pt>
                <c:pt idx="4724">
                  <c:v>3.78</c:v>
                </c:pt>
                <c:pt idx="4725">
                  <c:v>1.56</c:v>
                </c:pt>
                <c:pt idx="4726">
                  <c:v>0</c:v>
                </c:pt>
                <c:pt idx="4727">
                  <c:v>0.52</c:v>
                </c:pt>
                <c:pt idx="4728">
                  <c:v>2.87</c:v>
                </c:pt>
                <c:pt idx="4729">
                  <c:v>0.95</c:v>
                </c:pt>
                <c:pt idx="4730">
                  <c:v>0</c:v>
                </c:pt>
                <c:pt idx="4731">
                  <c:v>0.78</c:v>
                </c:pt>
                <c:pt idx="4732">
                  <c:v>1.61</c:v>
                </c:pt>
                <c:pt idx="4733">
                  <c:v>0.76</c:v>
                </c:pt>
                <c:pt idx="4734">
                  <c:v>0.69</c:v>
                </c:pt>
                <c:pt idx="4735">
                  <c:v>0.31</c:v>
                </c:pt>
                <c:pt idx="4736">
                  <c:v>0.56000000000000005</c:v>
                </c:pt>
                <c:pt idx="4737">
                  <c:v>3.24</c:v>
                </c:pt>
                <c:pt idx="4738">
                  <c:v>3.38</c:v>
                </c:pt>
                <c:pt idx="4739">
                  <c:v>1.24</c:v>
                </c:pt>
                <c:pt idx="4740">
                  <c:v>0</c:v>
                </c:pt>
                <c:pt idx="4741">
                  <c:v>2.39</c:v>
                </c:pt>
                <c:pt idx="4742">
                  <c:v>3.25</c:v>
                </c:pt>
                <c:pt idx="4743">
                  <c:v>1.33</c:v>
                </c:pt>
                <c:pt idx="4744">
                  <c:v>1.02</c:v>
                </c:pt>
                <c:pt idx="4745">
                  <c:v>1.64</c:v>
                </c:pt>
                <c:pt idx="4746">
                  <c:v>3.94</c:v>
                </c:pt>
                <c:pt idx="4747">
                  <c:v>3.9</c:v>
                </c:pt>
                <c:pt idx="4748">
                  <c:v>3.66</c:v>
                </c:pt>
                <c:pt idx="4749">
                  <c:v>1.08</c:v>
                </c:pt>
                <c:pt idx="4750">
                  <c:v>0</c:v>
                </c:pt>
                <c:pt idx="4751">
                  <c:v>1.4</c:v>
                </c:pt>
                <c:pt idx="4752">
                  <c:v>2.42</c:v>
                </c:pt>
                <c:pt idx="4753">
                  <c:v>2.13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1.33</c:v>
                </c:pt>
                <c:pt idx="4760">
                  <c:v>2.95</c:v>
                </c:pt>
                <c:pt idx="4761">
                  <c:v>1.49</c:v>
                </c:pt>
                <c:pt idx="4762">
                  <c:v>1.49</c:v>
                </c:pt>
                <c:pt idx="4763">
                  <c:v>1.8</c:v>
                </c:pt>
                <c:pt idx="4764">
                  <c:v>1.88</c:v>
                </c:pt>
                <c:pt idx="4765">
                  <c:v>1.2</c:v>
                </c:pt>
                <c:pt idx="4766">
                  <c:v>0.55000000000000004</c:v>
                </c:pt>
                <c:pt idx="4767">
                  <c:v>1.69</c:v>
                </c:pt>
                <c:pt idx="4768">
                  <c:v>2.58</c:v>
                </c:pt>
                <c:pt idx="4769">
                  <c:v>2.13</c:v>
                </c:pt>
                <c:pt idx="4770">
                  <c:v>1.1499999999999999</c:v>
                </c:pt>
                <c:pt idx="4771">
                  <c:v>2.2799999999999998</c:v>
                </c:pt>
                <c:pt idx="4772">
                  <c:v>2.2999999999999998</c:v>
                </c:pt>
                <c:pt idx="4773">
                  <c:v>2.1800000000000002</c:v>
                </c:pt>
                <c:pt idx="4774">
                  <c:v>3.51</c:v>
                </c:pt>
                <c:pt idx="4775">
                  <c:v>1.1200000000000001</c:v>
                </c:pt>
                <c:pt idx="4776">
                  <c:v>0</c:v>
                </c:pt>
                <c:pt idx="4777">
                  <c:v>2.34</c:v>
                </c:pt>
                <c:pt idx="4778">
                  <c:v>4.46</c:v>
                </c:pt>
                <c:pt idx="4779">
                  <c:v>1.96</c:v>
                </c:pt>
                <c:pt idx="4780">
                  <c:v>0</c:v>
                </c:pt>
                <c:pt idx="4781">
                  <c:v>0</c:v>
                </c:pt>
                <c:pt idx="4782">
                  <c:v>0.33</c:v>
                </c:pt>
                <c:pt idx="4783">
                  <c:v>1.2</c:v>
                </c:pt>
                <c:pt idx="4784">
                  <c:v>1.76</c:v>
                </c:pt>
                <c:pt idx="4785">
                  <c:v>0.72</c:v>
                </c:pt>
                <c:pt idx="4786">
                  <c:v>0</c:v>
                </c:pt>
                <c:pt idx="4787">
                  <c:v>1.17</c:v>
                </c:pt>
                <c:pt idx="4788">
                  <c:v>2.52</c:v>
                </c:pt>
                <c:pt idx="4789">
                  <c:v>1.1299999999999999</c:v>
                </c:pt>
                <c:pt idx="4790">
                  <c:v>0</c:v>
                </c:pt>
                <c:pt idx="4791">
                  <c:v>2.97</c:v>
                </c:pt>
                <c:pt idx="4792">
                  <c:v>3.49</c:v>
                </c:pt>
                <c:pt idx="4793">
                  <c:v>3.13</c:v>
                </c:pt>
                <c:pt idx="4794">
                  <c:v>3.12</c:v>
                </c:pt>
                <c:pt idx="4795">
                  <c:v>3.53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1.28</c:v>
                </c:pt>
                <c:pt idx="4800">
                  <c:v>3.12</c:v>
                </c:pt>
                <c:pt idx="4801">
                  <c:v>1.48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1.7</c:v>
                </c:pt>
                <c:pt idx="4806">
                  <c:v>2.95</c:v>
                </c:pt>
                <c:pt idx="4807">
                  <c:v>1.43</c:v>
                </c:pt>
                <c:pt idx="4808">
                  <c:v>0</c:v>
                </c:pt>
                <c:pt idx="4809">
                  <c:v>1.54</c:v>
                </c:pt>
                <c:pt idx="4810">
                  <c:v>3.1</c:v>
                </c:pt>
                <c:pt idx="4811">
                  <c:v>3.09</c:v>
                </c:pt>
                <c:pt idx="4812">
                  <c:v>0.89</c:v>
                </c:pt>
                <c:pt idx="4813">
                  <c:v>1.22</c:v>
                </c:pt>
                <c:pt idx="4814">
                  <c:v>3.31</c:v>
                </c:pt>
                <c:pt idx="4815">
                  <c:v>3.31</c:v>
                </c:pt>
                <c:pt idx="4816">
                  <c:v>3.37</c:v>
                </c:pt>
                <c:pt idx="4817">
                  <c:v>1.25</c:v>
                </c:pt>
                <c:pt idx="4818">
                  <c:v>1.1599999999999999</c:v>
                </c:pt>
                <c:pt idx="4819">
                  <c:v>3.57</c:v>
                </c:pt>
                <c:pt idx="4820">
                  <c:v>3.71</c:v>
                </c:pt>
                <c:pt idx="4821">
                  <c:v>3.61</c:v>
                </c:pt>
                <c:pt idx="4822">
                  <c:v>3.57</c:v>
                </c:pt>
                <c:pt idx="4823">
                  <c:v>3.11</c:v>
                </c:pt>
                <c:pt idx="4824">
                  <c:v>2.97</c:v>
                </c:pt>
                <c:pt idx="4825">
                  <c:v>2.68</c:v>
                </c:pt>
                <c:pt idx="4826">
                  <c:v>4.16</c:v>
                </c:pt>
                <c:pt idx="4827">
                  <c:v>4.26</c:v>
                </c:pt>
                <c:pt idx="4828">
                  <c:v>4.34</c:v>
                </c:pt>
                <c:pt idx="4829">
                  <c:v>3.54</c:v>
                </c:pt>
                <c:pt idx="4830">
                  <c:v>4.5</c:v>
                </c:pt>
                <c:pt idx="4831">
                  <c:v>1.77</c:v>
                </c:pt>
                <c:pt idx="4832">
                  <c:v>3.69</c:v>
                </c:pt>
                <c:pt idx="4833">
                  <c:v>3.84</c:v>
                </c:pt>
                <c:pt idx="4834">
                  <c:v>3.51</c:v>
                </c:pt>
                <c:pt idx="4835">
                  <c:v>4.2300000000000004</c:v>
                </c:pt>
                <c:pt idx="4836">
                  <c:v>1.55</c:v>
                </c:pt>
                <c:pt idx="4837">
                  <c:v>3.8</c:v>
                </c:pt>
                <c:pt idx="4838">
                  <c:v>3.57</c:v>
                </c:pt>
                <c:pt idx="4839">
                  <c:v>3.78</c:v>
                </c:pt>
                <c:pt idx="4840">
                  <c:v>3.92</c:v>
                </c:pt>
                <c:pt idx="4841">
                  <c:v>0.98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1.24</c:v>
                </c:pt>
                <c:pt idx="4863">
                  <c:v>1.46</c:v>
                </c:pt>
                <c:pt idx="4864">
                  <c:v>0.22</c:v>
                </c:pt>
                <c:pt idx="4865">
                  <c:v>1.25</c:v>
                </c:pt>
                <c:pt idx="4866">
                  <c:v>2.98</c:v>
                </c:pt>
                <c:pt idx="4867">
                  <c:v>2.0699999999999998</c:v>
                </c:pt>
                <c:pt idx="4868">
                  <c:v>0</c:v>
                </c:pt>
                <c:pt idx="4869">
                  <c:v>1.84</c:v>
                </c:pt>
                <c:pt idx="4870">
                  <c:v>3.56</c:v>
                </c:pt>
                <c:pt idx="4871">
                  <c:v>1.92</c:v>
                </c:pt>
                <c:pt idx="4872">
                  <c:v>0</c:v>
                </c:pt>
                <c:pt idx="4873">
                  <c:v>1.0900000000000001</c:v>
                </c:pt>
                <c:pt idx="4874">
                  <c:v>2.4700000000000002</c:v>
                </c:pt>
                <c:pt idx="4875">
                  <c:v>1.17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1.55</c:v>
                </c:pt>
                <c:pt idx="4880">
                  <c:v>2.0299999999999998</c:v>
                </c:pt>
                <c:pt idx="4881">
                  <c:v>0.78</c:v>
                </c:pt>
                <c:pt idx="4882">
                  <c:v>0.6</c:v>
                </c:pt>
                <c:pt idx="4883">
                  <c:v>1.02</c:v>
                </c:pt>
                <c:pt idx="4884">
                  <c:v>1.58</c:v>
                </c:pt>
                <c:pt idx="4885">
                  <c:v>1.74</c:v>
                </c:pt>
                <c:pt idx="4886">
                  <c:v>0</c:v>
                </c:pt>
                <c:pt idx="4887">
                  <c:v>1.42</c:v>
                </c:pt>
                <c:pt idx="4888">
                  <c:v>3.54</c:v>
                </c:pt>
                <c:pt idx="4889">
                  <c:v>2.42</c:v>
                </c:pt>
                <c:pt idx="4890">
                  <c:v>1.66</c:v>
                </c:pt>
                <c:pt idx="4891">
                  <c:v>1.91</c:v>
                </c:pt>
                <c:pt idx="4892">
                  <c:v>3.2</c:v>
                </c:pt>
                <c:pt idx="4893">
                  <c:v>2.59</c:v>
                </c:pt>
                <c:pt idx="4894">
                  <c:v>3.84</c:v>
                </c:pt>
                <c:pt idx="4895">
                  <c:v>1.1599999999999999</c:v>
                </c:pt>
                <c:pt idx="4896">
                  <c:v>0</c:v>
                </c:pt>
                <c:pt idx="4897">
                  <c:v>2.11</c:v>
                </c:pt>
                <c:pt idx="4898">
                  <c:v>2.62</c:v>
                </c:pt>
                <c:pt idx="4899">
                  <c:v>0.92</c:v>
                </c:pt>
                <c:pt idx="4900">
                  <c:v>0</c:v>
                </c:pt>
                <c:pt idx="4901">
                  <c:v>1.54</c:v>
                </c:pt>
                <c:pt idx="4902">
                  <c:v>2.94</c:v>
                </c:pt>
                <c:pt idx="4903">
                  <c:v>0.97</c:v>
                </c:pt>
                <c:pt idx="4904">
                  <c:v>0.27</c:v>
                </c:pt>
                <c:pt idx="4905">
                  <c:v>0.74</c:v>
                </c:pt>
                <c:pt idx="4906">
                  <c:v>1.71</c:v>
                </c:pt>
                <c:pt idx="4907">
                  <c:v>0.7</c:v>
                </c:pt>
                <c:pt idx="4908">
                  <c:v>0</c:v>
                </c:pt>
                <c:pt idx="4909">
                  <c:v>2.4500000000000002</c:v>
                </c:pt>
                <c:pt idx="4910">
                  <c:v>3.12</c:v>
                </c:pt>
                <c:pt idx="4911">
                  <c:v>3.73</c:v>
                </c:pt>
                <c:pt idx="4912">
                  <c:v>3.5</c:v>
                </c:pt>
                <c:pt idx="4913">
                  <c:v>1.99</c:v>
                </c:pt>
                <c:pt idx="4914">
                  <c:v>0</c:v>
                </c:pt>
                <c:pt idx="4915">
                  <c:v>0</c:v>
                </c:pt>
                <c:pt idx="4916">
                  <c:v>3.22</c:v>
                </c:pt>
                <c:pt idx="4917">
                  <c:v>3.99</c:v>
                </c:pt>
                <c:pt idx="4918">
                  <c:v>3.39</c:v>
                </c:pt>
                <c:pt idx="4919">
                  <c:v>1.52</c:v>
                </c:pt>
                <c:pt idx="4920">
                  <c:v>1.75</c:v>
                </c:pt>
                <c:pt idx="4921">
                  <c:v>2.71</c:v>
                </c:pt>
                <c:pt idx="4922">
                  <c:v>3.05</c:v>
                </c:pt>
                <c:pt idx="4923">
                  <c:v>2.98</c:v>
                </c:pt>
                <c:pt idx="4924">
                  <c:v>0.94</c:v>
                </c:pt>
                <c:pt idx="4925">
                  <c:v>1.87</c:v>
                </c:pt>
                <c:pt idx="4926">
                  <c:v>4</c:v>
                </c:pt>
                <c:pt idx="4927">
                  <c:v>4.74</c:v>
                </c:pt>
                <c:pt idx="4928">
                  <c:v>2.95</c:v>
                </c:pt>
                <c:pt idx="4929">
                  <c:v>0.87</c:v>
                </c:pt>
                <c:pt idx="4930">
                  <c:v>0</c:v>
                </c:pt>
                <c:pt idx="4931">
                  <c:v>0.57999999999999996</c:v>
                </c:pt>
                <c:pt idx="4932">
                  <c:v>0.46</c:v>
                </c:pt>
                <c:pt idx="4933">
                  <c:v>0.96</c:v>
                </c:pt>
                <c:pt idx="4934">
                  <c:v>0.69</c:v>
                </c:pt>
                <c:pt idx="4935">
                  <c:v>1.95</c:v>
                </c:pt>
                <c:pt idx="4936">
                  <c:v>3.53</c:v>
                </c:pt>
                <c:pt idx="4937">
                  <c:v>3.84</c:v>
                </c:pt>
                <c:pt idx="4938">
                  <c:v>3.65</c:v>
                </c:pt>
                <c:pt idx="4939">
                  <c:v>1.06</c:v>
                </c:pt>
                <c:pt idx="4940">
                  <c:v>0</c:v>
                </c:pt>
                <c:pt idx="4941">
                  <c:v>2.42</c:v>
                </c:pt>
                <c:pt idx="4942">
                  <c:v>4.3499999999999996</c:v>
                </c:pt>
                <c:pt idx="4943">
                  <c:v>4.68</c:v>
                </c:pt>
                <c:pt idx="4944">
                  <c:v>4</c:v>
                </c:pt>
                <c:pt idx="4945">
                  <c:v>3.35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0.34</c:v>
                </c:pt>
                <c:pt idx="4952">
                  <c:v>1.64</c:v>
                </c:pt>
                <c:pt idx="4953">
                  <c:v>1.74</c:v>
                </c:pt>
                <c:pt idx="4954">
                  <c:v>1.7</c:v>
                </c:pt>
                <c:pt idx="4955">
                  <c:v>0.74</c:v>
                </c:pt>
                <c:pt idx="4956">
                  <c:v>0</c:v>
                </c:pt>
                <c:pt idx="4957">
                  <c:v>1.26</c:v>
                </c:pt>
                <c:pt idx="4958">
                  <c:v>0</c:v>
                </c:pt>
                <c:pt idx="4959">
                  <c:v>1.84</c:v>
                </c:pt>
                <c:pt idx="4960">
                  <c:v>3.36</c:v>
                </c:pt>
                <c:pt idx="4961">
                  <c:v>3.2</c:v>
                </c:pt>
                <c:pt idx="4962">
                  <c:v>3.63</c:v>
                </c:pt>
                <c:pt idx="4963">
                  <c:v>1</c:v>
                </c:pt>
                <c:pt idx="4964">
                  <c:v>0</c:v>
                </c:pt>
                <c:pt idx="4965">
                  <c:v>1.61</c:v>
                </c:pt>
                <c:pt idx="4966">
                  <c:v>3.68</c:v>
                </c:pt>
                <c:pt idx="4967">
                  <c:v>1.43</c:v>
                </c:pt>
                <c:pt idx="4968">
                  <c:v>0</c:v>
                </c:pt>
                <c:pt idx="4969">
                  <c:v>1.06</c:v>
                </c:pt>
                <c:pt idx="4970">
                  <c:v>1.49</c:v>
                </c:pt>
                <c:pt idx="4971">
                  <c:v>0.71</c:v>
                </c:pt>
                <c:pt idx="4972">
                  <c:v>0</c:v>
                </c:pt>
                <c:pt idx="4973">
                  <c:v>1.53</c:v>
                </c:pt>
                <c:pt idx="4974">
                  <c:v>2.84</c:v>
                </c:pt>
                <c:pt idx="4975">
                  <c:v>1.26</c:v>
                </c:pt>
                <c:pt idx="4976">
                  <c:v>0</c:v>
                </c:pt>
                <c:pt idx="4977">
                  <c:v>2.5</c:v>
                </c:pt>
                <c:pt idx="4978">
                  <c:v>2.79</c:v>
                </c:pt>
                <c:pt idx="4979">
                  <c:v>3</c:v>
                </c:pt>
                <c:pt idx="4980">
                  <c:v>3.05</c:v>
                </c:pt>
                <c:pt idx="4981">
                  <c:v>0.93</c:v>
                </c:pt>
                <c:pt idx="4982">
                  <c:v>1.59</c:v>
                </c:pt>
                <c:pt idx="4983">
                  <c:v>1.5</c:v>
                </c:pt>
                <c:pt idx="4984">
                  <c:v>0</c:v>
                </c:pt>
                <c:pt idx="4985">
                  <c:v>0.25</c:v>
                </c:pt>
                <c:pt idx="4986">
                  <c:v>3.36</c:v>
                </c:pt>
                <c:pt idx="4987">
                  <c:v>1.55</c:v>
                </c:pt>
                <c:pt idx="4988">
                  <c:v>0</c:v>
                </c:pt>
                <c:pt idx="4989">
                  <c:v>1.41</c:v>
                </c:pt>
                <c:pt idx="4990">
                  <c:v>2.75</c:v>
                </c:pt>
                <c:pt idx="4991">
                  <c:v>2.6</c:v>
                </c:pt>
                <c:pt idx="4992">
                  <c:v>2.7</c:v>
                </c:pt>
                <c:pt idx="4993">
                  <c:v>1.18</c:v>
                </c:pt>
                <c:pt idx="4994">
                  <c:v>0</c:v>
                </c:pt>
                <c:pt idx="4995">
                  <c:v>2.84</c:v>
                </c:pt>
                <c:pt idx="4996">
                  <c:v>4.1500000000000004</c:v>
                </c:pt>
                <c:pt idx="4997">
                  <c:v>0.93</c:v>
                </c:pt>
                <c:pt idx="4998">
                  <c:v>0</c:v>
                </c:pt>
                <c:pt idx="4999">
                  <c:v>2.19</c:v>
                </c:pt>
                <c:pt idx="5000">
                  <c:v>4.42</c:v>
                </c:pt>
                <c:pt idx="5001">
                  <c:v>1.57</c:v>
                </c:pt>
                <c:pt idx="5002">
                  <c:v>0</c:v>
                </c:pt>
                <c:pt idx="5003">
                  <c:v>2.2400000000000002</c:v>
                </c:pt>
                <c:pt idx="5004">
                  <c:v>2.5099999999999998</c:v>
                </c:pt>
                <c:pt idx="5005">
                  <c:v>1.26</c:v>
                </c:pt>
                <c:pt idx="5006">
                  <c:v>0</c:v>
                </c:pt>
                <c:pt idx="5007">
                  <c:v>1.84</c:v>
                </c:pt>
                <c:pt idx="5008">
                  <c:v>3.36</c:v>
                </c:pt>
                <c:pt idx="5009">
                  <c:v>3.2</c:v>
                </c:pt>
                <c:pt idx="5010">
                  <c:v>3.63</c:v>
                </c:pt>
                <c:pt idx="5011">
                  <c:v>1</c:v>
                </c:pt>
                <c:pt idx="5012">
                  <c:v>0</c:v>
                </c:pt>
                <c:pt idx="5013">
                  <c:v>1.61</c:v>
                </c:pt>
                <c:pt idx="5014">
                  <c:v>3.68</c:v>
                </c:pt>
                <c:pt idx="5015">
                  <c:v>1.43</c:v>
                </c:pt>
                <c:pt idx="5016">
                  <c:v>0</c:v>
                </c:pt>
                <c:pt idx="5017">
                  <c:v>1.06</c:v>
                </c:pt>
                <c:pt idx="5018">
                  <c:v>1.49</c:v>
                </c:pt>
                <c:pt idx="5019">
                  <c:v>0.71</c:v>
                </c:pt>
                <c:pt idx="5020">
                  <c:v>0</c:v>
                </c:pt>
                <c:pt idx="5021">
                  <c:v>1.53</c:v>
                </c:pt>
                <c:pt idx="5022">
                  <c:v>2.84</c:v>
                </c:pt>
                <c:pt idx="5023">
                  <c:v>1.26</c:v>
                </c:pt>
                <c:pt idx="5024">
                  <c:v>0</c:v>
                </c:pt>
                <c:pt idx="5025">
                  <c:v>2.5</c:v>
                </c:pt>
                <c:pt idx="5026">
                  <c:v>2.79</c:v>
                </c:pt>
                <c:pt idx="5027">
                  <c:v>3</c:v>
                </c:pt>
                <c:pt idx="5028">
                  <c:v>3.05</c:v>
                </c:pt>
                <c:pt idx="5029">
                  <c:v>0.93</c:v>
                </c:pt>
                <c:pt idx="5030">
                  <c:v>0</c:v>
                </c:pt>
                <c:pt idx="5031">
                  <c:v>1.99</c:v>
                </c:pt>
                <c:pt idx="5032">
                  <c:v>3.13</c:v>
                </c:pt>
                <c:pt idx="5033">
                  <c:v>3.04</c:v>
                </c:pt>
                <c:pt idx="5034">
                  <c:v>3.73</c:v>
                </c:pt>
                <c:pt idx="5035">
                  <c:v>0.96</c:v>
                </c:pt>
                <c:pt idx="5036">
                  <c:v>0</c:v>
                </c:pt>
                <c:pt idx="5037">
                  <c:v>1.58</c:v>
                </c:pt>
                <c:pt idx="5038">
                  <c:v>3.35</c:v>
                </c:pt>
                <c:pt idx="5039">
                  <c:v>3.07</c:v>
                </c:pt>
                <c:pt idx="5040">
                  <c:v>1.35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0.63</c:v>
                </c:pt>
                <c:pt idx="5047">
                  <c:v>1.94</c:v>
                </c:pt>
                <c:pt idx="5048">
                  <c:v>2.93</c:v>
                </c:pt>
                <c:pt idx="5049">
                  <c:v>1.44</c:v>
                </c:pt>
                <c:pt idx="5050">
                  <c:v>2.27</c:v>
                </c:pt>
                <c:pt idx="5051">
                  <c:v>1.75</c:v>
                </c:pt>
                <c:pt idx="5052">
                  <c:v>2.97</c:v>
                </c:pt>
                <c:pt idx="5053">
                  <c:v>3.06</c:v>
                </c:pt>
                <c:pt idx="5054">
                  <c:v>3.51</c:v>
                </c:pt>
                <c:pt idx="5055">
                  <c:v>1.01</c:v>
                </c:pt>
                <c:pt idx="5056">
                  <c:v>0</c:v>
                </c:pt>
                <c:pt idx="5057">
                  <c:v>2.09</c:v>
                </c:pt>
                <c:pt idx="5058">
                  <c:v>3.09</c:v>
                </c:pt>
                <c:pt idx="5059">
                  <c:v>3.62</c:v>
                </c:pt>
                <c:pt idx="5060">
                  <c:v>3.57</c:v>
                </c:pt>
                <c:pt idx="5061">
                  <c:v>1.24</c:v>
                </c:pt>
                <c:pt idx="5062">
                  <c:v>0</c:v>
                </c:pt>
                <c:pt idx="5063">
                  <c:v>1.87</c:v>
                </c:pt>
                <c:pt idx="5064">
                  <c:v>0.44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1.28</c:v>
                </c:pt>
                <c:pt idx="5072">
                  <c:v>2.83</c:v>
                </c:pt>
                <c:pt idx="5073">
                  <c:v>2.86</c:v>
                </c:pt>
                <c:pt idx="5074">
                  <c:v>2.98</c:v>
                </c:pt>
                <c:pt idx="5075">
                  <c:v>1.52</c:v>
                </c:pt>
                <c:pt idx="5076">
                  <c:v>2.39</c:v>
                </c:pt>
                <c:pt idx="5077">
                  <c:v>1.5</c:v>
                </c:pt>
                <c:pt idx="5078">
                  <c:v>3.29</c:v>
                </c:pt>
                <c:pt idx="5079">
                  <c:v>3.37</c:v>
                </c:pt>
                <c:pt idx="5080">
                  <c:v>3.38</c:v>
                </c:pt>
                <c:pt idx="5081">
                  <c:v>1.65</c:v>
                </c:pt>
                <c:pt idx="5082">
                  <c:v>0.64</c:v>
                </c:pt>
                <c:pt idx="5083">
                  <c:v>3.69</c:v>
                </c:pt>
                <c:pt idx="5084">
                  <c:v>3.48</c:v>
                </c:pt>
                <c:pt idx="5085">
                  <c:v>1</c:v>
                </c:pt>
                <c:pt idx="5086">
                  <c:v>0.66</c:v>
                </c:pt>
                <c:pt idx="5087">
                  <c:v>0.69</c:v>
                </c:pt>
                <c:pt idx="5088">
                  <c:v>1.27</c:v>
                </c:pt>
                <c:pt idx="5089">
                  <c:v>1.43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1.6</c:v>
                </c:pt>
                <c:pt idx="5094">
                  <c:v>2.9</c:v>
                </c:pt>
                <c:pt idx="5095">
                  <c:v>1.37</c:v>
                </c:pt>
                <c:pt idx="5096">
                  <c:v>0</c:v>
                </c:pt>
                <c:pt idx="5097">
                  <c:v>1.7</c:v>
                </c:pt>
                <c:pt idx="5098">
                  <c:v>3.03</c:v>
                </c:pt>
                <c:pt idx="5099">
                  <c:v>1.35</c:v>
                </c:pt>
                <c:pt idx="5100">
                  <c:v>0.56000000000000005</c:v>
                </c:pt>
                <c:pt idx="5101">
                  <c:v>0</c:v>
                </c:pt>
                <c:pt idx="5102">
                  <c:v>3.54</c:v>
                </c:pt>
                <c:pt idx="5103">
                  <c:v>1.32</c:v>
                </c:pt>
                <c:pt idx="5104">
                  <c:v>0</c:v>
                </c:pt>
                <c:pt idx="5105">
                  <c:v>2.87</c:v>
                </c:pt>
                <c:pt idx="5106">
                  <c:v>0</c:v>
                </c:pt>
                <c:pt idx="5107">
                  <c:v>2.5</c:v>
                </c:pt>
                <c:pt idx="5108">
                  <c:v>3.72</c:v>
                </c:pt>
                <c:pt idx="5109">
                  <c:v>1.1100000000000001</c:v>
                </c:pt>
                <c:pt idx="5110">
                  <c:v>0</c:v>
                </c:pt>
                <c:pt idx="5111">
                  <c:v>0.3</c:v>
                </c:pt>
                <c:pt idx="5112">
                  <c:v>1.69</c:v>
                </c:pt>
                <c:pt idx="5113">
                  <c:v>1.91</c:v>
                </c:pt>
                <c:pt idx="5114">
                  <c:v>2.12</c:v>
                </c:pt>
                <c:pt idx="5115">
                  <c:v>0</c:v>
                </c:pt>
                <c:pt idx="5116">
                  <c:v>0</c:v>
                </c:pt>
                <c:pt idx="5117">
                  <c:v>1.88</c:v>
                </c:pt>
                <c:pt idx="5118">
                  <c:v>2.91</c:v>
                </c:pt>
                <c:pt idx="5119">
                  <c:v>0.62</c:v>
                </c:pt>
                <c:pt idx="5120">
                  <c:v>0</c:v>
                </c:pt>
                <c:pt idx="5121">
                  <c:v>1.83</c:v>
                </c:pt>
                <c:pt idx="5122">
                  <c:v>3.03</c:v>
                </c:pt>
                <c:pt idx="5123">
                  <c:v>1.21</c:v>
                </c:pt>
                <c:pt idx="5124">
                  <c:v>0</c:v>
                </c:pt>
                <c:pt idx="5125">
                  <c:v>1.1000000000000001</c:v>
                </c:pt>
                <c:pt idx="5126">
                  <c:v>1.98</c:v>
                </c:pt>
                <c:pt idx="5127">
                  <c:v>2.12</c:v>
                </c:pt>
                <c:pt idx="5128">
                  <c:v>3.39</c:v>
                </c:pt>
                <c:pt idx="5129">
                  <c:v>1.1499999999999999</c:v>
                </c:pt>
                <c:pt idx="5130">
                  <c:v>0.36</c:v>
                </c:pt>
                <c:pt idx="5131">
                  <c:v>1.81</c:v>
                </c:pt>
                <c:pt idx="5132">
                  <c:v>3.88</c:v>
                </c:pt>
                <c:pt idx="5133">
                  <c:v>1.73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1.34</c:v>
                </c:pt>
                <c:pt idx="5138">
                  <c:v>2.84</c:v>
                </c:pt>
                <c:pt idx="5139">
                  <c:v>0.8</c:v>
                </c:pt>
                <c:pt idx="5140">
                  <c:v>0</c:v>
                </c:pt>
                <c:pt idx="5141">
                  <c:v>1.63</c:v>
                </c:pt>
                <c:pt idx="5142">
                  <c:v>2.85</c:v>
                </c:pt>
                <c:pt idx="5143">
                  <c:v>2.83</c:v>
                </c:pt>
                <c:pt idx="5144">
                  <c:v>2.92</c:v>
                </c:pt>
                <c:pt idx="5145">
                  <c:v>1.21</c:v>
                </c:pt>
                <c:pt idx="5146">
                  <c:v>1.4</c:v>
                </c:pt>
                <c:pt idx="5147">
                  <c:v>2.98</c:v>
                </c:pt>
                <c:pt idx="5148">
                  <c:v>3.44</c:v>
                </c:pt>
                <c:pt idx="5149">
                  <c:v>3.21</c:v>
                </c:pt>
                <c:pt idx="5150">
                  <c:v>3.54</c:v>
                </c:pt>
                <c:pt idx="5151">
                  <c:v>1.32</c:v>
                </c:pt>
                <c:pt idx="5152">
                  <c:v>0</c:v>
                </c:pt>
                <c:pt idx="5153">
                  <c:v>2.87</c:v>
                </c:pt>
                <c:pt idx="5154">
                  <c:v>3.75</c:v>
                </c:pt>
                <c:pt idx="5155">
                  <c:v>3.69</c:v>
                </c:pt>
                <c:pt idx="5156">
                  <c:v>3.63</c:v>
                </c:pt>
                <c:pt idx="5157">
                  <c:v>1.7</c:v>
                </c:pt>
                <c:pt idx="5158">
                  <c:v>2.2000000000000002</c:v>
                </c:pt>
                <c:pt idx="5159">
                  <c:v>2.35</c:v>
                </c:pt>
                <c:pt idx="5160">
                  <c:v>3.46</c:v>
                </c:pt>
                <c:pt idx="5161">
                  <c:v>0.66</c:v>
                </c:pt>
                <c:pt idx="5162">
                  <c:v>0</c:v>
                </c:pt>
                <c:pt idx="5163">
                  <c:v>1.94</c:v>
                </c:pt>
                <c:pt idx="5164">
                  <c:v>3.01</c:v>
                </c:pt>
                <c:pt idx="5165">
                  <c:v>0.97</c:v>
                </c:pt>
                <c:pt idx="5166">
                  <c:v>0.6</c:v>
                </c:pt>
                <c:pt idx="5167">
                  <c:v>1.07</c:v>
                </c:pt>
                <c:pt idx="5168">
                  <c:v>2.76</c:v>
                </c:pt>
                <c:pt idx="5169">
                  <c:v>2.75</c:v>
                </c:pt>
                <c:pt idx="5170">
                  <c:v>3.01</c:v>
                </c:pt>
                <c:pt idx="5171">
                  <c:v>0.91</c:v>
                </c:pt>
                <c:pt idx="5172">
                  <c:v>1.97</c:v>
                </c:pt>
                <c:pt idx="5173">
                  <c:v>3.29</c:v>
                </c:pt>
                <c:pt idx="5174">
                  <c:v>3.65</c:v>
                </c:pt>
                <c:pt idx="5175">
                  <c:v>0.89</c:v>
                </c:pt>
                <c:pt idx="5176">
                  <c:v>1.93</c:v>
                </c:pt>
                <c:pt idx="5177">
                  <c:v>1.7</c:v>
                </c:pt>
                <c:pt idx="5178">
                  <c:v>3.8</c:v>
                </c:pt>
                <c:pt idx="5179">
                  <c:v>3.97</c:v>
                </c:pt>
                <c:pt idx="5180">
                  <c:v>3.87</c:v>
                </c:pt>
                <c:pt idx="5181">
                  <c:v>1.19</c:v>
                </c:pt>
                <c:pt idx="5182">
                  <c:v>0</c:v>
                </c:pt>
                <c:pt idx="5183">
                  <c:v>0.77</c:v>
                </c:pt>
                <c:pt idx="5184">
                  <c:v>2.34</c:v>
                </c:pt>
                <c:pt idx="5185">
                  <c:v>1.22</c:v>
                </c:pt>
                <c:pt idx="5186">
                  <c:v>0</c:v>
                </c:pt>
                <c:pt idx="5187">
                  <c:v>2.87</c:v>
                </c:pt>
                <c:pt idx="5188">
                  <c:v>4.4800000000000004</c:v>
                </c:pt>
                <c:pt idx="5189">
                  <c:v>3.39</c:v>
                </c:pt>
                <c:pt idx="5190">
                  <c:v>2.13</c:v>
                </c:pt>
                <c:pt idx="5191">
                  <c:v>0</c:v>
                </c:pt>
                <c:pt idx="5192">
                  <c:v>2.54</c:v>
                </c:pt>
                <c:pt idx="5193">
                  <c:v>2.61</c:v>
                </c:pt>
                <c:pt idx="5194">
                  <c:v>1.19</c:v>
                </c:pt>
                <c:pt idx="5195">
                  <c:v>0.71</c:v>
                </c:pt>
                <c:pt idx="5196">
                  <c:v>1.97</c:v>
                </c:pt>
                <c:pt idx="5197">
                  <c:v>3.29</c:v>
                </c:pt>
                <c:pt idx="5198">
                  <c:v>3.65</c:v>
                </c:pt>
                <c:pt idx="5199">
                  <c:v>1.86</c:v>
                </c:pt>
                <c:pt idx="5200">
                  <c:v>0</c:v>
                </c:pt>
                <c:pt idx="5201">
                  <c:v>2.04</c:v>
                </c:pt>
                <c:pt idx="5202">
                  <c:v>3.99</c:v>
                </c:pt>
                <c:pt idx="5203">
                  <c:v>3.2</c:v>
                </c:pt>
                <c:pt idx="5204">
                  <c:v>3.66</c:v>
                </c:pt>
                <c:pt idx="5205">
                  <c:v>1.56</c:v>
                </c:pt>
                <c:pt idx="5206">
                  <c:v>0</c:v>
                </c:pt>
                <c:pt idx="5207">
                  <c:v>1.04</c:v>
                </c:pt>
                <c:pt idx="5208">
                  <c:v>1.51</c:v>
                </c:pt>
                <c:pt idx="5209">
                  <c:v>0.56999999999999995</c:v>
                </c:pt>
                <c:pt idx="5210">
                  <c:v>0</c:v>
                </c:pt>
                <c:pt idx="5211">
                  <c:v>1.52</c:v>
                </c:pt>
                <c:pt idx="5212">
                  <c:v>2.97</c:v>
                </c:pt>
                <c:pt idx="5213">
                  <c:v>0.71</c:v>
                </c:pt>
                <c:pt idx="5214">
                  <c:v>1.57</c:v>
                </c:pt>
                <c:pt idx="5215">
                  <c:v>1.31</c:v>
                </c:pt>
                <c:pt idx="5216">
                  <c:v>0</c:v>
                </c:pt>
                <c:pt idx="5217">
                  <c:v>2.96</c:v>
                </c:pt>
                <c:pt idx="5218">
                  <c:v>2.68</c:v>
                </c:pt>
                <c:pt idx="5219">
                  <c:v>2.91</c:v>
                </c:pt>
                <c:pt idx="5220">
                  <c:v>0.72</c:v>
                </c:pt>
                <c:pt idx="5221">
                  <c:v>1.54</c:v>
                </c:pt>
                <c:pt idx="5222">
                  <c:v>3.29</c:v>
                </c:pt>
                <c:pt idx="5223">
                  <c:v>3.03</c:v>
                </c:pt>
                <c:pt idx="5224">
                  <c:v>3.22</c:v>
                </c:pt>
                <c:pt idx="5225">
                  <c:v>1.41</c:v>
                </c:pt>
                <c:pt idx="5226">
                  <c:v>0</c:v>
                </c:pt>
                <c:pt idx="5227">
                  <c:v>2.0499999999999998</c:v>
                </c:pt>
                <c:pt idx="5228">
                  <c:v>3.35</c:v>
                </c:pt>
                <c:pt idx="5229">
                  <c:v>1.59</c:v>
                </c:pt>
                <c:pt idx="5230">
                  <c:v>0</c:v>
                </c:pt>
                <c:pt idx="5231">
                  <c:v>1.47</c:v>
                </c:pt>
                <c:pt idx="5232">
                  <c:v>2.0499999999999998</c:v>
                </c:pt>
                <c:pt idx="5233">
                  <c:v>1.86</c:v>
                </c:pt>
                <c:pt idx="5234">
                  <c:v>0.68</c:v>
                </c:pt>
                <c:pt idx="5235">
                  <c:v>1.1100000000000001</c:v>
                </c:pt>
                <c:pt idx="5236">
                  <c:v>3.14</c:v>
                </c:pt>
                <c:pt idx="5237">
                  <c:v>1.77</c:v>
                </c:pt>
                <c:pt idx="5238">
                  <c:v>0</c:v>
                </c:pt>
                <c:pt idx="5239">
                  <c:v>0.73</c:v>
                </c:pt>
                <c:pt idx="5240">
                  <c:v>1.32</c:v>
                </c:pt>
                <c:pt idx="5241">
                  <c:v>1.5</c:v>
                </c:pt>
                <c:pt idx="5242">
                  <c:v>3.49</c:v>
                </c:pt>
                <c:pt idx="5243">
                  <c:v>1.53</c:v>
                </c:pt>
                <c:pt idx="5244">
                  <c:v>0.59</c:v>
                </c:pt>
                <c:pt idx="5245">
                  <c:v>1.87</c:v>
                </c:pt>
                <c:pt idx="5246">
                  <c:v>3.02</c:v>
                </c:pt>
                <c:pt idx="5247">
                  <c:v>3.07</c:v>
                </c:pt>
                <c:pt idx="5248">
                  <c:v>2.92</c:v>
                </c:pt>
                <c:pt idx="5249">
                  <c:v>2.41</c:v>
                </c:pt>
                <c:pt idx="5250">
                  <c:v>0</c:v>
                </c:pt>
                <c:pt idx="5251">
                  <c:v>2.2000000000000002</c:v>
                </c:pt>
                <c:pt idx="5252">
                  <c:v>3.87</c:v>
                </c:pt>
                <c:pt idx="5253">
                  <c:v>1.66</c:v>
                </c:pt>
                <c:pt idx="5254">
                  <c:v>0</c:v>
                </c:pt>
                <c:pt idx="5255">
                  <c:v>0.88</c:v>
                </c:pt>
                <c:pt idx="5256">
                  <c:v>2.12</c:v>
                </c:pt>
                <c:pt idx="5257">
                  <c:v>0.81</c:v>
                </c:pt>
                <c:pt idx="5258">
                  <c:v>0</c:v>
                </c:pt>
                <c:pt idx="5259">
                  <c:v>1.53</c:v>
                </c:pt>
                <c:pt idx="5260">
                  <c:v>2.81</c:v>
                </c:pt>
                <c:pt idx="5261">
                  <c:v>1.56</c:v>
                </c:pt>
                <c:pt idx="5262">
                  <c:v>0</c:v>
                </c:pt>
                <c:pt idx="5263">
                  <c:v>1.69</c:v>
                </c:pt>
                <c:pt idx="5264">
                  <c:v>2.97</c:v>
                </c:pt>
                <c:pt idx="5265">
                  <c:v>2.16</c:v>
                </c:pt>
                <c:pt idx="5266">
                  <c:v>1.87</c:v>
                </c:pt>
                <c:pt idx="5267">
                  <c:v>1.1299999999999999</c:v>
                </c:pt>
                <c:pt idx="5268">
                  <c:v>0.2</c:v>
                </c:pt>
                <c:pt idx="5269">
                  <c:v>3.16</c:v>
                </c:pt>
                <c:pt idx="5270">
                  <c:v>3.37</c:v>
                </c:pt>
                <c:pt idx="5271">
                  <c:v>2.76</c:v>
                </c:pt>
                <c:pt idx="5272">
                  <c:v>3.31</c:v>
                </c:pt>
                <c:pt idx="5273">
                  <c:v>2.09</c:v>
                </c:pt>
                <c:pt idx="5274">
                  <c:v>3.43</c:v>
                </c:pt>
                <c:pt idx="5275">
                  <c:v>2.16</c:v>
                </c:pt>
                <c:pt idx="5276">
                  <c:v>3.22</c:v>
                </c:pt>
                <c:pt idx="5277">
                  <c:v>0.7</c:v>
                </c:pt>
                <c:pt idx="5278">
                  <c:v>2.39</c:v>
                </c:pt>
                <c:pt idx="5279">
                  <c:v>0.83</c:v>
                </c:pt>
                <c:pt idx="5280">
                  <c:v>1.52</c:v>
                </c:pt>
                <c:pt idx="5281">
                  <c:v>0.35</c:v>
                </c:pt>
                <c:pt idx="5282">
                  <c:v>0</c:v>
                </c:pt>
                <c:pt idx="5283">
                  <c:v>0</c:v>
                </c:pt>
                <c:pt idx="5284">
                  <c:v>1.8</c:v>
                </c:pt>
                <c:pt idx="5285">
                  <c:v>2.87</c:v>
                </c:pt>
                <c:pt idx="5286">
                  <c:v>1.82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1.58</c:v>
                </c:pt>
                <c:pt idx="5292">
                  <c:v>3.44</c:v>
                </c:pt>
                <c:pt idx="5293">
                  <c:v>3.17</c:v>
                </c:pt>
                <c:pt idx="5294">
                  <c:v>3.03</c:v>
                </c:pt>
                <c:pt idx="5295">
                  <c:v>1.1399999999999999</c:v>
                </c:pt>
                <c:pt idx="5296">
                  <c:v>0</c:v>
                </c:pt>
                <c:pt idx="5297">
                  <c:v>2.0499999999999998</c:v>
                </c:pt>
                <c:pt idx="5298">
                  <c:v>4.1500000000000004</c:v>
                </c:pt>
                <c:pt idx="5299">
                  <c:v>4.3099999999999996</c:v>
                </c:pt>
                <c:pt idx="5300">
                  <c:v>4.1399999999999997</c:v>
                </c:pt>
                <c:pt idx="5301">
                  <c:v>1.6</c:v>
                </c:pt>
                <c:pt idx="5302">
                  <c:v>0</c:v>
                </c:pt>
                <c:pt idx="5303">
                  <c:v>1.67</c:v>
                </c:pt>
                <c:pt idx="5304">
                  <c:v>3.08</c:v>
                </c:pt>
                <c:pt idx="5305">
                  <c:v>1.19</c:v>
                </c:pt>
                <c:pt idx="5306">
                  <c:v>0</c:v>
                </c:pt>
                <c:pt idx="5307">
                  <c:v>1.44</c:v>
                </c:pt>
                <c:pt idx="5308">
                  <c:v>2.9</c:v>
                </c:pt>
                <c:pt idx="5309">
                  <c:v>0.96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0.59</c:v>
                </c:pt>
                <c:pt idx="5314">
                  <c:v>1.86</c:v>
                </c:pt>
                <c:pt idx="5315">
                  <c:v>0.82</c:v>
                </c:pt>
                <c:pt idx="5316">
                  <c:v>0</c:v>
                </c:pt>
                <c:pt idx="5317">
                  <c:v>1.35</c:v>
                </c:pt>
                <c:pt idx="5318">
                  <c:v>1.78</c:v>
                </c:pt>
                <c:pt idx="5319">
                  <c:v>0.71</c:v>
                </c:pt>
                <c:pt idx="5320">
                  <c:v>0</c:v>
                </c:pt>
                <c:pt idx="5321">
                  <c:v>2.25</c:v>
                </c:pt>
                <c:pt idx="5322">
                  <c:v>4.37</c:v>
                </c:pt>
                <c:pt idx="5323">
                  <c:v>1.9</c:v>
                </c:pt>
                <c:pt idx="5324">
                  <c:v>0</c:v>
                </c:pt>
                <c:pt idx="5325">
                  <c:v>2.0299999999999998</c:v>
                </c:pt>
                <c:pt idx="5326">
                  <c:v>3.44</c:v>
                </c:pt>
                <c:pt idx="5327">
                  <c:v>2.79</c:v>
                </c:pt>
                <c:pt idx="5328">
                  <c:v>0</c:v>
                </c:pt>
                <c:pt idx="5329">
                  <c:v>0</c:v>
                </c:pt>
                <c:pt idx="5330">
                  <c:v>0.52</c:v>
                </c:pt>
                <c:pt idx="5331">
                  <c:v>1.1200000000000001</c:v>
                </c:pt>
                <c:pt idx="5332">
                  <c:v>1.1000000000000001</c:v>
                </c:pt>
                <c:pt idx="5333">
                  <c:v>1.25</c:v>
                </c:pt>
                <c:pt idx="5334">
                  <c:v>0</c:v>
                </c:pt>
                <c:pt idx="5335">
                  <c:v>1.28</c:v>
                </c:pt>
                <c:pt idx="5336">
                  <c:v>2.74</c:v>
                </c:pt>
                <c:pt idx="5337">
                  <c:v>2.61</c:v>
                </c:pt>
                <c:pt idx="5338">
                  <c:v>0.72</c:v>
                </c:pt>
                <c:pt idx="5339">
                  <c:v>1.64</c:v>
                </c:pt>
                <c:pt idx="5340">
                  <c:v>2.36</c:v>
                </c:pt>
                <c:pt idx="5341">
                  <c:v>1.98</c:v>
                </c:pt>
                <c:pt idx="5342">
                  <c:v>0.1</c:v>
                </c:pt>
                <c:pt idx="5343">
                  <c:v>1.32</c:v>
                </c:pt>
                <c:pt idx="5344">
                  <c:v>3.2</c:v>
                </c:pt>
                <c:pt idx="5345">
                  <c:v>2.91</c:v>
                </c:pt>
                <c:pt idx="5346">
                  <c:v>3.47</c:v>
                </c:pt>
                <c:pt idx="5347">
                  <c:v>0.93</c:v>
                </c:pt>
                <c:pt idx="5348">
                  <c:v>2.0499999999999998</c:v>
                </c:pt>
                <c:pt idx="5349">
                  <c:v>3.19</c:v>
                </c:pt>
                <c:pt idx="5350">
                  <c:v>2.92</c:v>
                </c:pt>
                <c:pt idx="5351">
                  <c:v>1.45</c:v>
                </c:pt>
                <c:pt idx="5352">
                  <c:v>0.35</c:v>
                </c:pt>
                <c:pt idx="5353">
                  <c:v>0.6</c:v>
                </c:pt>
                <c:pt idx="5354">
                  <c:v>2.79</c:v>
                </c:pt>
                <c:pt idx="5355">
                  <c:v>2.64</c:v>
                </c:pt>
                <c:pt idx="5356">
                  <c:v>2.72</c:v>
                </c:pt>
                <c:pt idx="5357">
                  <c:v>0.85</c:v>
                </c:pt>
                <c:pt idx="5358">
                  <c:v>0</c:v>
                </c:pt>
                <c:pt idx="5359">
                  <c:v>2.42</c:v>
                </c:pt>
                <c:pt idx="5360">
                  <c:v>2.76</c:v>
                </c:pt>
                <c:pt idx="5361">
                  <c:v>2.92</c:v>
                </c:pt>
                <c:pt idx="5362">
                  <c:v>1.83</c:v>
                </c:pt>
                <c:pt idx="5363">
                  <c:v>0.61</c:v>
                </c:pt>
                <c:pt idx="5364">
                  <c:v>1.86</c:v>
                </c:pt>
                <c:pt idx="5365">
                  <c:v>3.11</c:v>
                </c:pt>
                <c:pt idx="5366">
                  <c:v>2.66</c:v>
                </c:pt>
                <c:pt idx="5367">
                  <c:v>2.87</c:v>
                </c:pt>
                <c:pt idx="5368">
                  <c:v>2.19</c:v>
                </c:pt>
                <c:pt idx="5369">
                  <c:v>0</c:v>
                </c:pt>
                <c:pt idx="5370">
                  <c:v>0.95</c:v>
                </c:pt>
                <c:pt idx="5371">
                  <c:v>2.2400000000000002</c:v>
                </c:pt>
                <c:pt idx="5372">
                  <c:v>3.17</c:v>
                </c:pt>
                <c:pt idx="5373">
                  <c:v>1.34</c:v>
                </c:pt>
                <c:pt idx="5374">
                  <c:v>0</c:v>
                </c:pt>
                <c:pt idx="5375">
                  <c:v>0.56999999999999995</c:v>
                </c:pt>
                <c:pt idx="5376">
                  <c:v>1.18</c:v>
                </c:pt>
                <c:pt idx="5377">
                  <c:v>0.62</c:v>
                </c:pt>
                <c:pt idx="5378">
                  <c:v>0</c:v>
                </c:pt>
                <c:pt idx="5379">
                  <c:v>1.43</c:v>
                </c:pt>
                <c:pt idx="5380">
                  <c:v>2.29</c:v>
                </c:pt>
                <c:pt idx="5381">
                  <c:v>1.54</c:v>
                </c:pt>
                <c:pt idx="5382">
                  <c:v>0</c:v>
                </c:pt>
                <c:pt idx="5383">
                  <c:v>0.39</c:v>
                </c:pt>
                <c:pt idx="5384">
                  <c:v>0.67</c:v>
                </c:pt>
                <c:pt idx="5385">
                  <c:v>0.28000000000000003</c:v>
                </c:pt>
                <c:pt idx="5386">
                  <c:v>0</c:v>
                </c:pt>
                <c:pt idx="5387">
                  <c:v>0</c:v>
                </c:pt>
                <c:pt idx="5388">
                  <c:v>0.73</c:v>
                </c:pt>
                <c:pt idx="5389">
                  <c:v>0.51</c:v>
                </c:pt>
                <c:pt idx="5390">
                  <c:v>0</c:v>
                </c:pt>
                <c:pt idx="5391">
                  <c:v>1.9</c:v>
                </c:pt>
                <c:pt idx="5392">
                  <c:v>3.59</c:v>
                </c:pt>
                <c:pt idx="5393">
                  <c:v>3.73</c:v>
                </c:pt>
                <c:pt idx="5394">
                  <c:v>3.83</c:v>
                </c:pt>
                <c:pt idx="5395">
                  <c:v>0.89</c:v>
                </c:pt>
                <c:pt idx="5396">
                  <c:v>0</c:v>
                </c:pt>
                <c:pt idx="5397">
                  <c:v>2.5299999999999998</c:v>
                </c:pt>
                <c:pt idx="5398">
                  <c:v>3.62</c:v>
                </c:pt>
                <c:pt idx="5399">
                  <c:v>1.66</c:v>
                </c:pt>
                <c:pt idx="5400">
                  <c:v>0</c:v>
                </c:pt>
                <c:pt idx="5401">
                  <c:v>1.02</c:v>
                </c:pt>
                <c:pt idx="5402">
                  <c:v>2.9</c:v>
                </c:pt>
                <c:pt idx="5403">
                  <c:v>2.5499999999999998</c:v>
                </c:pt>
                <c:pt idx="5404">
                  <c:v>0</c:v>
                </c:pt>
                <c:pt idx="5405">
                  <c:v>0.96</c:v>
                </c:pt>
                <c:pt idx="5406">
                  <c:v>1.33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0.75</c:v>
                </c:pt>
                <c:pt idx="5411">
                  <c:v>0.21</c:v>
                </c:pt>
                <c:pt idx="5412">
                  <c:v>0</c:v>
                </c:pt>
                <c:pt idx="5413">
                  <c:v>1.21</c:v>
                </c:pt>
                <c:pt idx="5414">
                  <c:v>2.85</c:v>
                </c:pt>
                <c:pt idx="5415">
                  <c:v>3.05</c:v>
                </c:pt>
                <c:pt idx="5416">
                  <c:v>2.63</c:v>
                </c:pt>
                <c:pt idx="5417">
                  <c:v>1.29</c:v>
                </c:pt>
                <c:pt idx="5418">
                  <c:v>0.43</c:v>
                </c:pt>
                <c:pt idx="5419">
                  <c:v>1.01</c:v>
                </c:pt>
                <c:pt idx="5420">
                  <c:v>1.39</c:v>
                </c:pt>
                <c:pt idx="5421">
                  <c:v>1</c:v>
                </c:pt>
                <c:pt idx="5422">
                  <c:v>2.46</c:v>
                </c:pt>
                <c:pt idx="5423">
                  <c:v>2.85</c:v>
                </c:pt>
                <c:pt idx="5424">
                  <c:v>1.8</c:v>
                </c:pt>
                <c:pt idx="5425">
                  <c:v>0.54</c:v>
                </c:pt>
                <c:pt idx="5426">
                  <c:v>2.63</c:v>
                </c:pt>
                <c:pt idx="5427">
                  <c:v>2.68</c:v>
                </c:pt>
                <c:pt idx="5428">
                  <c:v>0</c:v>
                </c:pt>
                <c:pt idx="5429">
                  <c:v>0</c:v>
                </c:pt>
                <c:pt idx="5430">
                  <c:v>1.86</c:v>
                </c:pt>
                <c:pt idx="5431">
                  <c:v>2.13</c:v>
                </c:pt>
                <c:pt idx="5432">
                  <c:v>2.4</c:v>
                </c:pt>
                <c:pt idx="5433">
                  <c:v>0.82</c:v>
                </c:pt>
                <c:pt idx="5434">
                  <c:v>0</c:v>
                </c:pt>
                <c:pt idx="5435">
                  <c:v>0.62</c:v>
                </c:pt>
                <c:pt idx="5436">
                  <c:v>1.63</c:v>
                </c:pt>
                <c:pt idx="5437">
                  <c:v>0.84</c:v>
                </c:pt>
                <c:pt idx="5438">
                  <c:v>0</c:v>
                </c:pt>
                <c:pt idx="5439">
                  <c:v>0</c:v>
                </c:pt>
                <c:pt idx="5440">
                  <c:v>1.35</c:v>
                </c:pt>
                <c:pt idx="5441">
                  <c:v>3.01</c:v>
                </c:pt>
                <c:pt idx="5442">
                  <c:v>0</c:v>
                </c:pt>
                <c:pt idx="5443">
                  <c:v>1.48</c:v>
                </c:pt>
                <c:pt idx="5444">
                  <c:v>1.72</c:v>
                </c:pt>
                <c:pt idx="5445">
                  <c:v>0.79</c:v>
                </c:pt>
                <c:pt idx="5446">
                  <c:v>0</c:v>
                </c:pt>
                <c:pt idx="5447">
                  <c:v>1.6</c:v>
                </c:pt>
                <c:pt idx="5448">
                  <c:v>1.22</c:v>
                </c:pt>
                <c:pt idx="5449">
                  <c:v>0.48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1.7</c:v>
                </c:pt>
                <c:pt idx="5454">
                  <c:v>2.68</c:v>
                </c:pt>
                <c:pt idx="5455">
                  <c:v>1.24</c:v>
                </c:pt>
                <c:pt idx="5456">
                  <c:v>0</c:v>
                </c:pt>
                <c:pt idx="5457">
                  <c:v>0.68</c:v>
                </c:pt>
                <c:pt idx="5458">
                  <c:v>0.36</c:v>
                </c:pt>
                <c:pt idx="5459">
                  <c:v>0.52</c:v>
                </c:pt>
                <c:pt idx="5460">
                  <c:v>1.26</c:v>
                </c:pt>
                <c:pt idx="5461">
                  <c:v>1.78</c:v>
                </c:pt>
                <c:pt idx="5462">
                  <c:v>0</c:v>
                </c:pt>
                <c:pt idx="5463">
                  <c:v>1.02</c:v>
                </c:pt>
                <c:pt idx="5464">
                  <c:v>1.29</c:v>
                </c:pt>
                <c:pt idx="5465">
                  <c:v>1.08</c:v>
                </c:pt>
                <c:pt idx="5466">
                  <c:v>0</c:v>
                </c:pt>
                <c:pt idx="5467">
                  <c:v>2.48</c:v>
                </c:pt>
                <c:pt idx="5468">
                  <c:v>3.61</c:v>
                </c:pt>
                <c:pt idx="5469">
                  <c:v>1.07</c:v>
                </c:pt>
                <c:pt idx="5470">
                  <c:v>0</c:v>
                </c:pt>
                <c:pt idx="5471">
                  <c:v>1.24</c:v>
                </c:pt>
                <c:pt idx="5472">
                  <c:v>0.67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0.05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0.47</c:v>
                </c:pt>
                <c:pt idx="5482">
                  <c:v>1.5</c:v>
                </c:pt>
                <c:pt idx="5483">
                  <c:v>0.75</c:v>
                </c:pt>
                <c:pt idx="5484">
                  <c:v>0</c:v>
                </c:pt>
                <c:pt idx="5485">
                  <c:v>1.44</c:v>
                </c:pt>
                <c:pt idx="5486">
                  <c:v>3.16</c:v>
                </c:pt>
                <c:pt idx="5487">
                  <c:v>1.02</c:v>
                </c:pt>
                <c:pt idx="5488">
                  <c:v>0</c:v>
                </c:pt>
                <c:pt idx="5489">
                  <c:v>1.55</c:v>
                </c:pt>
                <c:pt idx="5490">
                  <c:v>1.81</c:v>
                </c:pt>
                <c:pt idx="5491">
                  <c:v>0.9</c:v>
                </c:pt>
                <c:pt idx="5492">
                  <c:v>0</c:v>
                </c:pt>
                <c:pt idx="5493">
                  <c:v>0.5</c:v>
                </c:pt>
                <c:pt idx="5494">
                  <c:v>2.64</c:v>
                </c:pt>
                <c:pt idx="5495">
                  <c:v>1.2</c:v>
                </c:pt>
                <c:pt idx="5496">
                  <c:v>0</c:v>
                </c:pt>
                <c:pt idx="5497">
                  <c:v>1.82</c:v>
                </c:pt>
                <c:pt idx="5498">
                  <c:v>2.96</c:v>
                </c:pt>
                <c:pt idx="5499">
                  <c:v>1.36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1.87</c:v>
                </c:pt>
                <c:pt idx="5504">
                  <c:v>2.21</c:v>
                </c:pt>
                <c:pt idx="5505">
                  <c:v>0.6</c:v>
                </c:pt>
                <c:pt idx="5506">
                  <c:v>0</c:v>
                </c:pt>
                <c:pt idx="5507">
                  <c:v>0.41</c:v>
                </c:pt>
                <c:pt idx="5508">
                  <c:v>0.43</c:v>
                </c:pt>
                <c:pt idx="5509">
                  <c:v>0.71</c:v>
                </c:pt>
                <c:pt idx="5510">
                  <c:v>0</c:v>
                </c:pt>
                <c:pt idx="5511">
                  <c:v>0.8</c:v>
                </c:pt>
                <c:pt idx="5512">
                  <c:v>3.7</c:v>
                </c:pt>
                <c:pt idx="5513">
                  <c:v>1.61</c:v>
                </c:pt>
                <c:pt idx="5514">
                  <c:v>0</c:v>
                </c:pt>
                <c:pt idx="5515">
                  <c:v>1.44</c:v>
                </c:pt>
                <c:pt idx="5516">
                  <c:v>2.69</c:v>
                </c:pt>
                <c:pt idx="5517">
                  <c:v>0.67</c:v>
                </c:pt>
                <c:pt idx="5518">
                  <c:v>0</c:v>
                </c:pt>
                <c:pt idx="5519">
                  <c:v>0</c:v>
                </c:pt>
                <c:pt idx="5520">
                  <c:v>0.22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0.09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0.3</c:v>
                </c:pt>
                <c:pt idx="5531">
                  <c:v>0.56999999999999995</c:v>
                </c:pt>
                <c:pt idx="5532">
                  <c:v>0.72</c:v>
                </c:pt>
                <c:pt idx="5533">
                  <c:v>2.13</c:v>
                </c:pt>
                <c:pt idx="5534">
                  <c:v>2.99</c:v>
                </c:pt>
                <c:pt idx="5535">
                  <c:v>1.1000000000000001</c:v>
                </c:pt>
                <c:pt idx="5536">
                  <c:v>0</c:v>
                </c:pt>
                <c:pt idx="5537">
                  <c:v>0.96</c:v>
                </c:pt>
                <c:pt idx="5538">
                  <c:v>1.87</c:v>
                </c:pt>
                <c:pt idx="5539">
                  <c:v>0.51</c:v>
                </c:pt>
                <c:pt idx="5540">
                  <c:v>0</c:v>
                </c:pt>
                <c:pt idx="5541">
                  <c:v>0.22</c:v>
                </c:pt>
                <c:pt idx="5542">
                  <c:v>1.27</c:v>
                </c:pt>
                <c:pt idx="5543">
                  <c:v>0</c:v>
                </c:pt>
                <c:pt idx="5544">
                  <c:v>0</c:v>
                </c:pt>
                <c:pt idx="5545">
                  <c:v>0.2</c:v>
                </c:pt>
                <c:pt idx="5546">
                  <c:v>0.53</c:v>
                </c:pt>
                <c:pt idx="5547">
                  <c:v>0</c:v>
                </c:pt>
                <c:pt idx="5548">
                  <c:v>0.33</c:v>
                </c:pt>
                <c:pt idx="5549">
                  <c:v>1.63</c:v>
                </c:pt>
                <c:pt idx="5550">
                  <c:v>0.24</c:v>
                </c:pt>
                <c:pt idx="5551">
                  <c:v>2.2799999999999998</c:v>
                </c:pt>
                <c:pt idx="5552">
                  <c:v>0</c:v>
                </c:pt>
                <c:pt idx="5553">
                  <c:v>0</c:v>
                </c:pt>
                <c:pt idx="5554">
                  <c:v>1.36</c:v>
                </c:pt>
                <c:pt idx="5555">
                  <c:v>2.83</c:v>
                </c:pt>
                <c:pt idx="5556">
                  <c:v>3.2</c:v>
                </c:pt>
                <c:pt idx="5557">
                  <c:v>4.53</c:v>
                </c:pt>
                <c:pt idx="5558">
                  <c:v>1.65</c:v>
                </c:pt>
                <c:pt idx="5559">
                  <c:v>0</c:v>
                </c:pt>
                <c:pt idx="5560">
                  <c:v>0</c:v>
                </c:pt>
                <c:pt idx="5561">
                  <c:v>2.2400000000000002</c:v>
                </c:pt>
                <c:pt idx="5562">
                  <c:v>3.1</c:v>
                </c:pt>
                <c:pt idx="5563">
                  <c:v>1.1100000000000001</c:v>
                </c:pt>
                <c:pt idx="5564">
                  <c:v>0</c:v>
                </c:pt>
                <c:pt idx="5565">
                  <c:v>0.78</c:v>
                </c:pt>
                <c:pt idx="5566">
                  <c:v>0.64</c:v>
                </c:pt>
                <c:pt idx="5567">
                  <c:v>0</c:v>
                </c:pt>
                <c:pt idx="5568">
                  <c:v>0</c:v>
                </c:pt>
                <c:pt idx="5569">
                  <c:v>0.27</c:v>
                </c:pt>
                <c:pt idx="5570">
                  <c:v>2.58</c:v>
                </c:pt>
                <c:pt idx="5571">
                  <c:v>0.65</c:v>
                </c:pt>
                <c:pt idx="5572">
                  <c:v>0</c:v>
                </c:pt>
                <c:pt idx="5573">
                  <c:v>0</c:v>
                </c:pt>
                <c:pt idx="5574">
                  <c:v>0.76</c:v>
                </c:pt>
                <c:pt idx="5575">
                  <c:v>0.33</c:v>
                </c:pt>
                <c:pt idx="5576">
                  <c:v>0</c:v>
                </c:pt>
                <c:pt idx="5577">
                  <c:v>0.92</c:v>
                </c:pt>
                <c:pt idx="5578">
                  <c:v>2.8</c:v>
                </c:pt>
                <c:pt idx="5579">
                  <c:v>2.2599999999999998</c:v>
                </c:pt>
                <c:pt idx="5580">
                  <c:v>0</c:v>
                </c:pt>
                <c:pt idx="5581">
                  <c:v>0.43</c:v>
                </c:pt>
                <c:pt idx="5582">
                  <c:v>1.36</c:v>
                </c:pt>
                <c:pt idx="5583">
                  <c:v>0.48</c:v>
                </c:pt>
                <c:pt idx="5584">
                  <c:v>0</c:v>
                </c:pt>
                <c:pt idx="5585">
                  <c:v>0.44</c:v>
                </c:pt>
                <c:pt idx="5586">
                  <c:v>1.54</c:v>
                </c:pt>
                <c:pt idx="5587">
                  <c:v>0.47</c:v>
                </c:pt>
                <c:pt idx="5588">
                  <c:v>0</c:v>
                </c:pt>
                <c:pt idx="5589">
                  <c:v>2.0499999999999998</c:v>
                </c:pt>
                <c:pt idx="5590">
                  <c:v>2.72</c:v>
                </c:pt>
                <c:pt idx="5591">
                  <c:v>0.99</c:v>
                </c:pt>
                <c:pt idx="5592">
                  <c:v>0</c:v>
                </c:pt>
                <c:pt idx="5593">
                  <c:v>0</c:v>
                </c:pt>
                <c:pt idx="5594">
                  <c:v>0.46</c:v>
                </c:pt>
                <c:pt idx="5595">
                  <c:v>0.97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2.3199999999999998</c:v>
                </c:pt>
                <c:pt idx="5603">
                  <c:v>0.38</c:v>
                </c:pt>
                <c:pt idx="5604">
                  <c:v>0</c:v>
                </c:pt>
                <c:pt idx="5605">
                  <c:v>0</c:v>
                </c:pt>
                <c:pt idx="5606">
                  <c:v>0.83</c:v>
                </c:pt>
                <c:pt idx="5607">
                  <c:v>0.4</c:v>
                </c:pt>
                <c:pt idx="5608">
                  <c:v>0</c:v>
                </c:pt>
                <c:pt idx="5609">
                  <c:v>0.9</c:v>
                </c:pt>
                <c:pt idx="5610">
                  <c:v>3.7</c:v>
                </c:pt>
                <c:pt idx="5611">
                  <c:v>1.24</c:v>
                </c:pt>
                <c:pt idx="5612">
                  <c:v>0</c:v>
                </c:pt>
                <c:pt idx="5613">
                  <c:v>1.74</c:v>
                </c:pt>
                <c:pt idx="5614">
                  <c:v>3.25</c:v>
                </c:pt>
                <c:pt idx="5615">
                  <c:v>1.72</c:v>
                </c:pt>
                <c:pt idx="5616">
                  <c:v>0</c:v>
                </c:pt>
                <c:pt idx="5617">
                  <c:v>1.01</c:v>
                </c:pt>
                <c:pt idx="5618">
                  <c:v>2.56</c:v>
                </c:pt>
                <c:pt idx="5619">
                  <c:v>0.72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2.58</c:v>
                </c:pt>
                <c:pt idx="5627">
                  <c:v>1.19</c:v>
                </c:pt>
                <c:pt idx="5628">
                  <c:v>0</c:v>
                </c:pt>
                <c:pt idx="5629">
                  <c:v>1.67</c:v>
                </c:pt>
                <c:pt idx="5630">
                  <c:v>3.86</c:v>
                </c:pt>
                <c:pt idx="5631">
                  <c:v>1.54</c:v>
                </c:pt>
                <c:pt idx="5632">
                  <c:v>0</c:v>
                </c:pt>
                <c:pt idx="5633">
                  <c:v>1.84</c:v>
                </c:pt>
                <c:pt idx="5634">
                  <c:v>3.41</c:v>
                </c:pt>
                <c:pt idx="5635">
                  <c:v>1.1100000000000001</c:v>
                </c:pt>
                <c:pt idx="5636">
                  <c:v>0</c:v>
                </c:pt>
                <c:pt idx="5637">
                  <c:v>1.1000000000000001</c:v>
                </c:pt>
                <c:pt idx="5638">
                  <c:v>0.27</c:v>
                </c:pt>
                <c:pt idx="5639">
                  <c:v>0.24</c:v>
                </c:pt>
                <c:pt idx="5640">
                  <c:v>0</c:v>
                </c:pt>
                <c:pt idx="5641">
                  <c:v>0.42</c:v>
                </c:pt>
                <c:pt idx="5642">
                  <c:v>0.56999999999999995</c:v>
                </c:pt>
                <c:pt idx="5643">
                  <c:v>0.27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2.0699999999999998</c:v>
                </c:pt>
                <c:pt idx="5650">
                  <c:v>2.85</c:v>
                </c:pt>
                <c:pt idx="5651">
                  <c:v>1.02</c:v>
                </c:pt>
                <c:pt idx="5652">
                  <c:v>0</c:v>
                </c:pt>
                <c:pt idx="5653">
                  <c:v>1.1000000000000001</c:v>
                </c:pt>
                <c:pt idx="5654">
                  <c:v>3.42</c:v>
                </c:pt>
                <c:pt idx="5655">
                  <c:v>0.86</c:v>
                </c:pt>
                <c:pt idx="5656">
                  <c:v>0</c:v>
                </c:pt>
                <c:pt idx="5657">
                  <c:v>0.97</c:v>
                </c:pt>
                <c:pt idx="5658">
                  <c:v>3.69</c:v>
                </c:pt>
                <c:pt idx="5659">
                  <c:v>1.19</c:v>
                </c:pt>
                <c:pt idx="5660">
                  <c:v>0</c:v>
                </c:pt>
                <c:pt idx="5661">
                  <c:v>0.59</c:v>
                </c:pt>
                <c:pt idx="5662">
                  <c:v>1.46</c:v>
                </c:pt>
                <c:pt idx="5663">
                  <c:v>0.63</c:v>
                </c:pt>
                <c:pt idx="5664">
                  <c:v>0</c:v>
                </c:pt>
                <c:pt idx="5665">
                  <c:v>1.06</c:v>
                </c:pt>
                <c:pt idx="5666">
                  <c:v>2.44</c:v>
                </c:pt>
                <c:pt idx="5667">
                  <c:v>1.71</c:v>
                </c:pt>
                <c:pt idx="5668">
                  <c:v>0</c:v>
                </c:pt>
                <c:pt idx="5669">
                  <c:v>1.57</c:v>
                </c:pt>
                <c:pt idx="5670">
                  <c:v>2.88</c:v>
                </c:pt>
                <c:pt idx="5671">
                  <c:v>0.95</c:v>
                </c:pt>
                <c:pt idx="5672">
                  <c:v>0</c:v>
                </c:pt>
                <c:pt idx="5673">
                  <c:v>0.2</c:v>
                </c:pt>
                <c:pt idx="5674">
                  <c:v>0.67</c:v>
                </c:pt>
                <c:pt idx="5675">
                  <c:v>0</c:v>
                </c:pt>
                <c:pt idx="5676">
                  <c:v>0</c:v>
                </c:pt>
                <c:pt idx="5677">
                  <c:v>1.01</c:v>
                </c:pt>
                <c:pt idx="5678">
                  <c:v>1.1299999999999999</c:v>
                </c:pt>
                <c:pt idx="5679">
                  <c:v>2.06</c:v>
                </c:pt>
                <c:pt idx="5680">
                  <c:v>2.23</c:v>
                </c:pt>
                <c:pt idx="5681">
                  <c:v>0</c:v>
                </c:pt>
                <c:pt idx="5682">
                  <c:v>0</c:v>
                </c:pt>
                <c:pt idx="5683">
                  <c:v>0.97</c:v>
                </c:pt>
                <c:pt idx="5684">
                  <c:v>1.54</c:v>
                </c:pt>
                <c:pt idx="5685">
                  <c:v>0</c:v>
                </c:pt>
                <c:pt idx="5686">
                  <c:v>0</c:v>
                </c:pt>
                <c:pt idx="5687">
                  <c:v>0.67</c:v>
                </c:pt>
                <c:pt idx="5688">
                  <c:v>0.51</c:v>
                </c:pt>
                <c:pt idx="5689">
                  <c:v>0.54</c:v>
                </c:pt>
                <c:pt idx="5690">
                  <c:v>0</c:v>
                </c:pt>
                <c:pt idx="5691">
                  <c:v>1.79</c:v>
                </c:pt>
                <c:pt idx="5692">
                  <c:v>3.36</c:v>
                </c:pt>
                <c:pt idx="5693">
                  <c:v>0.9</c:v>
                </c:pt>
                <c:pt idx="5694">
                  <c:v>0</c:v>
                </c:pt>
                <c:pt idx="5695">
                  <c:v>0</c:v>
                </c:pt>
                <c:pt idx="5696">
                  <c:v>0.66</c:v>
                </c:pt>
                <c:pt idx="5697">
                  <c:v>1.52</c:v>
                </c:pt>
                <c:pt idx="5698">
                  <c:v>3.18</c:v>
                </c:pt>
                <c:pt idx="5699">
                  <c:v>2.68</c:v>
                </c:pt>
                <c:pt idx="5700">
                  <c:v>1.21</c:v>
                </c:pt>
                <c:pt idx="5701">
                  <c:v>0</c:v>
                </c:pt>
                <c:pt idx="5702">
                  <c:v>0</c:v>
                </c:pt>
                <c:pt idx="5703">
                  <c:v>0.95</c:v>
                </c:pt>
                <c:pt idx="5704">
                  <c:v>3.44</c:v>
                </c:pt>
                <c:pt idx="5705">
                  <c:v>3.18</c:v>
                </c:pt>
                <c:pt idx="5706">
                  <c:v>3.67</c:v>
                </c:pt>
                <c:pt idx="5707">
                  <c:v>1.86</c:v>
                </c:pt>
                <c:pt idx="5708">
                  <c:v>0</c:v>
                </c:pt>
                <c:pt idx="5709">
                  <c:v>0.71</c:v>
                </c:pt>
                <c:pt idx="5710">
                  <c:v>3.34</c:v>
                </c:pt>
                <c:pt idx="5711">
                  <c:v>1.38</c:v>
                </c:pt>
                <c:pt idx="5712">
                  <c:v>0</c:v>
                </c:pt>
                <c:pt idx="5713">
                  <c:v>1.67</c:v>
                </c:pt>
                <c:pt idx="5714">
                  <c:v>3.6</c:v>
                </c:pt>
                <c:pt idx="5715">
                  <c:v>1.66</c:v>
                </c:pt>
                <c:pt idx="5716">
                  <c:v>0</c:v>
                </c:pt>
                <c:pt idx="5717">
                  <c:v>1.87</c:v>
                </c:pt>
                <c:pt idx="5718">
                  <c:v>2.3199999999999998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1.76</c:v>
                </c:pt>
                <c:pt idx="5724">
                  <c:v>1.4</c:v>
                </c:pt>
                <c:pt idx="5725">
                  <c:v>1.99</c:v>
                </c:pt>
                <c:pt idx="5726">
                  <c:v>3.52</c:v>
                </c:pt>
                <c:pt idx="5727">
                  <c:v>3.44</c:v>
                </c:pt>
                <c:pt idx="5728">
                  <c:v>3.23</c:v>
                </c:pt>
                <c:pt idx="5729">
                  <c:v>1.35</c:v>
                </c:pt>
                <c:pt idx="5730">
                  <c:v>0</c:v>
                </c:pt>
                <c:pt idx="5731">
                  <c:v>2.38</c:v>
                </c:pt>
                <c:pt idx="5732">
                  <c:v>3.26</c:v>
                </c:pt>
                <c:pt idx="5733">
                  <c:v>1.1100000000000001</c:v>
                </c:pt>
                <c:pt idx="5734">
                  <c:v>0</c:v>
                </c:pt>
                <c:pt idx="5735">
                  <c:v>1.88</c:v>
                </c:pt>
                <c:pt idx="5736">
                  <c:v>3.65</c:v>
                </c:pt>
                <c:pt idx="5737">
                  <c:v>0.96</c:v>
                </c:pt>
                <c:pt idx="5738">
                  <c:v>0</c:v>
                </c:pt>
                <c:pt idx="5739">
                  <c:v>2.27</c:v>
                </c:pt>
                <c:pt idx="5740">
                  <c:v>3.59</c:v>
                </c:pt>
                <c:pt idx="5741">
                  <c:v>0.39</c:v>
                </c:pt>
                <c:pt idx="5742">
                  <c:v>0</c:v>
                </c:pt>
                <c:pt idx="5743">
                  <c:v>1.61</c:v>
                </c:pt>
                <c:pt idx="5744">
                  <c:v>2.83</c:v>
                </c:pt>
                <c:pt idx="5745">
                  <c:v>3.36</c:v>
                </c:pt>
                <c:pt idx="5746">
                  <c:v>3.39</c:v>
                </c:pt>
                <c:pt idx="5747">
                  <c:v>0.61</c:v>
                </c:pt>
                <c:pt idx="5748">
                  <c:v>0</c:v>
                </c:pt>
                <c:pt idx="5749">
                  <c:v>0.86</c:v>
                </c:pt>
                <c:pt idx="5750">
                  <c:v>4.12</c:v>
                </c:pt>
                <c:pt idx="5751">
                  <c:v>1.58</c:v>
                </c:pt>
                <c:pt idx="5752">
                  <c:v>0</c:v>
                </c:pt>
                <c:pt idx="5753">
                  <c:v>1.96</c:v>
                </c:pt>
                <c:pt idx="5754">
                  <c:v>3.49</c:v>
                </c:pt>
                <c:pt idx="5755">
                  <c:v>2.37</c:v>
                </c:pt>
                <c:pt idx="5756">
                  <c:v>0.76</c:v>
                </c:pt>
                <c:pt idx="5757">
                  <c:v>1.84</c:v>
                </c:pt>
                <c:pt idx="5758">
                  <c:v>3.08</c:v>
                </c:pt>
                <c:pt idx="5759">
                  <c:v>1.48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1.28</c:v>
                </c:pt>
                <c:pt idx="5764">
                  <c:v>3.35</c:v>
                </c:pt>
                <c:pt idx="5765">
                  <c:v>0.82</c:v>
                </c:pt>
                <c:pt idx="5766">
                  <c:v>0</c:v>
                </c:pt>
                <c:pt idx="5767">
                  <c:v>1.02</c:v>
                </c:pt>
                <c:pt idx="5768">
                  <c:v>2.2799999999999998</c:v>
                </c:pt>
                <c:pt idx="5769">
                  <c:v>0.57999999999999996</c:v>
                </c:pt>
                <c:pt idx="5770">
                  <c:v>0</c:v>
                </c:pt>
                <c:pt idx="5771">
                  <c:v>2.14</c:v>
                </c:pt>
                <c:pt idx="5772">
                  <c:v>1.98</c:v>
                </c:pt>
                <c:pt idx="5773">
                  <c:v>1.44</c:v>
                </c:pt>
                <c:pt idx="5774">
                  <c:v>0</c:v>
                </c:pt>
                <c:pt idx="5775">
                  <c:v>0.31</c:v>
                </c:pt>
                <c:pt idx="5776">
                  <c:v>0.56000000000000005</c:v>
                </c:pt>
                <c:pt idx="5777">
                  <c:v>0.13</c:v>
                </c:pt>
                <c:pt idx="5778">
                  <c:v>0</c:v>
                </c:pt>
                <c:pt idx="5779">
                  <c:v>0.52</c:v>
                </c:pt>
                <c:pt idx="5780">
                  <c:v>2.21</c:v>
                </c:pt>
                <c:pt idx="5781">
                  <c:v>1.55</c:v>
                </c:pt>
                <c:pt idx="5782">
                  <c:v>2.9</c:v>
                </c:pt>
                <c:pt idx="5783">
                  <c:v>1.79</c:v>
                </c:pt>
                <c:pt idx="5784">
                  <c:v>0</c:v>
                </c:pt>
                <c:pt idx="5785">
                  <c:v>2.79</c:v>
                </c:pt>
                <c:pt idx="5786">
                  <c:v>3.79</c:v>
                </c:pt>
                <c:pt idx="5787">
                  <c:v>0.96</c:v>
                </c:pt>
                <c:pt idx="5788">
                  <c:v>0</c:v>
                </c:pt>
                <c:pt idx="5789">
                  <c:v>2.25</c:v>
                </c:pt>
                <c:pt idx="5790">
                  <c:v>3.68</c:v>
                </c:pt>
                <c:pt idx="5791">
                  <c:v>1.05</c:v>
                </c:pt>
                <c:pt idx="5792">
                  <c:v>0</c:v>
                </c:pt>
                <c:pt idx="5793">
                  <c:v>2.15</c:v>
                </c:pt>
                <c:pt idx="5794">
                  <c:v>3.59</c:v>
                </c:pt>
                <c:pt idx="5795">
                  <c:v>1.73</c:v>
                </c:pt>
                <c:pt idx="5796">
                  <c:v>0</c:v>
                </c:pt>
                <c:pt idx="5797">
                  <c:v>1.26</c:v>
                </c:pt>
                <c:pt idx="5798">
                  <c:v>0.75</c:v>
                </c:pt>
                <c:pt idx="5799">
                  <c:v>1.55</c:v>
                </c:pt>
                <c:pt idx="5800">
                  <c:v>0</c:v>
                </c:pt>
                <c:pt idx="5801">
                  <c:v>0.26</c:v>
                </c:pt>
                <c:pt idx="5802">
                  <c:v>0.94</c:v>
                </c:pt>
                <c:pt idx="5803">
                  <c:v>0.84</c:v>
                </c:pt>
                <c:pt idx="5804">
                  <c:v>0</c:v>
                </c:pt>
                <c:pt idx="5805">
                  <c:v>1.32</c:v>
                </c:pt>
                <c:pt idx="5806">
                  <c:v>2.82</c:v>
                </c:pt>
                <c:pt idx="5807">
                  <c:v>0.65</c:v>
                </c:pt>
                <c:pt idx="5808">
                  <c:v>0</c:v>
                </c:pt>
                <c:pt idx="5809">
                  <c:v>1.35</c:v>
                </c:pt>
                <c:pt idx="5810">
                  <c:v>3.41</c:v>
                </c:pt>
                <c:pt idx="5811">
                  <c:v>2.94</c:v>
                </c:pt>
                <c:pt idx="5812">
                  <c:v>0</c:v>
                </c:pt>
                <c:pt idx="5813">
                  <c:v>1.38</c:v>
                </c:pt>
                <c:pt idx="5814">
                  <c:v>3.41</c:v>
                </c:pt>
                <c:pt idx="5815">
                  <c:v>1.47</c:v>
                </c:pt>
                <c:pt idx="5816">
                  <c:v>0</c:v>
                </c:pt>
                <c:pt idx="5817">
                  <c:v>1.33</c:v>
                </c:pt>
                <c:pt idx="5818">
                  <c:v>4.07</c:v>
                </c:pt>
                <c:pt idx="5819">
                  <c:v>1.89</c:v>
                </c:pt>
                <c:pt idx="5820">
                  <c:v>0</c:v>
                </c:pt>
                <c:pt idx="5821">
                  <c:v>0.49</c:v>
                </c:pt>
                <c:pt idx="5822">
                  <c:v>3.17</c:v>
                </c:pt>
                <c:pt idx="5823">
                  <c:v>3.19</c:v>
                </c:pt>
                <c:pt idx="5824">
                  <c:v>2.82</c:v>
                </c:pt>
                <c:pt idx="5825">
                  <c:v>1.41</c:v>
                </c:pt>
                <c:pt idx="5826">
                  <c:v>0</c:v>
                </c:pt>
                <c:pt idx="5827">
                  <c:v>1.62</c:v>
                </c:pt>
                <c:pt idx="5828">
                  <c:v>3.46</c:v>
                </c:pt>
                <c:pt idx="5829">
                  <c:v>2.73</c:v>
                </c:pt>
                <c:pt idx="5830">
                  <c:v>2.86</c:v>
                </c:pt>
                <c:pt idx="5831">
                  <c:v>2.95</c:v>
                </c:pt>
                <c:pt idx="5832">
                  <c:v>1.42</c:v>
                </c:pt>
                <c:pt idx="5833">
                  <c:v>2.36</c:v>
                </c:pt>
                <c:pt idx="5834">
                  <c:v>3.59</c:v>
                </c:pt>
                <c:pt idx="5835">
                  <c:v>3.42</c:v>
                </c:pt>
                <c:pt idx="5836">
                  <c:v>1.19</c:v>
                </c:pt>
                <c:pt idx="5837">
                  <c:v>0</c:v>
                </c:pt>
                <c:pt idx="5838">
                  <c:v>1.72</c:v>
                </c:pt>
                <c:pt idx="5839">
                  <c:v>3.32</c:v>
                </c:pt>
                <c:pt idx="5840">
                  <c:v>3.61</c:v>
                </c:pt>
                <c:pt idx="5841">
                  <c:v>1.71</c:v>
                </c:pt>
                <c:pt idx="5842">
                  <c:v>0</c:v>
                </c:pt>
                <c:pt idx="5843">
                  <c:v>0.84</c:v>
                </c:pt>
                <c:pt idx="5844">
                  <c:v>2.09</c:v>
                </c:pt>
                <c:pt idx="5845">
                  <c:v>1.49</c:v>
                </c:pt>
                <c:pt idx="5846">
                  <c:v>0</c:v>
                </c:pt>
                <c:pt idx="5847">
                  <c:v>1.45</c:v>
                </c:pt>
                <c:pt idx="5848">
                  <c:v>2.31</c:v>
                </c:pt>
                <c:pt idx="5849">
                  <c:v>1.18</c:v>
                </c:pt>
                <c:pt idx="5850">
                  <c:v>0</c:v>
                </c:pt>
                <c:pt idx="5851">
                  <c:v>0.57999999999999996</c:v>
                </c:pt>
                <c:pt idx="5852">
                  <c:v>2.92</c:v>
                </c:pt>
                <c:pt idx="5853">
                  <c:v>1.3</c:v>
                </c:pt>
                <c:pt idx="5854">
                  <c:v>0</c:v>
                </c:pt>
                <c:pt idx="5855">
                  <c:v>0.5</c:v>
                </c:pt>
                <c:pt idx="5856">
                  <c:v>0.52</c:v>
                </c:pt>
                <c:pt idx="5857">
                  <c:v>0</c:v>
                </c:pt>
                <c:pt idx="5858">
                  <c:v>0</c:v>
                </c:pt>
                <c:pt idx="5859">
                  <c:v>1.56</c:v>
                </c:pt>
                <c:pt idx="5860">
                  <c:v>2.94</c:v>
                </c:pt>
                <c:pt idx="5861">
                  <c:v>1.07</c:v>
                </c:pt>
                <c:pt idx="5862">
                  <c:v>1.6</c:v>
                </c:pt>
                <c:pt idx="5863">
                  <c:v>0.66</c:v>
                </c:pt>
                <c:pt idx="5864">
                  <c:v>1.6</c:v>
                </c:pt>
                <c:pt idx="5865">
                  <c:v>2.5099999999999998</c:v>
                </c:pt>
                <c:pt idx="5866">
                  <c:v>3.89</c:v>
                </c:pt>
                <c:pt idx="5867">
                  <c:v>4.3600000000000003</c:v>
                </c:pt>
                <c:pt idx="5868">
                  <c:v>2.68</c:v>
                </c:pt>
                <c:pt idx="5869">
                  <c:v>0</c:v>
                </c:pt>
                <c:pt idx="5870">
                  <c:v>0.43</c:v>
                </c:pt>
                <c:pt idx="5871">
                  <c:v>2.29</c:v>
                </c:pt>
                <c:pt idx="5872">
                  <c:v>4.01</c:v>
                </c:pt>
                <c:pt idx="5873">
                  <c:v>2.34</c:v>
                </c:pt>
                <c:pt idx="5874">
                  <c:v>0</c:v>
                </c:pt>
                <c:pt idx="5875">
                  <c:v>2.2400000000000002</c:v>
                </c:pt>
                <c:pt idx="5876">
                  <c:v>3.64</c:v>
                </c:pt>
                <c:pt idx="5877">
                  <c:v>1.31</c:v>
                </c:pt>
                <c:pt idx="5878">
                  <c:v>0</c:v>
                </c:pt>
                <c:pt idx="5879">
                  <c:v>0.71</c:v>
                </c:pt>
                <c:pt idx="5880">
                  <c:v>1.1200000000000001</c:v>
                </c:pt>
                <c:pt idx="5881">
                  <c:v>1.03</c:v>
                </c:pt>
                <c:pt idx="5882">
                  <c:v>0</c:v>
                </c:pt>
                <c:pt idx="5883">
                  <c:v>2.4900000000000002</c:v>
                </c:pt>
                <c:pt idx="5884">
                  <c:v>0.21</c:v>
                </c:pt>
                <c:pt idx="5885">
                  <c:v>0</c:v>
                </c:pt>
                <c:pt idx="5886">
                  <c:v>0</c:v>
                </c:pt>
                <c:pt idx="5887">
                  <c:v>1.06</c:v>
                </c:pt>
                <c:pt idx="5888">
                  <c:v>3.84</c:v>
                </c:pt>
                <c:pt idx="5889">
                  <c:v>1.86</c:v>
                </c:pt>
                <c:pt idx="5890">
                  <c:v>0</c:v>
                </c:pt>
                <c:pt idx="5891">
                  <c:v>0.94</c:v>
                </c:pt>
                <c:pt idx="5892">
                  <c:v>3.12</c:v>
                </c:pt>
                <c:pt idx="5893">
                  <c:v>2.98</c:v>
                </c:pt>
                <c:pt idx="5894">
                  <c:v>0.49</c:v>
                </c:pt>
                <c:pt idx="5895">
                  <c:v>0</c:v>
                </c:pt>
                <c:pt idx="5896">
                  <c:v>2.52</c:v>
                </c:pt>
                <c:pt idx="5897">
                  <c:v>2.3199999999999998</c:v>
                </c:pt>
                <c:pt idx="5898">
                  <c:v>1.1599999999999999</c:v>
                </c:pt>
                <c:pt idx="5899">
                  <c:v>1.82</c:v>
                </c:pt>
                <c:pt idx="5900">
                  <c:v>3.5</c:v>
                </c:pt>
                <c:pt idx="5901">
                  <c:v>1.37</c:v>
                </c:pt>
                <c:pt idx="5902">
                  <c:v>0</c:v>
                </c:pt>
                <c:pt idx="5903">
                  <c:v>1.46</c:v>
                </c:pt>
                <c:pt idx="5904">
                  <c:v>1.49</c:v>
                </c:pt>
                <c:pt idx="5905">
                  <c:v>1.76</c:v>
                </c:pt>
                <c:pt idx="5906">
                  <c:v>0</c:v>
                </c:pt>
                <c:pt idx="5907">
                  <c:v>2.0299999999999998</c:v>
                </c:pt>
                <c:pt idx="5908">
                  <c:v>3.3</c:v>
                </c:pt>
                <c:pt idx="5909">
                  <c:v>1.63</c:v>
                </c:pt>
                <c:pt idx="5910">
                  <c:v>1.93</c:v>
                </c:pt>
                <c:pt idx="5911">
                  <c:v>0.88</c:v>
                </c:pt>
                <c:pt idx="5912">
                  <c:v>2.1800000000000002</c:v>
                </c:pt>
                <c:pt idx="5913">
                  <c:v>3.83</c:v>
                </c:pt>
                <c:pt idx="5914">
                  <c:v>3.75</c:v>
                </c:pt>
                <c:pt idx="5915">
                  <c:v>1.46</c:v>
                </c:pt>
                <c:pt idx="5916">
                  <c:v>1.88</c:v>
                </c:pt>
                <c:pt idx="5917">
                  <c:v>2.5299999999999998</c:v>
                </c:pt>
                <c:pt idx="5918">
                  <c:v>2.57</c:v>
                </c:pt>
                <c:pt idx="5919">
                  <c:v>1.01</c:v>
                </c:pt>
                <c:pt idx="5920">
                  <c:v>0</c:v>
                </c:pt>
                <c:pt idx="5921">
                  <c:v>1.94</c:v>
                </c:pt>
                <c:pt idx="5922">
                  <c:v>3.36</c:v>
                </c:pt>
                <c:pt idx="5923">
                  <c:v>2.62</c:v>
                </c:pt>
                <c:pt idx="5924">
                  <c:v>2.41</c:v>
                </c:pt>
                <c:pt idx="5925">
                  <c:v>0.89</c:v>
                </c:pt>
                <c:pt idx="5926">
                  <c:v>0</c:v>
                </c:pt>
                <c:pt idx="5927">
                  <c:v>0</c:v>
                </c:pt>
                <c:pt idx="5928">
                  <c:v>1.18</c:v>
                </c:pt>
                <c:pt idx="5929">
                  <c:v>0.27</c:v>
                </c:pt>
                <c:pt idx="5930">
                  <c:v>0</c:v>
                </c:pt>
                <c:pt idx="5931">
                  <c:v>2.1</c:v>
                </c:pt>
                <c:pt idx="5932">
                  <c:v>3.34</c:v>
                </c:pt>
                <c:pt idx="5933">
                  <c:v>1.35</c:v>
                </c:pt>
                <c:pt idx="5934">
                  <c:v>0</c:v>
                </c:pt>
                <c:pt idx="5935">
                  <c:v>0.79</c:v>
                </c:pt>
                <c:pt idx="5936">
                  <c:v>1.53</c:v>
                </c:pt>
                <c:pt idx="5937">
                  <c:v>1.42</c:v>
                </c:pt>
                <c:pt idx="5938">
                  <c:v>0</c:v>
                </c:pt>
                <c:pt idx="5939">
                  <c:v>0.68</c:v>
                </c:pt>
                <c:pt idx="5940">
                  <c:v>2.0699999999999998</c:v>
                </c:pt>
                <c:pt idx="5941">
                  <c:v>1.51</c:v>
                </c:pt>
                <c:pt idx="5942">
                  <c:v>0.97</c:v>
                </c:pt>
                <c:pt idx="5943">
                  <c:v>1.1399999999999999</c:v>
                </c:pt>
                <c:pt idx="5944">
                  <c:v>3.26</c:v>
                </c:pt>
                <c:pt idx="5945">
                  <c:v>1.62</c:v>
                </c:pt>
                <c:pt idx="5946">
                  <c:v>0</c:v>
                </c:pt>
                <c:pt idx="5947">
                  <c:v>1.36</c:v>
                </c:pt>
                <c:pt idx="5948">
                  <c:v>3.01</c:v>
                </c:pt>
                <c:pt idx="5949">
                  <c:v>1.84</c:v>
                </c:pt>
                <c:pt idx="5950">
                  <c:v>0</c:v>
                </c:pt>
                <c:pt idx="5951">
                  <c:v>0</c:v>
                </c:pt>
                <c:pt idx="5952">
                  <c:v>1.0900000000000001</c:v>
                </c:pt>
                <c:pt idx="5953">
                  <c:v>1.04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1.85</c:v>
                </c:pt>
                <c:pt idx="5959">
                  <c:v>1.44</c:v>
                </c:pt>
                <c:pt idx="5960">
                  <c:v>1.3</c:v>
                </c:pt>
                <c:pt idx="5961">
                  <c:v>3.84</c:v>
                </c:pt>
                <c:pt idx="5962">
                  <c:v>3.92</c:v>
                </c:pt>
                <c:pt idx="5963">
                  <c:v>1.78</c:v>
                </c:pt>
                <c:pt idx="5964">
                  <c:v>0</c:v>
                </c:pt>
                <c:pt idx="5965">
                  <c:v>1.38</c:v>
                </c:pt>
                <c:pt idx="5966">
                  <c:v>2.88</c:v>
                </c:pt>
                <c:pt idx="5967">
                  <c:v>1.68</c:v>
                </c:pt>
                <c:pt idx="5968">
                  <c:v>0.75</c:v>
                </c:pt>
                <c:pt idx="5969">
                  <c:v>0.8</c:v>
                </c:pt>
                <c:pt idx="5970">
                  <c:v>3.25</c:v>
                </c:pt>
                <c:pt idx="5971">
                  <c:v>1.66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1.4</c:v>
                </c:pt>
                <c:pt idx="5976">
                  <c:v>1.41</c:v>
                </c:pt>
                <c:pt idx="5977">
                  <c:v>0.63</c:v>
                </c:pt>
                <c:pt idx="5978">
                  <c:v>0</c:v>
                </c:pt>
                <c:pt idx="5979">
                  <c:v>1.26</c:v>
                </c:pt>
                <c:pt idx="5980">
                  <c:v>3.07</c:v>
                </c:pt>
                <c:pt idx="5981">
                  <c:v>1.18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2.2200000000000002</c:v>
                </c:pt>
                <c:pt idx="5986">
                  <c:v>3.63</c:v>
                </c:pt>
                <c:pt idx="5987">
                  <c:v>0.71</c:v>
                </c:pt>
                <c:pt idx="5988">
                  <c:v>0</c:v>
                </c:pt>
                <c:pt idx="5989">
                  <c:v>0.38</c:v>
                </c:pt>
                <c:pt idx="5990">
                  <c:v>0.95</c:v>
                </c:pt>
                <c:pt idx="5991">
                  <c:v>0.62</c:v>
                </c:pt>
                <c:pt idx="5992">
                  <c:v>0</c:v>
                </c:pt>
                <c:pt idx="5993">
                  <c:v>0.94</c:v>
                </c:pt>
                <c:pt idx="5994">
                  <c:v>2</c:v>
                </c:pt>
                <c:pt idx="5995">
                  <c:v>0.84</c:v>
                </c:pt>
                <c:pt idx="5996">
                  <c:v>0</c:v>
                </c:pt>
                <c:pt idx="5997">
                  <c:v>0.83</c:v>
                </c:pt>
                <c:pt idx="5998">
                  <c:v>1.57</c:v>
                </c:pt>
                <c:pt idx="5999">
                  <c:v>0.44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0.41</c:v>
                </c:pt>
                <c:pt idx="6007">
                  <c:v>0.46</c:v>
                </c:pt>
                <c:pt idx="6008">
                  <c:v>0</c:v>
                </c:pt>
                <c:pt idx="6009">
                  <c:v>0.75</c:v>
                </c:pt>
                <c:pt idx="6010">
                  <c:v>2.4700000000000002</c:v>
                </c:pt>
                <c:pt idx="6011">
                  <c:v>1.23</c:v>
                </c:pt>
                <c:pt idx="6012">
                  <c:v>0</c:v>
                </c:pt>
                <c:pt idx="6013">
                  <c:v>1.59</c:v>
                </c:pt>
                <c:pt idx="6014">
                  <c:v>3.35</c:v>
                </c:pt>
                <c:pt idx="6015">
                  <c:v>1.34</c:v>
                </c:pt>
                <c:pt idx="6016">
                  <c:v>0</c:v>
                </c:pt>
                <c:pt idx="6017">
                  <c:v>1.52</c:v>
                </c:pt>
                <c:pt idx="6018">
                  <c:v>2.89</c:v>
                </c:pt>
                <c:pt idx="6019">
                  <c:v>1.38</c:v>
                </c:pt>
                <c:pt idx="6020">
                  <c:v>0</c:v>
                </c:pt>
                <c:pt idx="6021">
                  <c:v>1.37</c:v>
                </c:pt>
                <c:pt idx="6022">
                  <c:v>1.6</c:v>
                </c:pt>
                <c:pt idx="6023">
                  <c:v>0.43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1.2</c:v>
                </c:pt>
                <c:pt idx="6028">
                  <c:v>3.25</c:v>
                </c:pt>
                <c:pt idx="6029">
                  <c:v>1.19</c:v>
                </c:pt>
                <c:pt idx="6030">
                  <c:v>0</c:v>
                </c:pt>
                <c:pt idx="6031">
                  <c:v>1.47</c:v>
                </c:pt>
                <c:pt idx="6032">
                  <c:v>3.59</c:v>
                </c:pt>
                <c:pt idx="6033">
                  <c:v>2.62</c:v>
                </c:pt>
                <c:pt idx="6034">
                  <c:v>1</c:v>
                </c:pt>
                <c:pt idx="6035">
                  <c:v>2.94</c:v>
                </c:pt>
                <c:pt idx="6036">
                  <c:v>3.93</c:v>
                </c:pt>
                <c:pt idx="6037">
                  <c:v>3.18</c:v>
                </c:pt>
                <c:pt idx="6038">
                  <c:v>3.12</c:v>
                </c:pt>
                <c:pt idx="6039">
                  <c:v>1.34</c:v>
                </c:pt>
                <c:pt idx="6040">
                  <c:v>0</c:v>
                </c:pt>
                <c:pt idx="6041">
                  <c:v>1.65</c:v>
                </c:pt>
                <c:pt idx="6042">
                  <c:v>3.05</c:v>
                </c:pt>
                <c:pt idx="6043">
                  <c:v>1.4</c:v>
                </c:pt>
                <c:pt idx="6044">
                  <c:v>0</c:v>
                </c:pt>
                <c:pt idx="6045">
                  <c:v>1.38</c:v>
                </c:pt>
                <c:pt idx="6046">
                  <c:v>2.91</c:v>
                </c:pt>
                <c:pt idx="6047">
                  <c:v>1.17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1.77</c:v>
                </c:pt>
                <c:pt idx="6055">
                  <c:v>1.65</c:v>
                </c:pt>
                <c:pt idx="6056">
                  <c:v>0</c:v>
                </c:pt>
                <c:pt idx="6057">
                  <c:v>2.0499999999999998</c:v>
                </c:pt>
                <c:pt idx="6058">
                  <c:v>3.78</c:v>
                </c:pt>
                <c:pt idx="6059">
                  <c:v>3.89</c:v>
                </c:pt>
                <c:pt idx="6060">
                  <c:v>0.78</c:v>
                </c:pt>
                <c:pt idx="6061">
                  <c:v>0</c:v>
                </c:pt>
                <c:pt idx="6062">
                  <c:v>1.0900000000000001</c:v>
                </c:pt>
                <c:pt idx="6063">
                  <c:v>3.29</c:v>
                </c:pt>
                <c:pt idx="6064">
                  <c:v>0</c:v>
                </c:pt>
                <c:pt idx="6065">
                  <c:v>0.35</c:v>
                </c:pt>
                <c:pt idx="6066">
                  <c:v>3.26</c:v>
                </c:pt>
                <c:pt idx="6067">
                  <c:v>3.16</c:v>
                </c:pt>
                <c:pt idx="6068">
                  <c:v>3.61</c:v>
                </c:pt>
                <c:pt idx="6069">
                  <c:v>1.47</c:v>
                </c:pt>
                <c:pt idx="6070">
                  <c:v>0</c:v>
                </c:pt>
                <c:pt idx="6071">
                  <c:v>0.49</c:v>
                </c:pt>
                <c:pt idx="6072">
                  <c:v>1.48</c:v>
                </c:pt>
                <c:pt idx="6073">
                  <c:v>0.98</c:v>
                </c:pt>
                <c:pt idx="6074">
                  <c:v>0</c:v>
                </c:pt>
                <c:pt idx="6075">
                  <c:v>1.36</c:v>
                </c:pt>
                <c:pt idx="6076">
                  <c:v>3.29</c:v>
                </c:pt>
                <c:pt idx="6077">
                  <c:v>1.33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2.39</c:v>
                </c:pt>
                <c:pt idx="6082">
                  <c:v>2.2999999999999998</c:v>
                </c:pt>
                <c:pt idx="6083">
                  <c:v>1.0900000000000001</c:v>
                </c:pt>
                <c:pt idx="6084">
                  <c:v>0</c:v>
                </c:pt>
                <c:pt idx="6085">
                  <c:v>0</c:v>
                </c:pt>
                <c:pt idx="6086">
                  <c:v>3.43</c:v>
                </c:pt>
                <c:pt idx="6087">
                  <c:v>3.7</c:v>
                </c:pt>
                <c:pt idx="6088">
                  <c:v>2.58</c:v>
                </c:pt>
                <c:pt idx="6089">
                  <c:v>1.3</c:v>
                </c:pt>
                <c:pt idx="6090">
                  <c:v>3.01</c:v>
                </c:pt>
                <c:pt idx="6091">
                  <c:v>2.91</c:v>
                </c:pt>
                <c:pt idx="6092">
                  <c:v>2.92</c:v>
                </c:pt>
                <c:pt idx="6093">
                  <c:v>1.2</c:v>
                </c:pt>
                <c:pt idx="6094">
                  <c:v>0</c:v>
                </c:pt>
                <c:pt idx="6095">
                  <c:v>0.89</c:v>
                </c:pt>
                <c:pt idx="6096">
                  <c:v>1.04</c:v>
                </c:pt>
                <c:pt idx="6097">
                  <c:v>0.56000000000000005</c:v>
                </c:pt>
                <c:pt idx="6098">
                  <c:v>0</c:v>
                </c:pt>
                <c:pt idx="6099">
                  <c:v>1.74</c:v>
                </c:pt>
                <c:pt idx="6100">
                  <c:v>3.37</c:v>
                </c:pt>
                <c:pt idx="6101">
                  <c:v>1.5</c:v>
                </c:pt>
                <c:pt idx="6102">
                  <c:v>0</c:v>
                </c:pt>
                <c:pt idx="6103">
                  <c:v>1.83</c:v>
                </c:pt>
                <c:pt idx="6104">
                  <c:v>3.74</c:v>
                </c:pt>
                <c:pt idx="6105">
                  <c:v>3.75</c:v>
                </c:pt>
                <c:pt idx="6106">
                  <c:v>3.73</c:v>
                </c:pt>
                <c:pt idx="6107">
                  <c:v>0.75</c:v>
                </c:pt>
                <c:pt idx="6108">
                  <c:v>0</c:v>
                </c:pt>
                <c:pt idx="6109">
                  <c:v>2.92</c:v>
                </c:pt>
                <c:pt idx="6110">
                  <c:v>3.43</c:v>
                </c:pt>
                <c:pt idx="6111">
                  <c:v>3.7</c:v>
                </c:pt>
                <c:pt idx="6112">
                  <c:v>2.58</c:v>
                </c:pt>
                <c:pt idx="6113">
                  <c:v>1.35</c:v>
                </c:pt>
                <c:pt idx="6114">
                  <c:v>0</c:v>
                </c:pt>
                <c:pt idx="6115">
                  <c:v>1.94</c:v>
                </c:pt>
                <c:pt idx="6116">
                  <c:v>2.91</c:v>
                </c:pt>
                <c:pt idx="6117">
                  <c:v>1.07</c:v>
                </c:pt>
                <c:pt idx="6118">
                  <c:v>0</c:v>
                </c:pt>
                <c:pt idx="6119">
                  <c:v>0.57999999999999996</c:v>
                </c:pt>
                <c:pt idx="6120">
                  <c:v>1.3</c:v>
                </c:pt>
                <c:pt idx="6121">
                  <c:v>0.61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2.4700000000000002</c:v>
                </c:pt>
                <c:pt idx="6126">
                  <c:v>3.44</c:v>
                </c:pt>
                <c:pt idx="6127">
                  <c:v>1.61</c:v>
                </c:pt>
                <c:pt idx="6128">
                  <c:v>3.62</c:v>
                </c:pt>
                <c:pt idx="6129">
                  <c:v>3.65</c:v>
                </c:pt>
                <c:pt idx="6130">
                  <c:v>3.46</c:v>
                </c:pt>
                <c:pt idx="6131">
                  <c:v>1.6</c:v>
                </c:pt>
                <c:pt idx="6132">
                  <c:v>0</c:v>
                </c:pt>
                <c:pt idx="6133">
                  <c:v>1.48</c:v>
                </c:pt>
                <c:pt idx="6134">
                  <c:v>2.71</c:v>
                </c:pt>
                <c:pt idx="6135">
                  <c:v>2.8</c:v>
                </c:pt>
                <c:pt idx="6136">
                  <c:v>3.58</c:v>
                </c:pt>
                <c:pt idx="6137">
                  <c:v>1.6</c:v>
                </c:pt>
                <c:pt idx="6138">
                  <c:v>0</c:v>
                </c:pt>
                <c:pt idx="6139">
                  <c:v>1.35</c:v>
                </c:pt>
                <c:pt idx="6140">
                  <c:v>3</c:v>
                </c:pt>
                <c:pt idx="6141">
                  <c:v>0.85</c:v>
                </c:pt>
                <c:pt idx="6142">
                  <c:v>0</c:v>
                </c:pt>
                <c:pt idx="6143">
                  <c:v>1.1100000000000001</c:v>
                </c:pt>
                <c:pt idx="6144">
                  <c:v>3.08</c:v>
                </c:pt>
                <c:pt idx="6145">
                  <c:v>0.65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2.4700000000000002</c:v>
                </c:pt>
                <c:pt idx="6150">
                  <c:v>3.44</c:v>
                </c:pt>
                <c:pt idx="6151">
                  <c:v>1.48</c:v>
                </c:pt>
                <c:pt idx="6152">
                  <c:v>0</c:v>
                </c:pt>
                <c:pt idx="6153">
                  <c:v>1.53</c:v>
                </c:pt>
                <c:pt idx="6154">
                  <c:v>2.79</c:v>
                </c:pt>
                <c:pt idx="6155">
                  <c:v>1.1299999999999999</c:v>
                </c:pt>
                <c:pt idx="6156">
                  <c:v>0</c:v>
                </c:pt>
                <c:pt idx="6157">
                  <c:v>2.3199999999999998</c:v>
                </c:pt>
                <c:pt idx="6158">
                  <c:v>3.68</c:v>
                </c:pt>
                <c:pt idx="6159">
                  <c:v>3.43</c:v>
                </c:pt>
                <c:pt idx="6160">
                  <c:v>3.9</c:v>
                </c:pt>
                <c:pt idx="6161">
                  <c:v>1.08</c:v>
                </c:pt>
                <c:pt idx="6162">
                  <c:v>0</c:v>
                </c:pt>
                <c:pt idx="6163">
                  <c:v>2.06</c:v>
                </c:pt>
                <c:pt idx="6164">
                  <c:v>3.46</c:v>
                </c:pt>
                <c:pt idx="6165">
                  <c:v>1.43</c:v>
                </c:pt>
                <c:pt idx="6166">
                  <c:v>0</c:v>
                </c:pt>
                <c:pt idx="6167">
                  <c:v>1.72</c:v>
                </c:pt>
                <c:pt idx="6168">
                  <c:v>3.52</c:v>
                </c:pt>
                <c:pt idx="6169">
                  <c:v>1.93</c:v>
                </c:pt>
                <c:pt idx="6170">
                  <c:v>0</c:v>
                </c:pt>
                <c:pt idx="6171">
                  <c:v>1.27</c:v>
                </c:pt>
                <c:pt idx="6172">
                  <c:v>3.29</c:v>
                </c:pt>
                <c:pt idx="6173">
                  <c:v>1.69</c:v>
                </c:pt>
                <c:pt idx="6174">
                  <c:v>0</c:v>
                </c:pt>
                <c:pt idx="6175">
                  <c:v>1.5</c:v>
                </c:pt>
                <c:pt idx="6176">
                  <c:v>4.0199999999999996</c:v>
                </c:pt>
                <c:pt idx="6177">
                  <c:v>1.71</c:v>
                </c:pt>
                <c:pt idx="6178">
                  <c:v>0</c:v>
                </c:pt>
                <c:pt idx="6179">
                  <c:v>2.11</c:v>
                </c:pt>
                <c:pt idx="6180">
                  <c:v>3.98</c:v>
                </c:pt>
                <c:pt idx="6181">
                  <c:v>1.82</c:v>
                </c:pt>
                <c:pt idx="6182">
                  <c:v>0</c:v>
                </c:pt>
                <c:pt idx="6183">
                  <c:v>1.48</c:v>
                </c:pt>
                <c:pt idx="6184">
                  <c:v>3.09</c:v>
                </c:pt>
                <c:pt idx="6185">
                  <c:v>1.37</c:v>
                </c:pt>
                <c:pt idx="6186">
                  <c:v>0</c:v>
                </c:pt>
                <c:pt idx="6187">
                  <c:v>1.56</c:v>
                </c:pt>
                <c:pt idx="6188">
                  <c:v>2.83</c:v>
                </c:pt>
                <c:pt idx="6189">
                  <c:v>2.54</c:v>
                </c:pt>
                <c:pt idx="6190">
                  <c:v>2.2599999999999998</c:v>
                </c:pt>
                <c:pt idx="6191">
                  <c:v>0</c:v>
                </c:pt>
                <c:pt idx="6192">
                  <c:v>0</c:v>
                </c:pt>
                <c:pt idx="6193">
                  <c:v>0.74</c:v>
                </c:pt>
                <c:pt idx="6194">
                  <c:v>2.68</c:v>
                </c:pt>
                <c:pt idx="6195">
                  <c:v>0.54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1.85</c:v>
                </c:pt>
                <c:pt idx="6200">
                  <c:v>3.64</c:v>
                </c:pt>
                <c:pt idx="6201">
                  <c:v>2.79</c:v>
                </c:pt>
                <c:pt idx="6202">
                  <c:v>0.51</c:v>
                </c:pt>
                <c:pt idx="6203">
                  <c:v>2.62</c:v>
                </c:pt>
                <c:pt idx="6204">
                  <c:v>3.54</c:v>
                </c:pt>
                <c:pt idx="6205">
                  <c:v>1.73</c:v>
                </c:pt>
                <c:pt idx="6206">
                  <c:v>0</c:v>
                </c:pt>
                <c:pt idx="6207">
                  <c:v>1.42</c:v>
                </c:pt>
                <c:pt idx="6208">
                  <c:v>3.07</c:v>
                </c:pt>
                <c:pt idx="6209">
                  <c:v>1.6</c:v>
                </c:pt>
                <c:pt idx="6210">
                  <c:v>0</c:v>
                </c:pt>
                <c:pt idx="6211">
                  <c:v>1.28</c:v>
                </c:pt>
                <c:pt idx="6212">
                  <c:v>2.89</c:v>
                </c:pt>
                <c:pt idx="6213">
                  <c:v>1.0900000000000001</c:v>
                </c:pt>
                <c:pt idx="6214">
                  <c:v>0</c:v>
                </c:pt>
                <c:pt idx="6215">
                  <c:v>0.73</c:v>
                </c:pt>
                <c:pt idx="6216">
                  <c:v>1.1299999999999999</c:v>
                </c:pt>
                <c:pt idx="6217">
                  <c:v>0.53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2.11</c:v>
                </c:pt>
                <c:pt idx="6222">
                  <c:v>3.56</c:v>
                </c:pt>
                <c:pt idx="6223">
                  <c:v>1.36</c:v>
                </c:pt>
                <c:pt idx="6224">
                  <c:v>1.44</c:v>
                </c:pt>
                <c:pt idx="6225">
                  <c:v>0.42</c:v>
                </c:pt>
                <c:pt idx="6226">
                  <c:v>3.74</c:v>
                </c:pt>
                <c:pt idx="6227">
                  <c:v>2.35</c:v>
                </c:pt>
                <c:pt idx="6228">
                  <c:v>1.01</c:v>
                </c:pt>
                <c:pt idx="6229">
                  <c:v>2.67</c:v>
                </c:pt>
                <c:pt idx="6230">
                  <c:v>2.2000000000000002</c:v>
                </c:pt>
                <c:pt idx="6231">
                  <c:v>2.57</c:v>
                </c:pt>
                <c:pt idx="6232">
                  <c:v>3.92</c:v>
                </c:pt>
                <c:pt idx="6233">
                  <c:v>1.61</c:v>
                </c:pt>
                <c:pt idx="6234">
                  <c:v>0</c:v>
                </c:pt>
                <c:pt idx="6235">
                  <c:v>2.0499999999999998</c:v>
                </c:pt>
                <c:pt idx="6236">
                  <c:v>3.04</c:v>
                </c:pt>
                <c:pt idx="6237">
                  <c:v>2.98</c:v>
                </c:pt>
                <c:pt idx="6238">
                  <c:v>3.04</c:v>
                </c:pt>
                <c:pt idx="6239">
                  <c:v>1.01</c:v>
                </c:pt>
                <c:pt idx="6240">
                  <c:v>0</c:v>
                </c:pt>
                <c:pt idx="6241">
                  <c:v>0</c:v>
                </c:pt>
                <c:pt idx="6242">
                  <c:v>2.66</c:v>
                </c:pt>
                <c:pt idx="6243">
                  <c:v>1.44</c:v>
                </c:pt>
                <c:pt idx="6244">
                  <c:v>0</c:v>
                </c:pt>
                <c:pt idx="6245">
                  <c:v>1.72</c:v>
                </c:pt>
                <c:pt idx="6246">
                  <c:v>3.61</c:v>
                </c:pt>
                <c:pt idx="6247">
                  <c:v>1.69</c:v>
                </c:pt>
                <c:pt idx="6248">
                  <c:v>0</c:v>
                </c:pt>
                <c:pt idx="6249">
                  <c:v>3.07</c:v>
                </c:pt>
                <c:pt idx="6250">
                  <c:v>4.01</c:v>
                </c:pt>
                <c:pt idx="6251">
                  <c:v>1.91</c:v>
                </c:pt>
                <c:pt idx="6252">
                  <c:v>0</c:v>
                </c:pt>
                <c:pt idx="6253">
                  <c:v>1.82</c:v>
                </c:pt>
                <c:pt idx="6254">
                  <c:v>1.98</c:v>
                </c:pt>
                <c:pt idx="6255">
                  <c:v>3.13</c:v>
                </c:pt>
                <c:pt idx="6256">
                  <c:v>3.75</c:v>
                </c:pt>
                <c:pt idx="6257">
                  <c:v>1.29</c:v>
                </c:pt>
                <c:pt idx="6258">
                  <c:v>1.02</c:v>
                </c:pt>
                <c:pt idx="6259">
                  <c:v>2.93</c:v>
                </c:pt>
                <c:pt idx="6260">
                  <c:v>3.01</c:v>
                </c:pt>
                <c:pt idx="6261">
                  <c:v>1.31</c:v>
                </c:pt>
                <c:pt idx="6262">
                  <c:v>0</c:v>
                </c:pt>
                <c:pt idx="6263">
                  <c:v>0.82</c:v>
                </c:pt>
                <c:pt idx="6264">
                  <c:v>1.48</c:v>
                </c:pt>
                <c:pt idx="6265">
                  <c:v>1.03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1.65</c:v>
                </c:pt>
                <c:pt idx="6270">
                  <c:v>3.63</c:v>
                </c:pt>
                <c:pt idx="6271">
                  <c:v>1.91</c:v>
                </c:pt>
                <c:pt idx="6272">
                  <c:v>0</c:v>
                </c:pt>
                <c:pt idx="6273">
                  <c:v>2.2599999999999998</c:v>
                </c:pt>
                <c:pt idx="6274">
                  <c:v>3.48</c:v>
                </c:pt>
                <c:pt idx="6275">
                  <c:v>1.75</c:v>
                </c:pt>
                <c:pt idx="6276">
                  <c:v>0</c:v>
                </c:pt>
                <c:pt idx="6277">
                  <c:v>2.4700000000000002</c:v>
                </c:pt>
                <c:pt idx="6278">
                  <c:v>2.99</c:v>
                </c:pt>
                <c:pt idx="6279">
                  <c:v>1.2</c:v>
                </c:pt>
                <c:pt idx="6280">
                  <c:v>0</c:v>
                </c:pt>
                <c:pt idx="6281">
                  <c:v>0.88</c:v>
                </c:pt>
                <c:pt idx="6282">
                  <c:v>3.22</c:v>
                </c:pt>
                <c:pt idx="6283">
                  <c:v>1.44</c:v>
                </c:pt>
                <c:pt idx="6284">
                  <c:v>0</c:v>
                </c:pt>
                <c:pt idx="6285">
                  <c:v>1.1599999999999999</c:v>
                </c:pt>
                <c:pt idx="6286">
                  <c:v>3.17</c:v>
                </c:pt>
                <c:pt idx="6287">
                  <c:v>1.63</c:v>
                </c:pt>
                <c:pt idx="6288">
                  <c:v>0</c:v>
                </c:pt>
                <c:pt idx="6289">
                  <c:v>1.82</c:v>
                </c:pt>
                <c:pt idx="6290">
                  <c:v>3.44</c:v>
                </c:pt>
                <c:pt idx="6291">
                  <c:v>1.1499999999999999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3.32</c:v>
                </c:pt>
                <c:pt idx="6297">
                  <c:v>2.14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1.95</c:v>
                </c:pt>
                <c:pt idx="6302">
                  <c:v>3</c:v>
                </c:pt>
                <c:pt idx="6303">
                  <c:v>1.51</c:v>
                </c:pt>
                <c:pt idx="6304">
                  <c:v>0</c:v>
                </c:pt>
                <c:pt idx="6305">
                  <c:v>2.04</c:v>
                </c:pt>
                <c:pt idx="6306">
                  <c:v>3.16</c:v>
                </c:pt>
                <c:pt idx="6307">
                  <c:v>1</c:v>
                </c:pt>
                <c:pt idx="6308">
                  <c:v>0</c:v>
                </c:pt>
                <c:pt idx="6309">
                  <c:v>1.36</c:v>
                </c:pt>
                <c:pt idx="6310">
                  <c:v>2.95</c:v>
                </c:pt>
                <c:pt idx="6311">
                  <c:v>0.73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0.69</c:v>
                </c:pt>
                <c:pt idx="6316">
                  <c:v>3.15</c:v>
                </c:pt>
                <c:pt idx="6317">
                  <c:v>3.23</c:v>
                </c:pt>
                <c:pt idx="6318">
                  <c:v>3.39</c:v>
                </c:pt>
                <c:pt idx="6319">
                  <c:v>3.75</c:v>
                </c:pt>
                <c:pt idx="6320">
                  <c:v>2.7</c:v>
                </c:pt>
                <c:pt idx="6321">
                  <c:v>1.56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1.96</c:v>
                </c:pt>
                <c:pt idx="6326">
                  <c:v>3.49</c:v>
                </c:pt>
                <c:pt idx="6327">
                  <c:v>1.1399999999999999</c:v>
                </c:pt>
                <c:pt idx="6328">
                  <c:v>2.44</c:v>
                </c:pt>
                <c:pt idx="6329">
                  <c:v>1.58</c:v>
                </c:pt>
                <c:pt idx="6330">
                  <c:v>3.41</c:v>
                </c:pt>
                <c:pt idx="6331">
                  <c:v>1.47</c:v>
                </c:pt>
                <c:pt idx="6332">
                  <c:v>0</c:v>
                </c:pt>
                <c:pt idx="6333">
                  <c:v>0.96</c:v>
                </c:pt>
                <c:pt idx="6334">
                  <c:v>3.04</c:v>
                </c:pt>
                <c:pt idx="6335">
                  <c:v>1.04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1.81</c:v>
                </c:pt>
                <c:pt idx="6340">
                  <c:v>3.19</c:v>
                </c:pt>
                <c:pt idx="6341">
                  <c:v>0.74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2.56</c:v>
                </c:pt>
                <c:pt idx="6346">
                  <c:v>3.83</c:v>
                </c:pt>
                <c:pt idx="6347">
                  <c:v>0.96</c:v>
                </c:pt>
                <c:pt idx="6348">
                  <c:v>0</c:v>
                </c:pt>
                <c:pt idx="6349">
                  <c:v>0.9</c:v>
                </c:pt>
                <c:pt idx="6350">
                  <c:v>2.66</c:v>
                </c:pt>
                <c:pt idx="6351">
                  <c:v>1.68</c:v>
                </c:pt>
                <c:pt idx="6352">
                  <c:v>0</c:v>
                </c:pt>
                <c:pt idx="6353">
                  <c:v>1.83</c:v>
                </c:pt>
                <c:pt idx="6354">
                  <c:v>2.94</c:v>
                </c:pt>
                <c:pt idx="6355">
                  <c:v>1.43</c:v>
                </c:pt>
                <c:pt idx="6356">
                  <c:v>0</c:v>
                </c:pt>
                <c:pt idx="6357">
                  <c:v>1.52</c:v>
                </c:pt>
                <c:pt idx="6358">
                  <c:v>2.64</c:v>
                </c:pt>
                <c:pt idx="6359">
                  <c:v>1.05</c:v>
                </c:pt>
                <c:pt idx="6360">
                  <c:v>1.75</c:v>
                </c:pt>
                <c:pt idx="6361">
                  <c:v>0.72</c:v>
                </c:pt>
                <c:pt idx="6362">
                  <c:v>0</c:v>
                </c:pt>
                <c:pt idx="6363">
                  <c:v>1.4</c:v>
                </c:pt>
                <c:pt idx="6364">
                  <c:v>3.19</c:v>
                </c:pt>
                <c:pt idx="6365">
                  <c:v>1.04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2.33</c:v>
                </c:pt>
                <c:pt idx="6370">
                  <c:v>3.73</c:v>
                </c:pt>
                <c:pt idx="6371">
                  <c:v>1.59</c:v>
                </c:pt>
                <c:pt idx="6372">
                  <c:v>0</c:v>
                </c:pt>
                <c:pt idx="6373">
                  <c:v>2.16</c:v>
                </c:pt>
                <c:pt idx="6374">
                  <c:v>3.35</c:v>
                </c:pt>
                <c:pt idx="6375">
                  <c:v>1.24</c:v>
                </c:pt>
                <c:pt idx="6376">
                  <c:v>0</c:v>
                </c:pt>
                <c:pt idx="6377">
                  <c:v>1.65</c:v>
                </c:pt>
                <c:pt idx="6378">
                  <c:v>2.88</c:v>
                </c:pt>
                <c:pt idx="6379">
                  <c:v>1.19</c:v>
                </c:pt>
                <c:pt idx="6380">
                  <c:v>0</c:v>
                </c:pt>
                <c:pt idx="6381">
                  <c:v>0.65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0.75</c:v>
                </c:pt>
                <c:pt idx="6386">
                  <c:v>3.11</c:v>
                </c:pt>
                <c:pt idx="6387">
                  <c:v>0.98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1.69</c:v>
                </c:pt>
                <c:pt idx="6392">
                  <c:v>2.88</c:v>
                </c:pt>
                <c:pt idx="6393">
                  <c:v>1.78</c:v>
                </c:pt>
                <c:pt idx="6394">
                  <c:v>0</c:v>
                </c:pt>
                <c:pt idx="6395">
                  <c:v>2.61</c:v>
                </c:pt>
                <c:pt idx="6396">
                  <c:v>3.78</c:v>
                </c:pt>
                <c:pt idx="6397">
                  <c:v>3.14</c:v>
                </c:pt>
                <c:pt idx="6398">
                  <c:v>3.49</c:v>
                </c:pt>
                <c:pt idx="6399">
                  <c:v>1.1499999999999999</c:v>
                </c:pt>
                <c:pt idx="6400">
                  <c:v>0</c:v>
                </c:pt>
                <c:pt idx="6401">
                  <c:v>2.38</c:v>
                </c:pt>
                <c:pt idx="6402">
                  <c:v>1.38</c:v>
                </c:pt>
                <c:pt idx="6403">
                  <c:v>0.64</c:v>
                </c:pt>
                <c:pt idx="6404">
                  <c:v>0</c:v>
                </c:pt>
                <c:pt idx="6405">
                  <c:v>0.83</c:v>
                </c:pt>
                <c:pt idx="6406">
                  <c:v>1.0900000000000001</c:v>
                </c:pt>
                <c:pt idx="6407">
                  <c:v>0.28999999999999998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1.18</c:v>
                </c:pt>
                <c:pt idx="6412">
                  <c:v>3.19</c:v>
                </c:pt>
                <c:pt idx="6413">
                  <c:v>0.92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1.75</c:v>
                </c:pt>
                <c:pt idx="6418">
                  <c:v>2.37</c:v>
                </c:pt>
                <c:pt idx="6419">
                  <c:v>1.55</c:v>
                </c:pt>
                <c:pt idx="6420">
                  <c:v>0.22</c:v>
                </c:pt>
                <c:pt idx="6421">
                  <c:v>1.36</c:v>
                </c:pt>
                <c:pt idx="6422">
                  <c:v>2.76</c:v>
                </c:pt>
                <c:pt idx="6423">
                  <c:v>1.25</c:v>
                </c:pt>
                <c:pt idx="6424">
                  <c:v>0</c:v>
                </c:pt>
                <c:pt idx="6425">
                  <c:v>0.78</c:v>
                </c:pt>
                <c:pt idx="6426">
                  <c:v>2.94</c:v>
                </c:pt>
                <c:pt idx="6427">
                  <c:v>1.21</c:v>
                </c:pt>
                <c:pt idx="6428">
                  <c:v>0</c:v>
                </c:pt>
                <c:pt idx="6429">
                  <c:v>1.1000000000000001</c:v>
                </c:pt>
                <c:pt idx="6430">
                  <c:v>3.12</c:v>
                </c:pt>
                <c:pt idx="6431">
                  <c:v>0.89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2.79</c:v>
                </c:pt>
                <c:pt idx="6437">
                  <c:v>1.02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2.5099999999999998</c:v>
                </c:pt>
                <c:pt idx="6442">
                  <c:v>3.34</c:v>
                </c:pt>
                <c:pt idx="6443">
                  <c:v>2.3199999999999998</c:v>
                </c:pt>
                <c:pt idx="6444">
                  <c:v>0</c:v>
                </c:pt>
                <c:pt idx="6445">
                  <c:v>1.95</c:v>
                </c:pt>
                <c:pt idx="6446">
                  <c:v>3.24</c:v>
                </c:pt>
                <c:pt idx="6447">
                  <c:v>1.23</c:v>
                </c:pt>
                <c:pt idx="6448">
                  <c:v>0</c:v>
                </c:pt>
                <c:pt idx="6449">
                  <c:v>1.88</c:v>
                </c:pt>
                <c:pt idx="6450">
                  <c:v>2.94</c:v>
                </c:pt>
                <c:pt idx="6451">
                  <c:v>1.1100000000000001</c:v>
                </c:pt>
                <c:pt idx="6452">
                  <c:v>0</c:v>
                </c:pt>
                <c:pt idx="6453">
                  <c:v>1.26</c:v>
                </c:pt>
                <c:pt idx="6454">
                  <c:v>2.82</c:v>
                </c:pt>
                <c:pt idx="6455">
                  <c:v>0.83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0.46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0.55000000000000004</c:v>
                </c:pt>
                <c:pt idx="6464">
                  <c:v>3.63</c:v>
                </c:pt>
                <c:pt idx="6465">
                  <c:v>3.87</c:v>
                </c:pt>
                <c:pt idx="6466">
                  <c:v>3.95</c:v>
                </c:pt>
                <c:pt idx="6467">
                  <c:v>2.25</c:v>
                </c:pt>
                <c:pt idx="6468">
                  <c:v>3.09</c:v>
                </c:pt>
                <c:pt idx="6469">
                  <c:v>0.96</c:v>
                </c:pt>
                <c:pt idx="6470">
                  <c:v>2.41</c:v>
                </c:pt>
                <c:pt idx="6471">
                  <c:v>1.58</c:v>
                </c:pt>
                <c:pt idx="6472">
                  <c:v>0</c:v>
                </c:pt>
                <c:pt idx="6473">
                  <c:v>1.62</c:v>
                </c:pt>
                <c:pt idx="6474">
                  <c:v>2.91</c:v>
                </c:pt>
                <c:pt idx="6475">
                  <c:v>1.24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1.86</c:v>
                </c:pt>
                <c:pt idx="6480">
                  <c:v>2.34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1.1200000000000001</c:v>
                </c:pt>
                <c:pt idx="6490">
                  <c:v>3.76</c:v>
                </c:pt>
                <c:pt idx="6491">
                  <c:v>1.82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1.97</c:v>
                </c:pt>
                <c:pt idx="6496">
                  <c:v>2.82</c:v>
                </c:pt>
                <c:pt idx="6497">
                  <c:v>1.6</c:v>
                </c:pt>
                <c:pt idx="6498">
                  <c:v>0</c:v>
                </c:pt>
                <c:pt idx="6499">
                  <c:v>1.76</c:v>
                </c:pt>
                <c:pt idx="6500">
                  <c:v>3.04</c:v>
                </c:pt>
                <c:pt idx="6501">
                  <c:v>1.21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0.92</c:v>
                </c:pt>
                <c:pt idx="6512">
                  <c:v>2.44</c:v>
                </c:pt>
                <c:pt idx="6513">
                  <c:v>2.42</c:v>
                </c:pt>
                <c:pt idx="6514">
                  <c:v>0.32</c:v>
                </c:pt>
                <c:pt idx="6515">
                  <c:v>0</c:v>
                </c:pt>
                <c:pt idx="6516">
                  <c:v>0.36</c:v>
                </c:pt>
                <c:pt idx="6517">
                  <c:v>0.37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2.12</c:v>
                </c:pt>
                <c:pt idx="6522">
                  <c:v>2.95</c:v>
                </c:pt>
                <c:pt idx="6523">
                  <c:v>1.31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0.38</c:v>
                </c:pt>
                <c:pt idx="6535">
                  <c:v>0.36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1.28</c:v>
                </c:pt>
                <c:pt idx="6541">
                  <c:v>0.78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0.75</c:v>
                </c:pt>
                <c:pt idx="6546">
                  <c:v>2.94</c:v>
                </c:pt>
                <c:pt idx="6547">
                  <c:v>2</c:v>
                </c:pt>
                <c:pt idx="6548">
                  <c:v>0</c:v>
                </c:pt>
                <c:pt idx="6549">
                  <c:v>2.04</c:v>
                </c:pt>
                <c:pt idx="6550">
                  <c:v>4.2300000000000004</c:v>
                </c:pt>
                <c:pt idx="6551">
                  <c:v>1.72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0.25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1.85</c:v>
                </c:pt>
                <c:pt idx="6565">
                  <c:v>1.99</c:v>
                </c:pt>
                <c:pt idx="6566">
                  <c:v>0.76</c:v>
                </c:pt>
                <c:pt idx="6567">
                  <c:v>0</c:v>
                </c:pt>
                <c:pt idx="6568">
                  <c:v>0</c:v>
                </c:pt>
                <c:pt idx="6569">
                  <c:v>0.24</c:v>
                </c:pt>
                <c:pt idx="6570">
                  <c:v>1.23</c:v>
                </c:pt>
                <c:pt idx="6571">
                  <c:v>0.28000000000000003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1.78</c:v>
                </c:pt>
                <c:pt idx="6589">
                  <c:v>0.71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0.79</c:v>
                </c:pt>
                <c:pt idx="6613">
                  <c:v>0.82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1.58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0.34</c:v>
                </c:pt>
                <c:pt idx="6657">
                  <c:v>0.57999999999999996</c:v>
                </c:pt>
                <c:pt idx="6658">
                  <c:v>0.51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1.77</c:v>
                </c:pt>
                <c:pt idx="6709">
                  <c:v>0.86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1.2</c:v>
                </c:pt>
                <c:pt idx="6715">
                  <c:v>1.21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0.65</c:v>
                </c:pt>
                <c:pt idx="6732">
                  <c:v>1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0.34</c:v>
                </c:pt>
                <c:pt idx="6753">
                  <c:v>0.79</c:v>
                </c:pt>
                <c:pt idx="6754">
                  <c:v>0.82</c:v>
                </c:pt>
                <c:pt idx="6755">
                  <c:v>2</c:v>
                </c:pt>
                <c:pt idx="6756">
                  <c:v>0.77</c:v>
                </c:pt>
                <c:pt idx="6757">
                  <c:v>0</c:v>
                </c:pt>
                <c:pt idx="6758">
                  <c:v>2.35</c:v>
                </c:pt>
                <c:pt idx="6759">
                  <c:v>3.15</c:v>
                </c:pt>
                <c:pt idx="6760">
                  <c:v>0.85</c:v>
                </c:pt>
                <c:pt idx="6761">
                  <c:v>0</c:v>
                </c:pt>
                <c:pt idx="6762">
                  <c:v>0.93</c:v>
                </c:pt>
                <c:pt idx="6763">
                  <c:v>1.0900000000000001</c:v>
                </c:pt>
                <c:pt idx="6764">
                  <c:v>0.54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0.72</c:v>
                </c:pt>
                <c:pt idx="6775">
                  <c:v>1.5</c:v>
                </c:pt>
                <c:pt idx="6776">
                  <c:v>0.61</c:v>
                </c:pt>
                <c:pt idx="6777">
                  <c:v>0</c:v>
                </c:pt>
                <c:pt idx="6778">
                  <c:v>0.54</c:v>
                </c:pt>
                <c:pt idx="6779">
                  <c:v>1.28</c:v>
                </c:pt>
                <c:pt idx="6780">
                  <c:v>2.4500000000000002</c:v>
                </c:pt>
                <c:pt idx="6781">
                  <c:v>3.01</c:v>
                </c:pt>
                <c:pt idx="6782">
                  <c:v>0.82</c:v>
                </c:pt>
                <c:pt idx="6783">
                  <c:v>0</c:v>
                </c:pt>
                <c:pt idx="6784">
                  <c:v>2.25</c:v>
                </c:pt>
                <c:pt idx="6785">
                  <c:v>3.15</c:v>
                </c:pt>
                <c:pt idx="6786">
                  <c:v>0.82</c:v>
                </c:pt>
                <c:pt idx="6787">
                  <c:v>0</c:v>
                </c:pt>
                <c:pt idx="6788">
                  <c:v>0.81</c:v>
                </c:pt>
                <c:pt idx="6789">
                  <c:v>1.86</c:v>
                </c:pt>
                <c:pt idx="6790">
                  <c:v>0.47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0.83</c:v>
                </c:pt>
                <c:pt idx="6807">
                  <c:v>1.33</c:v>
                </c:pt>
                <c:pt idx="6808">
                  <c:v>0.83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0.55000000000000004</c:v>
                </c:pt>
                <c:pt idx="6828">
                  <c:v>0.3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0.71</c:v>
                </c:pt>
                <c:pt idx="6873">
                  <c:v>0.77</c:v>
                </c:pt>
                <c:pt idx="6874">
                  <c:v>0.28000000000000003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1.03</c:v>
                </c:pt>
                <c:pt idx="6879">
                  <c:v>1.08</c:v>
                </c:pt>
                <c:pt idx="6880">
                  <c:v>0.24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0.25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1.85</c:v>
                </c:pt>
                <c:pt idx="6901">
                  <c:v>1.99</c:v>
                </c:pt>
                <c:pt idx="6902">
                  <c:v>0.76</c:v>
                </c:pt>
                <c:pt idx="6903">
                  <c:v>0</c:v>
                </c:pt>
                <c:pt idx="6904">
                  <c:v>0</c:v>
                </c:pt>
                <c:pt idx="6905">
                  <c:v>0.24</c:v>
                </c:pt>
                <c:pt idx="6906">
                  <c:v>1.23</c:v>
                </c:pt>
                <c:pt idx="6907">
                  <c:v>0.28000000000000003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1.78</c:v>
                </c:pt>
                <c:pt idx="6925">
                  <c:v>0.71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0.79</c:v>
                </c:pt>
                <c:pt idx="6949">
                  <c:v>0.82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1.58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0.52</c:v>
                </c:pt>
                <c:pt idx="7067">
                  <c:v>0.83</c:v>
                </c:pt>
                <c:pt idx="7068">
                  <c:v>0.38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0.93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0.92</c:v>
                </c:pt>
                <c:pt idx="7143">
                  <c:v>1.31</c:v>
                </c:pt>
                <c:pt idx="7144">
                  <c:v>0.27</c:v>
                </c:pt>
                <c:pt idx="7145">
                  <c:v>0</c:v>
                </c:pt>
                <c:pt idx="7146">
                  <c:v>0.91</c:v>
                </c:pt>
                <c:pt idx="7147">
                  <c:v>0.41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0.65</c:v>
                </c:pt>
                <c:pt idx="7165">
                  <c:v>0.9</c:v>
                </c:pt>
                <c:pt idx="7166">
                  <c:v>0.53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1.2</c:v>
                </c:pt>
                <c:pt idx="7171">
                  <c:v>0.81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0.79</c:v>
                </c:pt>
                <c:pt idx="7187">
                  <c:v>0.86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1.01</c:v>
                </c:pt>
                <c:pt idx="7193">
                  <c:v>1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0.42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0.41</c:v>
                </c:pt>
                <c:pt idx="7213">
                  <c:v>1.25</c:v>
                </c:pt>
                <c:pt idx="7214">
                  <c:v>0.45</c:v>
                </c:pt>
                <c:pt idx="7215">
                  <c:v>0</c:v>
                </c:pt>
                <c:pt idx="7216">
                  <c:v>0.79</c:v>
                </c:pt>
                <c:pt idx="7217">
                  <c:v>1.71</c:v>
                </c:pt>
                <c:pt idx="7218">
                  <c:v>0.85</c:v>
                </c:pt>
                <c:pt idx="7219">
                  <c:v>0</c:v>
                </c:pt>
                <c:pt idx="7220">
                  <c:v>0.71</c:v>
                </c:pt>
                <c:pt idx="7221">
                  <c:v>0.52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0.42</c:v>
                </c:pt>
                <c:pt idx="7233">
                  <c:v>0.66</c:v>
                </c:pt>
                <c:pt idx="7234">
                  <c:v>0.37</c:v>
                </c:pt>
                <c:pt idx="7235">
                  <c:v>0</c:v>
                </c:pt>
                <c:pt idx="7236">
                  <c:v>0</c:v>
                </c:pt>
                <c:pt idx="7237">
                  <c:v>0.76</c:v>
                </c:pt>
                <c:pt idx="7238">
                  <c:v>0.65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0.38</c:v>
                </c:pt>
                <c:pt idx="7261">
                  <c:v>0.76</c:v>
                </c:pt>
                <c:pt idx="7262">
                  <c:v>0.65</c:v>
                </c:pt>
                <c:pt idx="7263">
                  <c:v>0</c:v>
                </c:pt>
                <c:pt idx="7264">
                  <c:v>1.1000000000000001</c:v>
                </c:pt>
                <c:pt idx="7265">
                  <c:v>1.6</c:v>
                </c:pt>
                <c:pt idx="7266">
                  <c:v>0.68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0.34</c:v>
                </c:pt>
                <c:pt idx="7279">
                  <c:v>0.6</c:v>
                </c:pt>
                <c:pt idx="7280">
                  <c:v>0</c:v>
                </c:pt>
                <c:pt idx="7281">
                  <c:v>0</c:v>
                </c:pt>
                <c:pt idx="7282">
                  <c:v>0.36</c:v>
                </c:pt>
                <c:pt idx="7283">
                  <c:v>0.93</c:v>
                </c:pt>
                <c:pt idx="7284">
                  <c:v>0.33</c:v>
                </c:pt>
                <c:pt idx="7285">
                  <c:v>0</c:v>
                </c:pt>
                <c:pt idx="7286">
                  <c:v>0.82</c:v>
                </c:pt>
                <c:pt idx="7287">
                  <c:v>1.28</c:v>
                </c:pt>
                <c:pt idx="7288">
                  <c:v>0.3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1.1399999999999999</c:v>
                </c:pt>
                <c:pt idx="7305">
                  <c:v>0.76</c:v>
                </c:pt>
                <c:pt idx="7306">
                  <c:v>0.28999999999999998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0.92</c:v>
                </c:pt>
                <c:pt idx="7311">
                  <c:v>1.1299999999999999</c:v>
                </c:pt>
                <c:pt idx="7312">
                  <c:v>0.38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0.51</c:v>
                </c:pt>
                <c:pt idx="7329">
                  <c:v>0.84</c:v>
                </c:pt>
                <c:pt idx="7330">
                  <c:v>0.26</c:v>
                </c:pt>
                <c:pt idx="7331">
                  <c:v>0</c:v>
                </c:pt>
                <c:pt idx="7332">
                  <c:v>0.71</c:v>
                </c:pt>
                <c:pt idx="7333">
                  <c:v>1.06</c:v>
                </c:pt>
                <c:pt idx="7334">
                  <c:v>0.39</c:v>
                </c:pt>
                <c:pt idx="7335">
                  <c:v>0</c:v>
                </c:pt>
                <c:pt idx="7336">
                  <c:v>1.01</c:v>
                </c:pt>
                <c:pt idx="7337">
                  <c:v>1.31</c:v>
                </c:pt>
                <c:pt idx="7338">
                  <c:v>0.34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0.32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0.68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0.4</c:v>
                </c:pt>
                <c:pt idx="7623">
                  <c:v>0.76</c:v>
                </c:pt>
                <c:pt idx="7624">
                  <c:v>0.79</c:v>
                </c:pt>
                <c:pt idx="7625">
                  <c:v>0.96</c:v>
                </c:pt>
                <c:pt idx="7626">
                  <c:v>0.2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0.33</c:v>
                </c:pt>
                <c:pt idx="7641">
                  <c:v>0.66</c:v>
                </c:pt>
                <c:pt idx="7642">
                  <c:v>0.36</c:v>
                </c:pt>
                <c:pt idx="7643">
                  <c:v>0</c:v>
                </c:pt>
                <c:pt idx="7644">
                  <c:v>0</c:v>
                </c:pt>
                <c:pt idx="7645">
                  <c:v>0.45</c:v>
                </c:pt>
                <c:pt idx="7646">
                  <c:v>0.41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0.67</c:v>
                </c:pt>
                <c:pt idx="7690">
                  <c:v>0.75</c:v>
                </c:pt>
                <c:pt idx="7691">
                  <c:v>0.74</c:v>
                </c:pt>
                <c:pt idx="7692">
                  <c:v>0.69</c:v>
                </c:pt>
                <c:pt idx="7693">
                  <c:v>0.32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0.33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0.33</c:v>
                </c:pt>
                <c:pt idx="7808">
                  <c:v>0.28999999999999998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0.91</c:v>
                </c:pt>
                <c:pt idx="7815">
                  <c:v>0.79</c:v>
                </c:pt>
                <c:pt idx="7816">
                  <c:v>0.34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0.34</c:v>
                </c:pt>
                <c:pt idx="7835">
                  <c:v>0.66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0.45</c:v>
                </c:pt>
                <c:pt idx="7841">
                  <c:v>0.74</c:v>
                </c:pt>
                <c:pt idx="7842">
                  <c:v>0.33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0.21</c:v>
                </c:pt>
                <c:pt idx="7855">
                  <c:v>0.51</c:v>
                </c:pt>
                <c:pt idx="7856">
                  <c:v>0.34</c:v>
                </c:pt>
                <c:pt idx="7857">
                  <c:v>0</c:v>
                </c:pt>
                <c:pt idx="7858">
                  <c:v>0.38</c:v>
                </c:pt>
                <c:pt idx="7859">
                  <c:v>0.44</c:v>
                </c:pt>
                <c:pt idx="7860">
                  <c:v>0.24</c:v>
                </c:pt>
                <c:pt idx="7861">
                  <c:v>0</c:v>
                </c:pt>
                <c:pt idx="7862">
                  <c:v>0.68</c:v>
                </c:pt>
                <c:pt idx="7863">
                  <c:v>0.89</c:v>
                </c:pt>
                <c:pt idx="7864">
                  <c:v>0.2</c:v>
                </c:pt>
                <c:pt idx="7865">
                  <c:v>0</c:v>
                </c:pt>
                <c:pt idx="7866">
                  <c:v>0.59</c:v>
                </c:pt>
                <c:pt idx="7867">
                  <c:v>0.71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0.49</c:v>
                </c:pt>
                <c:pt idx="7881">
                  <c:v>0.69</c:v>
                </c:pt>
                <c:pt idx="7882">
                  <c:v>0.27</c:v>
                </c:pt>
                <c:pt idx="7883">
                  <c:v>0.42</c:v>
                </c:pt>
                <c:pt idx="7884">
                  <c:v>0.86</c:v>
                </c:pt>
                <c:pt idx="7885">
                  <c:v>0.69</c:v>
                </c:pt>
                <c:pt idx="7886">
                  <c:v>0.54</c:v>
                </c:pt>
                <c:pt idx="7887">
                  <c:v>0</c:v>
                </c:pt>
                <c:pt idx="7888">
                  <c:v>0.44</c:v>
                </c:pt>
                <c:pt idx="7889">
                  <c:v>0.85</c:v>
                </c:pt>
                <c:pt idx="7890">
                  <c:v>0.8</c:v>
                </c:pt>
                <c:pt idx="7891">
                  <c:v>0.97</c:v>
                </c:pt>
                <c:pt idx="7892">
                  <c:v>0.22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0.28000000000000003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0.2</c:v>
                </c:pt>
                <c:pt idx="7907">
                  <c:v>0.62</c:v>
                </c:pt>
                <c:pt idx="7908">
                  <c:v>0.23</c:v>
                </c:pt>
                <c:pt idx="7909">
                  <c:v>0</c:v>
                </c:pt>
                <c:pt idx="7910">
                  <c:v>0.66</c:v>
                </c:pt>
                <c:pt idx="7911">
                  <c:v>0.92</c:v>
                </c:pt>
                <c:pt idx="7912">
                  <c:v>0.37</c:v>
                </c:pt>
                <c:pt idx="7913">
                  <c:v>0</c:v>
                </c:pt>
                <c:pt idx="7914">
                  <c:v>0.57999999999999996</c:v>
                </c:pt>
                <c:pt idx="7915">
                  <c:v>0.89</c:v>
                </c:pt>
                <c:pt idx="7916">
                  <c:v>0.28999999999999998</c:v>
                </c:pt>
                <c:pt idx="7917">
                  <c:v>0</c:v>
                </c:pt>
                <c:pt idx="7918">
                  <c:v>0.31</c:v>
                </c:pt>
                <c:pt idx="7919">
                  <c:v>0.38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0.36</c:v>
                </c:pt>
                <c:pt idx="7924">
                  <c:v>0</c:v>
                </c:pt>
                <c:pt idx="7925">
                  <c:v>0</c:v>
                </c:pt>
                <c:pt idx="7926">
                  <c:v>0.21</c:v>
                </c:pt>
                <c:pt idx="7927">
                  <c:v>0.44</c:v>
                </c:pt>
                <c:pt idx="7928">
                  <c:v>0</c:v>
                </c:pt>
                <c:pt idx="7929">
                  <c:v>0</c:v>
                </c:pt>
                <c:pt idx="7930">
                  <c:v>0.23</c:v>
                </c:pt>
                <c:pt idx="7931">
                  <c:v>0.44</c:v>
                </c:pt>
                <c:pt idx="7932">
                  <c:v>0.63</c:v>
                </c:pt>
                <c:pt idx="7933">
                  <c:v>0.84</c:v>
                </c:pt>
                <c:pt idx="7934">
                  <c:v>0.49</c:v>
                </c:pt>
                <c:pt idx="7935">
                  <c:v>0</c:v>
                </c:pt>
                <c:pt idx="7936">
                  <c:v>0.74</c:v>
                </c:pt>
                <c:pt idx="7937">
                  <c:v>0.71</c:v>
                </c:pt>
                <c:pt idx="7938">
                  <c:v>0.69</c:v>
                </c:pt>
                <c:pt idx="7939">
                  <c:v>0.4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0.32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0.32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0.78</c:v>
                </c:pt>
                <c:pt idx="7961">
                  <c:v>0.79</c:v>
                </c:pt>
                <c:pt idx="7962">
                  <c:v>0.84</c:v>
                </c:pt>
                <c:pt idx="7963">
                  <c:v>0.92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0.28000000000000003</c:v>
                </c:pt>
                <c:pt idx="7975">
                  <c:v>0.4</c:v>
                </c:pt>
                <c:pt idx="7976">
                  <c:v>0</c:v>
                </c:pt>
                <c:pt idx="7977">
                  <c:v>0.23</c:v>
                </c:pt>
                <c:pt idx="7978">
                  <c:v>0.33</c:v>
                </c:pt>
                <c:pt idx="7979">
                  <c:v>0.54</c:v>
                </c:pt>
                <c:pt idx="7980">
                  <c:v>0</c:v>
                </c:pt>
                <c:pt idx="7981">
                  <c:v>0</c:v>
                </c:pt>
                <c:pt idx="7982">
                  <c:v>0.56999999999999995</c:v>
                </c:pt>
                <c:pt idx="7983">
                  <c:v>1.28</c:v>
                </c:pt>
                <c:pt idx="7984">
                  <c:v>1.06</c:v>
                </c:pt>
                <c:pt idx="7985">
                  <c:v>1.03</c:v>
                </c:pt>
                <c:pt idx="7986">
                  <c:v>0.27</c:v>
                </c:pt>
                <c:pt idx="7987">
                  <c:v>0</c:v>
                </c:pt>
                <c:pt idx="7988">
                  <c:v>0.62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0.72</c:v>
                </c:pt>
                <c:pt idx="8001">
                  <c:v>1.03</c:v>
                </c:pt>
                <c:pt idx="8002">
                  <c:v>0</c:v>
                </c:pt>
                <c:pt idx="8003">
                  <c:v>0</c:v>
                </c:pt>
                <c:pt idx="8004">
                  <c:v>0.43</c:v>
                </c:pt>
                <c:pt idx="8005">
                  <c:v>1.1399999999999999</c:v>
                </c:pt>
                <c:pt idx="8006">
                  <c:v>1.34</c:v>
                </c:pt>
                <c:pt idx="8007">
                  <c:v>1.59</c:v>
                </c:pt>
                <c:pt idx="8008">
                  <c:v>0.37</c:v>
                </c:pt>
                <c:pt idx="8009">
                  <c:v>0</c:v>
                </c:pt>
                <c:pt idx="8010">
                  <c:v>0.76</c:v>
                </c:pt>
                <c:pt idx="8011">
                  <c:v>0.78</c:v>
                </c:pt>
                <c:pt idx="8012">
                  <c:v>0.32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0.41</c:v>
                </c:pt>
                <c:pt idx="8023">
                  <c:v>0.9</c:v>
                </c:pt>
                <c:pt idx="8024">
                  <c:v>0.65</c:v>
                </c:pt>
                <c:pt idx="8025">
                  <c:v>0</c:v>
                </c:pt>
                <c:pt idx="8026">
                  <c:v>0</c:v>
                </c:pt>
                <c:pt idx="8027">
                  <c:v>0.44</c:v>
                </c:pt>
                <c:pt idx="8028">
                  <c:v>0.21</c:v>
                </c:pt>
                <c:pt idx="8029">
                  <c:v>0</c:v>
                </c:pt>
                <c:pt idx="8030">
                  <c:v>0.51</c:v>
                </c:pt>
                <c:pt idx="8031">
                  <c:v>0.82</c:v>
                </c:pt>
                <c:pt idx="8032">
                  <c:v>0.76</c:v>
                </c:pt>
                <c:pt idx="8033">
                  <c:v>1.19</c:v>
                </c:pt>
                <c:pt idx="8034">
                  <c:v>0</c:v>
                </c:pt>
                <c:pt idx="8035">
                  <c:v>0</c:v>
                </c:pt>
                <c:pt idx="8036">
                  <c:v>0.63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0.34</c:v>
                </c:pt>
                <c:pt idx="8049">
                  <c:v>0.43</c:v>
                </c:pt>
                <c:pt idx="8050">
                  <c:v>0.28999999999999998</c:v>
                </c:pt>
                <c:pt idx="8051">
                  <c:v>0</c:v>
                </c:pt>
                <c:pt idx="8052">
                  <c:v>0.44</c:v>
                </c:pt>
                <c:pt idx="8053">
                  <c:v>0.81</c:v>
                </c:pt>
                <c:pt idx="8054">
                  <c:v>0.63</c:v>
                </c:pt>
                <c:pt idx="8055">
                  <c:v>0.72</c:v>
                </c:pt>
                <c:pt idx="8056">
                  <c:v>0</c:v>
                </c:pt>
                <c:pt idx="8057">
                  <c:v>0.87</c:v>
                </c:pt>
                <c:pt idx="8058">
                  <c:v>1.4</c:v>
                </c:pt>
                <c:pt idx="8059">
                  <c:v>0.54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0.52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0.26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0.54</c:v>
                </c:pt>
                <c:pt idx="8079">
                  <c:v>1.36</c:v>
                </c:pt>
                <c:pt idx="8080">
                  <c:v>0.49</c:v>
                </c:pt>
                <c:pt idx="8081">
                  <c:v>0</c:v>
                </c:pt>
                <c:pt idx="8082">
                  <c:v>0.6</c:v>
                </c:pt>
                <c:pt idx="8083">
                  <c:v>1.03</c:v>
                </c:pt>
                <c:pt idx="8084">
                  <c:v>0.49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0.25</c:v>
                </c:pt>
                <c:pt idx="8093">
                  <c:v>0.32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0.23</c:v>
                </c:pt>
                <c:pt idx="8098">
                  <c:v>0</c:v>
                </c:pt>
                <c:pt idx="8099">
                  <c:v>0</c:v>
                </c:pt>
                <c:pt idx="8100">
                  <c:v>0.68</c:v>
                </c:pt>
                <c:pt idx="8101">
                  <c:v>1.05</c:v>
                </c:pt>
                <c:pt idx="8102">
                  <c:v>1.45</c:v>
                </c:pt>
                <c:pt idx="8103">
                  <c:v>1.95</c:v>
                </c:pt>
                <c:pt idx="8104">
                  <c:v>0.89</c:v>
                </c:pt>
                <c:pt idx="8105">
                  <c:v>0</c:v>
                </c:pt>
                <c:pt idx="8106">
                  <c:v>0.89</c:v>
                </c:pt>
                <c:pt idx="8107">
                  <c:v>1.05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0.22</c:v>
                </c:pt>
                <c:pt idx="8117">
                  <c:v>0.39</c:v>
                </c:pt>
                <c:pt idx="8118">
                  <c:v>0</c:v>
                </c:pt>
                <c:pt idx="8119">
                  <c:v>0</c:v>
                </c:pt>
                <c:pt idx="8120">
                  <c:v>0.35</c:v>
                </c:pt>
                <c:pt idx="8121">
                  <c:v>0.62</c:v>
                </c:pt>
                <c:pt idx="8122">
                  <c:v>0.62</c:v>
                </c:pt>
                <c:pt idx="8123">
                  <c:v>0.46</c:v>
                </c:pt>
                <c:pt idx="8124">
                  <c:v>0.67</c:v>
                </c:pt>
                <c:pt idx="8125">
                  <c:v>0</c:v>
                </c:pt>
                <c:pt idx="8126">
                  <c:v>0.49</c:v>
                </c:pt>
                <c:pt idx="8127">
                  <c:v>0.9</c:v>
                </c:pt>
                <c:pt idx="8128">
                  <c:v>0.94</c:v>
                </c:pt>
                <c:pt idx="8129">
                  <c:v>0.85</c:v>
                </c:pt>
                <c:pt idx="8130">
                  <c:v>0.46</c:v>
                </c:pt>
                <c:pt idx="8131">
                  <c:v>0</c:v>
                </c:pt>
                <c:pt idx="8132">
                  <c:v>0.41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0.21</c:v>
                </c:pt>
                <c:pt idx="8143">
                  <c:v>0.34</c:v>
                </c:pt>
                <c:pt idx="8144">
                  <c:v>0</c:v>
                </c:pt>
                <c:pt idx="8145">
                  <c:v>0</c:v>
                </c:pt>
                <c:pt idx="8146">
                  <c:v>0.2</c:v>
                </c:pt>
                <c:pt idx="8147">
                  <c:v>0.28999999999999998</c:v>
                </c:pt>
                <c:pt idx="8148">
                  <c:v>0.31</c:v>
                </c:pt>
                <c:pt idx="8149">
                  <c:v>0</c:v>
                </c:pt>
                <c:pt idx="8150">
                  <c:v>0.72</c:v>
                </c:pt>
                <c:pt idx="8151">
                  <c:v>1.0900000000000001</c:v>
                </c:pt>
                <c:pt idx="8152">
                  <c:v>1.06</c:v>
                </c:pt>
                <c:pt idx="8153">
                  <c:v>1.07</c:v>
                </c:pt>
                <c:pt idx="8154">
                  <c:v>0.42</c:v>
                </c:pt>
                <c:pt idx="8155">
                  <c:v>0</c:v>
                </c:pt>
                <c:pt idx="8156">
                  <c:v>0.61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0.24</c:v>
                </c:pt>
                <c:pt idx="8170">
                  <c:v>0</c:v>
                </c:pt>
                <c:pt idx="8171">
                  <c:v>0</c:v>
                </c:pt>
                <c:pt idx="8172">
                  <c:v>0.61</c:v>
                </c:pt>
                <c:pt idx="8173">
                  <c:v>1.2</c:v>
                </c:pt>
                <c:pt idx="8174">
                  <c:v>0.8</c:v>
                </c:pt>
                <c:pt idx="8175">
                  <c:v>0</c:v>
                </c:pt>
                <c:pt idx="8176">
                  <c:v>0.61</c:v>
                </c:pt>
                <c:pt idx="8177">
                  <c:v>1.31</c:v>
                </c:pt>
                <c:pt idx="8178">
                  <c:v>1.51</c:v>
                </c:pt>
                <c:pt idx="8179">
                  <c:v>1.5</c:v>
                </c:pt>
                <c:pt idx="8180">
                  <c:v>0.5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1.7</c:v>
                </c:pt>
                <c:pt idx="8190">
                  <c:v>0.43</c:v>
                </c:pt>
                <c:pt idx="8191">
                  <c:v>0</c:v>
                </c:pt>
                <c:pt idx="8192">
                  <c:v>0.73</c:v>
                </c:pt>
                <c:pt idx="8193">
                  <c:v>1.23</c:v>
                </c:pt>
                <c:pt idx="8194">
                  <c:v>1.47</c:v>
                </c:pt>
                <c:pt idx="8195">
                  <c:v>0.5</c:v>
                </c:pt>
                <c:pt idx="8196">
                  <c:v>0.91</c:v>
                </c:pt>
                <c:pt idx="8197">
                  <c:v>1.73</c:v>
                </c:pt>
                <c:pt idx="8198">
                  <c:v>2.27</c:v>
                </c:pt>
                <c:pt idx="8199">
                  <c:v>1.72</c:v>
                </c:pt>
                <c:pt idx="8200">
                  <c:v>1.66</c:v>
                </c:pt>
                <c:pt idx="8201">
                  <c:v>0.57999999999999996</c:v>
                </c:pt>
                <c:pt idx="8202">
                  <c:v>1.1299999999999999</c:v>
                </c:pt>
                <c:pt idx="8203">
                  <c:v>2.81</c:v>
                </c:pt>
                <c:pt idx="8204">
                  <c:v>0.87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0.68</c:v>
                </c:pt>
                <c:pt idx="8213">
                  <c:v>0</c:v>
                </c:pt>
                <c:pt idx="8214">
                  <c:v>0.84</c:v>
                </c:pt>
                <c:pt idx="8215">
                  <c:v>1.87</c:v>
                </c:pt>
                <c:pt idx="8216">
                  <c:v>1.47</c:v>
                </c:pt>
                <c:pt idx="8217">
                  <c:v>0.84</c:v>
                </c:pt>
                <c:pt idx="8218">
                  <c:v>0.71</c:v>
                </c:pt>
                <c:pt idx="8219">
                  <c:v>1.01</c:v>
                </c:pt>
                <c:pt idx="8220">
                  <c:v>0.99</c:v>
                </c:pt>
                <c:pt idx="8221">
                  <c:v>1.43</c:v>
                </c:pt>
                <c:pt idx="8222">
                  <c:v>2.15</c:v>
                </c:pt>
                <c:pt idx="8223">
                  <c:v>2.66</c:v>
                </c:pt>
                <c:pt idx="8224">
                  <c:v>2.35</c:v>
                </c:pt>
                <c:pt idx="8225">
                  <c:v>2.16</c:v>
                </c:pt>
                <c:pt idx="8226">
                  <c:v>0.67</c:v>
                </c:pt>
                <c:pt idx="8227">
                  <c:v>0.93</c:v>
                </c:pt>
                <c:pt idx="8228">
                  <c:v>1.63</c:v>
                </c:pt>
                <c:pt idx="8229">
                  <c:v>1.77</c:v>
                </c:pt>
                <c:pt idx="8230">
                  <c:v>0.97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1.08</c:v>
                </c:pt>
                <c:pt idx="8237">
                  <c:v>0</c:v>
                </c:pt>
                <c:pt idx="8238">
                  <c:v>1.28</c:v>
                </c:pt>
                <c:pt idx="8239">
                  <c:v>1.97</c:v>
                </c:pt>
                <c:pt idx="8240">
                  <c:v>1.55</c:v>
                </c:pt>
                <c:pt idx="8241">
                  <c:v>1.55</c:v>
                </c:pt>
                <c:pt idx="8242">
                  <c:v>0.51</c:v>
                </c:pt>
                <c:pt idx="8243">
                  <c:v>0.99</c:v>
                </c:pt>
                <c:pt idx="8244">
                  <c:v>1.77</c:v>
                </c:pt>
                <c:pt idx="8245">
                  <c:v>1.76</c:v>
                </c:pt>
                <c:pt idx="8246">
                  <c:v>1.52</c:v>
                </c:pt>
                <c:pt idx="8247">
                  <c:v>1.43</c:v>
                </c:pt>
                <c:pt idx="8248">
                  <c:v>0.65</c:v>
                </c:pt>
                <c:pt idx="8249">
                  <c:v>0.86</c:v>
                </c:pt>
                <c:pt idx="8250">
                  <c:v>1.33</c:v>
                </c:pt>
                <c:pt idx="8251">
                  <c:v>1.81</c:v>
                </c:pt>
                <c:pt idx="8252">
                  <c:v>0.92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1.27</c:v>
                </c:pt>
                <c:pt idx="8260">
                  <c:v>0.64</c:v>
                </c:pt>
                <c:pt idx="8261">
                  <c:v>0</c:v>
                </c:pt>
                <c:pt idx="8262">
                  <c:v>0.48</c:v>
                </c:pt>
                <c:pt idx="8263">
                  <c:v>0.8</c:v>
                </c:pt>
                <c:pt idx="8264">
                  <c:v>0.38</c:v>
                </c:pt>
                <c:pt idx="8265">
                  <c:v>0</c:v>
                </c:pt>
                <c:pt idx="8266">
                  <c:v>0.5</c:v>
                </c:pt>
                <c:pt idx="8267">
                  <c:v>1.23</c:v>
                </c:pt>
                <c:pt idx="8268">
                  <c:v>1.59</c:v>
                </c:pt>
                <c:pt idx="8269">
                  <c:v>1.55</c:v>
                </c:pt>
                <c:pt idx="8270">
                  <c:v>0.8</c:v>
                </c:pt>
                <c:pt idx="8271">
                  <c:v>0.92</c:v>
                </c:pt>
                <c:pt idx="8272">
                  <c:v>1.84</c:v>
                </c:pt>
                <c:pt idx="8273">
                  <c:v>1.88</c:v>
                </c:pt>
                <c:pt idx="8274">
                  <c:v>0.49</c:v>
                </c:pt>
                <c:pt idx="8275">
                  <c:v>0.94</c:v>
                </c:pt>
                <c:pt idx="8276">
                  <c:v>1.84</c:v>
                </c:pt>
                <c:pt idx="8277">
                  <c:v>1.47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0.56999999999999995</c:v>
                </c:pt>
                <c:pt idx="8285">
                  <c:v>0.78</c:v>
                </c:pt>
                <c:pt idx="8286">
                  <c:v>0.23</c:v>
                </c:pt>
                <c:pt idx="8287">
                  <c:v>0.35</c:v>
                </c:pt>
                <c:pt idx="8288">
                  <c:v>0.74</c:v>
                </c:pt>
                <c:pt idx="8289">
                  <c:v>0.72</c:v>
                </c:pt>
                <c:pt idx="8290">
                  <c:v>0.5</c:v>
                </c:pt>
                <c:pt idx="8291">
                  <c:v>0</c:v>
                </c:pt>
                <c:pt idx="8292">
                  <c:v>0.38</c:v>
                </c:pt>
                <c:pt idx="8293">
                  <c:v>1.73</c:v>
                </c:pt>
                <c:pt idx="8294">
                  <c:v>1.76</c:v>
                </c:pt>
                <c:pt idx="8295">
                  <c:v>1.78</c:v>
                </c:pt>
                <c:pt idx="8296">
                  <c:v>1.38</c:v>
                </c:pt>
                <c:pt idx="8297">
                  <c:v>1.2</c:v>
                </c:pt>
                <c:pt idx="8298">
                  <c:v>0</c:v>
                </c:pt>
                <c:pt idx="8299">
                  <c:v>0.83</c:v>
                </c:pt>
                <c:pt idx="8300">
                  <c:v>1.17</c:v>
                </c:pt>
                <c:pt idx="8301">
                  <c:v>1.71</c:v>
                </c:pt>
                <c:pt idx="8302">
                  <c:v>0.85</c:v>
                </c:pt>
                <c:pt idx="8303">
                  <c:v>0</c:v>
                </c:pt>
                <c:pt idx="8304">
                  <c:v>1.37</c:v>
                </c:pt>
                <c:pt idx="8305">
                  <c:v>2.17</c:v>
                </c:pt>
                <c:pt idx="8306">
                  <c:v>1.79</c:v>
                </c:pt>
                <c:pt idx="8307">
                  <c:v>0</c:v>
                </c:pt>
                <c:pt idx="8308">
                  <c:v>0.73</c:v>
                </c:pt>
                <c:pt idx="8309">
                  <c:v>1.39</c:v>
                </c:pt>
                <c:pt idx="8310">
                  <c:v>0.92</c:v>
                </c:pt>
                <c:pt idx="8311">
                  <c:v>0.91</c:v>
                </c:pt>
                <c:pt idx="8312">
                  <c:v>0.34</c:v>
                </c:pt>
                <c:pt idx="8313">
                  <c:v>0</c:v>
                </c:pt>
                <c:pt idx="8314">
                  <c:v>0.52</c:v>
                </c:pt>
                <c:pt idx="8315">
                  <c:v>1.22</c:v>
                </c:pt>
                <c:pt idx="8316">
                  <c:v>1.01</c:v>
                </c:pt>
                <c:pt idx="8317">
                  <c:v>0</c:v>
                </c:pt>
                <c:pt idx="8318">
                  <c:v>0.9</c:v>
                </c:pt>
                <c:pt idx="8319">
                  <c:v>2.02</c:v>
                </c:pt>
                <c:pt idx="8320">
                  <c:v>1.59</c:v>
                </c:pt>
                <c:pt idx="8321">
                  <c:v>1.36</c:v>
                </c:pt>
                <c:pt idx="8322">
                  <c:v>0.63</c:v>
                </c:pt>
                <c:pt idx="8323">
                  <c:v>1.0900000000000001</c:v>
                </c:pt>
                <c:pt idx="8324">
                  <c:v>1.66</c:v>
                </c:pt>
                <c:pt idx="8325">
                  <c:v>1.86</c:v>
                </c:pt>
                <c:pt idx="8326">
                  <c:v>0.97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1.1599999999999999</c:v>
                </c:pt>
                <c:pt idx="8332">
                  <c:v>0.57999999999999996</c:v>
                </c:pt>
                <c:pt idx="8333">
                  <c:v>0</c:v>
                </c:pt>
                <c:pt idx="8334">
                  <c:v>0.3</c:v>
                </c:pt>
                <c:pt idx="8335">
                  <c:v>0.71</c:v>
                </c:pt>
                <c:pt idx="8336">
                  <c:v>0.33</c:v>
                </c:pt>
                <c:pt idx="8337">
                  <c:v>0.5</c:v>
                </c:pt>
                <c:pt idx="8338">
                  <c:v>0</c:v>
                </c:pt>
                <c:pt idx="8339">
                  <c:v>0</c:v>
                </c:pt>
                <c:pt idx="8340">
                  <c:v>0.95</c:v>
                </c:pt>
                <c:pt idx="8341">
                  <c:v>1.59</c:v>
                </c:pt>
                <c:pt idx="8342">
                  <c:v>0.28000000000000003</c:v>
                </c:pt>
                <c:pt idx="8343">
                  <c:v>0</c:v>
                </c:pt>
                <c:pt idx="8344">
                  <c:v>1.33</c:v>
                </c:pt>
                <c:pt idx="8345">
                  <c:v>2.06</c:v>
                </c:pt>
                <c:pt idx="8346">
                  <c:v>0.6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0.92</c:v>
                </c:pt>
                <c:pt idx="8357">
                  <c:v>1.06</c:v>
                </c:pt>
                <c:pt idx="8358">
                  <c:v>0.3</c:v>
                </c:pt>
                <c:pt idx="8359">
                  <c:v>0</c:v>
                </c:pt>
                <c:pt idx="8360">
                  <c:v>0</c:v>
                </c:pt>
                <c:pt idx="8361">
                  <c:v>1.1299999999999999</c:v>
                </c:pt>
                <c:pt idx="8362">
                  <c:v>1.1200000000000001</c:v>
                </c:pt>
                <c:pt idx="8363">
                  <c:v>0.88</c:v>
                </c:pt>
                <c:pt idx="8364">
                  <c:v>0.34</c:v>
                </c:pt>
                <c:pt idx="8365">
                  <c:v>0</c:v>
                </c:pt>
                <c:pt idx="8366">
                  <c:v>0.86</c:v>
                </c:pt>
                <c:pt idx="8367">
                  <c:v>1.29</c:v>
                </c:pt>
                <c:pt idx="8368">
                  <c:v>1.18</c:v>
                </c:pt>
                <c:pt idx="8369">
                  <c:v>0.99</c:v>
                </c:pt>
                <c:pt idx="8370">
                  <c:v>0</c:v>
                </c:pt>
                <c:pt idx="8371">
                  <c:v>0</c:v>
                </c:pt>
                <c:pt idx="8372">
                  <c:v>1.1599999999999999</c:v>
                </c:pt>
                <c:pt idx="8373">
                  <c:v>1.02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1.0900000000000001</c:v>
                </c:pt>
                <c:pt idx="8381">
                  <c:v>1.34</c:v>
                </c:pt>
                <c:pt idx="8382">
                  <c:v>0.45</c:v>
                </c:pt>
                <c:pt idx="8383">
                  <c:v>0</c:v>
                </c:pt>
                <c:pt idx="8384">
                  <c:v>1.1100000000000001</c:v>
                </c:pt>
                <c:pt idx="8385">
                  <c:v>2.0099999999999998</c:v>
                </c:pt>
                <c:pt idx="8386">
                  <c:v>0.82</c:v>
                </c:pt>
                <c:pt idx="8387">
                  <c:v>0</c:v>
                </c:pt>
                <c:pt idx="8388">
                  <c:v>0.67</c:v>
                </c:pt>
                <c:pt idx="8389">
                  <c:v>1.65</c:v>
                </c:pt>
                <c:pt idx="8390">
                  <c:v>2.4300000000000002</c:v>
                </c:pt>
                <c:pt idx="8391">
                  <c:v>2.09</c:v>
                </c:pt>
                <c:pt idx="8392">
                  <c:v>0.76</c:v>
                </c:pt>
                <c:pt idx="8393">
                  <c:v>0.79</c:v>
                </c:pt>
                <c:pt idx="8394">
                  <c:v>1.37</c:v>
                </c:pt>
                <c:pt idx="8395">
                  <c:v>1.26</c:v>
                </c:pt>
                <c:pt idx="8396">
                  <c:v>0.25</c:v>
                </c:pt>
                <c:pt idx="8397">
                  <c:v>0</c:v>
                </c:pt>
                <c:pt idx="8398">
                  <c:v>0.85</c:v>
                </c:pt>
                <c:pt idx="8399">
                  <c:v>0.33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0.44</c:v>
                </c:pt>
                <c:pt idx="8405">
                  <c:v>0.77</c:v>
                </c:pt>
                <c:pt idx="8406">
                  <c:v>0.28999999999999998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1.1200000000000001</c:v>
                </c:pt>
                <c:pt idx="8412">
                  <c:v>0.5</c:v>
                </c:pt>
                <c:pt idx="8413">
                  <c:v>0</c:v>
                </c:pt>
                <c:pt idx="8414">
                  <c:v>1.64</c:v>
                </c:pt>
                <c:pt idx="8415">
                  <c:v>0.37</c:v>
                </c:pt>
                <c:pt idx="8416">
                  <c:v>0.57999999999999996</c:v>
                </c:pt>
                <c:pt idx="8417">
                  <c:v>0</c:v>
                </c:pt>
                <c:pt idx="8418">
                  <c:v>1.03</c:v>
                </c:pt>
                <c:pt idx="8419">
                  <c:v>2.1</c:v>
                </c:pt>
                <c:pt idx="8420">
                  <c:v>1.0900000000000001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0.53</c:v>
                </c:pt>
                <c:pt idx="8429">
                  <c:v>0.64</c:v>
                </c:pt>
                <c:pt idx="8430">
                  <c:v>0.27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0.67</c:v>
                </c:pt>
                <c:pt idx="8435">
                  <c:v>1.1200000000000001</c:v>
                </c:pt>
                <c:pt idx="8436">
                  <c:v>0.5</c:v>
                </c:pt>
                <c:pt idx="8437">
                  <c:v>0</c:v>
                </c:pt>
                <c:pt idx="8438">
                  <c:v>1.64</c:v>
                </c:pt>
                <c:pt idx="8439">
                  <c:v>2.17</c:v>
                </c:pt>
                <c:pt idx="8440">
                  <c:v>0.48</c:v>
                </c:pt>
                <c:pt idx="8441">
                  <c:v>0.87</c:v>
                </c:pt>
                <c:pt idx="8442">
                  <c:v>1.23</c:v>
                </c:pt>
                <c:pt idx="8443">
                  <c:v>0.76</c:v>
                </c:pt>
                <c:pt idx="8444">
                  <c:v>0</c:v>
                </c:pt>
                <c:pt idx="8445">
                  <c:v>0</c:v>
                </c:pt>
                <c:pt idx="8446">
                  <c:v>0.37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0.78</c:v>
                </c:pt>
                <c:pt idx="8455">
                  <c:v>1.18</c:v>
                </c:pt>
                <c:pt idx="8456">
                  <c:v>0.26</c:v>
                </c:pt>
                <c:pt idx="8457">
                  <c:v>0</c:v>
                </c:pt>
                <c:pt idx="8458">
                  <c:v>0.88</c:v>
                </c:pt>
                <c:pt idx="8459">
                  <c:v>1.33</c:v>
                </c:pt>
                <c:pt idx="8460">
                  <c:v>0.67</c:v>
                </c:pt>
                <c:pt idx="8461">
                  <c:v>0</c:v>
                </c:pt>
                <c:pt idx="8462">
                  <c:v>1.6</c:v>
                </c:pt>
                <c:pt idx="8463">
                  <c:v>2.15</c:v>
                </c:pt>
                <c:pt idx="8464">
                  <c:v>0.79</c:v>
                </c:pt>
                <c:pt idx="8465">
                  <c:v>0</c:v>
                </c:pt>
                <c:pt idx="8466">
                  <c:v>1.05</c:v>
                </c:pt>
                <c:pt idx="8467">
                  <c:v>1.74</c:v>
                </c:pt>
                <c:pt idx="8468">
                  <c:v>1.67</c:v>
                </c:pt>
                <c:pt idx="8469">
                  <c:v>0.91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0.55000000000000004</c:v>
                </c:pt>
                <c:pt idx="8476">
                  <c:v>0.54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0.34</c:v>
                </c:pt>
                <c:pt idx="8481">
                  <c:v>0.7</c:v>
                </c:pt>
                <c:pt idx="8482">
                  <c:v>0.28999999999999998</c:v>
                </c:pt>
                <c:pt idx="8483">
                  <c:v>0</c:v>
                </c:pt>
                <c:pt idx="8484">
                  <c:v>0.7</c:v>
                </c:pt>
                <c:pt idx="8485">
                  <c:v>1.02</c:v>
                </c:pt>
                <c:pt idx="8486">
                  <c:v>0.38</c:v>
                </c:pt>
                <c:pt idx="8487">
                  <c:v>0</c:v>
                </c:pt>
                <c:pt idx="8488">
                  <c:v>0.96</c:v>
                </c:pt>
                <c:pt idx="8489">
                  <c:v>1.42</c:v>
                </c:pt>
                <c:pt idx="8490">
                  <c:v>1.49</c:v>
                </c:pt>
                <c:pt idx="8491">
                  <c:v>1.26</c:v>
                </c:pt>
                <c:pt idx="8492">
                  <c:v>0.31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0.45</c:v>
                </c:pt>
                <c:pt idx="8501">
                  <c:v>0.72</c:v>
                </c:pt>
                <c:pt idx="8502">
                  <c:v>0.28999999999999998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0.5</c:v>
                </c:pt>
                <c:pt idx="8507">
                  <c:v>1.02</c:v>
                </c:pt>
                <c:pt idx="8508">
                  <c:v>0.32</c:v>
                </c:pt>
                <c:pt idx="8509">
                  <c:v>0</c:v>
                </c:pt>
                <c:pt idx="8510">
                  <c:v>0.89</c:v>
                </c:pt>
                <c:pt idx="8511">
                  <c:v>1.54</c:v>
                </c:pt>
                <c:pt idx="8512">
                  <c:v>0.71</c:v>
                </c:pt>
                <c:pt idx="8513">
                  <c:v>0</c:v>
                </c:pt>
                <c:pt idx="8514">
                  <c:v>0.79</c:v>
                </c:pt>
                <c:pt idx="8515">
                  <c:v>1.1299999999999999</c:v>
                </c:pt>
                <c:pt idx="8516">
                  <c:v>0.33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0.84</c:v>
                </c:pt>
                <c:pt idx="8529">
                  <c:v>1.06</c:v>
                </c:pt>
                <c:pt idx="8530">
                  <c:v>0.32</c:v>
                </c:pt>
                <c:pt idx="8531">
                  <c:v>0</c:v>
                </c:pt>
                <c:pt idx="8532">
                  <c:v>0</c:v>
                </c:pt>
                <c:pt idx="8533">
                  <c:v>1.03</c:v>
                </c:pt>
                <c:pt idx="8534">
                  <c:v>0.56000000000000005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0.46</c:v>
                </c:pt>
                <c:pt idx="8553">
                  <c:v>0.22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0.91</c:v>
                </c:pt>
                <c:pt idx="8559">
                  <c:v>0.79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0.47</c:v>
                </c:pt>
                <c:pt idx="8579">
                  <c:v>0.65</c:v>
                </c:pt>
                <c:pt idx="8580">
                  <c:v>0.33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0.9</c:v>
                </c:pt>
                <c:pt idx="8585">
                  <c:v>0.8</c:v>
                </c:pt>
                <c:pt idx="8586">
                  <c:v>0.28000000000000003</c:v>
                </c:pt>
                <c:pt idx="8587">
                  <c:v>0</c:v>
                </c:pt>
                <c:pt idx="8588">
                  <c:v>0.97</c:v>
                </c:pt>
                <c:pt idx="8589">
                  <c:v>1.1000000000000001</c:v>
                </c:pt>
                <c:pt idx="8590">
                  <c:v>0.45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0.42</c:v>
                </c:pt>
                <c:pt idx="8601">
                  <c:v>0.66</c:v>
                </c:pt>
                <c:pt idx="8602">
                  <c:v>0</c:v>
                </c:pt>
                <c:pt idx="8603">
                  <c:v>0</c:v>
                </c:pt>
                <c:pt idx="8604">
                  <c:v>0.43</c:v>
                </c:pt>
                <c:pt idx="8605">
                  <c:v>0.84</c:v>
                </c:pt>
                <c:pt idx="8606">
                  <c:v>0.54</c:v>
                </c:pt>
                <c:pt idx="8607">
                  <c:v>0</c:v>
                </c:pt>
                <c:pt idx="8608">
                  <c:v>0.6</c:v>
                </c:pt>
                <c:pt idx="8609">
                  <c:v>0.88</c:v>
                </c:pt>
                <c:pt idx="8610">
                  <c:v>0.84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0.51</c:v>
                </c:pt>
                <c:pt idx="8627">
                  <c:v>0.73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0.37</c:v>
                </c:pt>
                <c:pt idx="8633">
                  <c:v>0.51</c:v>
                </c:pt>
                <c:pt idx="8634">
                  <c:v>0</c:v>
                </c:pt>
                <c:pt idx="8635">
                  <c:v>0</c:v>
                </c:pt>
                <c:pt idx="8636">
                  <c:v>0.38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0.44</c:v>
                </c:pt>
                <c:pt idx="8651">
                  <c:v>0.6</c:v>
                </c:pt>
                <c:pt idx="8652">
                  <c:v>0.26</c:v>
                </c:pt>
                <c:pt idx="8653">
                  <c:v>0</c:v>
                </c:pt>
                <c:pt idx="8654">
                  <c:v>0.7</c:v>
                </c:pt>
                <c:pt idx="8655">
                  <c:v>1.1299999999999999</c:v>
                </c:pt>
                <c:pt idx="8656">
                  <c:v>0.56000000000000005</c:v>
                </c:pt>
                <c:pt idx="8657">
                  <c:v>0</c:v>
                </c:pt>
                <c:pt idx="8658">
                  <c:v>0</c:v>
                </c:pt>
                <c:pt idx="8659">
                  <c:v>0.72</c:v>
                </c:pt>
                <c:pt idx="8660">
                  <c:v>0.54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0.22</c:v>
                </c:pt>
                <c:pt idx="8669">
                  <c:v>0.66</c:v>
                </c:pt>
                <c:pt idx="8670">
                  <c:v>0</c:v>
                </c:pt>
                <c:pt idx="8671">
                  <c:v>0</c:v>
                </c:pt>
                <c:pt idx="8672">
                  <c:v>0.28999999999999998</c:v>
                </c:pt>
                <c:pt idx="8673">
                  <c:v>0.52</c:v>
                </c:pt>
                <c:pt idx="8674">
                  <c:v>0.21</c:v>
                </c:pt>
                <c:pt idx="8675">
                  <c:v>0</c:v>
                </c:pt>
                <c:pt idx="8676">
                  <c:v>0.8</c:v>
                </c:pt>
                <c:pt idx="8677">
                  <c:v>1.29</c:v>
                </c:pt>
                <c:pt idx="8678">
                  <c:v>0.72</c:v>
                </c:pt>
                <c:pt idx="8679">
                  <c:v>0</c:v>
                </c:pt>
                <c:pt idx="8680">
                  <c:v>0.92</c:v>
                </c:pt>
                <c:pt idx="8681">
                  <c:v>0.86</c:v>
                </c:pt>
                <c:pt idx="8682">
                  <c:v>0.37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0.22</c:v>
                </c:pt>
                <c:pt idx="8693">
                  <c:v>0.66</c:v>
                </c:pt>
                <c:pt idx="8694">
                  <c:v>0</c:v>
                </c:pt>
                <c:pt idx="8695">
                  <c:v>0</c:v>
                </c:pt>
                <c:pt idx="8696">
                  <c:v>0.28000000000000003</c:v>
                </c:pt>
                <c:pt idx="8697">
                  <c:v>1.1599999999999999</c:v>
                </c:pt>
                <c:pt idx="8698">
                  <c:v>0.26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0.61</c:v>
                </c:pt>
                <c:pt idx="8703">
                  <c:v>1.43</c:v>
                </c:pt>
                <c:pt idx="8704">
                  <c:v>0.49</c:v>
                </c:pt>
                <c:pt idx="8705">
                  <c:v>0</c:v>
                </c:pt>
                <c:pt idx="8706">
                  <c:v>0.84</c:v>
                </c:pt>
                <c:pt idx="8707">
                  <c:v>1.6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0.7</c:v>
                </c:pt>
                <c:pt idx="8723">
                  <c:v>1.19</c:v>
                </c:pt>
                <c:pt idx="8724">
                  <c:v>0</c:v>
                </c:pt>
                <c:pt idx="8725">
                  <c:v>0</c:v>
                </c:pt>
                <c:pt idx="8726">
                  <c:v>0.86</c:v>
                </c:pt>
                <c:pt idx="8727">
                  <c:v>0.92</c:v>
                </c:pt>
                <c:pt idx="8728">
                  <c:v>0.28999999999999998</c:v>
                </c:pt>
                <c:pt idx="8729">
                  <c:v>0</c:v>
                </c:pt>
                <c:pt idx="8730">
                  <c:v>0.53</c:v>
                </c:pt>
                <c:pt idx="8731">
                  <c:v>1.1299999999999999</c:v>
                </c:pt>
                <c:pt idx="8732">
                  <c:v>0.37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0.73</c:v>
                </c:pt>
                <c:pt idx="8743">
                  <c:v>0.82</c:v>
                </c:pt>
                <c:pt idx="8744">
                  <c:v>0.21</c:v>
                </c:pt>
                <c:pt idx="8745">
                  <c:v>0</c:v>
                </c:pt>
                <c:pt idx="8746">
                  <c:v>0.23</c:v>
                </c:pt>
                <c:pt idx="8747">
                  <c:v>0.43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0.61</c:v>
                </c:pt>
                <c:pt idx="8753">
                  <c:v>0.79</c:v>
                </c:pt>
                <c:pt idx="8754">
                  <c:v>0.36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9-478B-86F4-1D614BEE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599936"/>
        <c:axId val="364600328"/>
      </c:lineChart>
      <c:catAx>
        <c:axId val="3645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0328"/>
        <c:crosses val="autoZero"/>
        <c:auto val="1"/>
        <c:lblAlgn val="ctr"/>
        <c:lblOffset val="100"/>
        <c:noMultiLvlLbl val="0"/>
      </c:catAx>
      <c:valAx>
        <c:axId val="3646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52387</xdr:rowOff>
    </xdr:from>
    <xdr:to>
      <xdr:col>19</xdr:col>
      <xdr:colOff>9525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305D8-C722-4064-83D1-AF919B6CA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6D6A02-1F98-493A-8B2C-C56DEE2B2A8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a74b08-5626-4fe4-b487-bd1d21d3a83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D5FF-C697-4611-88F1-1C4953DB87CA}">
  <dimension ref="A1:M25"/>
  <sheetViews>
    <sheetView workbookViewId="0">
      <selection sqref="A1:M25"/>
    </sheetView>
  </sheetViews>
  <sheetFormatPr defaultRowHeight="12.5" x14ac:dyDescent="0.25"/>
  <cols>
    <col min="1" max="1" width="5" bestFit="1" customWidth="1"/>
    <col min="2" max="2" width="7.7265625" bestFit="1" customWidth="1"/>
    <col min="3" max="3" width="8.54296875" bestFit="1" customWidth="1"/>
    <col min="4" max="4" width="6.1796875" bestFit="1" customWidth="1"/>
    <col min="5" max="8" width="5.36328125" bestFit="1" customWidth="1"/>
    <col min="9" max="9" width="6.90625" bestFit="1" customWidth="1"/>
    <col min="10" max="10" width="10.08984375" bestFit="1" customWidth="1"/>
    <col min="11" max="11" width="7.81640625" bestFit="1" customWidth="1"/>
    <col min="12" max="12" width="9.54296875" bestFit="1" customWidth="1"/>
    <col min="13" max="13" width="9.453125" bestFit="1" customWidth="1"/>
  </cols>
  <sheetData>
    <row r="1" spans="1:13" ht="13" x14ac:dyDescent="0.3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</row>
    <row r="2" spans="1:13" ht="13" x14ac:dyDescent="0.3">
      <c r="A2" s="25">
        <v>0</v>
      </c>
      <c r="B2" s="26">
        <v>1.3959999999999999</v>
      </c>
      <c r="C2" s="26">
        <v>1.3959999999999999</v>
      </c>
      <c r="D2" s="26">
        <v>1.3959999999999999</v>
      </c>
      <c r="E2" s="26">
        <v>1.3959999999999999</v>
      </c>
      <c r="F2" s="26">
        <v>1.3959999999999999</v>
      </c>
      <c r="G2" s="26">
        <v>1.3959999999999999</v>
      </c>
      <c r="H2" s="26">
        <v>1.3959999999999999</v>
      </c>
      <c r="I2" s="26">
        <v>1.3959999999999999</v>
      </c>
      <c r="J2" s="26">
        <v>1.3959999999999999</v>
      </c>
      <c r="K2" s="26">
        <v>1.3959999999999999</v>
      </c>
      <c r="L2" s="26">
        <v>1.3959999999999999</v>
      </c>
      <c r="M2" s="26">
        <v>1.3959999999999999</v>
      </c>
    </row>
    <row r="3" spans="1:13" ht="13" x14ac:dyDescent="0.3">
      <c r="A3" s="25">
        <v>1</v>
      </c>
      <c r="B3" s="26">
        <v>1.4990000000000001</v>
      </c>
      <c r="C3" s="26">
        <v>1.4990000000000001</v>
      </c>
      <c r="D3" s="26">
        <v>1.4990000000000001</v>
      </c>
      <c r="E3" s="26">
        <v>1.4990000000000001</v>
      </c>
      <c r="F3" s="26">
        <v>1.4990000000000001</v>
      </c>
      <c r="G3" s="26">
        <v>1.4990000000000001</v>
      </c>
      <c r="H3" s="26">
        <v>1.4990000000000001</v>
      </c>
      <c r="I3" s="26">
        <v>1.4990000000000001</v>
      </c>
      <c r="J3" s="26">
        <v>1.4990000000000001</v>
      </c>
      <c r="K3" s="26">
        <v>1.4990000000000001</v>
      </c>
      <c r="L3" s="26">
        <v>1.4990000000000001</v>
      </c>
      <c r="M3" s="26">
        <v>1.4990000000000001</v>
      </c>
    </row>
    <row r="4" spans="1:13" ht="13" x14ac:dyDescent="0.3">
      <c r="A4" s="25">
        <v>2</v>
      </c>
      <c r="B4" s="26">
        <v>1.5640000000000001</v>
      </c>
      <c r="C4" s="26">
        <v>1.5640000000000001</v>
      </c>
      <c r="D4" s="26">
        <v>1.5640000000000001</v>
      </c>
      <c r="E4" s="26">
        <v>1.5640000000000001</v>
      </c>
      <c r="F4" s="26">
        <v>1.5640000000000001</v>
      </c>
      <c r="G4" s="26">
        <v>1.5640000000000001</v>
      </c>
      <c r="H4" s="26">
        <v>1.5640000000000001</v>
      </c>
      <c r="I4" s="26">
        <v>1.5640000000000001</v>
      </c>
      <c r="J4" s="26">
        <v>1.5640000000000001</v>
      </c>
      <c r="K4" s="26">
        <v>1.5640000000000001</v>
      </c>
      <c r="L4" s="26">
        <v>1.5640000000000001</v>
      </c>
      <c r="M4" s="26">
        <v>1.5640000000000001</v>
      </c>
    </row>
    <row r="5" spans="1:13" ht="13" x14ac:dyDescent="0.3">
      <c r="A5" s="25">
        <v>3</v>
      </c>
      <c r="B5" s="26">
        <v>1.77</v>
      </c>
      <c r="C5" s="26">
        <v>1.77</v>
      </c>
      <c r="D5" s="26">
        <v>1.77</v>
      </c>
      <c r="E5" s="26">
        <v>1.77</v>
      </c>
      <c r="F5" s="26">
        <v>1.77</v>
      </c>
      <c r="G5" s="26">
        <v>1.77</v>
      </c>
      <c r="H5" s="26">
        <v>1.77</v>
      </c>
      <c r="I5" s="26">
        <v>1.77</v>
      </c>
      <c r="J5" s="26">
        <v>1.77</v>
      </c>
      <c r="K5" s="26">
        <v>1.77</v>
      </c>
      <c r="L5" s="26">
        <v>1.77</v>
      </c>
      <c r="M5" s="26">
        <v>1.77</v>
      </c>
    </row>
    <row r="6" spans="1:13" ht="13" x14ac:dyDescent="0.3">
      <c r="A6" s="25">
        <v>4</v>
      </c>
      <c r="B6" s="26">
        <v>1.1970000000000001</v>
      </c>
      <c r="C6" s="26">
        <v>1.1970000000000001</v>
      </c>
      <c r="D6" s="26">
        <v>1.1970000000000001</v>
      </c>
      <c r="E6" s="26">
        <v>1.1970000000000001</v>
      </c>
      <c r="F6" s="26">
        <v>1.1970000000000001</v>
      </c>
      <c r="G6" s="26">
        <v>1.1970000000000001</v>
      </c>
      <c r="H6" s="26">
        <v>1.1970000000000001</v>
      </c>
      <c r="I6" s="26">
        <v>1.1970000000000001</v>
      </c>
      <c r="J6" s="26">
        <v>1.1970000000000001</v>
      </c>
      <c r="K6" s="26">
        <v>1.1970000000000001</v>
      </c>
      <c r="L6" s="26">
        <v>1.1970000000000001</v>
      </c>
      <c r="M6" s="26">
        <v>1.1970000000000001</v>
      </c>
    </row>
    <row r="7" spans="1:13" ht="13" x14ac:dyDescent="0.3">
      <c r="A7" s="25">
        <v>5</v>
      </c>
      <c r="B7" s="26">
        <v>1.2370000000000001</v>
      </c>
      <c r="C7" s="26">
        <v>1.2370000000000001</v>
      </c>
      <c r="D7" s="26">
        <v>1.2370000000000001</v>
      </c>
      <c r="E7" s="26">
        <v>1.2370000000000001</v>
      </c>
      <c r="F7" s="26">
        <v>1.2370000000000001</v>
      </c>
      <c r="G7" s="26">
        <v>1.2370000000000001</v>
      </c>
      <c r="H7" s="26">
        <v>1.2370000000000001</v>
      </c>
      <c r="I7" s="26">
        <v>1.2370000000000001</v>
      </c>
      <c r="J7" s="26">
        <v>1.2370000000000001</v>
      </c>
      <c r="K7" s="26">
        <v>1.2370000000000001</v>
      </c>
      <c r="L7" s="26">
        <v>1.2370000000000001</v>
      </c>
      <c r="M7" s="26">
        <v>1.2370000000000001</v>
      </c>
    </row>
    <row r="8" spans="1:13" ht="13" x14ac:dyDescent="0.3">
      <c r="A8" s="25">
        <v>6</v>
      </c>
      <c r="B8" s="26">
        <v>0.80500000000000005</v>
      </c>
      <c r="C8" s="26">
        <v>0.80500000000000005</v>
      </c>
      <c r="D8" s="26">
        <v>0.80500000000000005</v>
      </c>
      <c r="E8" s="26">
        <v>0.80500000000000005</v>
      </c>
      <c r="F8" s="26">
        <v>0.80500000000000005</v>
      </c>
      <c r="G8" s="26">
        <v>0.80500000000000005</v>
      </c>
      <c r="H8" s="26">
        <v>0.80500000000000005</v>
      </c>
      <c r="I8" s="26">
        <v>0.80500000000000005</v>
      </c>
      <c r="J8" s="26">
        <v>0.80500000000000005</v>
      </c>
      <c r="K8" s="26">
        <v>0.80500000000000005</v>
      </c>
      <c r="L8" s="26">
        <v>0.80500000000000005</v>
      </c>
      <c r="M8" s="26">
        <v>0.80500000000000005</v>
      </c>
    </row>
    <row r="9" spans="1:13" ht="13" x14ac:dyDescent="0.3">
      <c r="A9" s="25">
        <v>7</v>
      </c>
      <c r="B9" s="26">
        <v>0.88600000000000001</v>
      </c>
      <c r="C9" s="26">
        <v>0.88600000000000001</v>
      </c>
      <c r="D9" s="26">
        <v>0.88600000000000001</v>
      </c>
      <c r="E9" s="26">
        <v>0.88600000000000001</v>
      </c>
      <c r="F9" s="26">
        <v>0.88600000000000001</v>
      </c>
      <c r="G9" s="26">
        <v>0.88600000000000001</v>
      </c>
      <c r="H9" s="26">
        <v>0.88600000000000001</v>
      </c>
      <c r="I9" s="26">
        <v>0.88600000000000001</v>
      </c>
      <c r="J9" s="26">
        <v>0.88600000000000001</v>
      </c>
      <c r="K9" s="26">
        <v>0.88600000000000001</v>
      </c>
      <c r="L9" s="26">
        <v>0.88600000000000001</v>
      </c>
      <c r="M9" s="26">
        <v>0.88600000000000001</v>
      </c>
    </row>
    <row r="10" spans="1:13" ht="13" x14ac:dyDescent="0.3">
      <c r="A10" s="25">
        <v>8</v>
      </c>
      <c r="B10" s="26">
        <v>0.73399999999999999</v>
      </c>
      <c r="C10" s="26">
        <v>0.73399999999999999</v>
      </c>
      <c r="D10" s="26">
        <v>0.73399999999999999</v>
      </c>
      <c r="E10" s="26">
        <v>0.73399999999999999</v>
      </c>
      <c r="F10" s="26">
        <v>0.73399999999999999</v>
      </c>
      <c r="G10" s="26">
        <v>0.73399999999999999</v>
      </c>
      <c r="H10" s="26">
        <v>0.73399999999999999</v>
      </c>
      <c r="I10" s="26">
        <v>0.73399999999999999</v>
      </c>
      <c r="J10" s="26">
        <v>0.73399999999999999</v>
      </c>
      <c r="K10" s="26">
        <v>0.73399999999999999</v>
      </c>
      <c r="L10" s="26">
        <v>0.73399999999999999</v>
      </c>
      <c r="M10" s="26">
        <v>0.73399999999999999</v>
      </c>
    </row>
    <row r="11" spans="1:13" ht="13" x14ac:dyDescent="0.3">
      <c r="A11" s="25">
        <v>9</v>
      </c>
      <c r="B11" s="26">
        <v>1.1970000000000001</v>
      </c>
      <c r="C11" s="26">
        <v>1.1970000000000001</v>
      </c>
      <c r="D11" s="26">
        <v>1.1970000000000001</v>
      </c>
      <c r="E11" s="26">
        <v>1.1970000000000001</v>
      </c>
      <c r="F11" s="26">
        <v>1.1970000000000001</v>
      </c>
      <c r="G11" s="26">
        <v>1.1970000000000001</v>
      </c>
      <c r="H11" s="26">
        <v>1.1970000000000001</v>
      </c>
      <c r="I11" s="26">
        <v>1.1970000000000001</v>
      </c>
      <c r="J11" s="26">
        <v>1.1970000000000001</v>
      </c>
      <c r="K11" s="26">
        <v>1.1970000000000001</v>
      </c>
      <c r="L11" s="26">
        <v>1.1970000000000001</v>
      </c>
      <c r="M11" s="26">
        <v>1.1970000000000001</v>
      </c>
    </row>
    <row r="12" spans="1:13" ht="13" x14ac:dyDescent="0.3">
      <c r="A12" s="25">
        <v>10</v>
      </c>
      <c r="B12" s="26">
        <v>0.90100000000000002</v>
      </c>
      <c r="C12" s="26">
        <v>0.90100000000000002</v>
      </c>
      <c r="D12" s="26">
        <v>0.90100000000000002</v>
      </c>
      <c r="E12" s="26">
        <v>0.90100000000000002</v>
      </c>
      <c r="F12" s="26">
        <v>0.90100000000000002</v>
      </c>
      <c r="G12" s="26">
        <v>0.90100000000000002</v>
      </c>
      <c r="H12" s="26">
        <v>0.90100000000000002</v>
      </c>
      <c r="I12" s="26">
        <v>0.90100000000000002</v>
      </c>
      <c r="J12" s="26">
        <v>0.90100000000000002</v>
      </c>
      <c r="K12" s="26">
        <v>0.90100000000000002</v>
      </c>
      <c r="L12" s="26">
        <v>0.90100000000000002</v>
      </c>
      <c r="M12" s="26">
        <v>0.90100000000000002</v>
      </c>
    </row>
    <row r="13" spans="1:13" ht="13" x14ac:dyDescent="0.3">
      <c r="A13" s="25">
        <v>11</v>
      </c>
      <c r="B13" s="26">
        <v>1.2350000000000001</v>
      </c>
      <c r="C13" s="26">
        <v>1.2350000000000001</v>
      </c>
      <c r="D13" s="26">
        <v>1.2350000000000001</v>
      </c>
      <c r="E13" s="26">
        <v>1.2350000000000001</v>
      </c>
      <c r="F13" s="26">
        <v>1.2350000000000001</v>
      </c>
      <c r="G13" s="26">
        <v>1.2350000000000001</v>
      </c>
      <c r="H13" s="26">
        <v>1.2350000000000001</v>
      </c>
      <c r="I13" s="26">
        <v>1.2350000000000001</v>
      </c>
      <c r="J13" s="26">
        <v>1.2350000000000001</v>
      </c>
      <c r="K13" s="26">
        <v>1.2350000000000001</v>
      </c>
      <c r="L13" s="26">
        <v>1.2350000000000001</v>
      </c>
      <c r="M13" s="26">
        <v>1.2350000000000001</v>
      </c>
    </row>
    <row r="14" spans="1:13" ht="13" x14ac:dyDescent="0.3">
      <c r="A14" s="25">
        <v>12</v>
      </c>
      <c r="B14" s="26">
        <v>0.88700000000000001</v>
      </c>
      <c r="C14" s="26">
        <v>0.88700000000000001</v>
      </c>
      <c r="D14" s="26">
        <v>0.88700000000000001</v>
      </c>
      <c r="E14" s="26">
        <v>0.88700000000000001</v>
      </c>
      <c r="F14" s="26">
        <v>0.88700000000000001</v>
      </c>
      <c r="G14" s="26">
        <v>0.88700000000000001</v>
      </c>
      <c r="H14" s="26">
        <v>0.88700000000000001</v>
      </c>
      <c r="I14" s="26">
        <v>0.88700000000000001</v>
      </c>
      <c r="J14" s="26">
        <v>0.88700000000000001</v>
      </c>
      <c r="K14" s="26">
        <v>0.88700000000000001</v>
      </c>
      <c r="L14" s="26">
        <v>0.88700000000000001</v>
      </c>
      <c r="M14" s="26">
        <v>0.88700000000000001</v>
      </c>
    </row>
    <row r="15" spans="1:13" ht="13" x14ac:dyDescent="0.3">
      <c r="A15" s="25">
        <v>13</v>
      </c>
      <c r="B15" s="26">
        <v>1.393</v>
      </c>
      <c r="C15" s="26">
        <v>1.393</v>
      </c>
      <c r="D15" s="26">
        <v>1.393</v>
      </c>
      <c r="E15" s="26">
        <v>1.393</v>
      </c>
      <c r="F15" s="26">
        <v>1.393</v>
      </c>
      <c r="G15" s="26">
        <v>1.393</v>
      </c>
      <c r="H15" s="26">
        <v>1.393</v>
      </c>
      <c r="I15" s="26">
        <v>1.393</v>
      </c>
      <c r="J15" s="26">
        <v>1.393</v>
      </c>
      <c r="K15" s="26">
        <v>1.393</v>
      </c>
      <c r="L15" s="26">
        <v>1.393</v>
      </c>
      <c r="M15" s="26">
        <v>1.393</v>
      </c>
    </row>
    <row r="16" spans="1:13" ht="13" x14ac:dyDescent="0.3">
      <c r="A16" s="25">
        <v>14</v>
      </c>
      <c r="B16" s="26">
        <v>1.171</v>
      </c>
      <c r="C16" s="26">
        <v>1.171</v>
      </c>
      <c r="D16" s="26">
        <v>1.171</v>
      </c>
      <c r="E16" s="26">
        <v>1.171</v>
      </c>
      <c r="F16" s="26">
        <v>1.171</v>
      </c>
      <c r="G16" s="26">
        <v>1.171</v>
      </c>
      <c r="H16" s="26">
        <v>1.171</v>
      </c>
      <c r="I16" s="26">
        <v>1.171</v>
      </c>
      <c r="J16" s="26">
        <v>1.171</v>
      </c>
      <c r="K16" s="26">
        <v>1.171</v>
      </c>
      <c r="L16" s="26">
        <v>1.171</v>
      </c>
      <c r="M16" s="26">
        <v>1.171</v>
      </c>
    </row>
    <row r="17" spans="1:13" ht="13" x14ac:dyDescent="0.3">
      <c r="A17" s="25">
        <v>15</v>
      </c>
      <c r="B17" s="26">
        <v>1.466</v>
      </c>
      <c r="C17" s="26">
        <v>1.466</v>
      </c>
      <c r="D17" s="26">
        <v>1.466</v>
      </c>
      <c r="E17" s="26">
        <v>1.466</v>
      </c>
      <c r="F17" s="26">
        <v>1.466</v>
      </c>
      <c r="G17" s="26">
        <v>1.466</v>
      </c>
      <c r="H17" s="26">
        <v>1.466</v>
      </c>
      <c r="I17" s="26">
        <v>1.466</v>
      </c>
      <c r="J17" s="26">
        <v>1.466</v>
      </c>
      <c r="K17" s="26">
        <v>1.466</v>
      </c>
      <c r="L17" s="26">
        <v>1.466</v>
      </c>
      <c r="M17" s="26">
        <v>1.466</v>
      </c>
    </row>
    <row r="18" spans="1:13" ht="13" x14ac:dyDescent="0.3">
      <c r="A18" s="25">
        <v>16</v>
      </c>
      <c r="B18" s="26">
        <v>1.032</v>
      </c>
      <c r="C18" s="26">
        <v>1.032</v>
      </c>
      <c r="D18" s="26">
        <v>1.032</v>
      </c>
      <c r="E18" s="26">
        <v>1.032</v>
      </c>
      <c r="F18" s="26">
        <v>1.032</v>
      </c>
      <c r="G18" s="26">
        <v>1.032</v>
      </c>
      <c r="H18" s="26">
        <v>1.032</v>
      </c>
      <c r="I18" s="26">
        <v>1.032</v>
      </c>
      <c r="J18" s="26">
        <v>1.032</v>
      </c>
      <c r="K18" s="26">
        <v>1.032</v>
      </c>
      <c r="L18" s="26">
        <v>1.032</v>
      </c>
      <c r="M18" s="26">
        <v>1.032</v>
      </c>
    </row>
    <row r="19" spans="1:13" ht="13" x14ac:dyDescent="0.3">
      <c r="A19" s="25">
        <v>17</v>
      </c>
      <c r="B19" s="26">
        <v>1.458</v>
      </c>
      <c r="C19" s="26">
        <v>1.458</v>
      </c>
      <c r="D19" s="26">
        <v>1.458</v>
      </c>
      <c r="E19" s="26">
        <v>1.458</v>
      </c>
      <c r="F19" s="26">
        <v>1.458</v>
      </c>
      <c r="G19" s="26">
        <v>1.458</v>
      </c>
      <c r="H19" s="26">
        <v>1.458</v>
      </c>
      <c r="I19" s="26">
        <v>1.458</v>
      </c>
      <c r="J19" s="26">
        <v>1.458</v>
      </c>
      <c r="K19" s="26">
        <v>1.458</v>
      </c>
      <c r="L19" s="26">
        <v>1.458</v>
      </c>
      <c r="M19" s="26">
        <v>1.458</v>
      </c>
    </row>
    <row r="20" spans="1:13" ht="13" x14ac:dyDescent="0.3">
      <c r="A20" s="25">
        <v>18</v>
      </c>
      <c r="B20" s="26">
        <v>1.0449999999999999</v>
      </c>
      <c r="C20" s="26">
        <v>1.0449999999999999</v>
      </c>
      <c r="D20" s="26">
        <v>1.0449999999999999</v>
      </c>
      <c r="E20" s="26">
        <v>1.0449999999999999</v>
      </c>
      <c r="F20" s="26">
        <v>1.0449999999999999</v>
      </c>
      <c r="G20" s="26">
        <v>1.0449999999999999</v>
      </c>
      <c r="H20" s="26">
        <v>1.0449999999999999</v>
      </c>
      <c r="I20" s="26">
        <v>1.0449999999999999</v>
      </c>
      <c r="J20" s="26">
        <v>1.0449999999999999</v>
      </c>
      <c r="K20" s="26">
        <v>1.0449999999999999</v>
      </c>
      <c r="L20" s="26">
        <v>1.0449999999999999</v>
      </c>
      <c r="M20" s="26">
        <v>1.0449999999999999</v>
      </c>
    </row>
    <row r="21" spans="1:13" ht="13" x14ac:dyDescent="0.3">
      <c r="A21" s="25">
        <v>19</v>
      </c>
      <c r="B21" s="26">
        <v>1.6</v>
      </c>
      <c r="C21" s="26">
        <v>1.6</v>
      </c>
      <c r="D21" s="26">
        <v>1.6</v>
      </c>
      <c r="E21" s="26">
        <v>1.6</v>
      </c>
      <c r="F21" s="26">
        <v>1.6</v>
      </c>
      <c r="G21" s="26">
        <v>1.6</v>
      </c>
      <c r="H21" s="26">
        <v>1.6</v>
      </c>
      <c r="I21" s="26">
        <v>1.6</v>
      </c>
      <c r="J21" s="26">
        <v>1.6</v>
      </c>
      <c r="K21" s="26">
        <v>1.6</v>
      </c>
      <c r="L21" s="26">
        <v>1.6</v>
      </c>
      <c r="M21" s="26">
        <v>1.6</v>
      </c>
    </row>
    <row r="22" spans="1:13" ht="13" x14ac:dyDescent="0.3">
      <c r="A22" s="25">
        <v>20</v>
      </c>
      <c r="B22" s="26">
        <v>1.028</v>
      </c>
      <c r="C22" s="26">
        <v>1.028</v>
      </c>
      <c r="D22" s="26">
        <v>1.028</v>
      </c>
      <c r="E22" s="26">
        <v>1.028</v>
      </c>
      <c r="F22" s="26">
        <v>1.028</v>
      </c>
      <c r="G22" s="26">
        <v>1.028</v>
      </c>
      <c r="H22" s="26">
        <v>1.028</v>
      </c>
      <c r="I22" s="26">
        <v>1.028</v>
      </c>
      <c r="J22" s="26">
        <v>1.028</v>
      </c>
      <c r="K22" s="26">
        <v>1.028</v>
      </c>
      <c r="L22" s="26">
        <v>1.028</v>
      </c>
      <c r="M22" s="26">
        <v>1.028</v>
      </c>
    </row>
    <row r="23" spans="1:13" ht="13" x14ac:dyDescent="0.3">
      <c r="A23" s="25">
        <v>21</v>
      </c>
      <c r="B23" s="26">
        <v>1.607</v>
      </c>
      <c r="C23" s="26">
        <v>1.607</v>
      </c>
      <c r="D23" s="26">
        <v>1.607</v>
      </c>
      <c r="E23" s="26">
        <v>1.607</v>
      </c>
      <c r="F23" s="26">
        <v>1.607</v>
      </c>
      <c r="G23" s="26">
        <v>1.607</v>
      </c>
      <c r="H23" s="26">
        <v>1.607</v>
      </c>
      <c r="I23" s="26">
        <v>1.607</v>
      </c>
      <c r="J23" s="26">
        <v>1.607</v>
      </c>
      <c r="K23" s="26">
        <v>1.607</v>
      </c>
      <c r="L23" s="26">
        <v>1.607</v>
      </c>
      <c r="M23" s="26">
        <v>1.607</v>
      </c>
    </row>
    <row r="24" spans="1:13" ht="13" x14ac:dyDescent="0.3">
      <c r="A24" s="25">
        <v>22</v>
      </c>
      <c r="B24" s="26">
        <v>1.3</v>
      </c>
      <c r="C24" s="26">
        <v>1.3</v>
      </c>
      <c r="D24" s="26">
        <v>1.3</v>
      </c>
      <c r="E24" s="26">
        <v>1.3</v>
      </c>
      <c r="F24" s="26">
        <v>1.3</v>
      </c>
      <c r="G24" s="26">
        <v>1.3</v>
      </c>
      <c r="H24" s="26">
        <v>1.3</v>
      </c>
      <c r="I24" s="26">
        <v>1.3</v>
      </c>
      <c r="J24" s="26">
        <v>1.3</v>
      </c>
      <c r="K24" s="26">
        <v>1.3</v>
      </c>
      <c r="L24" s="26">
        <v>1.3</v>
      </c>
      <c r="M24" s="26">
        <v>1.3</v>
      </c>
    </row>
    <row r="25" spans="1:13" ht="13" x14ac:dyDescent="0.3">
      <c r="A25" s="25">
        <v>23</v>
      </c>
      <c r="B25" s="26">
        <v>1.5329999999999999</v>
      </c>
      <c r="C25" s="26">
        <v>1.5329999999999999</v>
      </c>
      <c r="D25" s="26">
        <v>1.5329999999999999</v>
      </c>
      <c r="E25" s="26">
        <v>1.5329999999999999</v>
      </c>
      <c r="F25" s="26">
        <v>1.5329999999999999</v>
      </c>
      <c r="G25" s="26">
        <v>1.5329999999999999</v>
      </c>
      <c r="H25" s="26">
        <v>1.5329999999999999</v>
      </c>
      <c r="I25" s="26">
        <v>1.5329999999999999</v>
      </c>
      <c r="J25" s="26">
        <v>1.5329999999999999</v>
      </c>
      <c r="K25" s="26">
        <v>1.5329999999999999</v>
      </c>
      <c r="L25" s="26">
        <v>1.5329999999999999</v>
      </c>
      <c r="M25" s="26">
        <v>1.5329999999999999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72AB-9DB8-4D44-AE5E-F5B05B39D06D}">
  <dimension ref="A1:M25"/>
  <sheetViews>
    <sheetView workbookViewId="0">
      <selection sqref="A1:M25"/>
    </sheetView>
  </sheetViews>
  <sheetFormatPr defaultRowHeight="12.5" x14ac:dyDescent="0.25"/>
  <cols>
    <col min="1" max="1" width="5" bestFit="1" customWidth="1"/>
    <col min="2" max="2" width="7.7265625" bestFit="1" customWidth="1"/>
    <col min="3" max="3" width="8.54296875" bestFit="1" customWidth="1"/>
    <col min="4" max="4" width="6.1796875" bestFit="1" customWidth="1"/>
    <col min="5" max="8" width="5.36328125" bestFit="1" customWidth="1"/>
    <col min="9" max="9" width="6.90625" bestFit="1" customWidth="1"/>
    <col min="10" max="10" width="10.08984375" bestFit="1" customWidth="1"/>
    <col min="11" max="11" width="7.81640625" bestFit="1" customWidth="1"/>
    <col min="12" max="12" width="9.54296875" bestFit="1" customWidth="1"/>
    <col min="13" max="13" width="9.453125" bestFit="1" customWidth="1"/>
  </cols>
  <sheetData>
    <row r="1" spans="1:13" ht="13" x14ac:dyDescent="0.3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</row>
    <row r="2" spans="1:13" ht="13" x14ac:dyDescent="0.3">
      <c r="A2" s="25">
        <v>0</v>
      </c>
      <c r="B2" s="26">
        <v>1.3580000000000001</v>
      </c>
      <c r="C2" s="26">
        <v>1.3580000000000001</v>
      </c>
      <c r="D2" s="26">
        <v>1.3580000000000001</v>
      </c>
      <c r="E2" s="26">
        <v>1.3580000000000001</v>
      </c>
      <c r="F2" s="26">
        <v>1.3580000000000001</v>
      </c>
      <c r="G2" s="26">
        <v>1.3580000000000001</v>
      </c>
      <c r="H2" s="26">
        <v>1.3580000000000001</v>
      </c>
      <c r="I2" s="26">
        <v>1.3580000000000001</v>
      </c>
      <c r="J2" s="26">
        <v>1.3580000000000001</v>
      </c>
      <c r="K2" s="26">
        <v>1.3580000000000001</v>
      </c>
      <c r="L2" s="26">
        <v>1.3580000000000001</v>
      </c>
      <c r="M2" s="26">
        <v>1.3580000000000001</v>
      </c>
    </row>
    <row r="3" spans="1:13" ht="13" x14ac:dyDescent="0.3">
      <c r="A3" s="25">
        <v>1</v>
      </c>
      <c r="B3" s="26">
        <v>1.6339999999999999</v>
      </c>
      <c r="C3" s="26">
        <v>1.6339999999999999</v>
      </c>
      <c r="D3" s="26">
        <v>1.6339999999999999</v>
      </c>
      <c r="E3" s="26">
        <v>1.6339999999999999</v>
      </c>
      <c r="F3" s="26">
        <v>1.6339999999999999</v>
      </c>
      <c r="G3" s="26">
        <v>1.6339999999999999</v>
      </c>
      <c r="H3" s="26">
        <v>1.6339999999999999</v>
      </c>
      <c r="I3" s="26">
        <v>1.6339999999999999</v>
      </c>
      <c r="J3" s="26">
        <v>1.6339999999999999</v>
      </c>
      <c r="K3" s="26">
        <v>1.6339999999999999</v>
      </c>
      <c r="L3" s="26">
        <v>1.6339999999999999</v>
      </c>
      <c r="M3" s="26">
        <v>1.6339999999999999</v>
      </c>
    </row>
    <row r="4" spans="1:13" ht="13" x14ac:dyDescent="0.3">
      <c r="A4" s="25">
        <v>2</v>
      </c>
      <c r="B4" s="26">
        <v>1.554</v>
      </c>
      <c r="C4" s="26">
        <v>1.554</v>
      </c>
      <c r="D4" s="26">
        <v>1.554</v>
      </c>
      <c r="E4" s="26">
        <v>1.554</v>
      </c>
      <c r="F4" s="26">
        <v>1.554</v>
      </c>
      <c r="G4" s="26">
        <v>1.554</v>
      </c>
      <c r="H4" s="26">
        <v>1.554</v>
      </c>
      <c r="I4" s="26">
        <v>1.554</v>
      </c>
      <c r="J4" s="26">
        <v>1.554</v>
      </c>
      <c r="K4" s="26">
        <v>1.554</v>
      </c>
      <c r="L4" s="26">
        <v>1.554</v>
      </c>
      <c r="M4" s="26">
        <v>1.554</v>
      </c>
    </row>
    <row r="5" spans="1:13" ht="13" x14ac:dyDescent="0.3">
      <c r="A5" s="25">
        <v>3</v>
      </c>
      <c r="B5" s="26">
        <v>1.61</v>
      </c>
      <c r="C5" s="26">
        <v>1.61</v>
      </c>
      <c r="D5" s="26">
        <v>1.61</v>
      </c>
      <c r="E5" s="26">
        <v>1.61</v>
      </c>
      <c r="F5" s="26">
        <v>1.61</v>
      </c>
      <c r="G5" s="26">
        <v>1.61</v>
      </c>
      <c r="H5" s="26">
        <v>1.61</v>
      </c>
      <c r="I5" s="26">
        <v>1.61</v>
      </c>
      <c r="J5" s="26">
        <v>1.61</v>
      </c>
      <c r="K5" s="26">
        <v>1.61</v>
      </c>
      <c r="L5" s="26">
        <v>1.61</v>
      </c>
      <c r="M5" s="26">
        <v>1.61</v>
      </c>
    </row>
    <row r="6" spans="1:13" ht="13" x14ac:dyDescent="0.3">
      <c r="A6" s="25">
        <v>4</v>
      </c>
      <c r="B6" s="26">
        <v>1.2909999999999999</v>
      </c>
      <c r="C6" s="26">
        <v>1.2909999999999999</v>
      </c>
      <c r="D6" s="26">
        <v>1.2909999999999999</v>
      </c>
      <c r="E6" s="26">
        <v>1.2909999999999999</v>
      </c>
      <c r="F6" s="26">
        <v>1.2909999999999999</v>
      </c>
      <c r="G6" s="26">
        <v>1.2909999999999999</v>
      </c>
      <c r="H6" s="26">
        <v>1.2909999999999999</v>
      </c>
      <c r="I6" s="26">
        <v>1.2909999999999999</v>
      </c>
      <c r="J6" s="26">
        <v>1.2909999999999999</v>
      </c>
      <c r="K6" s="26">
        <v>1.2909999999999999</v>
      </c>
      <c r="L6" s="26">
        <v>1.2909999999999999</v>
      </c>
      <c r="M6" s="26">
        <v>1.2909999999999999</v>
      </c>
    </row>
    <row r="7" spans="1:13" ht="13" x14ac:dyDescent="0.3">
      <c r="A7" s="25">
        <v>5</v>
      </c>
      <c r="B7" s="26">
        <v>0.95099999999999996</v>
      </c>
      <c r="C7" s="26">
        <v>0.95099999999999996</v>
      </c>
      <c r="D7" s="26">
        <v>0.95099999999999996</v>
      </c>
      <c r="E7" s="26">
        <v>0.95099999999999996</v>
      </c>
      <c r="F7" s="26">
        <v>0.95099999999999996</v>
      </c>
      <c r="G7" s="26">
        <v>0.95099999999999996</v>
      </c>
      <c r="H7" s="26">
        <v>0.95099999999999996</v>
      </c>
      <c r="I7" s="26">
        <v>0.95099999999999996</v>
      </c>
      <c r="J7" s="26">
        <v>0.95099999999999996</v>
      </c>
      <c r="K7" s="26">
        <v>0.95099999999999996</v>
      </c>
      <c r="L7" s="26">
        <v>0.95099999999999996</v>
      </c>
      <c r="M7" s="26">
        <v>0.95099999999999996</v>
      </c>
    </row>
    <row r="8" spans="1:13" ht="13" x14ac:dyDescent="0.3">
      <c r="A8" s="25">
        <v>6</v>
      </c>
      <c r="B8" s="26">
        <v>0.73099999999999998</v>
      </c>
      <c r="C8" s="26">
        <v>0.73099999999999998</v>
      </c>
      <c r="D8" s="26">
        <v>0.73099999999999998</v>
      </c>
      <c r="E8" s="26">
        <v>0.73099999999999998</v>
      </c>
      <c r="F8" s="26">
        <v>0.73099999999999998</v>
      </c>
      <c r="G8" s="26">
        <v>0.73099999999999998</v>
      </c>
      <c r="H8" s="26">
        <v>0.73099999999999998</v>
      </c>
      <c r="I8" s="26">
        <v>0.73099999999999998</v>
      </c>
      <c r="J8" s="26">
        <v>0.73099999999999998</v>
      </c>
      <c r="K8" s="26">
        <v>0.73099999999999998</v>
      </c>
      <c r="L8" s="26">
        <v>0.73099999999999998</v>
      </c>
      <c r="M8" s="26">
        <v>0.73099999999999998</v>
      </c>
    </row>
    <row r="9" spans="1:13" ht="13" x14ac:dyDescent="0.3">
      <c r="A9" s="25">
        <v>7</v>
      </c>
      <c r="B9" s="26">
        <v>0.80500000000000005</v>
      </c>
      <c r="C9" s="26">
        <v>0.80500000000000005</v>
      </c>
      <c r="D9" s="26">
        <v>0.80500000000000005</v>
      </c>
      <c r="E9" s="26">
        <v>0.80500000000000005</v>
      </c>
      <c r="F9" s="26">
        <v>0.80500000000000005</v>
      </c>
      <c r="G9" s="26">
        <v>0.80500000000000005</v>
      </c>
      <c r="H9" s="26">
        <v>0.80500000000000005</v>
      </c>
      <c r="I9" s="26">
        <v>0.80500000000000005</v>
      </c>
      <c r="J9" s="26">
        <v>0.80500000000000005</v>
      </c>
      <c r="K9" s="26">
        <v>0.80500000000000005</v>
      </c>
      <c r="L9" s="26">
        <v>0.80500000000000005</v>
      </c>
      <c r="M9" s="26">
        <v>0.80500000000000005</v>
      </c>
    </row>
    <row r="10" spans="1:13" ht="13" x14ac:dyDescent="0.3">
      <c r="A10" s="25">
        <v>8</v>
      </c>
      <c r="B10" s="26">
        <v>0.85799999999999998</v>
      </c>
      <c r="C10" s="26">
        <v>0.85799999999999998</v>
      </c>
      <c r="D10" s="26">
        <v>0.85799999999999998</v>
      </c>
      <c r="E10" s="26">
        <v>0.85799999999999998</v>
      </c>
      <c r="F10" s="26">
        <v>0.85799999999999998</v>
      </c>
      <c r="G10" s="26">
        <v>0.85799999999999998</v>
      </c>
      <c r="H10" s="26">
        <v>0.85799999999999998</v>
      </c>
      <c r="I10" s="26">
        <v>0.85799999999999998</v>
      </c>
      <c r="J10" s="26">
        <v>0.85799999999999998</v>
      </c>
      <c r="K10" s="26">
        <v>0.85799999999999998</v>
      </c>
      <c r="L10" s="26">
        <v>0.85799999999999998</v>
      </c>
      <c r="M10" s="26">
        <v>0.85799999999999998</v>
      </c>
    </row>
    <row r="11" spans="1:13" ht="13" x14ac:dyDescent="0.3">
      <c r="A11" s="25">
        <v>9</v>
      </c>
      <c r="B11" s="26">
        <v>1.1060000000000001</v>
      </c>
      <c r="C11" s="26">
        <v>1.1060000000000001</v>
      </c>
      <c r="D11" s="26">
        <v>1.1060000000000001</v>
      </c>
      <c r="E11" s="26">
        <v>1.1060000000000001</v>
      </c>
      <c r="F11" s="26">
        <v>1.1060000000000001</v>
      </c>
      <c r="G11" s="26">
        <v>1.1060000000000001</v>
      </c>
      <c r="H11" s="26">
        <v>1.1060000000000001</v>
      </c>
      <c r="I11" s="26">
        <v>1.1060000000000001</v>
      </c>
      <c r="J11" s="26">
        <v>1.1060000000000001</v>
      </c>
      <c r="K11" s="26">
        <v>1.1060000000000001</v>
      </c>
      <c r="L11" s="26">
        <v>1.1060000000000001</v>
      </c>
      <c r="M11" s="26">
        <v>1.1060000000000001</v>
      </c>
    </row>
    <row r="12" spans="1:13" ht="13" x14ac:dyDescent="0.3">
      <c r="A12" s="25">
        <v>10</v>
      </c>
      <c r="B12" s="26">
        <v>0.95899999999999996</v>
      </c>
      <c r="C12" s="26">
        <v>0.95899999999999996</v>
      </c>
      <c r="D12" s="26">
        <v>0.95899999999999996</v>
      </c>
      <c r="E12" s="26">
        <v>0.95899999999999996</v>
      </c>
      <c r="F12" s="26">
        <v>0.95899999999999996</v>
      </c>
      <c r="G12" s="26">
        <v>0.95899999999999996</v>
      </c>
      <c r="H12" s="26">
        <v>0.95899999999999996</v>
      </c>
      <c r="I12" s="26">
        <v>0.95899999999999996</v>
      </c>
      <c r="J12" s="26">
        <v>0.95899999999999996</v>
      </c>
      <c r="K12" s="26">
        <v>0.95899999999999996</v>
      </c>
      <c r="L12" s="26">
        <v>0.95899999999999996</v>
      </c>
      <c r="M12" s="26">
        <v>0.95899999999999996</v>
      </c>
    </row>
    <row r="13" spans="1:13" ht="13" x14ac:dyDescent="0.3">
      <c r="A13" s="25">
        <v>11</v>
      </c>
      <c r="B13" s="26">
        <v>1.145</v>
      </c>
      <c r="C13" s="26">
        <v>1.145</v>
      </c>
      <c r="D13" s="26">
        <v>1.145</v>
      </c>
      <c r="E13" s="26">
        <v>1.145</v>
      </c>
      <c r="F13" s="26">
        <v>1.145</v>
      </c>
      <c r="G13" s="26">
        <v>1.145</v>
      </c>
      <c r="H13" s="26">
        <v>1.145</v>
      </c>
      <c r="I13" s="26">
        <v>1.145</v>
      </c>
      <c r="J13" s="26">
        <v>1.145</v>
      </c>
      <c r="K13" s="26">
        <v>1.145</v>
      </c>
      <c r="L13" s="26">
        <v>1.145</v>
      </c>
      <c r="M13" s="26">
        <v>1.145</v>
      </c>
    </row>
    <row r="14" spans="1:13" ht="13" x14ac:dyDescent="0.3">
      <c r="A14" s="25">
        <v>12</v>
      </c>
      <c r="B14" s="26">
        <v>0.98499999999999999</v>
      </c>
      <c r="C14" s="26">
        <v>0.98499999999999999</v>
      </c>
      <c r="D14" s="26">
        <v>0.98499999999999999</v>
      </c>
      <c r="E14" s="26">
        <v>0.98499999999999999</v>
      </c>
      <c r="F14" s="26">
        <v>0.98499999999999999</v>
      </c>
      <c r="G14" s="26">
        <v>0.98499999999999999</v>
      </c>
      <c r="H14" s="26">
        <v>0.98499999999999999</v>
      </c>
      <c r="I14" s="26">
        <v>0.98499999999999999</v>
      </c>
      <c r="J14" s="26">
        <v>0.98499999999999999</v>
      </c>
      <c r="K14" s="26">
        <v>0.98499999999999999</v>
      </c>
      <c r="L14" s="26">
        <v>0.98499999999999999</v>
      </c>
      <c r="M14" s="26">
        <v>0.98499999999999999</v>
      </c>
    </row>
    <row r="15" spans="1:13" ht="13" x14ac:dyDescent="0.3">
      <c r="A15" s="25">
        <v>13</v>
      </c>
      <c r="B15" s="26">
        <v>1.375</v>
      </c>
      <c r="C15" s="26">
        <v>1.375</v>
      </c>
      <c r="D15" s="26">
        <v>1.375</v>
      </c>
      <c r="E15" s="26">
        <v>1.375</v>
      </c>
      <c r="F15" s="26">
        <v>1.375</v>
      </c>
      <c r="G15" s="26">
        <v>1.375</v>
      </c>
      <c r="H15" s="26">
        <v>1.375</v>
      </c>
      <c r="I15" s="26">
        <v>1.375</v>
      </c>
      <c r="J15" s="26">
        <v>1.375</v>
      </c>
      <c r="K15" s="26">
        <v>1.375</v>
      </c>
      <c r="L15" s="26">
        <v>1.375</v>
      </c>
      <c r="M15" s="26">
        <v>1.375</v>
      </c>
    </row>
    <row r="16" spans="1:13" ht="13" x14ac:dyDescent="0.3">
      <c r="A16" s="25">
        <v>14</v>
      </c>
      <c r="B16" s="26">
        <v>1.2609999999999999</v>
      </c>
      <c r="C16" s="26">
        <v>1.2609999999999999</v>
      </c>
      <c r="D16" s="26">
        <v>1.2609999999999999</v>
      </c>
      <c r="E16" s="26">
        <v>1.2609999999999999</v>
      </c>
      <c r="F16" s="26">
        <v>1.2609999999999999</v>
      </c>
      <c r="G16" s="26">
        <v>1.2609999999999999</v>
      </c>
      <c r="H16" s="26">
        <v>1.2609999999999999</v>
      </c>
      <c r="I16" s="26">
        <v>1.2609999999999999</v>
      </c>
      <c r="J16" s="26">
        <v>1.2609999999999999</v>
      </c>
      <c r="K16" s="26">
        <v>1.2609999999999999</v>
      </c>
      <c r="L16" s="26">
        <v>1.2609999999999999</v>
      </c>
      <c r="M16" s="26">
        <v>1.2609999999999999</v>
      </c>
    </row>
    <row r="17" spans="1:13" ht="13" x14ac:dyDescent="0.3">
      <c r="A17" s="25">
        <v>15</v>
      </c>
      <c r="B17" s="26">
        <v>2.0449999999999999</v>
      </c>
      <c r="C17" s="26">
        <v>2.0449999999999999</v>
      </c>
      <c r="D17" s="26">
        <v>2.0449999999999999</v>
      </c>
      <c r="E17" s="26">
        <v>2.0449999999999999</v>
      </c>
      <c r="F17" s="26">
        <v>2.0449999999999999</v>
      </c>
      <c r="G17" s="26">
        <v>2.0449999999999999</v>
      </c>
      <c r="H17" s="26">
        <v>2.0449999999999999</v>
      </c>
      <c r="I17" s="26">
        <v>2.0449999999999999</v>
      </c>
      <c r="J17" s="26">
        <v>2.0449999999999999</v>
      </c>
      <c r="K17" s="26">
        <v>2.0449999999999999</v>
      </c>
      <c r="L17" s="26">
        <v>2.0449999999999999</v>
      </c>
      <c r="M17" s="26">
        <v>2.0449999999999999</v>
      </c>
    </row>
    <row r="18" spans="1:13" ht="13" x14ac:dyDescent="0.3">
      <c r="A18" s="25">
        <v>16</v>
      </c>
      <c r="B18" s="26">
        <v>1.2350000000000001</v>
      </c>
      <c r="C18" s="26">
        <v>1.2350000000000001</v>
      </c>
      <c r="D18" s="26">
        <v>1.2350000000000001</v>
      </c>
      <c r="E18" s="26">
        <v>1.2350000000000001</v>
      </c>
      <c r="F18" s="26">
        <v>1.2350000000000001</v>
      </c>
      <c r="G18" s="26">
        <v>1.2350000000000001</v>
      </c>
      <c r="H18" s="26">
        <v>1.2350000000000001</v>
      </c>
      <c r="I18" s="26">
        <v>1.2350000000000001</v>
      </c>
      <c r="J18" s="26">
        <v>1.2350000000000001</v>
      </c>
      <c r="K18" s="26">
        <v>1.2350000000000001</v>
      </c>
      <c r="L18" s="26">
        <v>1.2350000000000001</v>
      </c>
      <c r="M18" s="26">
        <v>1.2350000000000001</v>
      </c>
    </row>
    <row r="19" spans="1:13" ht="13" x14ac:dyDescent="0.3">
      <c r="A19" s="25">
        <v>17</v>
      </c>
      <c r="B19" s="26">
        <v>1.571</v>
      </c>
      <c r="C19" s="26">
        <v>1.571</v>
      </c>
      <c r="D19" s="26">
        <v>1.571</v>
      </c>
      <c r="E19" s="26">
        <v>1.571</v>
      </c>
      <c r="F19" s="26">
        <v>1.571</v>
      </c>
      <c r="G19" s="26">
        <v>1.571</v>
      </c>
      <c r="H19" s="26">
        <v>1.571</v>
      </c>
      <c r="I19" s="26">
        <v>1.571</v>
      </c>
      <c r="J19" s="26">
        <v>1.571</v>
      </c>
      <c r="K19" s="26">
        <v>1.571</v>
      </c>
      <c r="L19" s="26">
        <v>1.571</v>
      </c>
      <c r="M19" s="26">
        <v>1.571</v>
      </c>
    </row>
    <row r="20" spans="1:13" ht="13" x14ac:dyDescent="0.3">
      <c r="A20" s="25">
        <v>18</v>
      </c>
      <c r="B20" s="26">
        <v>1.0740000000000001</v>
      </c>
      <c r="C20" s="26">
        <v>1.0740000000000001</v>
      </c>
      <c r="D20" s="26">
        <v>1.0740000000000001</v>
      </c>
      <c r="E20" s="26">
        <v>1.0740000000000001</v>
      </c>
      <c r="F20" s="26">
        <v>1.0740000000000001</v>
      </c>
      <c r="G20" s="26">
        <v>1.0740000000000001</v>
      </c>
      <c r="H20" s="26">
        <v>1.0740000000000001</v>
      </c>
      <c r="I20" s="26">
        <v>1.0740000000000001</v>
      </c>
      <c r="J20" s="26">
        <v>1.0740000000000001</v>
      </c>
      <c r="K20" s="26">
        <v>1.0740000000000001</v>
      </c>
      <c r="L20" s="26">
        <v>1.0740000000000001</v>
      </c>
      <c r="M20" s="26">
        <v>1.0740000000000001</v>
      </c>
    </row>
    <row r="21" spans="1:13" ht="13" x14ac:dyDescent="0.3">
      <c r="A21" s="25">
        <v>19</v>
      </c>
      <c r="B21" s="26">
        <v>1.4890000000000001</v>
      </c>
      <c r="C21" s="26">
        <v>1.4890000000000001</v>
      </c>
      <c r="D21" s="26">
        <v>1.4890000000000001</v>
      </c>
      <c r="E21" s="26">
        <v>1.4890000000000001</v>
      </c>
      <c r="F21" s="26">
        <v>1.4890000000000001</v>
      </c>
      <c r="G21" s="26">
        <v>1.4890000000000001</v>
      </c>
      <c r="H21" s="26">
        <v>1.4890000000000001</v>
      </c>
      <c r="I21" s="26">
        <v>1.4890000000000001</v>
      </c>
      <c r="J21" s="26">
        <v>1.4890000000000001</v>
      </c>
      <c r="K21" s="26">
        <v>1.4890000000000001</v>
      </c>
      <c r="L21" s="26">
        <v>1.4890000000000001</v>
      </c>
      <c r="M21" s="26">
        <v>1.4890000000000001</v>
      </c>
    </row>
    <row r="22" spans="1:13" ht="13" x14ac:dyDescent="0.3">
      <c r="A22" s="25">
        <v>20</v>
      </c>
      <c r="B22" s="26">
        <v>0.89200000000000002</v>
      </c>
      <c r="C22" s="26">
        <v>0.89200000000000002</v>
      </c>
      <c r="D22" s="26">
        <v>0.89200000000000002</v>
      </c>
      <c r="E22" s="26">
        <v>0.89200000000000002</v>
      </c>
      <c r="F22" s="26">
        <v>0.89200000000000002</v>
      </c>
      <c r="G22" s="26">
        <v>0.89200000000000002</v>
      </c>
      <c r="H22" s="26">
        <v>0.89200000000000002</v>
      </c>
      <c r="I22" s="26">
        <v>0.89200000000000002</v>
      </c>
      <c r="J22" s="26">
        <v>0.89200000000000002</v>
      </c>
      <c r="K22" s="26">
        <v>0.89200000000000002</v>
      </c>
      <c r="L22" s="26">
        <v>0.89200000000000002</v>
      </c>
      <c r="M22" s="26">
        <v>0.89200000000000002</v>
      </c>
    </row>
    <row r="23" spans="1:13" ht="13" x14ac:dyDescent="0.3">
      <c r="A23" s="25">
        <v>21</v>
      </c>
      <c r="B23" s="26">
        <v>2.069</v>
      </c>
      <c r="C23" s="26">
        <v>2.069</v>
      </c>
      <c r="D23" s="26">
        <v>2.069</v>
      </c>
      <c r="E23" s="26">
        <v>2.069</v>
      </c>
      <c r="F23" s="26">
        <v>2.069</v>
      </c>
      <c r="G23" s="26">
        <v>2.069</v>
      </c>
      <c r="H23" s="26">
        <v>2.069</v>
      </c>
      <c r="I23" s="26">
        <v>2.069</v>
      </c>
      <c r="J23" s="26">
        <v>2.069</v>
      </c>
      <c r="K23" s="26">
        <v>2.069</v>
      </c>
      <c r="L23" s="26">
        <v>2.069</v>
      </c>
      <c r="M23" s="26">
        <v>2.069</v>
      </c>
    </row>
    <row r="24" spans="1:13" ht="13" x14ac:dyDescent="0.3">
      <c r="A24" s="25">
        <v>22</v>
      </c>
      <c r="B24" s="26">
        <v>1.026</v>
      </c>
      <c r="C24" s="26">
        <v>1.026</v>
      </c>
      <c r="D24" s="26">
        <v>1.026</v>
      </c>
      <c r="E24" s="26">
        <v>1.026</v>
      </c>
      <c r="F24" s="26">
        <v>1.026</v>
      </c>
      <c r="G24" s="26">
        <v>1.026</v>
      </c>
      <c r="H24" s="26">
        <v>1.026</v>
      </c>
      <c r="I24" s="26">
        <v>1.026</v>
      </c>
      <c r="J24" s="26">
        <v>1.026</v>
      </c>
      <c r="K24" s="26">
        <v>1.026</v>
      </c>
      <c r="L24" s="26">
        <v>1.026</v>
      </c>
      <c r="M24" s="26">
        <v>1.026</v>
      </c>
    </row>
    <row r="25" spans="1:13" ht="13" x14ac:dyDescent="0.3">
      <c r="A25" s="25">
        <v>23</v>
      </c>
      <c r="B25" s="26">
        <v>1.7549999999999999</v>
      </c>
      <c r="C25" s="26">
        <v>1.7549999999999999</v>
      </c>
      <c r="D25" s="26">
        <v>1.7549999999999999</v>
      </c>
      <c r="E25" s="26">
        <v>1.7549999999999999</v>
      </c>
      <c r="F25" s="26">
        <v>1.7549999999999999</v>
      </c>
      <c r="G25" s="26">
        <v>1.7549999999999999</v>
      </c>
      <c r="H25" s="26">
        <v>1.7549999999999999</v>
      </c>
      <c r="I25" s="26">
        <v>1.7549999999999999</v>
      </c>
      <c r="J25" s="26">
        <v>1.7549999999999999</v>
      </c>
      <c r="K25" s="26">
        <v>1.7549999999999999</v>
      </c>
      <c r="L25" s="26">
        <v>1.7549999999999999</v>
      </c>
      <c r="M25" s="26">
        <v>1.7549999999999999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4"/>
  <sheetViews>
    <sheetView workbookViewId="0">
      <pane ySplit="1" topLeftCell="A2" activePane="bottomLeft" state="frozen"/>
      <selection pane="bottomLeft" activeCell="F36" sqref="F36"/>
    </sheetView>
  </sheetViews>
  <sheetFormatPr defaultRowHeight="12.5" x14ac:dyDescent="0.25"/>
  <cols>
    <col min="1" max="1" width="25.453125" customWidth="1"/>
    <col min="2" max="2" width="23.6328125" customWidth="1"/>
    <col min="3" max="3" width="18.1796875" customWidth="1"/>
    <col min="4" max="4" width="23.6328125" customWidth="1"/>
  </cols>
  <sheetData>
    <row r="1" spans="1:4" ht="13" x14ac:dyDescent="0.3">
      <c r="A1" s="14" t="s">
        <v>3</v>
      </c>
      <c r="B1" s="10" t="s">
        <v>4</v>
      </c>
      <c r="C1" s="11" t="s">
        <v>5</v>
      </c>
      <c r="D1" s="12" t="s">
        <v>6</v>
      </c>
    </row>
    <row r="2" spans="1:4" x14ac:dyDescent="0.25">
      <c r="A2" s="15">
        <f>Sheet2!A2</f>
        <v>43101</v>
      </c>
      <c r="B2" s="6">
        <v>0.98</v>
      </c>
      <c r="C2" s="7">
        <v>0</v>
      </c>
      <c r="D2" s="13">
        <f>B2+C2</f>
        <v>0.98</v>
      </c>
    </row>
    <row r="3" spans="1:4" x14ac:dyDescent="0.25">
      <c r="A3" s="15">
        <f>Sheet2!A3</f>
        <v>43101.041666666664</v>
      </c>
      <c r="B3" s="6">
        <v>0.88</v>
      </c>
      <c r="C3" s="7">
        <v>0</v>
      </c>
      <c r="D3" s="13">
        <f t="shared" ref="D3:D66" si="0">B3+C3</f>
        <v>0.88</v>
      </c>
    </row>
    <row r="4" spans="1:4" x14ac:dyDescent="0.25">
      <c r="A4" s="15">
        <f>Sheet2!A4</f>
        <v>43101.083333333336</v>
      </c>
      <c r="B4" s="6">
        <v>0.89</v>
      </c>
      <c r="C4" s="7">
        <v>0</v>
      </c>
      <c r="D4" s="13">
        <f t="shared" si="0"/>
        <v>0.89</v>
      </c>
    </row>
    <row r="5" spans="1:4" x14ac:dyDescent="0.25">
      <c r="A5" s="15">
        <f>Sheet2!A5</f>
        <v>43101.125</v>
      </c>
      <c r="B5" s="6">
        <v>0.81</v>
      </c>
      <c r="C5" s="7">
        <v>0</v>
      </c>
      <c r="D5" s="13">
        <f t="shared" si="0"/>
        <v>0.81</v>
      </c>
    </row>
    <row r="6" spans="1:4" x14ac:dyDescent="0.25">
      <c r="A6" s="15">
        <f>Sheet2!A6</f>
        <v>43101.166666666664</v>
      </c>
      <c r="B6" s="6">
        <v>0.7</v>
      </c>
      <c r="C6" s="7">
        <v>0</v>
      </c>
      <c r="D6" s="13">
        <f t="shared" si="0"/>
        <v>0.7</v>
      </c>
    </row>
    <row r="7" spans="1:4" x14ac:dyDescent="0.25">
      <c r="A7" s="15">
        <f>Sheet2!A7</f>
        <v>43101.208333333336</v>
      </c>
      <c r="B7" s="6">
        <v>0.94</v>
      </c>
      <c r="C7" s="7">
        <v>0</v>
      </c>
      <c r="D7" s="13">
        <f t="shared" si="0"/>
        <v>0.94</v>
      </c>
    </row>
    <row r="8" spans="1:4" x14ac:dyDescent="0.25">
      <c r="A8" s="15">
        <f>Sheet2!A8</f>
        <v>43101.25</v>
      </c>
      <c r="B8" s="6">
        <v>1.19</v>
      </c>
      <c r="C8" s="7">
        <v>0</v>
      </c>
      <c r="D8" s="13">
        <f t="shared" si="0"/>
        <v>1.19</v>
      </c>
    </row>
    <row r="9" spans="1:4" x14ac:dyDescent="0.25">
      <c r="A9" s="15">
        <f>Sheet2!A9</f>
        <v>43101.291666666664</v>
      </c>
      <c r="B9" s="6">
        <v>1.29</v>
      </c>
      <c r="C9" s="7">
        <v>0</v>
      </c>
      <c r="D9" s="13">
        <f t="shared" si="0"/>
        <v>1.29</v>
      </c>
    </row>
    <row r="10" spans="1:4" x14ac:dyDescent="0.25">
      <c r="A10" s="15">
        <f>Sheet2!A10</f>
        <v>43101.333333333336</v>
      </c>
      <c r="B10" s="6">
        <v>1.08</v>
      </c>
      <c r="C10" s="7">
        <v>0</v>
      </c>
      <c r="D10" s="13">
        <f t="shared" si="0"/>
        <v>1.08</v>
      </c>
    </row>
    <row r="11" spans="1:4" x14ac:dyDescent="0.25">
      <c r="A11" s="15">
        <f>Sheet2!A11</f>
        <v>43101.375</v>
      </c>
      <c r="B11" s="6">
        <v>1.46</v>
      </c>
      <c r="C11" s="7">
        <v>0</v>
      </c>
      <c r="D11" s="13">
        <f t="shared" si="0"/>
        <v>1.46</v>
      </c>
    </row>
    <row r="12" spans="1:4" x14ac:dyDescent="0.25">
      <c r="A12" s="15">
        <f>Sheet2!A12</f>
        <v>43101.416666666664</v>
      </c>
      <c r="B12" s="6">
        <v>0</v>
      </c>
      <c r="C12" s="7">
        <v>0.56999999999999995</v>
      </c>
      <c r="D12" s="13">
        <f t="shared" si="0"/>
        <v>0.56999999999999995</v>
      </c>
    </row>
    <row r="13" spans="1:4" x14ac:dyDescent="0.25">
      <c r="A13" s="15">
        <f>Sheet2!A13</f>
        <v>43101.458333333336</v>
      </c>
      <c r="B13" s="6">
        <v>0</v>
      </c>
      <c r="C13" s="7">
        <v>0.7</v>
      </c>
      <c r="D13" s="13">
        <f t="shared" si="0"/>
        <v>0.7</v>
      </c>
    </row>
    <row r="14" spans="1:4" x14ac:dyDescent="0.25">
      <c r="A14" s="15">
        <f>Sheet2!A14</f>
        <v>43101.5</v>
      </c>
      <c r="B14" s="6">
        <v>0</v>
      </c>
      <c r="C14" s="7">
        <v>0.44</v>
      </c>
      <c r="D14" s="13">
        <f t="shared" si="0"/>
        <v>0.44</v>
      </c>
    </row>
    <row r="15" spans="1:4" x14ac:dyDescent="0.25">
      <c r="A15" s="15">
        <f>Sheet2!A15</f>
        <v>43101.541666666664</v>
      </c>
      <c r="B15" s="6">
        <v>0.95</v>
      </c>
      <c r="C15" s="7">
        <v>0</v>
      </c>
      <c r="D15" s="13">
        <f t="shared" si="0"/>
        <v>0.95</v>
      </c>
    </row>
    <row r="16" spans="1:4" x14ac:dyDescent="0.25">
      <c r="A16" s="15">
        <f>Sheet2!A16</f>
        <v>43101.583333333336</v>
      </c>
      <c r="B16" s="6">
        <v>1.32</v>
      </c>
      <c r="C16" s="7">
        <v>0</v>
      </c>
      <c r="D16" s="13">
        <f t="shared" si="0"/>
        <v>1.32</v>
      </c>
    </row>
    <row r="17" spans="1:4" x14ac:dyDescent="0.25">
      <c r="A17" s="15">
        <f>Sheet2!A17</f>
        <v>43101.625</v>
      </c>
      <c r="B17" s="6">
        <v>1.41</v>
      </c>
      <c r="C17" s="7">
        <v>0</v>
      </c>
      <c r="D17" s="13">
        <f t="shared" si="0"/>
        <v>1.41</v>
      </c>
    </row>
    <row r="18" spans="1:4" x14ac:dyDescent="0.25">
      <c r="A18" s="15">
        <f>Sheet2!A18</f>
        <v>43101.666666666664</v>
      </c>
      <c r="B18" s="6">
        <v>0</v>
      </c>
      <c r="C18" s="7">
        <v>0.61</v>
      </c>
      <c r="D18" s="13">
        <f t="shared" si="0"/>
        <v>0.61</v>
      </c>
    </row>
    <row r="19" spans="1:4" x14ac:dyDescent="0.25">
      <c r="A19" s="15">
        <f>Sheet2!A19</f>
        <v>43101.708333333336</v>
      </c>
      <c r="B19" s="6">
        <v>0</v>
      </c>
      <c r="C19" s="7">
        <v>0.96</v>
      </c>
      <c r="D19" s="13">
        <f t="shared" si="0"/>
        <v>0.96</v>
      </c>
    </row>
    <row r="20" spans="1:4" x14ac:dyDescent="0.25">
      <c r="A20" s="15">
        <f>Sheet2!A20</f>
        <v>43101.75</v>
      </c>
      <c r="B20" s="6">
        <v>0</v>
      </c>
      <c r="C20" s="7">
        <v>0.2</v>
      </c>
      <c r="D20" s="13">
        <f t="shared" si="0"/>
        <v>0.2</v>
      </c>
    </row>
    <row r="21" spans="1:4" x14ac:dyDescent="0.25">
      <c r="A21" s="15">
        <f>Sheet2!A21</f>
        <v>43101.791666666664</v>
      </c>
      <c r="B21" s="6">
        <v>0.82</v>
      </c>
      <c r="C21" s="7">
        <v>0</v>
      </c>
      <c r="D21" s="13">
        <f t="shared" si="0"/>
        <v>0.82</v>
      </c>
    </row>
    <row r="22" spans="1:4" x14ac:dyDescent="0.25">
      <c r="A22" s="15">
        <f>Sheet2!A22</f>
        <v>43101.833333333336</v>
      </c>
      <c r="B22" s="6">
        <v>1.1000000000000001</v>
      </c>
      <c r="C22" s="7">
        <v>0</v>
      </c>
      <c r="D22" s="13">
        <f t="shared" si="0"/>
        <v>1.1000000000000001</v>
      </c>
    </row>
    <row r="23" spans="1:4" x14ac:dyDescent="0.25">
      <c r="A23" s="15">
        <f>Sheet2!A23</f>
        <v>43101.875</v>
      </c>
      <c r="B23" s="6">
        <v>0.96</v>
      </c>
      <c r="C23" s="7">
        <v>0</v>
      </c>
      <c r="D23" s="13">
        <f t="shared" si="0"/>
        <v>0.96</v>
      </c>
    </row>
    <row r="24" spans="1:4" x14ac:dyDescent="0.25">
      <c r="A24" s="15">
        <f>Sheet2!A24</f>
        <v>43101.916666666664</v>
      </c>
      <c r="B24" s="6">
        <v>0.95</v>
      </c>
      <c r="C24" s="7">
        <v>0</v>
      </c>
      <c r="D24" s="13">
        <f t="shared" si="0"/>
        <v>0.95</v>
      </c>
    </row>
    <row r="25" spans="1:4" x14ac:dyDescent="0.25">
      <c r="A25" s="15">
        <f>Sheet2!A25</f>
        <v>43101.958333333336</v>
      </c>
      <c r="B25" s="6">
        <v>0.43</v>
      </c>
      <c r="C25" s="7">
        <v>0</v>
      </c>
      <c r="D25" s="13">
        <f t="shared" si="0"/>
        <v>0.43</v>
      </c>
    </row>
    <row r="26" spans="1:4" x14ac:dyDescent="0.25">
      <c r="A26" s="15">
        <f>Sheet2!A26</f>
        <v>43102</v>
      </c>
      <c r="B26" s="6">
        <v>0.55000000000000004</v>
      </c>
      <c r="C26" s="7">
        <v>0</v>
      </c>
      <c r="D26" s="13">
        <f t="shared" si="0"/>
        <v>0.55000000000000004</v>
      </c>
    </row>
    <row r="27" spans="1:4" x14ac:dyDescent="0.25">
      <c r="A27" s="15">
        <f>Sheet2!A27</f>
        <v>43102.041666666664</v>
      </c>
      <c r="B27" s="6">
        <v>0.38</v>
      </c>
      <c r="C27" s="7">
        <v>0</v>
      </c>
      <c r="D27" s="13">
        <f t="shared" si="0"/>
        <v>0.38</v>
      </c>
    </row>
    <row r="28" spans="1:4" x14ac:dyDescent="0.25">
      <c r="A28" s="15">
        <f>Sheet2!A28</f>
        <v>43102.083333333336</v>
      </c>
      <c r="B28" s="6">
        <v>0.6</v>
      </c>
      <c r="C28" s="7">
        <v>0</v>
      </c>
      <c r="D28" s="13">
        <f t="shared" si="0"/>
        <v>0.6</v>
      </c>
    </row>
    <row r="29" spans="1:4" x14ac:dyDescent="0.25">
      <c r="A29" s="15">
        <f>Sheet2!A29</f>
        <v>43102.125</v>
      </c>
      <c r="B29" s="6">
        <v>0.97</v>
      </c>
      <c r="C29" s="7">
        <v>0</v>
      </c>
      <c r="D29" s="13">
        <f t="shared" si="0"/>
        <v>0.97</v>
      </c>
    </row>
    <row r="30" spans="1:4" x14ac:dyDescent="0.25">
      <c r="A30" s="15">
        <f>Sheet2!A30</f>
        <v>43102.166666666664</v>
      </c>
      <c r="B30" s="6">
        <v>0.82</v>
      </c>
      <c r="C30" s="7">
        <v>0</v>
      </c>
      <c r="D30" s="13">
        <f t="shared" si="0"/>
        <v>0.82</v>
      </c>
    </row>
    <row r="31" spans="1:4" x14ac:dyDescent="0.25">
      <c r="A31" s="15">
        <f>Sheet2!A31</f>
        <v>43102.208333333336</v>
      </c>
      <c r="B31" s="6">
        <v>0.62</v>
      </c>
      <c r="C31" s="7">
        <v>0</v>
      </c>
      <c r="D31" s="13">
        <f t="shared" si="0"/>
        <v>0.62</v>
      </c>
    </row>
    <row r="32" spans="1:4" x14ac:dyDescent="0.25">
      <c r="A32" s="15">
        <f>Sheet2!A32</f>
        <v>43102.25</v>
      </c>
      <c r="B32" s="6">
        <v>0</v>
      </c>
      <c r="C32" s="7">
        <v>0.21</v>
      </c>
      <c r="D32" s="13">
        <f t="shared" si="0"/>
        <v>0.21</v>
      </c>
    </row>
    <row r="33" spans="1:4" x14ac:dyDescent="0.25">
      <c r="A33" s="15">
        <f>Sheet2!A33</f>
        <v>43102.291666666664</v>
      </c>
      <c r="B33" s="6">
        <v>0</v>
      </c>
      <c r="C33" s="7">
        <v>0.42</v>
      </c>
      <c r="D33" s="13">
        <f t="shared" si="0"/>
        <v>0.42</v>
      </c>
    </row>
    <row r="34" spans="1:4" x14ac:dyDescent="0.25">
      <c r="A34" s="15">
        <f>Sheet2!A34</f>
        <v>43102.333333333336</v>
      </c>
      <c r="B34" s="6">
        <v>0.28000000000000003</v>
      </c>
      <c r="C34" s="7">
        <v>0</v>
      </c>
      <c r="D34" s="13">
        <f t="shared" si="0"/>
        <v>0.28000000000000003</v>
      </c>
    </row>
    <row r="35" spans="1:4" x14ac:dyDescent="0.25">
      <c r="A35" s="15">
        <f>Sheet2!A35</f>
        <v>43102.375</v>
      </c>
      <c r="B35" s="6">
        <v>0.57999999999999996</v>
      </c>
      <c r="C35" s="7">
        <v>0</v>
      </c>
      <c r="D35" s="13">
        <f t="shared" si="0"/>
        <v>0.57999999999999996</v>
      </c>
    </row>
    <row r="36" spans="1:4" x14ac:dyDescent="0.25">
      <c r="A36" s="15">
        <f>Sheet2!A36</f>
        <v>43102.416666666664</v>
      </c>
      <c r="B36" s="6">
        <v>0.57999999999999996</v>
      </c>
      <c r="C36" s="7">
        <v>0</v>
      </c>
      <c r="D36" s="13">
        <f t="shared" si="0"/>
        <v>0.57999999999999996</v>
      </c>
    </row>
    <row r="37" spans="1:4" x14ac:dyDescent="0.25">
      <c r="A37" s="15">
        <f>Sheet2!A37</f>
        <v>43102.458333333336</v>
      </c>
      <c r="B37" s="6">
        <v>0.59</v>
      </c>
      <c r="C37" s="7">
        <v>0</v>
      </c>
      <c r="D37" s="13">
        <f t="shared" si="0"/>
        <v>0.59</v>
      </c>
    </row>
    <row r="38" spans="1:4" x14ac:dyDescent="0.25">
      <c r="A38" s="15">
        <f>Sheet2!A38</f>
        <v>43102.5</v>
      </c>
      <c r="B38" s="6">
        <v>0</v>
      </c>
      <c r="C38" s="7">
        <v>0.44</v>
      </c>
      <c r="D38" s="13">
        <f t="shared" si="0"/>
        <v>0.44</v>
      </c>
    </row>
    <row r="39" spans="1:4" x14ac:dyDescent="0.25">
      <c r="A39" s="15">
        <f>Sheet2!A39</f>
        <v>43102.541666666664</v>
      </c>
      <c r="B39" s="6">
        <v>0</v>
      </c>
      <c r="C39" s="7">
        <v>1.08</v>
      </c>
      <c r="D39" s="13">
        <f t="shared" si="0"/>
        <v>1.08</v>
      </c>
    </row>
    <row r="40" spans="1:4" x14ac:dyDescent="0.25">
      <c r="A40" s="15">
        <f>Sheet2!A40</f>
        <v>43102.583333333336</v>
      </c>
      <c r="B40" s="6">
        <v>0</v>
      </c>
      <c r="C40" s="7">
        <v>0.71</v>
      </c>
      <c r="D40" s="13">
        <f t="shared" si="0"/>
        <v>0.71</v>
      </c>
    </row>
    <row r="41" spans="1:4" x14ac:dyDescent="0.25">
      <c r="A41" s="15">
        <f>Sheet2!A41</f>
        <v>43102.625</v>
      </c>
      <c r="B41" s="6">
        <v>1.26</v>
      </c>
      <c r="C41" s="7">
        <v>0</v>
      </c>
      <c r="D41" s="13">
        <f t="shared" si="0"/>
        <v>1.26</v>
      </c>
    </row>
    <row r="42" spans="1:4" x14ac:dyDescent="0.25">
      <c r="A42" s="15">
        <f>Sheet2!A42</f>
        <v>43102.666666666664</v>
      </c>
      <c r="B42" s="6">
        <v>1.08</v>
      </c>
      <c r="C42" s="7">
        <v>0</v>
      </c>
      <c r="D42" s="13">
        <f t="shared" si="0"/>
        <v>1.08</v>
      </c>
    </row>
    <row r="43" spans="1:4" x14ac:dyDescent="0.25">
      <c r="A43" s="15">
        <f>Sheet2!A43</f>
        <v>43102.708333333336</v>
      </c>
      <c r="B43" s="6">
        <v>0.92</v>
      </c>
      <c r="C43" s="7">
        <v>0</v>
      </c>
      <c r="D43" s="13">
        <f t="shared" si="0"/>
        <v>0.92</v>
      </c>
    </row>
    <row r="44" spans="1:4" x14ac:dyDescent="0.25">
      <c r="A44" s="15">
        <f>Sheet2!A44</f>
        <v>43102.75</v>
      </c>
      <c r="B44" s="6">
        <v>0</v>
      </c>
      <c r="C44" s="7">
        <v>0.8</v>
      </c>
      <c r="D44" s="13">
        <f t="shared" si="0"/>
        <v>0.8</v>
      </c>
    </row>
    <row r="45" spans="1:4" x14ac:dyDescent="0.25">
      <c r="A45" s="15">
        <f>Sheet2!A45</f>
        <v>43102.791666666664</v>
      </c>
      <c r="B45" s="6">
        <v>0</v>
      </c>
      <c r="C45" s="7">
        <v>2.17</v>
      </c>
      <c r="D45" s="13">
        <f t="shared" si="0"/>
        <v>2.17</v>
      </c>
    </row>
    <row r="46" spans="1:4" x14ac:dyDescent="0.25">
      <c r="A46" s="15">
        <f>Sheet2!A46</f>
        <v>43102.833333333336</v>
      </c>
      <c r="B46" s="6">
        <v>0</v>
      </c>
      <c r="C46" s="7">
        <v>0.56000000000000005</v>
      </c>
      <c r="D46" s="13">
        <f t="shared" si="0"/>
        <v>0.56000000000000005</v>
      </c>
    </row>
    <row r="47" spans="1:4" x14ac:dyDescent="0.25">
      <c r="A47" s="15">
        <f>Sheet2!A47</f>
        <v>43102.875</v>
      </c>
      <c r="B47" s="6">
        <v>1.93</v>
      </c>
      <c r="C47" s="7">
        <v>0</v>
      </c>
      <c r="D47" s="13">
        <f t="shared" si="0"/>
        <v>1.93</v>
      </c>
    </row>
    <row r="48" spans="1:4" x14ac:dyDescent="0.25">
      <c r="A48" s="15">
        <f>Sheet2!A48</f>
        <v>43102.916666666664</v>
      </c>
      <c r="B48" s="6">
        <v>1.04</v>
      </c>
      <c r="C48" s="7">
        <v>0</v>
      </c>
      <c r="D48" s="13">
        <f t="shared" si="0"/>
        <v>1.04</v>
      </c>
    </row>
    <row r="49" spans="1:4" x14ac:dyDescent="0.25">
      <c r="A49" s="15">
        <f>Sheet2!A49</f>
        <v>43102.958333333336</v>
      </c>
      <c r="B49" s="6">
        <v>0.64</v>
      </c>
      <c r="C49" s="7">
        <v>0</v>
      </c>
      <c r="D49" s="13">
        <f t="shared" si="0"/>
        <v>0.64</v>
      </c>
    </row>
    <row r="50" spans="1:4" x14ac:dyDescent="0.25">
      <c r="A50" s="15">
        <f>Sheet2!A50</f>
        <v>43103</v>
      </c>
      <c r="B50" s="6">
        <v>0.34</v>
      </c>
      <c r="C50" s="7">
        <v>0</v>
      </c>
      <c r="D50" s="13">
        <f t="shared" si="0"/>
        <v>0.34</v>
      </c>
    </row>
    <row r="51" spans="1:4" x14ac:dyDescent="0.25">
      <c r="A51" s="15">
        <f>Sheet2!A51</f>
        <v>43103.041666666664</v>
      </c>
      <c r="B51" s="6">
        <v>0.68</v>
      </c>
      <c r="C51" s="7">
        <v>0</v>
      </c>
      <c r="D51" s="13">
        <f t="shared" si="0"/>
        <v>0.68</v>
      </c>
    </row>
    <row r="52" spans="1:4" x14ac:dyDescent="0.25">
      <c r="A52" s="15">
        <f>Sheet2!A52</f>
        <v>43103.083333333336</v>
      </c>
      <c r="B52" s="6">
        <v>0.7</v>
      </c>
      <c r="C52" s="7">
        <v>0</v>
      </c>
      <c r="D52" s="13">
        <f t="shared" si="0"/>
        <v>0.7</v>
      </c>
    </row>
    <row r="53" spans="1:4" x14ac:dyDescent="0.25">
      <c r="A53" s="15">
        <f>Sheet2!A53</f>
        <v>43103.125</v>
      </c>
      <c r="B53" s="6">
        <v>1.02</v>
      </c>
      <c r="C53" s="7">
        <v>0</v>
      </c>
      <c r="D53" s="13">
        <f t="shared" si="0"/>
        <v>1.02</v>
      </c>
    </row>
    <row r="54" spans="1:4" x14ac:dyDescent="0.25">
      <c r="A54" s="15">
        <f>Sheet2!A54</f>
        <v>43103.166666666664</v>
      </c>
      <c r="B54" s="6">
        <v>0.96</v>
      </c>
      <c r="C54" s="7">
        <v>0</v>
      </c>
      <c r="D54" s="13">
        <f t="shared" si="0"/>
        <v>0.96</v>
      </c>
    </row>
    <row r="55" spans="1:4" x14ac:dyDescent="0.25">
      <c r="A55" s="15">
        <f>Sheet2!A55</f>
        <v>43103.208333333336</v>
      </c>
      <c r="B55" s="6">
        <v>0.78</v>
      </c>
      <c r="C55" s="7">
        <v>0</v>
      </c>
      <c r="D55" s="13">
        <f t="shared" si="0"/>
        <v>0.78</v>
      </c>
    </row>
    <row r="56" spans="1:4" x14ac:dyDescent="0.25">
      <c r="A56" s="15">
        <f>Sheet2!A56</f>
        <v>43103.25</v>
      </c>
      <c r="B56" s="6">
        <v>0.86</v>
      </c>
      <c r="C56" s="7">
        <v>0</v>
      </c>
      <c r="D56" s="13">
        <f t="shared" si="0"/>
        <v>0.86</v>
      </c>
    </row>
    <row r="57" spans="1:4" x14ac:dyDescent="0.25">
      <c r="A57" s="15">
        <f>Sheet2!A57</f>
        <v>43103.291666666664</v>
      </c>
      <c r="B57" s="6">
        <v>0.52</v>
      </c>
      <c r="C57" s="7">
        <v>0</v>
      </c>
      <c r="D57" s="13">
        <f t="shared" si="0"/>
        <v>0.52</v>
      </c>
    </row>
    <row r="58" spans="1:4" x14ac:dyDescent="0.25">
      <c r="A58" s="15">
        <f>Sheet2!A58</f>
        <v>43103.333333333336</v>
      </c>
      <c r="B58" s="6">
        <v>0.38</v>
      </c>
      <c r="C58" s="7">
        <v>0</v>
      </c>
      <c r="D58" s="13">
        <f t="shared" si="0"/>
        <v>0.38</v>
      </c>
    </row>
    <row r="59" spans="1:4" x14ac:dyDescent="0.25">
      <c r="A59" s="15">
        <f>Sheet2!A59</f>
        <v>43103.375</v>
      </c>
      <c r="B59" s="6">
        <v>0.54</v>
      </c>
      <c r="C59" s="7">
        <v>0</v>
      </c>
      <c r="D59" s="13">
        <f t="shared" si="0"/>
        <v>0.54</v>
      </c>
    </row>
    <row r="60" spans="1:4" x14ac:dyDescent="0.25">
      <c r="A60" s="15">
        <f>Sheet2!A60</f>
        <v>43103.416666666664</v>
      </c>
      <c r="B60" s="6">
        <v>0.68</v>
      </c>
      <c r="C60" s="7">
        <v>0</v>
      </c>
      <c r="D60" s="13">
        <f t="shared" si="0"/>
        <v>0.68</v>
      </c>
    </row>
    <row r="61" spans="1:4" x14ac:dyDescent="0.25">
      <c r="A61" s="15">
        <f>Sheet2!A61</f>
        <v>43103.458333333336</v>
      </c>
      <c r="B61" s="6">
        <v>0.9</v>
      </c>
      <c r="C61" s="7">
        <v>0</v>
      </c>
      <c r="D61" s="13">
        <f t="shared" si="0"/>
        <v>0.9</v>
      </c>
    </row>
    <row r="62" spans="1:4" x14ac:dyDescent="0.25">
      <c r="A62" s="15">
        <f>Sheet2!A62</f>
        <v>43103.5</v>
      </c>
      <c r="B62" s="6">
        <v>0</v>
      </c>
      <c r="C62" s="7">
        <v>0.76</v>
      </c>
      <c r="D62" s="13">
        <f t="shared" si="0"/>
        <v>0.76</v>
      </c>
    </row>
    <row r="63" spans="1:4" x14ac:dyDescent="0.25">
      <c r="A63" s="15">
        <f>Sheet2!A63</f>
        <v>43103.541666666664</v>
      </c>
      <c r="B63" s="6">
        <v>0</v>
      </c>
      <c r="C63" s="7">
        <v>1.6</v>
      </c>
      <c r="D63" s="13">
        <f t="shared" si="0"/>
        <v>1.6</v>
      </c>
    </row>
    <row r="64" spans="1:4" x14ac:dyDescent="0.25">
      <c r="A64" s="15">
        <f>Sheet2!A64</f>
        <v>43103.583333333336</v>
      </c>
      <c r="B64" s="6">
        <v>0</v>
      </c>
      <c r="C64" s="7">
        <v>0.33</v>
      </c>
      <c r="D64" s="13">
        <f t="shared" si="0"/>
        <v>0.33</v>
      </c>
    </row>
    <row r="65" spans="1:4" x14ac:dyDescent="0.25">
      <c r="A65" s="15">
        <f>Sheet2!A65</f>
        <v>43103.625</v>
      </c>
      <c r="B65" s="6">
        <v>2.31</v>
      </c>
      <c r="C65" s="7">
        <v>0</v>
      </c>
      <c r="D65" s="13">
        <f t="shared" si="0"/>
        <v>2.31</v>
      </c>
    </row>
    <row r="66" spans="1:4" x14ac:dyDescent="0.25">
      <c r="A66" s="15">
        <f>Sheet2!A66</f>
        <v>43103.666666666664</v>
      </c>
      <c r="B66" s="6">
        <v>0</v>
      </c>
      <c r="C66" s="7">
        <v>1.17</v>
      </c>
      <c r="D66" s="13">
        <f t="shared" si="0"/>
        <v>1.17</v>
      </c>
    </row>
    <row r="67" spans="1:4" x14ac:dyDescent="0.25">
      <c r="A67" s="15">
        <f>Sheet2!A67</f>
        <v>43103.708333333336</v>
      </c>
      <c r="B67" s="6">
        <v>0</v>
      </c>
      <c r="C67" s="7">
        <v>1.91</v>
      </c>
      <c r="D67" s="13">
        <f t="shared" ref="D67:D130" si="1">B67+C67</f>
        <v>1.91</v>
      </c>
    </row>
    <row r="68" spans="1:4" x14ac:dyDescent="0.25">
      <c r="A68" s="15">
        <f>Sheet2!A68</f>
        <v>43103.75</v>
      </c>
      <c r="B68" s="6">
        <v>0</v>
      </c>
      <c r="C68" s="7">
        <v>0.51</v>
      </c>
      <c r="D68" s="13">
        <f t="shared" si="1"/>
        <v>0.51</v>
      </c>
    </row>
    <row r="69" spans="1:4" x14ac:dyDescent="0.25">
      <c r="A69" s="15">
        <f>Sheet2!A69</f>
        <v>43103.791666666664</v>
      </c>
      <c r="B69" s="6">
        <v>1.1000000000000001</v>
      </c>
      <c r="C69" s="7">
        <v>0</v>
      </c>
      <c r="D69" s="13">
        <f t="shared" si="1"/>
        <v>1.1000000000000001</v>
      </c>
    </row>
    <row r="70" spans="1:4" x14ac:dyDescent="0.25">
      <c r="A70" s="15">
        <f>Sheet2!A70</f>
        <v>43103.833333333336</v>
      </c>
      <c r="B70" s="6">
        <v>1.46</v>
      </c>
      <c r="C70" s="7">
        <v>0</v>
      </c>
      <c r="D70" s="13">
        <f t="shared" si="1"/>
        <v>1.46</v>
      </c>
    </row>
    <row r="71" spans="1:4" x14ac:dyDescent="0.25">
      <c r="A71" s="15">
        <f>Sheet2!A71</f>
        <v>43103.875</v>
      </c>
      <c r="B71" s="6">
        <v>1.56</v>
      </c>
      <c r="C71" s="7">
        <v>0</v>
      </c>
      <c r="D71" s="13">
        <f t="shared" si="1"/>
        <v>1.56</v>
      </c>
    </row>
    <row r="72" spans="1:4" x14ac:dyDescent="0.25">
      <c r="A72" s="15">
        <f>Sheet2!A72</f>
        <v>43103.916666666664</v>
      </c>
      <c r="B72" s="6">
        <v>1.42</v>
      </c>
      <c r="C72" s="7">
        <v>0</v>
      </c>
      <c r="D72" s="13">
        <f t="shared" si="1"/>
        <v>1.42</v>
      </c>
    </row>
    <row r="73" spans="1:4" x14ac:dyDescent="0.25">
      <c r="A73" s="15">
        <f>Sheet2!A73</f>
        <v>43103.958333333336</v>
      </c>
      <c r="B73" s="6">
        <v>1.1599999999999999</v>
      </c>
      <c r="C73" s="7">
        <v>0</v>
      </c>
      <c r="D73" s="13">
        <f t="shared" si="1"/>
        <v>1.1599999999999999</v>
      </c>
    </row>
    <row r="74" spans="1:4" x14ac:dyDescent="0.25">
      <c r="A74" s="15">
        <f>Sheet2!A74</f>
        <v>43104</v>
      </c>
      <c r="B74" s="6">
        <v>0.98</v>
      </c>
      <c r="C74" s="7">
        <v>0</v>
      </c>
      <c r="D74" s="13">
        <f t="shared" si="1"/>
        <v>0.98</v>
      </c>
    </row>
    <row r="75" spans="1:4" x14ac:dyDescent="0.25">
      <c r="A75" s="15">
        <f>Sheet2!A75</f>
        <v>43104.041666666664</v>
      </c>
      <c r="B75" s="6">
        <v>0.83</v>
      </c>
      <c r="C75" s="7">
        <v>0</v>
      </c>
      <c r="D75" s="13">
        <f t="shared" si="1"/>
        <v>0.83</v>
      </c>
    </row>
    <row r="76" spans="1:4" x14ac:dyDescent="0.25">
      <c r="A76" s="15">
        <f>Sheet2!A76</f>
        <v>43104.083333333336</v>
      </c>
      <c r="B76" s="6">
        <v>1</v>
      </c>
      <c r="C76" s="7">
        <v>0</v>
      </c>
      <c r="D76" s="13">
        <f t="shared" si="1"/>
        <v>1</v>
      </c>
    </row>
    <row r="77" spans="1:4" x14ac:dyDescent="0.25">
      <c r="A77" s="15">
        <f>Sheet2!A77</f>
        <v>43104.125</v>
      </c>
      <c r="B77" s="6">
        <v>1.45</v>
      </c>
      <c r="C77" s="7">
        <v>0</v>
      </c>
      <c r="D77" s="13">
        <f t="shared" si="1"/>
        <v>1.45</v>
      </c>
    </row>
    <row r="78" spans="1:4" x14ac:dyDescent="0.25">
      <c r="A78" s="15">
        <f>Sheet2!A78</f>
        <v>43104.166666666664</v>
      </c>
      <c r="B78" s="6">
        <v>1.43</v>
      </c>
      <c r="C78" s="7">
        <v>0</v>
      </c>
      <c r="D78" s="13">
        <f t="shared" si="1"/>
        <v>1.43</v>
      </c>
    </row>
    <row r="79" spans="1:4" x14ac:dyDescent="0.25">
      <c r="A79" s="15">
        <f>Sheet2!A79</f>
        <v>43104.208333333336</v>
      </c>
      <c r="B79" s="6">
        <v>1.45</v>
      </c>
      <c r="C79" s="7">
        <v>0</v>
      </c>
      <c r="D79" s="13">
        <f t="shared" si="1"/>
        <v>1.45</v>
      </c>
    </row>
    <row r="80" spans="1:4" x14ac:dyDescent="0.25">
      <c r="A80" s="15">
        <f>Sheet2!A80</f>
        <v>43104.25</v>
      </c>
      <c r="B80" s="6">
        <v>1.44</v>
      </c>
      <c r="C80" s="7">
        <v>0</v>
      </c>
      <c r="D80" s="13">
        <f t="shared" si="1"/>
        <v>1.44</v>
      </c>
    </row>
    <row r="81" spans="1:4" x14ac:dyDescent="0.25">
      <c r="A81" s="15">
        <f>Sheet2!A81</f>
        <v>43104.291666666664</v>
      </c>
      <c r="B81" s="6">
        <v>1.17</v>
      </c>
      <c r="C81" s="7">
        <v>0</v>
      </c>
      <c r="D81" s="13">
        <f t="shared" si="1"/>
        <v>1.17</v>
      </c>
    </row>
    <row r="82" spans="1:4" x14ac:dyDescent="0.25">
      <c r="A82" s="15">
        <f>Sheet2!A82</f>
        <v>43104.333333333336</v>
      </c>
      <c r="B82" s="6">
        <v>0</v>
      </c>
      <c r="C82" s="7">
        <v>0.98</v>
      </c>
      <c r="D82" s="13">
        <f t="shared" si="1"/>
        <v>0.98</v>
      </c>
    </row>
    <row r="83" spans="1:4" x14ac:dyDescent="0.25">
      <c r="A83" s="15">
        <f>Sheet2!A83</f>
        <v>43104.375</v>
      </c>
      <c r="B83" s="6">
        <v>0</v>
      </c>
      <c r="C83" s="7">
        <v>1.26</v>
      </c>
      <c r="D83" s="13">
        <f t="shared" si="1"/>
        <v>1.26</v>
      </c>
    </row>
    <row r="84" spans="1:4" x14ac:dyDescent="0.25">
      <c r="A84" s="15">
        <f>Sheet2!A84</f>
        <v>43104.416666666664</v>
      </c>
      <c r="B84" s="6">
        <v>0</v>
      </c>
      <c r="C84" s="7">
        <v>0.49</v>
      </c>
      <c r="D84" s="13">
        <f t="shared" si="1"/>
        <v>0.49</v>
      </c>
    </row>
    <row r="85" spans="1:4" x14ac:dyDescent="0.25">
      <c r="A85" s="15">
        <f>Sheet2!A85</f>
        <v>43104.458333333336</v>
      </c>
      <c r="B85" s="6">
        <v>1.46</v>
      </c>
      <c r="C85" s="7">
        <v>0</v>
      </c>
      <c r="D85" s="13">
        <f t="shared" si="1"/>
        <v>1.46</v>
      </c>
    </row>
    <row r="86" spans="1:4" x14ac:dyDescent="0.25">
      <c r="A86" s="15">
        <f>Sheet2!A86</f>
        <v>43104.5</v>
      </c>
      <c r="B86" s="6">
        <v>1.34</v>
      </c>
      <c r="C86" s="7">
        <v>0</v>
      </c>
      <c r="D86" s="13">
        <f t="shared" si="1"/>
        <v>1.34</v>
      </c>
    </row>
    <row r="87" spans="1:4" x14ac:dyDescent="0.25">
      <c r="A87" s="15">
        <f>Sheet2!A87</f>
        <v>43104.541666666664</v>
      </c>
      <c r="B87" s="6">
        <v>1.0900000000000001</v>
      </c>
      <c r="C87" s="7">
        <v>0</v>
      </c>
      <c r="D87" s="13">
        <f t="shared" si="1"/>
        <v>1.0900000000000001</v>
      </c>
    </row>
    <row r="88" spans="1:4" x14ac:dyDescent="0.25">
      <c r="A88" s="15">
        <f>Sheet2!A88</f>
        <v>43104.583333333336</v>
      </c>
      <c r="B88" s="6">
        <v>1.62</v>
      </c>
      <c r="C88" s="7">
        <v>0</v>
      </c>
      <c r="D88" s="13">
        <f t="shared" si="1"/>
        <v>1.62</v>
      </c>
    </row>
    <row r="89" spans="1:4" x14ac:dyDescent="0.25">
      <c r="A89" s="15">
        <f>Sheet2!A89</f>
        <v>43104.625</v>
      </c>
      <c r="B89" s="6">
        <v>0</v>
      </c>
      <c r="C89" s="7">
        <v>1.08</v>
      </c>
      <c r="D89" s="13">
        <f t="shared" si="1"/>
        <v>1.08</v>
      </c>
    </row>
    <row r="90" spans="1:4" x14ac:dyDescent="0.25">
      <c r="A90" s="15">
        <f>Sheet2!A90</f>
        <v>43104.666666666664</v>
      </c>
      <c r="B90" s="6">
        <v>0</v>
      </c>
      <c r="C90" s="7">
        <v>1.49</v>
      </c>
      <c r="D90" s="13">
        <f t="shared" si="1"/>
        <v>1.49</v>
      </c>
    </row>
    <row r="91" spans="1:4" x14ac:dyDescent="0.25">
      <c r="A91" s="15">
        <f>Sheet2!A91</f>
        <v>43104.708333333336</v>
      </c>
      <c r="B91" s="6">
        <v>0</v>
      </c>
      <c r="C91" s="7">
        <v>0.84</v>
      </c>
      <c r="D91" s="13">
        <f t="shared" si="1"/>
        <v>0.84</v>
      </c>
    </row>
    <row r="92" spans="1:4" x14ac:dyDescent="0.25">
      <c r="A92" s="15">
        <f>Sheet2!A92</f>
        <v>43104.75</v>
      </c>
      <c r="B92" s="6">
        <v>1.29</v>
      </c>
      <c r="C92" s="7">
        <v>0</v>
      </c>
      <c r="D92" s="13">
        <f t="shared" si="1"/>
        <v>1.29</v>
      </c>
    </row>
    <row r="93" spans="1:4" x14ac:dyDescent="0.25">
      <c r="A93" s="15">
        <f>Sheet2!A93</f>
        <v>43104.791666666664</v>
      </c>
      <c r="B93" s="6">
        <v>1.38</v>
      </c>
      <c r="C93" s="7">
        <v>0</v>
      </c>
      <c r="D93" s="13">
        <f t="shared" si="1"/>
        <v>1.38</v>
      </c>
    </row>
    <row r="94" spans="1:4" x14ac:dyDescent="0.25">
      <c r="A94" s="15">
        <f>Sheet2!A94</f>
        <v>43104.833333333336</v>
      </c>
      <c r="B94" s="6">
        <v>0</v>
      </c>
      <c r="C94" s="7">
        <v>1.1100000000000001</v>
      </c>
      <c r="D94" s="13">
        <f t="shared" si="1"/>
        <v>1.1100000000000001</v>
      </c>
    </row>
    <row r="95" spans="1:4" x14ac:dyDescent="0.25">
      <c r="A95" s="15">
        <f>Sheet2!A95</f>
        <v>43104.875</v>
      </c>
      <c r="B95" s="6">
        <v>0</v>
      </c>
      <c r="C95" s="7">
        <v>1.38</v>
      </c>
      <c r="D95" s="13">
        <f t="shared" si="1"/>
        <v>1.38</v>
      </c>
    </row>
    <row r="96" spans="1:4" x14ac:dyDescent="0.25">
      <c r="A96" s="15">
        <f>Sheet2!A96</f>
        <v>43104.916666666664</v>
      </c>
      <c r="B96" s="6">
        <v>1.17</v>
      </c>
      <c r="C96" s="7">
        <v>0</v>
      </c>
      <c r="D96" s="13">
        <f t="shared" si="1"/>
        <v>1.17</v>
      </c>
    </row>
    <row r="97" spans="1:4" x14ac:dyDescent="0.25">
      <c r="A97" s="15">
        <f>Sheet2!A97</f>
        <v>43104.958333333336</v>
      </c>
      <c r="B97" s="6">
        <v>0.89</v>
      </c>
      <c r="C97" s="7">
        <v>0</v>
      </c>
      <c r="D97" s="13">
        <f t="shared" si="1"/>
        <v>0.89</v>
      </c>
    </row>
    <row r="98" spans="1:4" x14ac:dyDescent="0.25">
      <c r="A98" s="15">
        <f>Sheet2!A98</f>
        <v>43105</v>
      </c>
      <c r="B98" s="6">
        <v>1.01</v>
      </c>
      <c r="C98" s="7">
        <v>0</v>
      </c>
      <c r="D98" s="13">
        <f t="shared" si="1"/>
        <v>1.01</v>
      </c>
    </row>
    <row r="99" spans="1:4" x14ac:dyDescent="0.25">
      <c r="A99" s="15">
        <f>Sheet2!A99</f>
        <v>43105.041666666664</v>
      </c>
      <c r="B99" s="6">
        <v>1.26</v>
      </c>
      <c r="C99" s="7">
        <v>0</v>
      </c>
      <c r="D99" s="13">
        <f t="shared" si="1"/>
        <v>1.26</v>
      </c>
    </row>
    <row r="100" spans="1:4" x14ac:dyDescent="0.25">
      <c r="A100" s="15">
        <f>Sheet2!A100</f>
        <v>43105.083333333336</v>
      </c>
      <c r="B100" s="6">
        <v>1.36</v>
      </c>
      <c r="C100" s="7">
        <v>0</v>
      </c>
      <c r="D100" s="13">
        <f t="shared" si="1"/>
        <v>1.36</v>
      </c>
    </row>
    <row r="101" spans="1:4" x14ac:dyDescent="0.25">
      <c r="A101" s="15">
        <f>Sheet2!A101</f>
        <v>43105.125</v>
      </c>
      <c r="B101" s="6">
        <v>1.67</v>
      </c>
      <c r="C101" s="7">
        <v>0</v>
      </c>
      <c r="D101" s="13">
        <f t="shared" si="1"/>
        <v>1.67</v>
      </c>
    </row>
    <row r="102" spans="1:4" x14ac:dyDescent="0.25">
      <c r="A102" s="15">
        <f>Sheet2!A102</f>
        <v>43105.166666666664</v>
      </c>
      <c r="B102" s="6">
        <v>1.4</v>
      </c>
      <c r="C102" s="7">
        <v>0</v>
      </c>
      <c r="D102" s="13">
        <f t="shared" si="1"/>
        <v>1.4</v>
      </c>
    </row>
    <row r="103" spans="1:4" x14ac:dyDescent="0.25">
      <c r="A103" s="15">
        <f>Sheet2!A103</f>
        <v>43105.208333333336</v>
      </c>
      <c r="B103" s="6">
        <v>1.23</v>
      </c>
      <c r="C103" s="7">
        <v>0</v>
      </c>
      <c r="D103" s="13">
        <f t="shared" si="1"/>
        <v>1.23</v>
      </c>
    </row>
    <row r="104" spans="1:4" x14ac:dyDescent="0.25">
      <c r="A104" s="15">
        <f>Sheet2!A104</f>
        <v>43105.25</v>
      </c>
      <c r="B104" s="6">
        <v>1.17</v>
      </c>
      <c r="C104" s="7">
        <v>0</v>
      </c>
      <c r="D104" s="13">
        <f t="shared" si="1"/>
        <v>1.17</v>
      </c>
    </row>
    <row r="105" spans="1:4" x14ac:dyDescent="0.25">
      <c r="A105" s="15">
        <f>Sheet2!A105</f>
        <v>43105.291666666664</v>
      </c>
      <c r="B105" s="6">
        <v>0.96</v>
      </c>
      <c r="C105" s="7">
        <v>0</v>
      </c>
      <c r="D105" s="13">
        <f t="shared" si="1"/>
        <v>0.96</v>
      </c>
    </row>
    <row r="106" spans="1:4" x14ac:dyDescent="0.25">
      <c r="A106" s="15">
        <f>Sheet2!A106</f>
        <v>43105.333333333336</v>
      </c>
      <c r="B106" s="6">
        <v>0</v>
      </c>
      <c r="C106" s="7">
        <v>0.88</v>
      </c>
      <c r="D106" s="13">
        <f t="shared" si="1"/>
        <v>0.88</v>
      </c>
    </row>
    <row r="107" spans="1:4" x14ac:dyDescent="0.25">
      <c r="A107" s="15">
        <f>Sheet2!A107</f>
        <v>43105.375</v>
      </c>
      <c r="B107" s="6">
        <v>0</v>
      </c>
      <c r="C107" s="7">
        <v>1.48</v>
      </c>
      <c r="D107" s="13">
        <f t="shared" si="1"/>
        <v>1.48</v>
      </c>
    </row>
    <row r="108" spans="1:4" x14ac:dyDescent="0.25">
      <c r="A108" s="15">
        <f>Sheet2!A108</f>
        <v>43105.416666666664</v>
      </c>
      <c r="B108" s="6">
        <v>0</v>
      </c>
      <c r="C108" s="7">
        <v>0.46</v>
      </c>
      <c r="D108" s="13">
        <f t="shared" si="1"/>
        <v>0.46</v>
      </c>
    </row>
    <row r="109" spans="1:4" x14ac:dyDescent="0.25">
      <c r="A109" s="15">
        <f>Sheet2!A109</f>
        <v>43105.458333333336</v>
      </c>
      <c r="B109" s="6">
        <v>1.59</v>
      </c>
      <c r="C109" s="7">
        <v>0</v>
      </c>
      <c r="D109" s="13">
        <f t="shared" si="1"/>
        <v>1.59</v>
      </c>
    </row>
    <row r="110" spans="1:4" x14ac:dyDescent="0.25">
      <c r="A110" s="15">
        <f>Sheet2!A110</f>
        <v>43105.5</v>
      </c>
      <c r="B110" s="6">
        <v>1.5</v>
      </c>
      <c r="C110" s="7">
        <v>0</v>
      </c>
      <c r="D110" s="13">
        <f t="shared" si="1"/>
        <v>1.5</v>
      </c>
    </row>
    <row r="111" spans="1:4" x14ac:dyDescent="0.25">
      <c r="A111" s="15">
        <f>Sheet2!A111</f>
        <v>43105.541666666664</v>
      </c>
      <c r="B111" s="6">
        <v>2.0099999999999998</v>
      </c>
      <c r="C111" s="7">
        <v>0</v>
      </c>
      <c r="D111" s="13">
        <f t="shared" si="1"/>
        <v>2.0099999999999998</v>
      </c>
    </row>
    <row r="112" spans="1:4" x14ac:dyDescent="0.25">
      <c r="A112" s="15">
        <f>Sheet2!A112</f>
        <v>43105.583333333336</v>
      </c>
      <c r="B112" s="6">
        <v>0</v>
      </c>
      <c r="C112" s="7">
        <v>1.04</v>
      </c>
      <c r="D112" s="13">
        <f t="shared" si="1"/>
        <v>1.04</v>
      </c>
    </row>
    <row r="113" spans="1:4" x14ac:dyDescent="0.25">
      <c r="A113" s="15">
        <f>Sheet2!A113</f>
        <v>43105.625</v>
      </c>
      <c r="B113" s="6">
        <v>0</v>
      </c>
      <c r="C113" s="7">
        <v>1.35</v>
      </c>
      <c r="D113" s="13">
        <f t="shared" si="1"/>
        <v>1.35</v>
      </c>
    </row>
    <row r="114" spans="1:4" x14ac:dyDescent="0.25">
      <c r="A114" s="15">
        <f>Sheet2!A114</f>
        <v>43105.666666666664</v>
      </c>
      <c r="B114" s="6">
        <v>0</v>
      </c>
      <c r="C114" s="7">
        <v>0.39</v>
      </c>
      <c r="D114" s="13">
        <f t="shared" si="1"/>
        <v>0.39</v>
      </c>
    </row>
    <row r="115" spans="1:4" x14ac:dyDescent="0.25">
      <c r="A115" s="15">
        <f>Sheet2!A115</f>
        <v>43105.708333333336</v>
      </c>
      <c r="B115" s="6">
        <v>1.29</v>
      </c>
      <c r="C115" s="7">
        <v>0</v>
      </c>
      <c r="D115" s="13">
        <f t="shared" si="1"/>
        <v>1.29</v>
      </c>
    </row>
    <row r="116" spans="1:4" x14ac:dyDescent="0.25">
      <c r="A116" s="15">
        <f>Sheet2!A116</f>
        <v>43105.75</v>
      </c>
      <c r="B116" s="6">
        <v>0</v>
      </c>
      <c r="C116" s="7">
        <v>0.7</v>
      </c>
      <c r="D116" s="13">
        <f t="shared" si="1"/>
        <v>0.7</v>
      </c>
    </row>
    <row r="117" spans="1:4" x14ac:dyDescent="0.25">
      <c r="A117" s="15">
        <f>Sheet2!A117</f>
        <v>43105.791666666664</v>
      </c>
      <c r="B117" s="6">
        <v>0</v>
      </c>
      <c r="C117" s="7">
        <v>1.31</v>
      </c>
      <c r="D117" s="13">
        <f t="shared" si="1"/>
        <v>1.31</v>
      </c>
    </row>
    <row r="118" spans="1:4" x14ac:dyDescent="0.25">
      <c r="A118" s="15">
        <f>Sheet2!A118</f>
        <v>43105.833333333336</v>
      </c>
      <c r="B118" s="6">
        <v>0</v>
      </c>
      <c r="C118" s="7">
        <v>0.3</v>
      </c>
      <c r="D118" s="13">
        <f t="shared" si="1"/>
        <v>0.3</v>
      </c>
    </row>
    <row r="119" spans="1:4" x14ac:dyDescent="0.25">
      <c r="A119" s="15">
        <f>Sheet2!A119</f>
        <v>43105.875</v>
      </c>
      <c r="B119" s="6">
        <v>1.1299999999999999</v>
      </c>
      <c r="C119" s="7">
        <v>0</v>
      </c>
      <c r="D119" s="13">
        <f t="shared" si="1"/>
        <v>1.1299999999999999</v>
      </c>
    </row>
    <row r="120" spans="1:4" x14ac:dyDescent="0.25">
      <c r="A120" s="15">
        <f>Sheet2!A120</f>
        <v>43105.916666666664</v>
      </c>
      <c r="B120" s="6">
        <v>1.65</v>
      </c>
      <c r="C120" s="7">
        <v>0</v>
      </c>
      <c r="D120" s="13">
        <f t="shared" si="1"/>
        <v>1.65</v>
      </c>
    </row>
    <row r="121" spans="1:4" x14ac:dyDescent="0.25">
      <c r="A121" s="15">
        <f>Sheet2!A121</f>
        <v>43105.958333333336</v>
      </c>
      <c r="B121" s="6">
        <v>1.34</v>
      </c>
      <c r="C121" s="7">
        <v>0</v>
      </c>
      <c r="D121" s="13">
        <f t="shared" si="1"/>
        <v>1.34</v>
      </c>
    </row>
    <row r="122" spans="1:4" x14ac:dyDescent="0.25">
      <c r="A122" s="15">
        <f>Sheet2!A122</f>
        <v>43106</v>
      </c>
      <c r="B122" s="6">
        <v>1.23</v>
      </c>
      <c r="C122" s="7">
        <v>0</v>
      </c>
      <c r="D122" s="13">
        <f t="shared" si="1"/>
        <v>1.23</v>
      </c>
    </row>
    <row r="123" spans="1:4" x14ac:dyDescent="0.25">
      <c r="A123" s="15">
        <f>Sheet2!A123</f>
        <v>43106.041666666664</v>
      </c>
      <c r="B123" s="6">
        <v>1.36</v>
      </c>
      <c r="C123" s="7">
        <v>0</v>
      </c>
      <c r="D123" s="13">
        <f t="shared" si="1"/>
        <v>1.36</v>
      </c>
    </row>
    <row r="124" spans="1:4" x14ac:dyDescent="0.25">
      <c r="A124" s="15">
        <f>Sheet2!A124</f>
        <v>43106.083333333336</v>
      </c>
      <c r="B124" s="6">
        <v>1.3</v>
      </c>
      <c r="C124" s="7">
        <v>0</v>
      </c>
      <c r="D124" s="13">
        <f t="shared" si="1"/>
        <v>1.3</v>
      </c>
    </row>
    <row r="125" spans="1:4" x14ac:dyDescent="0.25">
      <c r="A125" s="15">
        <f>Sheet2!A125</f>
        <v>43106.125</v>
      </c>
      <c r="B125" s="6">
        <v>1.1499999999999999</v>
      </c>
      <c r="C125" s="7">
        <v>0</v>
      </c>
      <c r="D125" s="13">
        <f t="shared" si="1"/>
        <v>1.1499999999999999</v>
      </c>
    </row>
    <row r="126" spans="1:4" x14ac:dyDescent="0.25">
      <c r="A126" s="15">
        <f>Sheet2!A126</f>
        <v>43106.166666666664</v>
      </c>
      <c r="B126" s="6">
        <v>1.35</v>
      </c>
      <c r="C126" s="7">
        <v>0</v>
      </c>
      <c r="D126" s="13">
        <f t="shared" si="1"/>
        <v>1.35</v>
      </c>
    </row>
    <row r="127" spans="1:4" x14ac:dyDescent="0.25">
      <c r="A127" s="15">
        <f>Sheet2!A127</f>
        <v>43106.208333333336</v>
      </c>
      <c r="B127" s="6">
        <v>1.29</v>
      </c>
      <c r="C127" s="7">
        <v>0</v>
      </c>
      <c r="D127" s="13">
        <f t="shared" si="1"/>
        <v>1.29</v>
      </c>
    </row>
    <row r="128" spans="1:4" x14ac:dyDescent="0.25">
      <c r="A128" s="15">
        <f>Sheet2!A128</f>
        <v>43106.25</v>
      </c>
      <c r="B128" s="6">
        <v>0.95</v>
      </c>
      <c r="C128" s="7">
        <v>0</v>
      </c>
      <c r="D128" s="13">
        <f t="shared" si="1"/>
        <v>0.95</v>
      </c>
    </row>
    <row r="129" spans="1:4" x14ac:dyDescent="0.25">
      <c r="A129" s="15">
        <f>Sheet2!A129</f>
        <v>43106.291666666664</v>
      </c>
      <c r="B129" s="6">
        <v>0.77</v>
      </c>
      <c r="C129" s="7">
        <v>0</v>
      </c>
      <c r="D129" s="13">
        <f t="shared" si="1"/>
        <v>0.77</v>
      </c>
    </row>
    <row r="130" spans="1:4" x14ac:dyDescent="0.25">
      <c r="A130" s="15">
        <f>Sheet2!A130</f>
        <v>43106.333333333336</v>
      </c>
      <c r="B130" s="6">
        <v>1.7</v>
      </c>
      <c r="C130" s="7">
        <v>0</v>
      </c>
      <c r="D130" s="13">
        <f t="shared" si="1"/>
        <v>1.7</v>
      </c>
    </row>
    <row r="131" spans="1:4" x14ac:dyDescent="0.25">
      <c r="A131" s="15">
        <f>Sheet2!A131</f>
        <v>43106.375</v>
      </c>
      <c r="B131" s="6">
        <v>1.8</v>
      </c>
      <c r="C131" s="7">
        <v>0</v>
      </c>
      <c r="D131" s="13">
        <f t="shared" ref="D131:D194" si="2">B131+C131</f>
        <v>1.8</v>
      </c>
    </row>
    <row r="132" spans="1:4" x14ac:dyDescent="0.25">
      <c r="A132" s="15">
        <f>Sheet2!A132</f>
        <v>43106.416666666664</v>
      </c>
      <c r="B132" s="6">
        <v>0</v>
      </c>
      <c r="C132" s="7">
        <v>1.28</v>
      </c>
      <c r="D132" s="13">
        <f t="shared" si="2"/>
        <v>1.28</v>
      </c>
    </row>
    <row r="133" spans="1:4" x14ac:dyDescent="0.25">
      <c r="A133" s="15">
        <f>Sheet2!A133</f>
        <v>43106.458333333336</v>
      </c>
      <c r="B133" s="6">
        <v>0</v>
      </c>
      <c r="C133" s="7">
        <v>1.4</v>
      </c>
      <c r="D133" s="13">
        <f t="shared" si="2"/>
        <v>1.4</v>
      </c>
    </row>
    <row r="134" spans="1:4" x14ac:dyDescent="0.25">
      <c r="A134" s="15">
        <f>Sheet2!A134</f>
        <v>43106.5</v>
      </c>
      <c r="B134" s="6">
        <v>0</v>
      </c>
      <c r="C134" s="7">
        <v>0.41</v>
      </c>
      <c r="D134" s="13">
        <f t="shared" si="2"/>
        <v>0.41</v>
      </c>
    </row>
    <row r="135" spans="1:4" x14ac:dyDescent="0.25">
      <c r="A135" s="15">
        <f>Sheet2!A135</f>
        <v>43106.541666666664</v>
      </c>
      <c r="B135" s="6">
        <v>1.93</v>
      </c>
      <c r="C135" s="7">
        <v>0</v>
      </c>
      <c r="D135" s="13">
        <f t="shared" si="2"/>
        <v>1.93</v>
      </c>
    </row>
    <row r="136" spans="1:4" x14ac:dyDescent="0.25">
      <c r="A136" s="15">
        <f>Sheet2!A136</f>
        <v>43106.583333333336</v>
      </c>
      <c r="B136" s="6">
        <v>1.95</v>
      </c>
      <c r="C136" s="7">
        <v>0</v>
      </c>
      <c r="D136" s="13">
        <f t="shared" si="2"/>
        <v>1.95</v>
      </c>
    </row>
    <row r="137" spans="1:4" x14ac:dyDescent="0.25">
      <c r="A137" s="15">
        <f>Sheet2!A137</f>
        <v>43106.625</v>
      </c>
      <c r="B137" s="6">
        <v>1.57</v>
      </c>
      <c r="C137" s="7">
        <v>0</v>
      </c>
      <c r="D137" s="13">
        <f t="shared" si="2"/>
        <v>1.57</v>
      </c>
    </row>
    <row r="138" spans="1:4" x14ac:dyDescent="0.25">
      <c r="A138" s="15">
        <f>Sheet2!A138</f>
        <v>43106.666666666664</v>
      </c>
      <c r="B138" s="6">
        <v>0</v>
      </c>
      <c r="C138" s="7">
        <v>0.95</v>
      </c>
      <c r="D138" s="13">
        <f t="shared" si="2"/>
        <v>0.95</v>
      </c>
    </row>
    <row r="139" spans="1:4" x14ac:dyDescent="0.25">
      <c r="A139" s="15">
        <f>Sheet2!A139</f>
        <v>43106.708333333336</v>
      </c>
      <c r="B139" s="6">
        <v>0</v>
      </c>
      <c r="C139" s="7">
        <v>1.32</v>
      </c>
      <c r="D139" s="13">
        <f t="shared" si="2"/>
        <v>1.32</v>
      </c>
    </row>
    <row r="140" spans="1:4" x14ac:dyDescent="0.25">
      <c r="A140" s="15">
        <f>Sheet2!A140</f>
        <v>43106.75</v>
      </c>
      <c r="B140" s="6">
        <v>0</v>
      </c>
      <c r="C140" s="7">
        <v>0.77</v>
      </c>
      <c r="D140" s="13">
        <f t="shared" si="2"/>
        <v>0.77</v>
      </c>
    </row>
    <row r="141" spans="1:4" x14ac:dyDescent="0.25">
      <c r="A141" s="15">
        <f>Sheet2!A141</f>
        <v>43106.791666666664</v>
      </c>
      <c r="B141" s="6">
        <v>1.24</v>
      </c>
      <c r="C141" s="7">
        <v>0</v>
      </c>
      <c r="D141" s="13">
        <f t="shared" si="2"/>
        <v>1.24</v>
      </c>
    </row>
    <row r="142" spans="1:4" x14ac:dyDescent="0.25">
      <c r="A142" s="15">
        <f>Sheet2!A142</f>
        <v>43106.833333333336</v>
      </c>
      <c r="B142" s="6">
        <v>0</v>
      </c>
      <c r="C142" s="7">
        <v>0.47</v>
      </c>
      <c r="D142" s="13">
        <f t="shared" si="2"/>
        <v>0.47</v>
      </c>
    </row>
    <row r="143" spans="1:4" x14ac:dyDescent="0.25">
      <c r="A143" s="15">
        <f>Sheet2!A143</f>
        <v>43106.875</v>
      </c>
      <c r="B143" s="6">
        <v>0</v>
      </c>
      <c r="C143" s="7">
        <v>0.53</v>
      </c>
      <c r="D143" s="13">
        <f t="shared" si="2"/>
        <v>0.53</v>
      </c>
    </row>
    <row r="144" spans="1:4" x14ac:dyDescent="0.25">
      <c r="A144" s="15">
        <f>Sheet2!A144</f>
        <v>43106.916666666664</v>
      </c>
      <c r="B144" s="6">
        <v>1.1599999999999999</v>
      </c>
      <c r="C144" s="7">
        <v>0</v>
      </c>
      <c r="D144" s="13">
        <f t="shared" si="2"/>
        <v>1.1599999999999999</v>
      </c>
    </row>
    <row r="145" spans="1:4" x14ac:dyDescent="0.25">
      <c r="A145" s="15">
        <f>Sheet2!A145</f>
        <v>43106.958333333336</v>
      </c>
      <c r="B145" s="6">
        <v>1.47</v>
      </c>
      <c r="C145" s="7">
        <v>0</v>
      </c>
      <c r="D145" s="13">
        <f t="shared" si="2"/>
        <v>1.47</v>
      </c>
    </row>
    <row r="146" spans="1:4" x14ac:dyDescent="0.25">
      <c r="A146" s="15">
        <f>Sheet2!A146</f>
        <v>43107</v>
      </c>
      <c r="B146" s="6">
        <v>1.06</v>
      </c>
      <c r="C146" s="7">
        <v>0</v>
      </c>
      <c r="D146" s="13">
        <f t="shared" si="2"/>
        <v>1.06</v>
      </c>
    </row>
    <row r="147" spans="1:4" x14ac:dyDescent="0.25">
      <c r="A147" s="15">
        <f>Sheet2!A147</f>
        <v>43107.041666666664</v>
      </c>
      <c r="B147" s="6">
        <v>1.28</v>
      </c>
      <c r="C147" s="7">
        <v>0</v>
      </c>
      <c r="D147" s="13">
        <f t="shared" si="2"/>
        <v>1.28</v>
      </c>
    </row>
    <row r="148" spans="1:4" x14ac:dyDescent="0.25">
      <c r="A148" s="15">
        <f>Sheet2!A148</f>
        <v>43107.083333333336</v>
      </c>
      <c r="B148" s="6">
        <v>1.33</v>
      </c>
      <c r="C148" s="7">
        <v>0</v>
      </c>
      <c r="D148" s="13">
        <f t="shared" si="2"/>
        <v>1.33</v>
      </c>
    </row>
    <row r="149" spans="1:4" x14ac:dyDescent="0.25">
      <c r="A149" s="15">
        <f>Sheet2!A149</f>
        <v>43107.125</v>
      </c>
      <c r="B149" s="6">
        <v>1.3</v>
      </c>
      <c r="C149" s="7">
        <v>0</v>
      </c>
      <c r="D149" s="13">
        <f t="shared" si="2"/>
        <v>1.3</v>
      </c>
    </row>
    <row r="150" spans="1:4" x14ac:dyDescent="0.25">
      <c r="A150" s="15">
        <f>Sheet2!A150</f>
        <v>43107.166666666664</v>
      </c>
      <c r="B150" s="6">
        <v>1.3</v>
      </c>
      <c r="C150" s="7">
        <v>0</v>
      </c>
      <c r="D150" s="13">
        <f t="shared" si="2"/>
        <v>1.3</v>
      </c>
    </row>
    <row r="151" spans="1:4" x14ac:dyDescent="0.25">
      <c r="A151" s="15">
        <f>Sheet2!A151</f>
        <v>43107.208333333336</v>
      </c>
      <c r="B151" s="6">
        <v>0.76</v>
      </c>
      <c r="C151" s="7">
        <v>0</v>
      </c>
      <c r="D151" s="13">
        <f t="shared" si="2"/>
        <v>0.76</v>
      </c>
    </row>
    <row r="152" spans="1:4" x14ac:dyDescent="0.25">
      <c r="A152" s="15">
        <f>Sheet2!A152</f>
        <v>43107.25</v>
      </c>
      <c r="B152" s="6">
        <v>0.93</v>
      </c>
      <c r="C152" s="7">
        <v>0</v>
      </c>
      <c r="D152" s="13">
        <f t="shared" si="2"/>
        <v>0.93</v>
      </c>
    </row>
    <row r="153" spans="1:4" x14ac:dyDescent="0.25">
      <c r="A153" s="15">
        <f>Sheet2!A153</f>
        <v>43107.291666666664</v>
      </c>
      <c r="B153" s="6">
        <v>0.73</v>
      </c>
      <c r="C153" s="7">
        <v>0</v>
      </c>
      <c r="D153" s="13">
        <f t="shared" si="2"/>
        <v>0.73</v>
      </c>
    </row>
    <row r="154" spans="1:4" x14ac:dyDescent="0.25">
      <c r="A154" s="15">
        <f>Sheet2!A154</f>
        <v>43107.333333333336</v>
      </c>
      <c r="B154" s="6">
        <v>0</v>
      </c>
      <c r="C154" s="7">
        <v>0.56999999999999995</v>
      </c>
      <c r="D154" s="13">
        <f t="shared" si="2"/>
        <v>0.56999999999999995</v>
      </c>
    </row>
    <row r="155" spans="1:4" x14ac:dyDescent="0.25">
      <c r="A155" s="15">
        <f>Sheet2!A155</f>
        <v>43107.375</v>
      </c>
      <c r="B155" s="6">
        <v>0</v>
      </c>
      <c r="C155" s="7">
        <v>0.75</v>
      </c>
      <c r="D155" s="13">
        <f t="shared" si="2"/>
        <v>0.75</v>
      </c>
    </row>
    <row r="156" spans="1:4" x14ac:dyDescent="0.25">
      <c r="A156" s="15">
        <f>Sheet2!A156</f>
        <v>43107.416666666664</v>
      </c>
      <c r="B156" s="6">
        <v>0</v>
      </c>
      <c r="C156" s="7">
        <v>0.27</v>
      </c>
      <c r="D156" s="13">
        <f t="shared" si="2"/>
        <v>0.27</v>
      </c>
    </row>
    <row r="157" spans="1:4" x14ac:dyDescent="0.25">
      <c r="A157" s="15">
        <f>Sheet2!A157</f>
        <v>43107.458333333336</v>
      </c>
      <c r="B157" s="6">
        <v>0.83</v>
      </c>
      <c r="C157" s="7">
        <v>0</v>
      </c>
      <c r="D157" s="13">
        <f t="shared" si="2"/>
        <v>0.83</v>
      </c>
    </row>
    <row r="158" spans="1:4" x14ac:dyDescent="0.25">
      <c r="A158" s="15">
        <f>Sheet2!A158</f>
        <v>43107.5</v>
      </c>
      <c r="B158" s="6">
        <v>0</v>
      </c>
      <c r="C158" s="7">
        <v>0.61</v>
      </c>
      <c r="D158" s="13">
        <f t="shared" si="2"/>
        <v>0.61</v>
      </c>
    </row>
    <row r="159" spans="1:4" x14ac:dyDescent="0.25">
      <c r="A159" s="15">
        <f>Sheet2!A159</f>
        <v>43107.541666666664</v>
      </c>
      <c r="B159" s="6">
        <v>0</v>
      </c>
      <c r="C159" s="7">
        <v>1.53</v>
      </c>
      <c r="D159" s="13">
        <f t="shared" si="2"/>
        <v>1.53</v>
      </c>
    </row>
    <row r="160" spans="1:4" x14ac:dyDescent="0.25">
      <c r="A160" s="15">
        <f>Sheet2!A160</f>
        <v>43107.583333333336</v>
      </c>
      <c r="B160" s="6">
        <v>0</v>
      </c>
      <c r="C160" s="7">
        <v>0.35</v>
      </c>
      <c r="D160" s="13">
        <f t="shared" si="2"/>
        <v>0.35</v>
      </c>
    </row>
    <row r="161" spans="1:4" x14ac:dyDescent="0.25">
      <c r="A161" s="15">
        <f>Sheet2!A161</f>
        <v>43107.625</v>
      </c>
      <c r="B161" s="6">
        <v>2.31</v>
      </c>
      <c r="C161" s="7">
        <v>0</v>
      </c>
      <c r="D161" s="13">
        <f t="shared" si="2"/>
        <v>2.31</v>
      </c>
    </row>
    <row r="162" spans="1:4" x14ac:dyDescent="0.25">
      <c r="A162" s="15">
        <f>Sheet2!A162</f>
        <v>43107.666666666664</v>
      </c>
      <c r="B162" s="6">
        <v>2.31</v>
      </c>
      <c r="C162" s="7">
        <v>0</v>
      </c>
      <c r="D162" s="13">
        <f t="shared" si="2"/>
        <v>2.31</v>
      </c>
    </row>
    <row r="163" spans="1:4" x14ac:dyDescent="0.25">
      <c r="A163" s="15">
        <f>Sheet2!A163</f>
        <v>43107.708333333336</v>
      </c>
      <c r="B163" s="6">
        <v>0</v>
      </c>
      <c r="C163" s="7">
        <v>1.61</v>
      </c>
      <c r="D163" s="13">
        <f t="shared" si="2"/>
        <v>1.61</v>
      </c>
    </row>
    <row r="164" spans="1:4" x14ac:dyDescent="0.25">
      <c r="A164" s="15">
        <f>Sheet2!A164</f>
        <v>43107.75</v>
      </c>
      <c r="B164" s="6">
        <v>0</v>
      </c>
      <c r="C164" s="7">
        <v>0.45</v>
      </c>
      <c r="D164" s="13">
        <f t="shared" si="2"/>
        <v>0.45</v>
      </c>
    </row>
    <row r="165" spans="1:4" x14ac:dyDescent="0.25">
      <c r="A165" s="15">
        <f>Sheet2!A165</f>
        <v>43107.791666666664</v>
      </c>
      <c r="B165" s="6">
        <v>1.58</v>
      </c>
      <c r="C165" s="7">
        <v>0</v>
      </c>
      <c r="D165" s="13">
        <f t="shared" si="2"/>
        <v>1.58</v>
      </c>
    </row>
    <row r="166" spans="1:4" x14ac:dyDescent="0.25">
      <c r="A166" s="15">
        <f>Sheet2!A166</f>
        <v>43107.833333333336</v>
      </c>
      <c r="B166" s="6">
        <v>1.62</v>
      </c>
      <c r="C166" s="7">
        <v>0</v>
      </c>
      <c r="D166" s="13">
        <f t="shared" si="2"/>
        <v>1.62</v>
      </c>
    </row>
    <row r="167" spans="1:4" x14ac:dyDescent="0.25">
      <c r="A167" s="15">
        <f>Sheet2!A167</f>
        <v>43107.875</v>
      </c>
      <c r="B167" s="6">
        <v>1.39</v>
      </c>
      <c r="C167" s="7">
        <v>0</v>
      </c>
      <c r="D167" s="13">
        <f t="shared" si="2"/>
        <v>1.39</v>
      </c>
    </row>
    <row r="168" spans="1:4" x14ac:dyDescent="0.25">
      <c r="A168" s="15">
        <f>Sheet2!A168</f>
        <v>43107.916666666664</v>
      </c>
      <c r="B168" s="6">
        <v>1.89</v>
      </c>
      <c r="C168" s="7">
        <v>0</v>
      </c>
      <c r="D168" s="13">
        <f t="shared" si="2"/>
        <v>1.89</v>
      </c>
    </row>
    <row r="169" spans="1:4" x14ac:dyDescent="0.25">
      <c r="A169" s="15">
        <f>Sheet2!A169</f>
        <v>43107.958333333336</v>
      </c>
      <c r="B169" s="6">
        <v>1.29</v>
      </c>
      <c r="C169" s="7">
        <v>0</v>
      </c>
      <c r="D169" s="13">
        <f t="shared" si="2"/>
        <v>1.29</v>
      </c>
    </row>
    <row r="170" spans="1:4" x14ac:dyDescent="0.25">
      <c r="A170" s="15">
        <f>Sheet2!A170</f>
        <v>43108</v>
      </c>
      <c r="B170" s="6">
        <v>1.39</v>
      </c>
      <c r="C170" s="7">
        <v>0</v>
      </c>
      <c r="D170" s="13">
        <f t="shared" si="2"/>
        <v>1.39</v>
      </c>
    </row>
    <row r="171" spans="1:4" x14ac:dyDescent="0.25">
      <c r="A171" s="15">
        <f>Sheet2!A171</f>
        <v>43108.041666666664</v>
      </c>
      <c r="B171" s="6">
        <v>1.35</v>
      </c>
      <c r="C171" s="7">
        <v>0</v>
      </c>
      <c r="D171" s="13">
        <f t="shared" si="2"/>
        <v>1.35</v>
      </c>
    </row>
    <row r="172" spans="1:4" x14ac:dyDescent="0.25">
      <c r="A172" s="15">
        <f>Sheet2!A172</f>
        <v>43108.083333333336</v>
      </c>
      <c r="B172" s="6">
        <v>1.34</v>
      </c>
      <c r="C172" s="7">
        <v>0</v>
      </c>
      <c r="D172" s="13">
        <f t="shared" si="2"/>
        <v>1.34</v>
      </c>
    </row>
    <row r="173" spans="1:4" x14ac:dyDescent="0.25">
      <c r="A173" s="15">
        <f>Sheet2!A173</f>
        <v>43108.125</v>
      </c>
      <c r="B173" s="6">
        <v>1.39</v>
      </c>
      <c r="C173" s="7">
        <v>0</v>
      </c>
      <c r="D173" s="13">
        <f t="shared" si="2"/>
        <v>1.39</v>
      </c>
    </row>
    <row r="174" spans="1:4" x14ac:dyDescent="0.25">
      <c r="A174" s="15">
        <f>Sheet2!A174</f>
        <v>43108.166666666664</v>
      </c>
      <c r="B174" s="6">
        <v>1.08</v>
      </c>
      <c r="C174" s="7">
        <v>0</v>
      </c>
      <c r="D174" s="13">
        <f t="shared" si="2"/>
        <v>1.08</v>
      </c>
    </row>
    <row r="175" spans="1:4" x14ac:dyDescent="0.25">
      <c r="A175" s="15">
        <f>Sheet2!A175</f>
        <v>43108.208333333336</v>
      </c>
      <c r="B175" s="6">
        <v>0.64</v>
      </c>
      <c r="C175" s="7">
        <v>0</v>
      </c>
      <c r="D175" s="13">
        <f t="shared" si="2"/>
        <v>0.64</v>
      </c>
    </row>
    <row r="176" spans="1:4" x14ac:dyDescent="0.25">
      <c r="A176" s="15">
        <f>Sheet2!A176</f>
        <v>43108.25</v>
      </c>
      <c r="B176" s="6">
        <v>0</v>
      </c>
      <c r="C176" s="7">
        <v>0.7</v>
      </c>
      <c r="D176" s="13">
        <f t="shared" si="2"/>
        <v>0.7</v>
      </c>
    </row>
    <row r="177" spans="1:4" x14ac:dyDescent="0.25">
      <c r="A177" s="15">
        <f>Sheet2!A177</f>
        <v>43108.291666666664</v>
      </c>
      <c r="B177" s="6">
        <v>0</v>
      </c>
      <c r="C177" s="7">
        <v>0.84</v>
      </c>
      <c r="D177" s="13">
        <f t="shared" si="2"/>
        <v>0.84</v>
      </c>
    </row>
    <row r="178" spans="1:4" x14ac:dyDescent="0.25">
      <c r="A178" s="15">
        <f>Sheet2!A178</f>
        <v>43108.333333333336</v>
      </c>
      <c r="B178" s="6">
        <v>0</v>
      </c>
      <c r="C178" s="7">
        <v>0.42</v>
      </c>
      <c r="D178" s="13">
        <f t="shared" si="2"/>
        <v>0.42</v>
      </c>
    </row>
    <row r="179" spans="1:4" x14ac:dyDescent="0.25">
      <c r="A179" s="15">
        <f>Sheet2!A179</f>
        <v>43108.375</v>
      </c>
      <c r="B179" s="6">
        <v>1</v>
      </c>
      <c r="C179" s="7">
        <v>0</v>
      </c>
      <c r="D179" s="13">
        <f t="shared" si="2"/>
        <v>1</v>
      </c>
    </row>
    <row r="180" spans="1:4" x14ac:dyDescent="0.25">
      <c r="A180" s="15">
        <f>Sheet2!A180</f>
        <v>43108.416666666664</v>
      </c>
      <c r="B180" s="6">
        <v>0.93</v>
      </c>
      <c r="C180" s="7">
        <v>0</v>
      </c>
      <c r="D180" s="13">
        <f t="shared" si="2"/>
        <v>0.93</v>
      </c>
    </row>
    <row r="181" spans="1:4" x14ac:dyDescent="0.25">
      <c r="A181" s="15">
        <f>Sheet2!A181</f>
        <v>43108.458333333336</v>
      </c>
      <c r="B181" s="6">
        <v>1.19</v>
      </c>
      <c r="C181" s="7">
        <v>0</v>
      </c>
      <c r="D181" s="13">
        <f t="shared" si="2"/>
        <v>1.19</v>
      </c>
    </row>
    <row r="182" spans="1:4" x14ac:dyDescent="0.25">
      <c r="A182" s="15">
        <f>Sheet2!A182</f>
        <v>43108.5</v>
      </c>
      <c r="B182" s="6">
        <v>0</v>
      </c>
      <c r="C182" s="7">
        <v>1.17</v>
      </c>
      <c r="D182" s="13">
        <f t="shared" si="2"/>
        <v>1.17</v>
      </c>
    </row>
    <row r="183" spans="1:4" x14ac:dyDescent="0.25">
      <c r="A183" s="15">
        <f>Sheet2!A183</f>
        <v>43108.541666666664</v>
      </c>
      <c r="B183" s="6">
        <v>0</v>
      </c>
      <c r="C183" s="7">
        <v>1.7</v>
      </c>
      <c r="D183" s="13">
        <f t="shared" si="2"/>
        <v>1.7</v>
      </c>
    </row>
    <row r="184" spans="1:4" x14ac:dyDescent="0.25">
      <c r="A184" s="15">
        <f>Sheet2!A184</f>
        <v>43108.583333333336</v>
      </c>
      <c r="B184" s="6">
        <v>0</v>
      </c>
      <c r="C184" s="7">
        <v>0.75</v>
      </c>
      <c r="D184" s="13">
        <f t="shared" si="2"/>
        <v>0.75</v>
      </c>
    </row>
    <row r="185" spans="1:4" x14ac:dyDescent="0.25">
      <c r="A185" s="15">
        <f>Sheet2!A185</f>
        <v>43108.625</v>
      </c>
      <c r="B185" s="6">
        <v>1.74</v>
      </c>
      <c r="C185" s="7">
        <v>0</v>
      </c>
      <c r="D185" s="13">
        <f t="shared" si="2"/>
        <v>1.74</v>
      </c>
    </row>
    <row r="186" spans="1:4" x14ac:dyDescent="0.25">
      <c r="A186" s="15">
        <f>Sheet2!A186</f>
        <v>43108.666666666664</v>
      </c>
      <c r="B186" s="6">
        <v>0</v>
      </c>
      <c r="C186" s="7">
        <v>1.06</v>
      </c>
      <c r="D186" s="13">
        <f t="shared" si="2"/>
        <v>1.06</v>
      </c>
    </row>
    <row r="187" spans="1:4" x14ac:dyDescent="0.25">
      <c r="A187" s="15">
        <f>Sheet2!A187</f>
        <v>43108.708333333336</v>
      </c>
      <c r="B187" s="6">
        <v>0</v>
      </c>
      <c r="C187" s="7">
        <v>1.56</v>
      </c>
      <c r="D187" s="13">
        <f t="shared" si="2"/>
        <v>1.56</v>
      </c>
    </row>
    <row r="188" spans="1:4" x14ac:dyDescent="0.25">
      <c r="A188" s="15">
        <f>Sheet2!A188</f>
        <v>43108.75</v>
      </c>
      <c r="B188" s="6">
        <v>0</v>
      </c>
      <c r="C188" s="7">
        <v>0.66</v>
      </c>
      <c r="D188" s="13">
        <f t="shared" si="2"/>
        <v>0.66</v>
      </c>
    </row>
    <row r="189" spans="1:4" x14ac:dyDescent="0.25">
      <c r="A189" s="15">
        <f>Sheet2!A189</f>
        <v>43108.791666666664</v>
      </c>
      <c r="B189" s="6">
        <v>1.47</v>
      </c>
      <c r="C189" s="7">
        <v>0</v>
      </c>
      <c r="D189" s="13">
        <f t="shared" si="2"/>
        <v>1.47</v>
      </c>
    </row>
    <row r="190" spans="1:4" x14ac:dyDescent="0.25">
      <c r="A190" s="15">
        <f>Sheet2!A190</f>
        <v>43108.833333333336</v>
      </c>
      <c r="B190" s="6">
        <v>0</v>
      </c>
      <c r="C190" s="7">
        <v>0.88</v>
      </c>
      <c r="D190" s="13">
        <f t="shared" si="2"/>
        <v>0.88</v>
      </c>
    </row>
    <row r="191" spans="1:4" x14ac:dyDescent="0.25">
      <c r="A191" s="15">
        <f>Sheet2!A191</f>
        <v>43108.875</v>
      </c>
      <c r="B191" s="6">
        <v>0</v>
      </c>
      <c r="C191" s="7">
        <v>1.27</v>
      </c>
      <c r="D191" s="13">
        <f t="shared" si="2"/>
        <v>1.27</v>
      </c>
    </row>
    <row r="192" spans="1:4" x14ac:dyDescent="0.25">
      <c r="A192" s="15">
        <f>Sheet2!A192</f>
        <v>43108.916666666664</v>
      </c>
      <c r="B192" s="6">
        <v>1.88</v>
      </c>
      <c r="C192" s="7">
        <v>0</v>
      </c>
      <c r="D192" s="13">
        <f t="shared" si="2"/>
        <v>1.88</v>
      </c>
    </row>
    <row r="193" spans="1:4" x14ac:dyDescent="0.25">
      <c r="A193" s="15">
        <f>Sheet2!A193</f>
        <v>43108.958333333336</v>
      </c>
      <c r="B193" s="6">
        <v>2.2200000000000002</v>
      </c>
      <c r="C193" s="7">
        <v>0</v>
      </c>
      <c r="D193" s="13">
        <f t="shared" si="2"/>
        <v>2.2200000000000002</v>
      </c>
    </row>
    <row r="194" spans="1:4" x14ac:dyDescent="0.25">
      <c r="A194" s="15">
        <f>Sheet2!A194</f>
        <v>43109</v>
      </c>
      <c r="B194" s="6">
        <v>1.8</v>
      </c>
      <c r="C194" s="7">
        <v>0</v>
      </c>
      <c r="D194" s="13">
        <f t="shared" si="2"/>
        <v>1.8</v>
      </c>
    </row>
    <row r="195" spans="1:4" x14ac:dyDescent="0.25">
      <c r="A195" s="15">
        <f>Sheet2!A195</f>
        <v>43109.041666666664</v>
      </c>
      <c r="B195" s="6">
        <v>1.96</v>
      </c>
      <c r="C195" s="7">
        <v>0</v>
      </c>
      <c r="D195" s="13">
        <f t="shared" ref="D195:D258" si="3">B195+C195</f>
        <v>1.96</v>
      </c>
    </row>
    <row r="196" spans="1:4" x14ac:dyDescent="0.25">
      <c r="A196" s="15">
        <f>Sheet2!A196</f>
        <v>43109.083333333336</v>
      </c>
      <c r="B196" s="6">
        <v>1.92</v>
      </c>
      <c r="C196" s="7">
        <v>0</v>
      </c>
      <c r="D196" s="13">
        <f t="shared" si="3"/>
        <v>1.92</v>
      </c>
    </row>
    <row r="197" spans="1:4" x14ac:dyDescent="0.25">
      <c r="A197" s="15">
        <f>Sheet2!A197</f>
        <v>43109.125</v>
      </c>
      <c r="B197" s="6">
        <v>2.37</v>
      </c>
      <c r="C197" s="7">
        <v>0</v>
      </c>
      <c r="D197" s="13">
        <f t="shared" si="3"/>
        <v>2.37</v>
      </c>
    </row>
    <row r="198" spans="1:4" x14ac:dyDescent="0.25">
      <c r="A198" s="15">
        <f>Sheet2!A198</f>
        <v>43109.166666666664</v>
      </c>
      <c r="B198" s="6">
        <v>1.63</v>
      </c>
      <c r="C198" s="7">
        <v>0</v>
      </c>
      <c r="D198" s="13">
        <f t="shared" si="3"/>
        <v>1.63</v>
      </c>
    </row>
    <row r="199" spans="1:4" x14ac:dyDescent="0.25">
      <c r="A199" s="15">
        <f>Sheet2!A199</f>
        <v>43109.208333333336</v>
      </c>
      <c r="B199" s="6">
        <v>1.63</v>
      </c>
      <c r="C199" s="7">
        <v>0</v>
      </c>
      <c r="D199" s="13">
        <f t="shared" si="3"/>
        <v>1.63</v>
      </c>
    </row>
    <row r="200" spans="1:4" x14ac:dyDescent="0.25">
      <c r="A200" s="15">
        <f>Sheet2!A200</f>
        <v>43109.25</v>
      </c>
      <c r="B200" s="6">
        <v>1.19</v>
      </c>
      <c r="C200" s="7">
        <v>0</v>
      </c>
      <c r="D200" s="13">
        <f t="shared" si="3"/>
        <v>1.19</v>
      </c>
    </row>
    <row r="201" spans="1:4" x14ac:dyDescent="0.25">
      <c r="A201" s="15">
        <f>Sheet2!A201</f>
        <v>43109.291666666664</v>
      </c>
      <c r="B201" s="6">
        <v>1.28</v>
      </c>
      <c r="C201" s="7">
        <v>0</v>
      </c>
      <c r="D201" s="13">
        <f t="shared" si="3"/>
        <v>1.28</v>
      </c>
    </row>
    <row r="202" spans="1:4" x14ac:dyDescent="0.25">
      <c r="A202" s="15">
        <f>Sheet2!A202</f>
        <v>43109.333333333336</v>
      </c>
      <c r="B202" s="6">
        <v>0</v>
      </c>
      <c r="C202" s="7">
        <v>0.79</v>
      </c>
      <c r="D202" s="13">
        <f t="shared" si="3"/>
        <v>0.79</v>
      </c>
    </row>
    <row r="203" spans="1:4" x14ac:dyDescent="0.25">
      <c r="A203" s="15">
        <f>Sheet2!A203</f>
        <v>43109.375</v>
      </c>
      <c r="B203" s="6">
        <v>0</v>
      </c>
      <c r="C203" s="7">
        <v>1.45</v>
      </c>
      <c r="D203" s="13">
        <f t="shared" si="3"/>
        <v>1.45</v>
      </c>
    </row>
    <row r="204" spans="1:4" x14ac:dyDescent="0.25">
      <c r="A204" s="15">
        <f>Sheet2!A204</f>
        <v>43109.416666666664</v>
      </c>
      <c r="B204" s="6">
        <v>0</v>
      </c>
      <c r="C204" s="7">
        <v>0.92</v>
      </c>
      <c r="D204" s="13">
        <f t="shared" si="3"/>
        <v>0.92</v>
      </c>
    </row>
    <row r="205" spans="1:4" x14ac:dyDescent="0.25">
      <c r="A205" s="15">
        <f>Sheet2!A205</f>
        <v>43109.458333333336</v>
      </c>
      <c r="B205" s="6">
        <v>2.79</v>
      </c>
      <c r="C205" s="7">
        <v>0</v>
      </c>
      <c r="D205" s="13">
        <f t="shared" si="3"/>
        <v>2.79</v>
      </c>
    </row>
    <row r="206" spans="1:4" x14ac:dyDescent="0.25">
      <c r="A206" s="15">
        <f>Sheet2!A206</f>
        <v>43109.5</v>
      </c>
      <c r="B206" s="6">
        <v>0</v>
      </c>
      <c r="C206" s="7">
        <v>0.5</v>
      </c>
      <c r="D206" s="13">
        <f t="shared" si="3"/>
        <v>0.5</v>
      </c>
    </row>
    <row r="207" spans="1:4" x14ac:dyDescent="0.25">
      <c r="A207" s="15">
        <f>Sheet2!A207</f>
        <v>43109.541666666664</v>
      </c>
      <c r="B207" s="6">
        <v>0</v>
      </c>
      <c r="C207" s="7">
        <v>0.86</v>
      </c>
      <c r="D207" s="13">
        <f t="shared" si="3"/>
        <v>0.86</v>
      </c>
    </row>
    <row r="208" spans="1:4" x14ac:dyDescent="0.25">
      <c r="A208" s="15">
        <f>Sheet2!A208</f>
        <v>43109.583333333336</v>
      </c>
      <c r="B208" s="6">
        <v>0</v>
      </c>
      <c r="C208" s="7">
        <v>0.61</v>
      </c>
      <c r="D208" s="13">
        <f t="shared" si="3"/>
        <v>0.61</v>
      </c>
    </row>
    <row r="209" spans="1:4" x14ac:dyDescent="0.25">
      <c r="A209" s="15">
        <f>Sheet2!A209</f>
        <v>43109.625</v>
      </c>
      <c r="B209" s="6">
        <v>1.62</v>
      </c>
      <c r="C209" s="7">
        <v>0</v>
      </c>
      <c r="D209" s="13">
        <f t="shared" si="3"/>
        <v>1.62</v>
      </c>
    </row>
    <row r="210" spans="1:4" x14ac:dyDescent="0.25">
      <c r="A210" s="15">
        <f>Sheet2!A210</f>
        <v>43109.666666666664</v>
      </c>
      <c r="B210" s="6">
        <v>0</v>
      </c>
      <c r="C210" s="7">
        <v>0.85</v>
      </c>
      <c r="D210" s="13">
        <f t="shared" si="3"/>
        <v>0.85</v>
      </c>
    </row>
    <row r="211" spans="1:4" x14ac:dyDescent="0.25">
      <c r="A211" s="15">
        <f>Sheet2!A211</f>
        <v>43109.708333333336</v>
      </c>
      <c r="B211" s="6">
        <v>0</v>
      </c>
      <c r="C211" s="7">
        <v>1.52</v>
      </c>
      <c r="D211" s="13">
        <f t="shared" si="3"/>
        <v>1.52</v>
      </c>
    </row>
    <row r="212" spans="1:4" x14ac:dyDescent="0.25">
      <c r="A212" s="15">
        <f>Sheet2!A212</f>
        <v>43109.75</v>
      </c>
      <c r="B212" s="6">
        <v>0</v>
      </c>
      <c r="C212" s="7">
        <v>1.07</v>
      </c>
      <c r="D212" s="13">
        <f t="shared" si="3"/>
        <v>1.07</v>
      </c>
    </row>
    <row r="213" spans="1:4" x14ac:dyDescent="0.25">
      <c r="A213" s="15">
        <f>Sheet2!A213</f>
        <v>43109.791666666664</v>
      </c>
      <c r="B213" s="6">
        <v>1.69</v>
      </c>
      <c r="C213" s="7">
        <v>0</v>
      </c>
      <c r="D213" s="13">
        <f t="shared" si="3"/>
        <v>1.69</v>
      </c>
    </row>
    <row r="214" spans="1:4" x14ac:dyDescent="0.25">
      <c r="A214" s="15">
        <f>Sheet2!A214</f>
        <v>43109.833333333336</v>
      </c>
      <c r="B214" s="6">
        <v>2.17</v>
      </c>
      <c r="C214" s="7">
        <v>0</v>
      </c>
      <c r="D214" s="13">
        <f t="shared" si="3"/>
        <v>2.17</v>
      </c>
    </row>
    <row r="215" spans="1:4" x14ac:dyDescent="0.25">
      <c r="A215" s="15">
        <f>Sheet2!A215</f>
        <v>43109.875</v>
      </c>
      <c r="B215" s="6">
        <v>1.62</v>
      </c>
      <c r="C215" s="7">
        <v>0</v>
      </c>
      <c r="D215" s="13">
        <f t="shared" si="3"/>
        <v>1.62</v>
      </c>
    </row>
    <row r="216" spans="1:4" x14ac:dyDescent="0.25">
      <c r="A216" s="15">
        <f>Sheet2!A216</f>
        <v>43109.916666666664</v>
      </c>
      <c r="B216" s="6">
        <v>1.7</v>
      </c>
      <c r="C216" s="7">
        <v>0</v>
      </c>
      <c r="D216" s="13">
        <f t="shared" si="3"/>
        <v>1.7</v>
      </c>
    </row>
    <row r="217" spans="1:4" x14ac:dyDescent="0.25">
      <c r="A217" s="15">
        <f>Sheet2!A217</f>
        <v>43109.958333333336</v>
      </c>
      <c r="B217" s="6">
        <v>1.75</v>
      </c>
      <c r="C217" s="7">
        <v>0</v>
      </c>
      <c r="D217" s="13">
        <f t="shared" si="3"/>
        <v>1.75</v>
      </c>
    </row>
    <row r="218" spans="1:4" x14ac:dyDescent="0.25">
      <c r="A218" s="15">
        <f>Sheet2!A218</f>
        <v>43110</v>
      </c>
      <c r="B218" s="6">
        <v>2.15</v>
      </c>
      <c r="C218" s="7">
        <v>0</v>
      </c>
      <c r="D218" s="13">
        <f t="shared" si="3"/>
        <v>2.15</v>
      </c>
    </row>
    <row r="219" spans="1:4" x14ac:dyDescent="0.25">
      <c r="A219" s="15">
        <f>Sheet2!A219</f>
        <v>43110.041666666664</v>
      </c>
      <c r="B219" s="6">
        <v>1.88</v>
      </c>
      <c r="C219" s="7">
        <v>0</v>
      </c>
      <c r="D219" s="13">
        <f t="shared" si="3"/>
        <v>1.88</v>
      </c>
    </row>
    <row r="220" spans="1:4" x14ac:dyDescent="0.25">
      <c r="A220" s="15">
        <f>Sheet2!A220</f>
        <v>43110.083333333336</v>
      </c>
      <c r="B220" s="6">
        <v>2.16</v>
      </c>
      <c r="C220" s="7">
        <v>0</v>
      </c>
      <c r="D220" s="13">
        <f t="shared" si="3"/>
        <v>2.16</v>
      </c>
    </row>
    <row r="221" spans="1:4" x14ac:dyDescent="0.25">
      <c r="A221" s="15">
        <f>Sheet2!A221</f>
        <v>43110.125</v>
      </c>
      <c r="B221" s="6">
        <v>1.83</v>
      </c>
      <c r="C221" s="7">
        <v>0</v>
      </c>
      <c r="D221" s="13">
        <f t="shared" si="3"/>
        <v>1.83</v>
      </c>
    </row>
    <row r="222" spans="1:4" x14ac:dyDescent="0.25">
      <c r="A222" s="15">
        <f>Sheet2!A222</f>
        <v>43110.166666666664</v>
      </c>
      <c r="B222" s="6">
        <v>0</v>
      </c>
      <c r="C222" s="7">
        <v>1.07</v>
      </c>
      <c r="D222" s="13">
        <f t="shared" si="3"/>
        <v>1.07</v>
      </c>
    </row>
    <row r="223" spans="1:4" x14ac:dyDescent="0.25">
      <c r="A223" s="15">
        <f>Sheet2!A223</f>
        <v>43110.208333333336</v>
      </c>
      <c r="B223" s="6">
        <v>0</v>
      </c>
      <c r="C223" s="7">
        <v>0.7</v>
      </c>
      <c r="D223" s="13">
        <f t="shared" si="3"/>
        <v>0.7</v>
      </c>
    </row>
    <row r="224" spans="1:4" x14ac:dyDescent="0.25">
      <c r="A224" s="15">
        <f>Sheet2!A224</f>
        <v>43110.25</v>
      </c>
      <c r="B224" s="6">
        <v>0</v>
      </c>
      <c r="C224" s="7">
        <v>0.27</v>
      </c>
      <c r="D224" s="13">
        <f t="shared" si="3"/>
        <v>0.27</v>
      </c>
    </row>
    <row r="225" spans="1:4" x14ac:dyDescent="0.25">
      <c r="A225" s="15">
        <f>Sheet2!A225</f>
        <v>43110.291666666664</v>
      </c>
      <c r="B225" s="6">
        <v>0.75</v>
      </c>
      <c r="C225" s="7">
        <v>0</v>
      </c>
      <c r="D225" s="13">
        <f t="shared" si="3"/>
        <v>0.75</v>
      </c>
    </row>
    <row r="226" spans="1:4" x14ac:dyDescent="0.25">
      <c r="A226" s="15">
        <f>Sheet2!A226</f>
        <v>43110.333333333336</v>
      </c>
      <c r="B226" s="6">
        <v>1.08</v>
      </c>
      <c r="C226" s="7">
        <v>0</v>
      </c>
      <c r="D226" s="13">
        <f t="shared" si="3"/>
        <v>1.08</v>
      </c>
    </row>
    <row r="227" spans="1:4" x14ac:dyDescent="0.25">
      <c r="A227" s="15">
        <f>Sheet2!A227</f>
        <v>43110.375</v>
      </c>
      <c r="B227" s="6">
        <v>0.63</v>
      </c>
      <c r="C227" s="7">
        <v>0</v>
      </c>
      <c r="D227" s="13">
        <f t="shared" si="3"/>
        <v>0.63</v>
      </c>
    </row>
    <row r="228" spans="1:4" x14ac:dyDescent="0.25">
      <c r="A228" s="15">
        <f>Sheet2!A228</f>
        <v>43110.416666666664</v>
      </c>
      <c r="B228" s="6">
        <v>0</v>
      </c>
      <c r="C228" s="7">
        <v>0.48</v>
      </c>
      <c r="D228" s="13">
        <f t="shared" si="3"/>
        <v>0.48</v>
      </c>
    </row>
    <row r="229" spans="1:4" x14ac:dyDescent="0.25">
      <c r="A229" s="15">
        <f>Sheet2!A229</f>
        <v>43110.458333333336</v>
      </c>
      <c r="B229" s="6">
        <v>0</v>
      </c>
      <c r="C229" s="7">
        <v>0.83</v>
      </c>
      <c r="D229" s="13">
        <f t="shared" si="3"/>
        <v>0.83</v>
      </c>
    </row>
    <row r="230" spans="1:4" x14ac:dyDescent="0.25">
      <c r="A230" s="15">
        <f>Sheet2!A230</f>
        <v>43110.5</v>
      </c>
      <c r="B230" s="6">
        <v>0</v>
      </c>
      <c r="C230" s="7">
        <v>0.69</v>
      </c>
      <c r="D230" s="13">
        <f t="shared" si="3"/>
        <v>0.69</v>
      </c>
    </row>
    <row r="231" spans="1:4" x14ac:dyDescent="0.25">
      <c r="A231" s="15">
        <f>Sheet2!A231</f>
        <v>43110.541666666664</v>
      </c>
      <c r="B231" s="6">
        <v>1.53</v>
      </c>
      <c r="C231" s="7">
        <v>0</v>
      </c>
      <c r="D231" s="13">
        <f t="shared" si="3"/>
        <v>1.53</v>
      </c>
    </row>
    <row r="232" spans="1:4" x14ac:dyDescent="0.25">
      <c r="A232" s="15">
        <f>Sheet2!A232</f>
        <v>43110.583333333336</v>
      </c>
      <c r="B232" s="6">
        <v>0</v>
      </c>
      <c r="C232" s="7">
        <v>1.1499999999999999</v>
      </c>
      <c r="D232" s="13">
        <f t="shared" si="3"/>
        <v>1.1499999999999999</v>
      </c>
    </row>
    <row r="233" spans="1:4" x14ac:dyDescent="0.25">
      <c r="A233" s="15">
        <f>Sheet2!A233</f>
        <v>43110.625</v>
      </c>
      <c r="B233" s="6">
        <v>0</v>
      </c>
      <c r="C233" s="7">
        <v>2.61</v>
      </c>
      <c r="D233" s="13">
        <f t="shared" si="3"/>
        <v>2.61</v>
      </c>
    </row>
    <row r="234" spans="1:4" x14ac:dyDescent="0.25">
      <c r="A234" s="15">
        <f>Sheet2!A234</f>
        <v>43110.666666666664</v>
      </c>
      <c r="B234" s="6">
        <v>0</v>
      </c>
      <c r="C234" s="7">
        <v>1.32</v>
      </c>
      <c r="D234" s="13">
        <f t="shared" si="3"/>
        <v>1.32</v>
      </c>
    </row>
    <row r="235" spans="1:4" x14ac:dyDescent="0.25">
      <c r="A235" s="15">
        <f>Sheet2!A235</f>
        <v>43110.708333333336</v>
      </c>
      <c r="B235" s="6">
        <v>2.19</v>
      </c>
      <c r="C235" s="7">
        <v>0</v>
      </c>
      <c r="D235" s="13">
        <f t="shared" si="3"/>
        <v>2.19</v>
      </c>
    </row>
    <row r="236" spans="1:4" x14ac:dyDescent="0.25">
      <c r="A236" s="15">
        <f>Sheet2!A236</f>
        <v>43110.75</v>
      </c>
      <c r="B236" s="6">
        <v>0</v>
      </c>
      <c r="C236" s="7">
        <v>0.72</v>
      </c>
      <c r="D236" s="13">
        <f t="shared" si="3"/>
        <v>0.72</v>
      </c>
    </row>
    <row r="237" spans="1:4" x14ac:dyDescent="0.25">
      <c r="A237" s="15">
        <f>Sheet2!A237</f>
        <v>43110.791666666664</v>
      </c>
      <c r="B237" s="6">
        <v>0</v>
      </c>
      <c r="C237" s="7">
        <v>1.38</v>
      </c>
      <c r="D237" s="13">
        <f t="shared" si="3"/>
        <v>1.38</v>
      </c>
    </row>
    <row r="238" spans="1:4" x14ac:dyDescent="0.25">
      <c r="A238" s="15">
        <f>Sheet2!A238</f>
        <v>43110.833333333336</v>
      </c>
      <c r="B238" s="6">
        <v>0</v>
      </c>
      <c r="C238" s="7">
        <v>0.46</v>
      </c>
      <c r="D238" s="13">
        <f t="shared" si="3"/>
        <v>0.46</v>
      </c>
    </row>
    <row r="239" spans="1:4" x14ac:dyDescent="0.25">
      <c r="A239" s="15">
        <f>Sheet2!A239</f>
        <v>43110.875</v>
      </c>
      <c r="B239" s="6">
        <v>2.0099999999999998</v>
      </c>
      <c r="C239" s="7">
        <v>0</v>
      </c>
      <c r="D239" s="13">
        <f t="shared" si="3"/>
        <v>2.0099999999999998</v>
      </c>
    </row>
    <row r="240" spans="1:4" x14ac:dyDescent="0.25">
      <c r="A240" s="15">
        <f>Sheet2!A240</f>
        <v>43110.916666666664</v>
      </c>
      <c r="B240" s="6">
        <v>1.82</v>
      </c>
      <c r="C240" s="7">
        <v>0</v>
      </c>
      <c r="D240" s="13">
        <f t="shared" si="3"/>
        <v>1.82</v>
      </c>
    </row>
    <row r="241" spans="1:4" x14ac:dyDescent="0.25">
      <c r="A241" s="15">
        <f>Sheet2!A241</f>
        <v>43110.958333333336</v>
      </c>
      <c r="B241" s="6">
        <v>1.48</v>
      </c>
      <c r="C241" s="7">
        <v>0</v>
      </c>
      <c r="D241" s="13">
        <f t="shared" si="3"/>
        <v>1.48</v>
      </c>
    </row>
    <row r="242" spans="1:4" x14ac:dyDescent="0.25">
      <c r="A242" s="15">
        <f>Sheet2!A242</f>
        <v>43111</v>
      </c>
      <c r="B242" s="6">
        <v>1.1499999999999999</v>
      </c>
      <c r="C242" s="7">
        <v>0</v>
      </c>
      <c r="D242" s="13">
        <f t="shared" si="3"/>
        <v>1.1499999999999999</v>
      </c>
    </row>
    <row r="243" spans="1:4" x14ac:dyDescent="0.25">
      <c r="A243" s="15">
        <f>Sheet2!A243</f>
        <v>43111.041666666664</v>
      </c>
      <c r="B243" s="6">
        <v>1.36</v>
      </c>
      <c r="C243" s="7">
        <v>0</v>
      </c>
      <c r="D243" s="13">
        <f t="shared" si="3"/>
        <v>1.36</v>
      </c>
    </row>
    <row r="244" spans="1:4" x14ac:dyDescent="0.25">
      <c r="A244" s="15">
        <f>Sheet2!A244</f>
        <v>43111.083333333336</v>
      </c>
      <c r="B244" s="6">
        <v>1.49</v>
      </c>
      <c r="C244" s="7">
        <v>0</v>
      </c>
      <c r="D244" s="13">
        <f t="shared" si="3"/>
        <v>1.49</v>
      </c>
    </row>
    <row r="245" spans="1:4" x14ac:dyDescent="0.25">
      <c r="A245" s="15">
        <f>Sheet2!A245</f>
        <v>43111.125</v>
      </c>
      <c r="B245" s="6">
        <v>1.55</v>
      </c>
      <c r="C245" s="7">
        <v>0</v>
      </c>
      <c r="D245" s="13">
        <f t="shared" si="3"/>
        <v>1.55</v>
      </c>
    </row>
    <row r="246" spans="1:4" x14ac:dyDescent="0.25">
      <c r="A246" s="15">
        <f>Sheet2!A246</f>
        <v>43111.166666666664</v>
      </c>
      <c r="B246" s="6">
        <v>1.55</v>
      </c>
      <c r="C246" s="7">
        <v>0</v>
      </c>
      <c r="D246" s="13">
        <f t="shared" si="3"/>
        <v>1.55</v>
      </c>
    </row>
    <row r="247" spans="1:4" x14ac:dyDescent="0.25">
      <c r="A247" s="15">
        <f>Sheet2!A247</f>
        <v>43111.208333333336</v>
      </c>
      <c r="B247" s="6">
        <v>1.1299999999999999</v>
      </c>
      <c r="C247" s="7">
        <v>0</v>
      </c>
      <c r="D247" s="13">
        <f t="shared" si="3"/>
        <v>1.1299999999999999</v>
      </c>
    </row>
    <row r="248" spans="1:4" x14ac:dyDescent="0.25">
      <c r="A248" s="15">
        <f>Sheet2!A248</f>
        <v>43111.25</v>
      </c>
      <c r="B248" s="6">
        <v>0.28000000000000003</v>
      </c>
      <c r="C248" s="7">
        <v>0</v>
      </c>
      <c r="D248" s="13">
        <f t="shared" si="3"/>
        <v>0.28000000000000003</v>
      </c>
    </row>
    <row r="249" spans="1:4" x14ac:dyDescent="0.25">
      <c r="A249" s="15">
        <f>Sheet2!A249</f>
        <v>43111.291666666664</v>
      </c>
      <c r="B249" s="6">
        <v>0</v>
      </c>
      <c r="C249" s="7">
        <v>0.27</v>
      </c>
      <c r="D249" s="13">
        <f t="shared" si="3"/>
        <v>0.27</v>
      </c>
    </row>
    <row r="250" spans="1:4" x14ac:dyDescent="0.25">
      <c r="A250" s="15">
        <f>Sheet2!A250</f>
        <v>43111.333333333336</v>
      </c>
      <c r="B250" s="6">
        <v>0</v>
      </c>
      <c r="C250" s="7">
        <v>0.38</v>
      </c>
      <c r="D250" s="13">
        <f t="shared" si="3"/>
        <v>0.38</v>
      </c>
    </row>
    <row r="251" spans="1:4" x14ac:dyDescent="0.25">
      <c r="A251" s="15">
        <f>Sheet2!A251</f>
        <v>43111.375</v>
      </c>
      <c r="B251" s="6">
        <v>2.14</v>
      </c>
      <c r="C251" s="7">
        <v>0</v>
      </c>
      <c r="D251" s="13">
        <f t="shared" si="3"/>
        <v>2.14</v>
      </c>
    </row>
    <row r="252" spans="1:4" x14ac:dyDescent="0.25">
      <c r="A252" s="15">
        <f>Sheet2!A252</f>
        <v>43111.416666666664</v>
      </c>
      <c r="B252" s="6">
        <v>0</v>
      </c>
      <c r="C252" s="7">
        <v>0.63</v>
      </c>
      <c r="D252" s="13">
        <f t="shared" si="3"/>
        <v>0.63</v>
      </c>
    </row>
    <row r="253" spans="1:4" x14ac:dyDescent="0.25">
      <c r="A253" s="15">
        <f>Sheet2!A253</f>
        <v>43111.458333333336</v>
      </c>
      <c r="B253" s="6">
        <v>0</v>
      </c>
      <c r="C253" s="7">
        <v>1.53</v>
      </c>
      <c r="D253" s="13">
        <f t="shared" si="3"/>
        <v>1.53</v>
      </c>
    </row>
    <row r="254" spans="1:4" x14ac:dyDescent="0.25">
      <c r="A254" s="15">
        <f>Sheet2!A254</f>
        <v>43111.5</v>
      </c>
      <c r="B254" s="6">
        <v>0</v>
      </c>
      <c r="C254" s="7">
        <v>1.59</v>
      </c>
      <c r="D254" s="13">
        <f t="shared" si="3"/>
        <v>1.59</v>
      </c>
    </row>
    <row r="255" spans="1:4" x14ac:dyDescent="0.25">
      <c r="A255" s="15">
        <f>Sheet2!A255</f>
        <v>43111.541666666664</v>
      </c>
      <c r="B255" s="6">
        <v>0</v>
      </c>
      <c r="C255" s="7">
        <v>0.36</v>
      </c>
      <c r="D255" s="13">
        <f t="shared" si="3"/>
        <v>0.36</v>
      </c>
    </row>
    <row r="256" spans="1:4" x14ac:dyDescent="0.25">
      <c r="A256" s="15">
        <f>Sheet2!A256</f>
        <v>43111.583333333336</v>
      </c>
      <c r="B256" s="6">
        <v>0</v>
      </c>
      <c r="C256" s="7">
        <v>1.01</v>
      </c>
      <c r="D256" s="13">
        <f t="shared" si="3"/>
        <v>1.01</v>
      </c>
    </row>
    <row r="257" spans="1:4" x14ac:dyDescent="0.25">
      <c r="A257" s="15">
        <f>Sheet2!A257</f>
        <v>43111.625</v>
      </c>
      <c r="B257" s="6">
        <v>0</v>
      </c>
      <c r="C257" s="7">
        <v>1.56</v>
      </c>
      <c r="D257" s="13">
        <f t="shared" si="3"/>
        <v>1.56</v>
      </c>
    </row>
    <row r="258" spans="1:4" x14ac:dyDescent="0.25">
      <c r="A258" s="15">
        <f>Sheet2!A258</f>
        <v>43111.666666666664</v>
      </c>
      <c r="B258" s="6">
        <v>0</v>
      </c>
      <c r="C258" s="7">
        <v>1.48</v>
      </c>
      <c r="D258" s="13">
        <f t="shared" si="3"/>
        <v>1.48</v>
      </c>
    </row>
    <row r="259" spans="1:4" x14ac:dyDescent="0.25">
      <c r="A259" s="15">
        <f>Sheet2!A259</f>
        <v>43111.708333333336</v>
      </c>
      <c r="B259" s="6">
        <v>0</v>
      </c>
      <c r="C259" s="7">
        <v>1.45</v>
      </c>
      <c r="D259" s="13">
        <f t="shared" ref="D259:D322" si="4">B259+C259</f>
        <v>1.45</v>
      </c>
    </row>
    <row r="260" spans="1:4" x14ac:dyDescent="0.25">
      <c r="A260" s="15">
        <f>Sheet2!A260</f>
        <v>43111.75</v>
      </c>
      <c r="B260" s="6">
        <v>0</v>
      </c>
      <c r="C260" s="7">
        <v>0.42</v>
      </c>
      <c r="D260" s="13">
        <f t="shared" si="4"/>
        <v>0.42</v>
      </c>
    </row>
    <row r="261" spans="1:4" x14ac:dyDescent="0.25">
      <c r="A261" s="15">
        <f>Sheet2!A261</f>
        <v>43111.791666666664</v>
      </c>
      <c r="B261" s="6">
        <v>1.36</v>
      </c>
      <c r="C261" s="7">
        <v>0</v>
      </c>
      <c r="D261" s="13">
        <f t="shared" si="4"/>
        <v>1.36</v>
      </c>
    </row>
    <row r="262" spans="1:4" x14ac:dyDescent="0.25">
      <c r="A262" s="15">
        <f>Sheet2!A262</f>
        <v>43111.833333333336</v>
      </c>
      <c r="B262" s="6">
        <v>0</v>
      </c>
      <c r="C262" s="7">
        <v>0.81</v>
      </c>
      <c r="D262" s="13">
        <f t="shared" si="4"/>
        <v>0.81</v>
      </c>
    </row>
    <row r="263" spans="1:4" x14ac:dyDescent="0.25">
      <c r="A263" s="15">
        <f>Sheet2!A263</f>
        <v>43111.875</v>
      </c>
      <c r="B263" s="6">
        <v>0</v>
      </c>
      <c r="C263" s="7">
        <v>1.52</v>
      </c>
      <c r="D263" s="13">
        <f t="shared" si="4"/>
        <v>1.52</v>
      </c>
    </row>
    <row r="264" spans="1:4" x14ac:dyDescent="0.25">
      <c r="A264" s="15">
        <f>Sheet2!A264</f>
        <v>43111.916666666664</v>
      </c>
      <c r="B264" s="6">
        <v>0</v>
      </c>
      <c r="C264" s="7">
        <v>0.38</v>
      </c>
      <c r="D264" s="13">
        <f t="shared" si="4"/>
        <v>0.38</v>
      </c>
    </row>
    <row r="265" spans="1:4" x14ac:dyDescent="0.25">
      <c r="A265" s="15">
        <f>Sheet2!A265</f>
        <v>43111.958333333336</v>
      </c>
      <c r="B265" s="6">
        <v>1.28</v>
      </c>
      <c r="C265" s="7">
        <v>0</v>
      </c>
      <c r="D265" s="13">
        <f t="shared" si="4"/>
        <v>1.28</v>
      </c>
    </row>
    <row r="266" spans="1:4" x14ac:dyDescent="0.25">
      <c r="A266" s="15">
        <f>Sheet2!A266</f>
        <v>43112</v>
      </c>
      <c r="B266" s="6">
        <v>1.48</v>
      </c>
      <c r="C266" s="7">
        <v>0</v>
      </c>
      <c r="D266" s="13">
        <f t="shared" si="4"/>
        <v>1.48</v>
      </c>
    </row>
    <row r="267" spans="1:4" x14ac:dyDescent="0.25">
      <c r="A267" s="15">
        <f>Sheet2!A267</f>
        <v>43112.041666666664</v>
      </c>
      <c r="B267" s="6">
        <v>1.52</v>
      </c>
      <c r="C267" s="7">
        <v>0</v>
      </c>
      <c r="D267" s="13">
        <f t="shared" si="4"/>
        <v>1.52</v>
      </c>
    </row>
    <row r="268" spans="1:4" x14ac:dyDescent="0.25">
      <c r="A268" s="15">
        <f>Sheet2!A268</f>
        <v>43112.083333333336</v>
      </c>
      <c r="B268" s="6">
        <v>1.54</v>
      </c>
      <c r="C268" s="7">
        <v>0</v>
      </c>
      <c r="D268" s="13">
        <f t="shared" si="4"/>
        <v>1.54</v>
      </c>
    </row>
    <row r="269" spans="1:4" x14ac:dyDescent="0.25">
      <c r="A269" s="15">
        <f>Sheet2!A269</f>
        <v>43112.125</v>
      </c>
      <c r="B269" s="6">
        <v>1.27</v>
      </c>
      <c r="C269" s="7">
        <v>0</v>
      </c>
      <c r="D269" s="13">
        <f t="shared" si="4"/>
        <v>1.27</v>
      </c>
    </row>
    <row r="270" spans="1:4" x14ac:dyDescent="0.25">
      <c r="A270" s="15">
        <f>Sheet2!A270</f>
        <v>43112.166666666664</v>
      </c>
      <c r="B270" s="6">
        <v>1.55</v>
      </c>
      <c r="C270" s="7">
        <v>0</v>
      </c>
      <c r="D270" s="13">
        <f t="shared" si="4"/>
        <v>1.55</v>
      </c>
    </row>
    <row r="271" spans="1:4" x14ac:dyDescent="0.25">
      <c r="A271" s="15">
        <f>Sheet2!A271</f>
        <v>43112.208333333336</v>
      </c>
      <c r="B271" s="6">
        <v>1.32</v>
      </c>
      <c r="C271" s="7">
        <v>0</v>
      </c>
      <c r="D271" s="13">
        <f t="shared" si="4"/>
        <v>1.32</v>
      </c>
    </row>
    <row r="272" spans="1:4" x14ac:dyDescent="0.25">
      <c r="A272" s="15">
        <f>Sheet2!A272</f>
        <v>43112.25</v>
      </c>
      <c r="B272" s="6">
        <v>0</v>
      </c>
      <c r="C272" s="7">
        <v>0.65</v>
      </c>
      <c r="D272" s="13">
        <f t="shared" si="4"/>
        <v>0.65</v>
      </c>
    </row>
    <row r="273" spans="1:4" x14ac:dyDescent="0.25">
      <c r="A273" s="15">
        <f>Sheet2!A273</f>
        <v>43112.291666666664</v>
      </c>
      <c r="B273" s="6">
        <v>0</v>
      </c>
      <c r="C273" s="7">
        <v>0.62</v>
      </c>
      <c r="D273" s="13">
        <f t="shared" si="4"/>
        <v>0.62</v>
      </c>
    </row>
    <row r="274" spans="1:4" x14ac:dyDescent="0.25">
      <c r="A274" s="15">
        <f>Sheet2!A274</f>
        <v>43112.333333333336</v>
      </c>
      <c r="B274" s="6">
        <v>0</v>
      </c>
      <c r="C274" s="7">
        <v>0.64</v>
      </c>
      <c r="D274" s="13">
        <f t="shared" si="4"/>
        <v>0.64</v>
      </c>
    </row>
    <row r="275" spans="1:4" x14ac:dyDescent="0.25">
      <c r="A275" s="15">
        <f>Sheet2!A275</f>
        <v>43112.375</v>
      </c>
      <c r="B275" s="6">
        <v>0.99</v>
      </c>
      <c r="C275" s="7">
        <v>0</v>
      </c>
      <c r="D275" s="13">
        <f t="shared" si="4"/>
        <v>0.99</v>
      </c>
    </row>
    <row r="276" spans="1:4" x14ac:dyDescent="0.25">
      <c r="A276" s="15">
        <f>Sheet2!A276</f>
        <v>43112.416666666664</v>
      </c>
      <c r="B276" s="6">
        <v>0</v>
      </c>
      <c r="C276" s="7">
        <v>0.46</v>
      </c>
      <c r="D276" s="13">
        <f t="shared" si="4"/>
        <v>0.46</v>
      </c>
    </row>
    <row r="277" spans="1:4" x14ac:dyDescent="0.25">
      <c r="A277" s="15">
        <f>Sheet2!A277</f>
        <v>43112.458333333336</v>
      </c>
      <c r="B277" s="6">
        <v>0</v>
      </c>
      <c r="C277" s="7">
        <v>1.17</v>
      </c>
      <c r="D277" s="13">
        <f t="shared" si="4"/>
        <v>1.17</v>
      </c>
    </row>
    <row r="278" spans="1:4" x14ac:dyDescent="0.25">
      <c r="A278" s="15">
        <f>Sheet2!A278</f>
        <v>43112.5</v>
      </c>
      <c r="B278" s="6">
        <v>0</v>
      </c>
      <c r="C278" s="7">
        <v>1.1200000000000001</v>
      </c>
      <c r="D278" s="13">
        <f t="shared" si="4"/>
        <v>1.1200000000000001</v>
      </c>
    </row>
    <row r="279" spans="1:4" x14ac:dyDescent="0.25">
      <c r="A279" s="15">
        <f>Sheet2!A279</f>
        <v>43112.541666666664</v>
      </c>
      <c r="B279" s="6">
        <v>0</v>
      </c>
      <c r="C279" s="7">
        <v>0.41</v>
      </c>
      <c r="D279" s="13">
        <f t="shared" si="4"/>
        <v>0.41</v>
      </c>
    </row>
    <row r="280" spans="1:4" x14ac:dyDescent="0.25">
      <c r="A280" s="15">
        <f>Sheet2!A280</f>
        <v>43112.583333333336</v>
      </c>
      <c r="B280" s="6">
        <v>1.02</v>
      </c>
      <c r="C280" s="7">
        <v>0</v>
      </c>
      <c r="D280" s="13">
        <f t="shared" si="4"/>
        <v>1.02</v>
      </c>
    </row>
    <row r="281" spans="1:4" x14ac:dyDescent="0.25">
      <c r="A281" s="15">
        <f>Sheet2!A281</f>
        <v>43112.625</v>
      </c>
      <c r="B281" s="6">
        <v>0</v>
      </c>
      <c r="C281" s="7">
        <v>1.3</v>
      </c>
      <c r="D281" s="13">
        <f t="shared" si="4"/>
        <v>1.3</v>
      </c>
    </row>
    <row r="282" spans="1:4" x14ac:dyDescent="0.25">
      <c r="A282" s="15">
        <f>Sheet2!A282</f>
        <v>43112.666666666664</v>
      </c>
      <c r="B282" s="6">
        <v>0</v>
      </c>
      <c r="C282" s="7">
        <v>1.41</v>
      </c>
      <c r="D282" s="13">
        <f t="shared" si="4"/>
        <v>1.41</v>
      </c>
    </row>
    <row r="283" spans="1:4" x14ac:dyDescent="0.25">
      <c r="A283" s="15">
        <f>Sheet2!A283</f>
        <v>43112.708333333336</v>
      </c>
      <c r="B283" s="6">
        <v>0</v>
      </c>
      <c r="C283" s="7">
        <v>1.27</v>
      </c>
      <c r="D283" s="13">
        <f t="shared" si="4"/>
        <v>1.27</v>
      </c>
    </row>
    <row r="284" spans="1:4" x14ac:dyDescent="0.25">
      <c r="A284" s="15">
        <f>Sheet2!A284</f>
        <v>43112.75</v>
      </c>
      <c r="B284" s="6">
        <v>0</v>
      </c>
      <c r="C284" s="7">
        <v>0.49</v>
      </c>
      <c r="D284" s="13">
        <f t="shared" si="4"/>
        <v>0.49</v>
      </c>
    </row>
    <row r="285" spans="1:4" x14ac:dyDescent="0.25">
      <c r="A285" s="15">
        <f>Sheet2!A285</f>
        <v>43112.791666666664</v>
      </c>
      <c r="B285" s="6">
        <v>1.78</v>
      </c>
      <c r="C285" s="7">
        <v>0</v>
      </c>
      <c r="D285" s="13">
        <f t="shared" si="4"/>
        <v>1.78</v>
      </c>
    </row>
    <row r="286" spans="1:4" x14ac:dyDescent="0.25">
      <c r="A286" s="15">
        <f>Sheet2!A286</f>
        <v>43112.833333333336</v>
      </c>
      <c r="B286" s="6">
        <v>0</v>
      </c>
      <c r="C286" s="7">
        <v>1.19</v>
      </c>
      <c r="D286" s="13">
        <f t="shared" si="4"/>
        <v>1.19</v>
      </c>
    </row>
    <row r="287" spans="1:4" x14ac:dyDescent="0.25">
      <c r="A287" s="15">
        <f>Sheet2!A287</f>
        <v>43112.875</v>
      </c>
      <c r="B287" s="6">
        <v>0</v>
      </c>
      <c r="C287" s="7">
        <v>1.83</v>
      </c>
      <c r="D287" s="13">
        <f t="shared" si="4"/>
        <v>1.83</v>
      </c>
    </row>
    <row r="288" spans="1:4" x14ac:dyDescent="0.25">
      <c r="A288" s="15">
        <f>Sheet2!A288</f>
        <v>43112.916666666664</v>
      </c>
      <c r="B288" s="6">
        <v>0</v>
      </c>
      <c r="C288" s="7">
        <v>0.44</v>
      </c>
      <c r="D288" s="13">
        <f t="shared" si="4"/>
        <v>0.44</v>
      </c>
    </row>
    <row r="289" spans="1:4" x14ac:dyDescent="0.25">
      <c r="A289" s="15">
        <f>Sheet2!A289</f>
        <v>43112.958333333336</v>
      </c>
      <c r="B289" s="6">
        <v>1.1299999999999999</v>
      </c>
      <c r="C289" s="7">
        <v>0</v>
      </c>
      <c r="D289" s="13">
        <f t="shared" si="4"/>
        <v>1.1299999999999999</v>
      </c>
    </row>
    <row r="290" spans="1:4" x14ac:dyDescent="0.25">
      <c r="A290" s="15">
        <f>Sheet2!A290</f>
        <v>43113</v>
      </c>
      <c r="B290" s="6">
        <v>1.41</v>
      </c>
      <c r="C290" s="7">
        <v>0</v>
      </c>
      <c r="D290" s="13">
        <f t="shared" si="4"/>
        <v>1.41</v>
      </c>
    </row>
    <row r="291" spans="1:4" x14ac:dyDescent="0.25">
      <c r="A291" s="15">
        <f>Sheet2!A291</f>
        <v>43113.041666666664</v>
      </c>
      <c r="B291" s="6">
        <v>1.29</v>
      </c>
      <c r="C291" s="7">
        <v>0</v>
      </c>
      <c r="D291" s="13">
        <f t="shared" si="4"/>
        <v>1.29</v>
      </c>
    </row>
    <row r="292" spans="1:4" x14ac:dyDescent="0.25">
      <c r="A292" s="15">
        <f>Sheet2!A292</f>
        <v>43113.083333333336</v>
      </c>
      <c r="B292" s="6">
        <v>1.54</v>
      </c>
      <c r="C292" s="7">
        <v>0</v>
      </c>
      <c r="D292" s="13">
        <f t="shared" si="4"/>
        <v>1.54</v>
      </c>
    </row>
    <row r="293" spans="1:4" x14ac:dyDescent="0.25">
      <c r="A293" s="15">
        <f>Sheet2!A293</f>
        <v>43113.125</v>
      </c>
      <c r="B293" s="6">
        <v>1.17</v>
      </c>
      <c r="C293" s="7">
        <v>0</v>
      </c>
      <c r="D293" s="13">
        <f t="shared" si="4"/>
        <v>1.17</v>
      </c>
    </row>
    <row r="294" spans="1:4" x14ac:dyDescent="0.25">
      <c r="A294" s="15">
        <f>Sheet2!A294</f>
        <v>43113.166666666664</v>
      </c>
      <c r="B294" s="6">
        <v>2.2599999999999998</v>
      </c>
      <c r="C294" s="7">
        <v>0</v>
      </c>
      <c r="D294" s="13">
        <f t="shared" si="4"/>
        <v>2.2599999999999998</v>
      </c>
    </row>
    <row r="295" spans="1:4" x14ac:dyDescent="0.25">
      <c r="A295" s="15">
        <f>Sheet2!A295</f>
        <v>43113.208333333336</v>
      </c>
      <c r="B295" s="6">
        <v>1.49</v>
      </c>
      <c r="C295" s="7">
        <v>0</v>
      </c>
      <c r="D295" s="13">
        <f t="shared" si="4"/>
        <v>1.49</v>
      </c>
    </row>
    <row r="296" spans="1:4" x14ac:dyDescent="0.25">
      <c r="A296" s="15">
        <f>Sheet2!A296</f>
        <v>43113.25</v>
      </c>
      <c r="B296" s="6">
        <v>1.77</v>
      </c>
      <c r="C296" s="7">
        <v>0</v>
      </c>
      <c r="D296" s="13">
        <f t="shared" si="4"/>
        <v>1.77</v>
      </c>
    </row>
    <row r="297" spans="1:4" x14ac:dyDescent="0.25">
      <c r="A297" s="15">
        <f>Sheet2!A297</f>
        <v>43113.291666666664</v>
      </c>
      <c r="B297" s="6">
        <v>0</v>
      </c>
      <c r="C297" s="7">
        <v>0.27</v>
      </c>
      <c r="D297" s="13">
        <f t="shared" si="4"/>
        <v>0.27</v>
      </c>
    </row>
    <row r="298" spans="1:4" x14ac:dyDescent="0.25">
      <c r="A298" s="15">
        <f>Sheet2!A298</f>
        <v>43113.333333333336</v>
      </c>
      <c r="B298" s="6">
        <v>0</v>
      </c>
      <c r="C298" s="7">
        <v>1.3</v>
      </c>
      <c r="D298" s="13">
        <f t="shared" si="4"/>
        <v>1.3</v>
      </c>
    </row>
    <row r="299" spans="1:4" x14ac:dyDescent="0.25">
      <c r="A299" s="15">
        <f>Sheet2!A299</f>
        <v>43113.375</v>
      </c>
      <c r="B299" s="6">
        <v>0</v>
      </c>
      <c r="C299" s="7">
        <v>1.21</v>
      </c>
      <c r="D299" s="13">
        <f t="shared" si="4"/>
        <v>1.21</v>
      </c>
    </row>
    <row r="300" spans="1:4" x14ac:dyDescent="0.25">
      <c r="A300" s="15">
        <f>Sheet2!A300</f>
        <v>43113.416666666664</v>
      </c>
      <c r="B300" s="6">
        <v>0</v>
      </c>
      <c r="C300" s="7">
        <v>0.5</v>
      </c>
      <c r="D300" s="13">
        <f t="shared" si="4"/>
        <v>0.5</v>
      </c>
    </row>
    <row r="301" spans="1:4" x14ac:dyDescent="0.25">
      <c r="A301" s="15">
        <f>Sheet2!A301</f>
        <v>43113.458333333336</v>
      </c>
      <c r="B301" s="6">
        <v>1.07</v>
      </c>
      <c r="C301" s="7">
        <v>0</v>
      </c>
      <c r="D301" s="13">
        <f t="shared" si="4"/>
        <v>1.07</v>
      </c>
    </row>
    <row r="302" spans="1:4" x14ac:dyDescent="0.25">
      <c r="A302" s="15">
        <f>Sheet2!A302</f>
        <v>43113.5</v>
      </c>
      <c r="B302" s="6">
        <v>0</v>
      </c>
      <c r="C302" s="7">
        <v>0.71</v>
      </c>
      <c r="D302" s="13">
        <f t="shared" si="4"/>
        <v>0.71</v>
      </c>
    </row>
    <row r="303" spans="1:4" x14ac:dyDescent="0.25">
      <c r="A303" s="15">
        <f>Sheet2!A303</f>
        <v>43113.541666666664</v>
      </c>
      <c r="B303" s="6">
        <v>0</v>
      </c>
      <c r="C303" s="7">
        <v>1.43</v>
      </c>
      <c r="D303" s="13">
        <f t="shared" si="4"/>
        <v>1.43</v>
      </c>
    </row>
    <row r="304" spans="1:4" x14ac:dyDescent="0.25">
      <c r="A304" s="15">
        <f>Sheet2!A304</f>
        <v>43113.583333333336</v>
      </c>
      <c r="B304" s="6">
        <v>0</v>
      </c>
      <c r="C304" s="7">
        <v>0.92</v>
      </c>
      <c r="D304" s="13">
        <f t="shared" si="4"/>
        <v>0.92</v>
      </c>
    </row>
    <row r="305" spans="1:4" x14ac:dyDescent="0.25">
      <c r="A305" s="15">
        <f>Sheet2!A305</f>
        <v>43113.625</v>
      </c>
      <c r="B305" s="6">
        <v>3.36</v>
      </c>
      <c r="C305" s="7">
        <v>0</v>
      </c>
      <c r="D305" s="13">
        <f t="shared" si="4"/>
        <v>3.36</v>
      </c>
    </row>
    <row r="306" spans="1:4" x14ac:dyDescent="0.25">
      <c r="A306" s="15">
        <f>Sheet2!A306</f>
        <v>43113.666666666664</v>
      </c>
      <c r="B306" s="6">
        <v>0</v>
      </c>
      <c r="C306" s="7">
        <v>0.93</v>
      </c>
      <c r="D306" s="13">
        <f t="shared" si="4"/>
        <v>0.93</v>
      </c>
    </row>
    <row r="307" spans="1:4" x14ac:dyDescent="0.25">
      <c r="A307" s="15">
        <f>Sheet2!A307</f>
        <v>43113.708333333336</v>
      </c>
      <c r="B307" s="6">
        <v>0</v>
      </c>
      <c r="C307" s="7">
        <v>1.36</v>
      </c>
      <c r="D307" s="13">
        <f t="shared" si="4"/>
        <v>1.36</v>
      </c>
    </row>
    <row r="308" spans="1:4" x14ac:dyDescent="0.25">
      <c r="A308" s="15">
        <f>Sheet2!A308</f>
        <v>43113.75</v>
      </c>
      <c r="B308" s="6">
        <v>0</v>
      </c>
      <c r="C308" s="7">
        <v>1.38</v>
      </c>
      <c r="D308" s="13">
        <f t="shared" si="4"/>
        <v>1.38</v>
      </c>
    </row>
    <row r="309" spans="1:4" x14ac:dyDescent="0.25">
      <c r="A309" s="15">
        <f>Sheet2!A309</f>
        <v>43113.791666666664</v>
      </c>
      <c r="B309" s="6">
        <v>0</v>
      </c>
      <c r="C309" s="7">
        <v>1.41</v>
      </c>
      <c r="D309" s="13">
        <f t="shared" si="4"/>
        <v>1.41</v>
      </c>
    </row>
    <row r="310" spans="1:4" x14ac:dyDescent="0.25">
      <c r="A310" s="15">
        <f>Sheet2!A310</f>
        <v>43113.833333333336</v>
      </c>
      <c r="B310" s="6">
        <v>0</v>
      </c>
      <c r="C310" s="7">
        <v>0.4</v>
      </c>
      <c r="D310" s="13">
        <f t="shared" si="4"/>
        <v>0.4</v>
      </c>
    </row>
    <row r="311" spans="1:4" x14ac:dyDescent="0.25">
      <c r="A311" s="15">
        <f>Sheet2!A311</f>
        <v>43113.875</v>
      </c>
      <c r="B311" s="6">
        <v>2</v>
      </c>
      <c r="C311" s="7">
        <v>0</v>
      </c>
      <c r="D311" s="13">
        <f t="shared" si="4"/>
        <v>2</v>
      </c>
    </row>
    <row r="312" spans="1:4" x14ac:dyDescent="0.25">
      <c r="A312" s="15">
        <f>Sheet2!A312</f>
        <v>43113.916666666664</v>
      </c>
      <c r="B312" s="6">
        <v>0</v>
      </c>
      <c r="C312" s="7">
        <v>1.17</v>
      </c>
      <c r="D312" s="13">
        <f t="shared" si="4"/>
        <v>1.17</v>
      </c>
    </row>
    <row r="313" spans="1:4" x14ac:dyDescent="0.25">
      <c r="A313" s="15">
        <f>Sheet2!A313</f>
        <v>43113.958333333336</v>
      </c>
      <c r="B313" s="6">
        <v>0</v>
      </c>
      <c r="C313" s="7">
        <v>1.93</v>
      </c>
      <c r="D313" s="13">
        <f t="shared" si="4"/>
        <v>1.93</v>
      </c>
    </row>
    <row r="314" spans="1:4" x14ac:dyDescent="0.25">
      <c r="A314" s="15">
        <f>Sheet2!A314</f>
        <v>43114</v>
      </c>
      <c r="B314" s="6">
        <v>0</v>
      </c>
      <c r="C314" s="7">
        <v>0.37</v>
      </c>
      <c r="D314" s="13">
        <f t="shared" si="4"/>
        <v>0.37</v>
      </c>
    </row>
    <row r="315" spans="1:4" x14ac:dyDescent="0.25">
      <c r="A315" s="15">
        <f>Sheet2!A315</f>
        <v>43114.041666666664</v>
      </c>
      <c r="B315" s="6">
        <v>2.04</v>
      </c>
      <c r="C315" s="7">
        <v>0</v>
      </c>
      <c r="D315" s="13">
        <f t="shared" si="4"/>
        <v>2.04</v>
      </c>
    </row>
    <row r="316" spans="1:4" x14ac:dyDescent="0.25">
      <c r="A316" s="15">
        <f>Sheet2!A316</f>
        <v>43114.083333333336</v>
      </c>
      <c r="B316" s="6">
        <v>1.8</v>
      </c>
      <c r="C316" s="7">
        <v>0</v>
      </c>
      <c r="D316" s="13">
        <f t="shared" si="4"/>
        <v>1.8</v>
      </c>
    </row>
    <row r="317" spans="1:4" x14ac:dyDescent="0.25">
      <c r="A317" s="15">
        <f>Sheet2!A317</f>
        <v>43114.125</v>
      </c>
      <c r="B317" s="6">
        <v>2.17</v>
      </c>
      <c r="C317" s="7">
        <v>0</v>
      </c>
      <c r="D317" s="13">
        <f t="shared" si="4"/>
        <v>2.17</v>
      </c>
    </row>
    <row r="318" spans="1:4" x14ac:dyDescent="0.25">
      <c r="A318" s="15">
        <f>Sheet2!A318</f>
        <v>43114.166666666664</v>
      </c>
      <c r="B318" s="6">
        <v>1.53</v>
      </c>
      <c r="C318" s="7">
        <v>0</v>
      </c>
      <c r="D318" s="13">
        <f t="shared" si="4"/>
        <v>1.53</v>
      </c>
    </row>
    <row r="319" spans="1:4" x14ac:dyDescent="0.25">
      <c r="A319" s="15">
        <f>Sheet2!A319</f>
        <v>43114.208333333336</v>
      </c>
      <c r="B319" s="6">
        <v>1.07</v>
      </c>
      <c r="C319" s="7">
        <v>0</v>
      </c>
      <c r="D319" s="13">
        <f t="shared" si="4"/>
        <v>1.07</v>
      </c>
    </row>
    <row r="320" spans="1:4" x14ac:dyDescent="0.25">
      <c r="A320" s="15">
        <f>Sheet2!A320</f>
        <v>43114.25</v>
      </c>
      <c r="B320" s="6">
        <v>0</v>
      </c>
      <c r="C320" s="7">
        <v>0.47</v>
      </c>
      <c r="D320" s="13">
        <f t="shared" si="4"/>
        <v>0.47</v>
      </c>
    </row>
    <row r="321" spans="1:4" x14ac:dyDescent="0.25">
      <c r="A321" s="15">
        <f>Sheet2!A321</f>
        <v>43114.291666666664</v>
      </c>
      <c r="B321" s="6">
        <v>0</v>
      </c>
      <c r="C321" s="7">
        <v>0.89</v>
      </c>
      <c r="D321" s="13">
        <f t="shared" si="4"/>
        <v>0.89</v>
      </c>
    </row>
    <row r="322" spans="1:4" x14ac:dyDescent="0.25">
      <c r="A322" s="15">
        <f>Sheet2!A322</f>
        <v>43114.333333333336</v>
      </c>
      <c r="B322" s="6">
        <v>0</v>
      </c>
      <c r="C322" s="7">
        <v>0.37</v>
      </c>
      <c r="D322" s="13">
        <f t="shared" si="4"/>
        <v>0.37</v>
      </c>
    </row>
    <row r="323" spans="1:4" x14ac:dyDescent="0.25">
      <c r="A323" s="15">
        <f>Sheet2!A323</f>
        <v>43114.375</v>
      </c>
      <c r="B323" s="6">
        <v>0.64</v>
      </c>
      <c r="C323" s="7">
        <v>0</v>
      </c>
      <c r="D323" s="13">
        <f t="shared" ref="D323:D386" si="5">B323+C323</f>
        <v>0.64</v>
      </c>
    </row>
    <row r="324" spans="1:4" x14ac:dyDescent="0.25">
      <c r="A324" s="15">
        <f>Sheet2!A324</f>
        <v>43114.416666666664</v>
      </c>
      <c r="B324" s="6">
        <v>0</v>
      </c>
      <c r="C324" s="7">
        <v>0.55000000000000004</v>
      </c>
      <c r="D324" s="13">
        <f t="shared" si="5"/>
        <v>0.55000000000000004</v>
      </c>
    </row>
    <row r="325" spans="1:4" x14ac:dyDescent="0.25">
      <c r="A325" s="15">
        <f>Sheet2!A325</f>
        <v>43114.458333333336</v>
      </c>
      <c r="B325" s="6">
        <v>0</v>
      </c>
      <c r="C325" s="7">
        <v>0.95</v>
      </c>
      <c r="D325" s="13">
        <f t="shared" si="5"/>
        <v>0.95</v>
      </c>
    </row>
    <row r="326" spans="1:4" x14ac:dyDescent="0.25">
      <c r="A326" s="15">
        <f>Sheet2!A326</f>
        <v>43114.5</v>
      </c>
      <c r="B326" s="6">
        <v>0</v>
      </c>
      <c r="C326" s="7">
        <v>1.35</v>
      </c>
      <c r="D326" s="13">
        <f t="shared" si="5"/>
        <v>1.35</v>
      </c>
    </row>
    <row r="327" spans="1:4" x14ac:dyDescent="0.25">
      <c r="A327" s="15">
        <f>Sheet2!A327</f>
        <v>43114.541666666664</v>
      </c>
      <c r="B327" s="6">
        <v>0</v>
      </c>
      <c r="C327" s="7">
        <v>1.4</v>
      </c>
      <c r="D327" s="13">
        <f t="shared" si="5"/>
        <v>1.4</v>
      </c>
    </row>
    <row r="328" spans="1:4" x14ac:dyDescent="0.25">
      <c r="A328" s="15">
        <f>Sheet2!A328</f>
        <v>43114.583333333336</v>
      </c>
      <c r="B328" s="6">
        <v>0</v>
      </c>
      <c r="C328" s="7">
        <v>0.7</v>
      </c>
      <c r="D328" s="13">
        <f t="shared" si="5"/>
        <v>0.7</v>
      </c>
    </row>
    <row r="329" spans="1:4" x14ac:dyDescent="0.25">
      <c r="A329" s="15">
        <f>Sheet2!A329</f>
        <v>43114.625</v>
      </c>
      <c r="B329" s="6">
        <v>1.51</v>
      </c>
      <c r="C329" s="7">
        <v>0</v>
      </c>
      <c r="D329" s="13">
        <f t="shared" si="5"/>
        <v>1.51</v>
      </c>
    </row>
    <row r="330" spans="1:4" x14ac:dyDescent="0.25">
      <c r="A330" s="15">
        <f>Sheet2!A330</f>
        <v>43114.666666666664</v>
      </c>
      <c r="B330" s="6">
        <v>0</v>
      </c>
      <c r="C330" s="7">
        <v>0.65</v>
      </c>
      <c r="D330" s="13">
        <f t="shared" si="5"/>
        <v>0.65</v>
      </c>
    </row>
    <row r="331" spans="1:4" x14ac:dyDescent="0.25">
      <c r="A331" s="15">
        <f>Sheet2!A331</f>
        <v>43114.708333333336</v>
      </c>
      <c r="B331" s="6">
        <v>0</v>
      </c>
      <c r="C331" s="7">
        <v>1.36</v>
      </c>
      <c r="D331" s="13">
        <f t="shared" si="5"/>
        <v>1.36</v>
      </c>
    </row>
    <row r="332" spans="1:4" x14ac:dyDescent="0.25">
      <c r="A332" s="15">
        <f>Sheet2!A332</f>
        <v>43114.75</v>
      </c>
      <c r="B332" s="6">
        <v>0</v>
      </c>
      <c r="C332" s="7">
        <v>0.66</v>
      </c>
      <c r="D332" s="13">
        <f t="shared" si="5"/>
        <v>0.66</v>
      </c>
    </row>
    <row r="333" spans="1:4" x14ac:dyDescent="0.25">
      <c r="A333" s="15">
        <f>Sheet2!A333</f>
        <v>43114.791666666664</v>
      </c>
      <c r="B333" s="6">
        <v>1.3</v>
      </c>
      <c r="C333" s="7">
        <v>0</v>
      </c>
      <c r="D333" s="13">
        <f t="shared" si="5"/>
        <v>1.3</v>
      </c>
    </row>
    <row r="334" spans="1:4" x14ac:dyDescent="0.25">
      <c r="A334" s="15">
        <f>Sheet2!A334</f>
        <v>43114.833333333336</v>
      </c>
      <c r="B334" s="6">
        <v>0</v>
      </c>
      <c r="C334" s="7">
        <v>0.56999999999999995</v>
      </c>
      <c r="D334" s="13">
        <f t="shared" si="5"/>
        <v>0.56999999999999995</v>
      </c>
    </row>
    <row r="335" spans="1:4" x14ac:dyDescent="0.25">
      <c r="A335" s="15">
        <f>Sheet2!A335</f>
        <v>43114.875</v>
      </c>
      <c r="B335" s="6">
        <v>0</v>
      </c>
      <c r="C335" s="7">
        <v>1.74</v>
      </c>
      <c r="D335" s="13">
        <f t="shared" si="5"/>
        <v>1.74</v>
      </c>
    </row>
    <row r="336" spans="1:4" x14ac:dyDescent="0.25">
      <c r="A336" s="15">
        <f>Sheet2!A336</f>
        <v>43114.916666666664</v>
      </c>
      <c r="B336" s="6">
        <v>0</v>
      </c>
      <c r="C336" s="7">
        <v>0.67</v>
      </c>
      <c r="D336" s="13">
        <f t="shared" si="5"/>
        <v>0.67</v>
      </c>
    </row>
    <row r="337" spans="1:4" x14ac:dyDescent="0.25">
      <c r="A337" s="15">
        <f>Sheet2!A337</f>
        <v>43114.958333333336</v>
      </c>
      <c r="B337" s="6">
        <v>1.27</v>
      </c>
      <c r="C337" s="7">
        <v>0</v>
      </c>
      <c r="D337" s="13">
        <f t="shared" si="5"/>
        <v>1.27</v>
      </c>
    </row>
    <row r="338" spans="1:4" x14ac:dyDescent="0.25">
      <c r="A338" s="15">
        <f>Sheet2!A338</f>
        <v>43115</v>
      </c>
      <c r="B338" s="6">
        <v>1.59</v>
      </c>
      <c r="C338" s="7">
        <v>0</v>
      </c>
      <c r="D338" s="13">
        <f t="shared" si="5"/>
        <v>1.59</v>
      </c>
    </row>
    <row r="339" spans="1:4" x14ac:dyDescent="0.25">
      <c r="A339" s="15">
        <f>Sheet2!A339</f>
        <v>43115.041666666664</v>
      </c>
      <c r="B339" s="6">
        <v>1.24</v>
      </c>
      <c r="C339" s="7">
        <v>0</v>
      </c>
      <c r="D339" s="13">
        <f t="shared" si="5"/>
        <v>1.24</v>
      </c>
    </row>
    <row r="340" spans="1:4" x14ac:dyDescent="0.25">
      <c r="A340" s="15">
        <f>Sheet2!A340</f>
        <v>43115.083333333336</v>
      </c>
      <c r="B340" s="6">
        <v>1.45</v>
      </c>
      <c r="C340" s="7">
        <v>0</v>
      </c>
      <c r="D340" s="13">
        <f t="shared" si="5"/>
        <v>1.45</v>
      </c>
    </row>
    <row r="341" spans="1:4" x14ac:dyDescent="0.25">
      <c r="A341" s="15">
        <f>Sheet2!A341</f>
        <v>43115.125</v>
      </c>
      <c r="B341" s="6">
        <v>1.73</v>
      </c>
      <c r="C341" s="7">
        <v>0</v>
      </c>
      <c r="D341" s="13">
        <f t="shared" si="5"/>
        <v>1.73</v>
      </c>
    </row>
    <row r="342" spans="1:4" x14ac:dyDescent="0.25">
      <c r="A342" s="15">
        <f>Sheet2!A342</f>
        <v>43115.166666666664</v>
      </c>
      <c r="B342" s="6">
        <v>1.52</v>
      </c>
      <c r="C342" s="7">
        <v>0</v>
      </c>
      <c r="D342" s="13">
        <f t="shared" si="5"/>
        <v>1.52</v>
      </c>
    </row>
    <row r="343" spans="1:4" x14ac:dyDescent="0.25">
      <c r="A343" s="15">
        <f>Sheet2!A343</f>
        <v>43115.208333333336</v>
      </c>
      <c r="B343" s="6">
        <v>1.47</v>
      </c>
      <c r="C343" s="7">
        <v>0</v>
      </c>
      <c r="D343" s="13">
        <f t="shared" si="5"/>
        <v>1.47</v>
      </c>
    </row>
    <row r="344" spans="1:4" x14ac:dyDescent="0.25">
      <c r="A344" s="15">
        <f>Sheet2!A344</f>
        <v>43115.25</v>
      </c>
      <c r="B344" s="6">
        <v>1.27</v>
      </c>
      <c r="C344" s="7">
        <v>0</v>
      </c>
      <c r="D344" s="13">
        <f t="shared" si="5"/>
        <v>1.27</v>
      </c>
    </row>
    <row r="345" spans="1:4" x14ac:dyDescent="0.25">
      <c r="A345" s="15">
        <f>Sheet2!A345</f>
        <v>43115.291666666664</v>
      </c>
      <c r="B345" s="6">
        <v>0</v>
      </c>
      <c r="C345" s="7">
        <v>0.72</v>
      </c>
      <c r="D345" s="13">
        <f t="shared" si="5"/>
        <v>0.72</v>
      </c>
    </row>
    <row r="346" spans="1:4" x14ac:dyDescent="0.25">
      <c r="A346" s="15">
        <f>Sheet2!A346</f>
        <v>43115.333333333336</v>
      </c>
      <c r="B346" s="6">
        <v>0</v>
      </c>
      <c r="C346" s="7">
        <v>0.88</v>
      </c>
      <c r="D346" s="13">
        <f t="shared" si="5"/>
        <v>0.88</v>
      </c>
    </row>
    <row r="347" spans="1:4" x14ac:dyDescent="0.25">
      <c r="A347" s="15">
        <f>Sheet2!A347</f>
        <v>43115.375</v>
      </c>
      <c r="B347" s="6">
        <v>0</v>
      </c>
      <c r="C347" s="7">
        <v>0.84</v>
      </c>
      <c r="D347" s="13">
        <f t="shared" si="5"/>
        <v>0.84</v>
      </c>
    </row>
    <row r="348" spans="1:4" x14ac:dyDescent="0.25">
      <c r="A348" s="15">
        <f>Sheet2!A348</f>
        <v>43115.416666666664</v>
      </c>
      <c r="B348" s="6">
        <v>0</v>
      </c>
      <c r="C348" s="7">
        <v>0.28999999999999998</v>
      </c>
      <c r="D348" s="13">
        <f t="shared" si="5"/>
        <v>0.28999999999999998</v>
      </c>
    </row>
    <row r="349" spans="1:4" x14ac:dyDescent="0.25">
      <c r="A349" s="15">
        <f>Sheet2!A349</f>
        <v>43115.458333333336</v>
      </c>
      <c r="B349" s="6">
        <v>0.86</v>
      </c>
      <c r="C349" s="7">
        <v>0</v>
      </c>
      <c r="D349" s="13">
        <f t="shared" si="5"/>
        <v>0.86</v>
      </c>
    </row>
    <row r="350" spans="1:4" x14ac:dyDescent="0.25">
      <c r="A350" s="15">
        <f>Sheet2!A350</f>
        <v>43115.5</v>
      </c>
      <c r="B350" s="6">
        <v>0</v>
      </c>
      <c r="C350" s="7">
        <v>0.61</v>
      </c>
      <c r="D350" s="13">
        <f t="shared" si="5"/>
        <v>0.61</v>
      </c>
    </row>
    <row r="351" spans="1:4" x14ac:dyDescent="0.25">
      <c r="A351" s="15">
        <f>Sheet2!A351</f>
        <v>43115.541666666664</v>
      </c>
      <c r="B351" s="6">
        <v>0</v>
      </c>
      <c r="C351" s="7">
        <v>1.03</v>
      </c>
      <c r="D351" s="13">
        <f t="shared" si="5"/>
        <v>1.03</v>
      </c>
    </row>
    <row r="352" spans="1:4" x14ac:dyDescent="0.25">
      <c r="A352" s="15">
        <f>Sheet2!A352</f>
        <v>43115.583333333336</v>
      </c>
      <c r="B352" s="6">
        <v>0</v>
      </c>
      <c r="C352" s="7">
        <v>1.49</v>
      </c>
      <c r="D352" s="13">
        <f t="shared" si="5"/>
        <v>1.49</v>
      </c>
    </row>
    <row r="353" spans="1:4" x14ac:dyDescent="0.25">
      <c r="A353" s="15">
        <f>Sheet2!A353</f>
        <v>43115.625</v>
      </c>
      <c r="B353" s="6">
        <v>0</v>
      </c>
      <c r="C353" s="7">
        <v>1.61</v>
      </c>
      <c r="D353" s="13">
        <f t="shared" si="5"/>
        <v>1.61</v>
      </c>
    </row>
    <row r="354" spans="1:4" x14ac:dyDescent="0.25">
      <c r="A354" s="15">
        <f>Sheet2!A354</f>
        <v>43115.666666666664</v>
      </c>
      <c r="B354" s="6">
        <v>0</v>
      </c>
      <c r="C354" s="7">
        <v>0.35</v>
      </c>
      <c r="D354" s="13">
        <f t="shared" si="5"/>
        <v>0.35</v>
      </c>
    </row>
    <row r="355" spans="1:4" x14ac:dyDescent="0.25">
      <c r="A355" s="15">
        <f>Sheet2!A355</f>
        <v>43115.708333333336</v>
      </c>
      <c r="B355" s="6">
        <v>1.24</v>
      </c>
      <c r="C355" s="7">
        <v>0</v>
      </c>
      <c r="D355" s="13">
        <f t="shared" si="5"/>
        <v>1.24</v>
      </c>
    </row>
    <row r="356" spans="1:4" x14ac:dyDescent="0.25">
      <c r="A356" s="15">
        <f>Sheet2!A356</f>
        <v>43115.75</v>
      </c>
      <c r="B356" s="6">
        <v>0</v>
      </c>
      <c r="C356" s="7">
        <v>1.05</v>
      </c>
      <c r="D356" s="13">
        <f t="shared" si="5"/>
        <v>1.05</v>
      </c>
    </row>
    <row r="357" spans="1:4" x14ac:dyDescent="0.25">
      <c r="A357" s="15">
        <f>Sheet2!A357</f>
        <v>43115.791666666664</v>
      </c>
      <c r="B357" s="6">
        <v>0</v>
      </c>
      <c r="C357" s="7">
        <v>1.47</v>
      </c>
      <c r="D357" s="13">
        <f t="shared" si="5"/>
        <v>1.47</v>
      </c>
    </row>
    <row r="358" spans="1:4" x14ac:dyDescent="0.25">
      <c r="A358" s="15">
        <f>Sheet2!A358</f>
        <v>43115.833333333336</v>
      </c>
      <c r="B358" s="6">
        <v>0</v>
      </c>
      <c r="C358" s="7">
        <v>0.25</v>
      </c>
      <c r="D358" s="13">
        <f t="shared" si="5"/>
        <v>0.25</v>
      </c>
    </row>
    <row r="359" spans="1:4" x14ac:dyDescent="0.25">
      <c r="A359" s="15">
        <f>Sheet2!A359</f>
        <v>43115.875</v>
      </c>
      <c r="B359" s="6">
        <v>1.19</v>
      </c>
      <c r="C359" s="7">
        <v>0</v>
      </c>
      <c r="D359" s="13">
        <f t="shared" si="5"/>
        <v>1.19</v>
      </c>
    </row>
    <row r="360" spans="1:4" x14ac:dyDescent="0.25">
      <c r="A360" s="15">
        <f>Sheet2!A360</f>
        <v>43115.916666666664</v>
      </c>
      <c r="B360" s="6">
        <v>2.09</v>
      </c>
      <c r="C360" s="7">
        <v>0</v>
      </c>
      <c r="D360" s="13">
        <f t="shared" si="5"/>
        <v>2.09</v>
      </c>
    </row>
    <row r="361" spans="1:4" x14ac:dyDescent="0.25">
      <c r="A361" s="15">
        <f>Sheet2!A361</f>
        <v>43115.958333333336</v>
      </c>
      <c r="B361" s="6">
        <v>1.84</v>
      </c>
      <c r="C361" s="7">
        <v>0</v>
      </c>
      <c r="D361" s="13">
        <f t="shared" si="5"/>
        <v>1.84</v>
      </c>
    </row>
    <row r="362" spans="1:4" x14ac:dyDescent="0.25">
      <c r="A362" s="15">
        <f>Sheet2!A362</f>
        <v>43116</v>
      </c>
      <c r="B362" s="6">
        <v>1.93</v>
      </c>
      <c r="C362" s="7">
        <v>0</v>
      </c>
      <c r="D362" s="13">
        <f t="shared" si="5"/>
        <v>1.93</v>
      </c>
    </row>
    <row r="363" spans="1:4" x14ac:dyDescent="0.25">
      <c r="A363" s="15">
        <f>Sheet2!A363</f>
        <v>43116.041666666664</v>
      </c>
      <c r="B363" s="6">
        <v>1.75</v>
      </c>
      <c r="C363" s="7">
        <v>0</v>
      </c>
      <c r="D363" s="13">
        <f t="shared" si="5"/>
        <v>1.75</v>
      </c>
    </row>
    <row r="364" spans="1:4" x14ac:dyDescent="0.25">
      <c r="A364" s="15">
        <f>Sheet2!A364</f>
        <v>43116.083333333336</v>
      </c>
      <c r="B364" s="6">
        <v>2.27</v>
      </c>
      <c r="C364" s="7">
        <v>0</v>
      </c>
      <c r="D364" s="13">
        <f t="shared" si="5"/>
        <v>2.27</v>
      </c>
    </row>
    <row r="365" spans="1:4" x14ac:dyDescent="0.25">
      <c r="A365" s="15">
        <f>Sheet2!A365</f>
        <v>43116.125</v>
      </c>
      <c r="B365" s="6">
        <v>1.96</v>
      </c>
      <c r="C365" s="7">
        <v>0</v>
      </c>
      <c r="D365" s="13">
        <f t="shared" si="5"/>
        <v>1.96</v>
      </c>
    </row>
    <row r="366" spans="1:4" x14ac:dyDescent="0.25">
      <c r="A366" s="15">
        <f>Sheet2!A366</f>
        <v>43116.166666666664</v>
      </c>
      <c r="B366" s="6">
        <v>0</v>
      </c>
      <c r="C366" s="7">
        <v>1.23</v>
      </c>
      <c r="D366" s="13">
        <f t="shared" si="5"/>
        <v>1.23</v>
      </c>
    </row>
    <row r="367" spans="1:4" x14ac:dyDescent="0.25">
      <c r="A367" s="15">
        <f>Sheet2!A367</f>
        <v>43116.208333333336</v>
      </c>
      <c r="B367" s="6">
        <v>0</v>
      </c>
      <c r="C367" s="7">
        <v>2.0099999999999998</v>
      </c>
      <c r="D367" s="13">
        <f t="shared" si="5"/>
        <v>2.0099999999999998</v>
      </c>
    </row>
    <row r="368" spans="1:4" x14ac:dyDescent="0.25">
      <c r="A368" s="15">
        <f>Sheet2!A368</f>
        <v>43116.25</v>
      </c>
      <c r="B368" s="6">
        <v>0</v>
      </c>
      <c r="C368" s="7">
        <v>0.57999999999999996</v>
      </c>
      <c r="D368" s="13">
        <f t="shared" si="5"/>
        <v>0.57999999999999996</v>
      </c>
    </row>
    <row r="369" spans="1:4" x14ac:dyDescent="0.25">
      <c r="A369" s="15">
        <f>Sheet2!A369</f>
        <v>43116.291666666664</v>
      </c>
      <c r="B369" s="6">
        <v>0.96</v>
      </c>
      <c r="C369" s="7">
        <v>0</v>
      </c>
      <c r="D369" s="13">
        <f t="shared" si="5"/>
        <v>0.96</v>
      </c>
    </row>
    <row r="370" spans="1:4" x14ac:dyDescent="0.25">
      <c r="A370" s="15">
        <f>Sheet2!A370</f>
        <v>43116.333333333336</v>
      </c>
      <c r="B370" s="6">
        <v>1.19</v>
      </c>
      <c r="C370" s="7">
        <v>0</v>
      </c>
      <c r="D370" s="13">
        <f t="shared" si="5"/>
        <v>1.19</v>
      </c>
    </row>
    <row r="371" spans="1:4" x14ac:dyDescent="0.25">
      <c r="A371" s="15">
        <f>Sheet2!A371</f>
        <v>43116.375</v>
      </c>
      <c r="B371" s="6">
        <v>0</v>
      </c>
      <c r="C371" s="7">
        <v>1.0900000000000001</v>
      </c>
      <c r="D371" s="13">
        <f t="shared" si="5"/>
        <v>1.0900000000000001</v>
      </c>
    </row>
    <row r="372" spans="1:4" x14ac:dyDescent="0.25">
      <c r="A372" s="15">
        <f>Sheet2!A372</f>
        <v>43116.416666666664</v>
      </c>
      <c r="B372" s="6">
        <v>0</v>
      </c>
      <c r="C372" s="7">
        <v>1.06</v>
      </c>
      <c r="D372" s="13">
        <f t="shared" si="5"/>
        <v>1.06</v>
      </c>
    </row>
    <row r="373" spans="1:4" x14ac:dyDescent="0.25">
      <c r="A373" s="15">
        <f>Sheet2!A373</f>
        <v>43116.458333333336</v>
      </c>
      <c r="B373" s="6">
        <v>0</v>
      </c>
      <c r="C373" s="7">
        <v>0.96</v>
      </c>
      <c r="D373" s="13">
        <f t="shared" si="5"/>
        <v>0.96</v>
      </c>
    </row>
    <row r="374" spans="1:4" x14ac:dyDescent="0.25">
      <c r="A374" s="15">
        <f>Sheet2!A374</f>
        <v>43116.5</v>
      </c>
      <c r="B374" s="6">
        <v>2.5499999999999998</v>
      </c>
      <c r="C374" s="7">
        <v>0</v>
      </c>
      <c r="D374" s="13">
        <f t="shared" si="5"/>
        <v>2.5499999999999998</v>
      </c>
    </row>
    <row r="375" spans="1:4" x14ac:dyDescent="0.25">
      <c r="A375" s="15">
        <f>Sheet2!A375</f>
        <v>43116.541666666664</v>
      </c>
      <c r="B375" s="6">
        <v>2.87</v>
      </c>
      <c r="C375" s="7">
        <v>0</v>
      </c>
      <c r="D375" s="13">
        <f t="shared" si="5"/>
        <v>2.87</v>
      </c>
    </row>
    <row r="376" spans="1:4" x14ac:dyDescent="0.25">
      <c r="A376" s="15">
        <f>Sheet2!A376</f>
        <v>43116.583333333336</v>
      </c>
      <c r="B376" s="6">
        <v>0</v>
      </c>
      <c r="C376" s="7">
        <v>0.85</v>
      </c>
      <c r="D376" s="13">
        <f t="shared" si="5"/>
        <v>0.85</v>
      </c>
    </row>
    <row r="377" spans="1:4" x14ac:dyDescent="0.25">
      <c r="A377" s="15">
        <f>Sheet2!A377</f>
        <v>43116.625</v>
      </c>
      <c r="B377" s="6">
        <v>0</v>
      </c>
      <c r="C377" s="7">
        <v>1.1000000000000001</v>
      </c>
      <c r="D377" s="13">
        <f t="shared" si="5"/>
        <v>1.1000000000000001</v>
      </c>
    </row>
    <row r="378" spans="1:4" x14ac:dyDescent="0.25">
      <c r="A378" s="15">
        <f>Sheet2!A378</f>
        <v>43116.666666666664</v>
      </c>
      <c r="B378" s="6">
        <v>0</v>
      </c>
      <c r="C378" s="7">
        <v>0.48</v>
      </c>
      <c r="D378" s="13">
        <f t="shared" si="5"/>
        <v>0.48</v>
      </c>
    </row>
    <row r="379" spans="1:4" x14ac:dyDescent="0.25">
      <c r="A379" s="15">
        <f>Sheet2!A379</f>
        <v>43116.708333333336</v>
      </c>
      <c r="B379" s="6">
        <v>1.1000000000000001</v>
      </c>
      <c r="C379" s="7">
        <v>0</v>
      </c>
      <c r="D379" s="13">
        <f t="shared" si="5"/>
        <v>1.1000000000000001</v>
      </c>
    </row>
    <row r="380" spans="1:4" x14ac:dyDescent="0.25">
      <c r="A380" s="15">
        <f>Sheet2!A380</f>
        <v>43116.75</v>
      </c>
      <c r="B380" s="6">
        <v>0</v>
      </c>
      <c r="C380" s="7">
        <v>0.8</v>
      </c>
      <c r="D380" s="13">
        <f t="shared" si="5"/>
        <v>0.8</v>
      </c>
    </row>
    <row r="381" spans="1:4" x14ac:dyDescent="0.25">
      <c r="A381" s="15">
        <f>Sheet2!A381</f>
        <v>43116.791666666664</v>
      </c>
      <c r="B381" s="6">
        <v>0</v>
      </c>
      <c r="C381" s="7">
        <v>1.26</v>
      </c>
      <c r="D381" s="13">
        <f t="shared" si="5"/>
        <v>1.26</v>
      </c>
    </row>
    <row r="382" spans="1:4" x14ac:dyDescent="0.25">
      <c r="A382" s="15">
        <f>Sheet2!A382</f>
        <v>43116.833333333336</v>
      </c>
      <c r="B382" s="6">
        <v>0</v>
      </c>
      <c r="C382" s="7">
        <v>1.25</v>
      </c>
      <c r="D382" s="13">
        <f t="shared" si="5"/>
        <v>1.25</v>
      </c>
    </row>
    <row r="383" spans="1:4" x14ac:dyDescent="0.25">
      <c r="A383" s="15">
        <f>Sheet2!A383</f>
        <v>43116.875</v>
      </c>
      <c r="B383" s="6">
        <v>0</v>
      </c>
      <c r="C383" s="7">
        <v>1.01</v>
      </c>
      <c r="D383" s="13">
        <f t="shared" si="5"/>
        <v>1.01</v>
      </c>
    </row>
    <row r="384" spans="1:4" x14ac:dyDescent="0.25">
      <c r="A384" s="15">
        <f>Sheet2!A384</f>
        <v>43116.916666666664</v>
      </c>
      <c r="B384" s="6">
        <v>1.85</v>
      </c>
      <c r="C384" s="7">
        <v>0</v>
      </c>
      <c r="D384" s="13">
        <f t="shared" si="5"/>
        <v>1.85</v>
      </c>
    </row>
    <row r="385" spans="1:4" x14ac:dyDescent="0.25">
      <c r="A385" s="15">
        <f>Sheet2!A385</f>
        <v>43116.958333333336</v>
      </c>
      <c r="B385" s="6">
        <v>2.0299999999999998</v>
      </c>
      <c r="C385" s="7">
        <v>0</v>
      </c>
      <c r="D385" s="13">
        <f t="shared" si="5"/>
        <v>2.0299999999999998</v>
      </c>
    </row>
    <row r="386" spans="1:4" x14ac:dyDescent="0.25">
      <c r="A386" s="15">
        <f>Sheet2!A386</f>
        <v>43117</v>
      </c>
      <c r="B386" s="6">
        <v>1.89</v>
      </c>
      <c r="C386" s="7">
        <v>0</v>
      </c>
      <c r="D386" s="13">
        <f t="shared" si="5"/>
        <v>1.89</v>
      </c>
    </row>
    <row r="387" spans="1:4" x14ac:dyDescent="0.25">
      <c r="A387" s="15">
        <f>Sheet2!A387</f>
        <v>43117.041666666664</v>
      </c>
      <c r="B387" s="6">
        <v>1.9</v>
      </c>
      <c r="C387" s="7">
        <v>0</v>
      </c>
      <c r="D387" s="13">
        <f t="shared" ref="D387:D450" si="6">B387+C387</f>
        <v>1.9</v>
      </c>
    </row>
    <row r="388" spans="1:4" x14ac:dyDescent="0.25">
      <c r="A388" s="15">
        <f>Sheet2!A388</f>
        <v>43117.083333333336</v>
      </c>
      <c r="B388" s="6">
        <v>1.63</v>
      </c>
      <c r="C388" s="7">
        <v>0</v>
      </c>
      <c r="D388" s="13">
        <f t="shared" si="6"/>
        <v>1.63</v>
      </c>
    </row>
    <row r="389" spans="1:4" x14ac:dyDescent="0.25">
      <c r="A389" s="15">
        <f>Sheet2!A389</f>
        <v>43117.125</v>
      </c>
      <c r="B389" s="6">
        <v>0</v>
      </c>
      <c r="C389" s="7">
        <v>1.77</v>
      </c>
      <c r="D389" s="13">
        <f t="shared" si="6"/>
        <v>1.77</v>
      </c>
    </row>
    <row r="390" spans="1:4" x14ac:dyDescent="0.25">
      <c r="A390" s="15">
        <f>Sheet2!A390</f>
        <v>43117.166666666664</v>
      </c>
      <c r="B390" s="6">
        <v>0</v>
      </c>
      <c r="C390" s="7">
        <v>1.94</v>
      </c>
      <c r="D390" s="13">
        <f t="shared" si="6"/>
        <v>1.94</v>
      </c>
    </row>
    <row r="391" spans="1:4" x14ac:dyDescent="0.25">
      <c r="A391" s="15">
        <f>Sheet2!A391</f>
        <v>43117.208333333336</v>
      </c>
      <c r="B391" s="6">
        <v>0</v>
      </c>
      <c r="C391" s="7">
        <v>1.9</v>
      </c>
      <c r="D391" s="13">
        <f t="shared" si="6"/>
        <v>1.9</v>
      </c>
    </row>
    <row r="392" spans="1:4" x14ac:dyDescent="0.25">
      <c r="A392" s="15">
        <f>Sheet2!A392</f>
        <v>43117.25</v>
      </c>
      <c r="B392" s="6">
        <v>0</v>
      </c>
      <c r="C392" s="7">
        <v>0.56999999999999995</v>
      </c>
      <c r="D392" s="13">
        <f t="shared" si="6"/>
        <v>0.56999999999999995</v>
      </c>
    </row>
    <row r="393" spans="1:4" x14ac:dyDescent="0.25">
      <c r="A393" s="15">
        <f>Sheet2!A393</f>
        <v>43117.291666666664</v>
      </c>
      <c r="B393" s="6">
        <v>1.35</v>
      </c>
      <c r="C393" s="7">
        <v>0</v>
      </c>
      <c r="D393" s="13">
        <f t="shared" si="6"/>
        <v>1.35</v>
      </c>
    </row>
    <row r="394" spans="1:4" x14ac:dyDescent="0.25">
      <c r="A394" s="15">
        <f>Sheet2!A394</f>
        <v>43117.333333333336</v>
      </c>
      <c r="B394" s="6">
        <v>0</v>
      </c>
      <c r="C394" s="7">
        <v>0.76</v>
      </c>
      <c r="D394" s="13">
        <f t="shared" si="6"/>
        <v>0.76</v>
      </c>
    </row>
    <row r="395" spans="1:4" x14ac:dyDescent="0.25">
      <c r="A395" s="15">
        <f>Sheet2!A395</f>
        <v>43117.375</v>
      </c>
      <c r="B395" s="6">
        <v>0</v>
      </c>
      <c r="C395" s="7">
        <v>1.06</v>
      </c>
      <c r="D395" s="13">
        <f t="shared" si="6"/>
        <v>1.06</v>
      </c>
    </row>
    <row r="396" spans="1:4" x14ac:dyDescent="0.25">
      <c r="A396" s="15">
        <f>Sheet2!A396</f>
        <v>43117.416666666664</v>
      </c>
      <c r="B396" s="6">
        <v>0</v>
      </c>
      <c r="C396" s="7">
        <v>0.9</v>
      </c>
      <c r="D396" s="13">
        <f t="shared" si="6"/>
        <v>0.9</v>
      </c>
    </row>
    <row r="397" spans="1:4" x14ac:dyDescent="0.25">
      <c r="A397" s="15">
        <f>Sheet2!A397</f>
        <v>43117.458333333336</v>
      </c>
      <c r="B397" s="6">
        <v>0</v>
      </c>
      <c r="C397" s="7">
        <v>0.38</v>
      </c>
      <c r="D397" s="13">
        <f t="shared" si="6"/>
        <v>0.38</v>
      </c>
    </row>
    <row r="398" spans="1:4" x14ac:dyDescent="0.25">
      <c r="A398" s="15">
        <f>Sheet2!A398</f>
        <v>43117.5</v>
      </c>
      <c r="B398" s="6">
        <v>0</v>
      </c>
      <c r="C398" s="7">
        <v>0.7</v>
      </c>
      <c r="D398" s="13">
        <f t="shared" si="6"/>
        <v>0.7</v>
      </c>
    </row>
    <row r="399" spans="1:4" x14ac:dyDescent="0.25">
      <c r="A399" s="15">
        <f>Sheet2!A399</f>
        <v>43117.541666666664</v>
      </c>
      <c r="B399" s="6">
        <v>0</v>
      </c>
      <c r="C399" s="7">
        <v>1.17</v>
      </c>
      <c r="D399" s="13">
        <f t="shared" si="6"/>
        <v>1.17</v>
      </c>
    </row>
    <row r="400" spans="1:4" x14ac:dyDescent="0.25">
      <c r="A400" s="15">
        <f>Sheet2!A400</f>
        <v>43117.583333333336</v>
      </c>
      <c r="B400" s="6">
        <v>0</v>
      </c>
      <c r="C400" s="7">
        <v>1.0900000000000001</v>
      </c>
      <c r="D400" s="13">
        <f t="shared" si="6"/>
        <v>1.0900000000000001</v>
      </c>
    </row>
    <row r="401" spans="1:4" x14ac:dyDescent="0.25">
      <c r="A401" s="15">
        <f>Sheet2!A401</f>
        <v>43117.625</v>
      </c>
      <c r="B401" s="6">
        <v>0</v>
      </c>
      <c r="C401" s="7">
        <v>1.3</v>
      </c>
      <c r="D401" s="13">
        <f t="shared" si="6"/>
        <v>1.3</v>
      </c>
    </row>
    <row r="402" spans="1:4" x14ac:dyDescent="0.25">
      <c r="A402" s="15">
        <f>Sheet2!A402</f>
        <v>43117.666666666664</v>
      </c>
      <c r="B402" s="6">
        <v>0</v>
      </c>
      <c r="C402" s="7">
        <v>0.43</v>
      </c>
      <c r="D402" s="13">
        <f t="shared" si="6"/>
        <v>0.43</v>
      </c>
    </row>
    <row r="403" spans="1:4" x14ac:dyDescent="0.25">
      <c r="A403" s="15">
        <f>Sheet2!A403</f>
        <v>43117.708333333336</v>
      </c>
      <c r="B403" s="6">
        <v>0</v>
      </c>
      <c r="C403" s="7">
        <v>0.8</v>
      </c>
      <c r="D403" s="13">
        <f t="shared" si="6"/>
        <v>0.8</v>
      </c>
    </row>
    <row r="404" spans="1:4" x14ac:dyDescent="0.25">
      <c r="A404" s="15">
        <f>Sheet2!A404</f>
        <v>43117.75</v>
      </c>
      <c r="B404" s="6">
        <v>0</v>
      </c>
      <c r="C404" s="7">
        <v>1.34</v>
      </c>
      <c r="D404" s="13">
        <f t="shared" si="6"/>
        <v>1.34</v>
      </c>
    </row>
    <row r="405" spans="1:4" x14ac:dyDescent="0.25">
      <c r="A405" s="15">
        <f>Sheet2!A405</f>
        <v>43117.791666666664</v>
      </c>
      <c r="B405" s="6">
        <v>0</v>
      </c>
      <c r="C405" s="7">
        <v>1.26</v>
      </c>
      <c r="D405" s="13">
        <f t="shared" si="6"/>
        <v>1.26</v>
      </c>
    </row>
    <row r="406" spans="1:4" x14ac:dyDescent="0.25">
      <c r="A406" s="15">
        <f>Sheet2!A406</f>
        <v>43117.833333333336</v>
      </c>
      <c r="B406" s="6">
        <v>0</v>
      </c>
      <c r="C406" s="7">
        <v>0.42</v>
      </c>
      <c r="D406" s="13">
        <f t="shared" si="6"/>
        <v>0.42</v>
      </c>
    </row>
    <row r="407" spans="1:4" x14ac:dyDescent="0.25">
      <c r="A407" s="15">
        <f>Sheet2!A407</f>
        <v>43117.875</v>
      </c>
      <c r="B407" s="6">
        <v>1.86</v>
      </c>
      <c r="C407" s="7">
        <v>0</v>
      </c>
      <c r="D407" s="13">
        <f t="shared" si="6"/>
        <v>1.86</v>
      </c>
    </row>
    <row r="408" spans="1:4" x14ac:dyDescent="0.25">
      <c r="A408" s="15">
        <f>Sheet2!A408</f>
        <v>43117.916666666664</v>
      </c>
      <c r="B408" s="6">
        <v>0</v>
      </c>
      <c r="C408" s="7">
        <v>1.17</v>
      </c>
      <c r="D408" s="13">
        <f t="shared" si="6"/>
        <v>1.17</v>
      </c>
    </row>
    <row r="409" spans="1:4" x14ac:dyDescent="0.25">
      <c r="A409" s="15">
        <f>Sheet2!A409</f>
        <v>43117.958333333336</v>
      </c>
      <c r="B409" s="6">
        <v>0</v>
      </c>
      <c r="C409" s="7">
        <v>1.85</v>
      </c>
      <c r="D409" s="13">
        <f t="shared" si="6"/>
        <v>1.85</v>
      </c>
    </row>
    <row r="410" spans="1:4" x14ac:dyDescent="0.25">
      <c r="A410" s="15">
        <f>Sheet2!A410</f>
        <v>43118</v>
      </c>
      <c r="B410" s="6">
        <v>0</v>
      </c>
      <c r="C410" s="7">
        <v>0.53</v>
      </c>
      <c r="D410" s="13">
        <f t="shared" si="6"/>
        <v>0.53</v>
      </c>
    </row>
    <row r="411" spans="1:4" x14ac:dyDescent="0.25">
      <c r="A411" s="15">
        <f>Sheet2!A411</f>
        <v>43118.041666666664</v>
      </c>
      <c r="B411" s="6">
        <v>1.84</v>
      </c>
      <c r="C411" s="7">
        <v>0</v>
      </c>
      <c r="D411" s="13">
        <f t="shared" si="6"/>
        <v>1.84</v>
      </c>
    </row>
    <row r="412" spans="1:4" x14ac:dyDescent="0.25">
      <c r="A412" s="15">
        <f>Sheet2!A412</f>
        <v>43118.083333333336</v>
      </c>
      <c r="B412" s="6">
        <v>2.0699999999999998</v>
      </c>
      <c r="C412" s="7">
        <v>0</v>
      </c>
      <c r="D412" s="13">
        <f t="shared" si="6"/>
        <v>2.0699999999999998</v>
      </c>
    </row>
    <row r="413" spans="1:4" x14ac:dyDescent="0.25">
      <c r="A413" s="15">
        <f>Sheet2!A413</f>
        <v>43118.125</v>
      </c>
      <c r="B413" s="6">
        <v>2.37</v>
      </c>
      <c r="C413" s="7">
        <v>0</v>
      </c>
      <c r="D413" s="13">
        <f t="shared" si="6"/>
        <v>2.37</v>
      </c>
    </row>
    <row r="414" spans="1:4" x14ac:dyDescent="0.25">
      <c r="A414" s="15">
        <f>Sheet2!A414</f>
        <v>43118.166666666664</v>
      </c>
      <c r="B414" s="6">
        <v>2.02</v>
      </c>
      <c r="C414" s="7">
        <v>0</v>
      </c>
      <c r="D414" s="13">
        <f t="shared" si="6"/>
        <v>2.02</v>
      </c>
    </row>
    <row r="415" spans="1:4" x14ac:dyDescent="0.25">
      <c r="A415" s="15">
        <f>Sheet2!A415</f>
        <v>43118.208333333336</v>
      </c>
      <c r="B415" s="6">
        <v>2.0699999999999998</v>
      </c>
      <c r="C415" s="7">
        <v>0</v>
      </c>
      <c r="D415" s="13">
        <f t="shared" si="6"/>
        <v>2.0699999999999998</v>
      </c>
    </row>
    <row r="416" spans="1:4" x14ac:dyDescent="0.25">
      <c r="A416" s="15">
        <f>Sheet2!A416</f>
        <v>43118.25</v>
      </c>
      <c r="B416" s="6">
        <v>0</v>
      </c>
      <c r="C416" s="7">
        <v>0.96</v>
      </c>
      <c r="D416" s="13">
        <f t="shared" si="6"/>
        <v>0.96</v>
      </c>
    </row>
    <row r="417" spans="1:4" x14ac:dyDescent="0.25">
      <c r="A417" s="15">
        <f>Sheet2!A417</f>
        <v>43118.291666666664</v>
      </c>
      <c r="B417" s="6">
        <v>0</v>
      </c>
      <c r="C417" s="7">
        <v>1.1399999999999999</v>
      </c>
      <c r="D417" s="13">
        <f t="shared" si="6"/>
        <v>1.1399999999999999</v>
      </c>
    </row>
    <row r="418" spans="1:4" x14ac:dyDescent="0.25">
      <c r="A418" s="15">
        <f>Sheet2!A418</f>
        <v>43118.333333333336</v>
      </c>
      <c r="B418" s="6">
        <v>0</v>
      </c>
      <c r="C418" s="7">
        <v>0.28999999999999998</v>
      </c>
      <c r="D418" s="13">
        <f t="shared" si="6"/>
        <v>0.28999999999999998</v>
      </c>
    </row>
    <row r="419" spans="1:4" x14ac:dyDescent="0.25">
      <c r="A419" s="15">
        <f>Sheet2!A419</f>
        <v>43118.375</v>
      </c>
      <c r="B419" s="6">
        <v>0.99</v>
      </c>
      <c r="C419" s="7">
        <v>0</v>
      </c>
      <c r="D419" s="13">
        <f t="shared" si="6"/>
        <v>0.99</v>
      </c>
    </row>
    <row r="420" spans="1:4" x14ac:dyDescent="0.25">
      <c r="A420" s="15">
        <f>Sheet2!A420</f>
        <v>43118.416666666664</v>
      </c>
      <c r="B420" s="6">
        <v>0</v>
      </c>
      <c r="C420" s="7">
        <v>0.6</v>
      </c>
      <c r="D420" s="13">
        <f t="shared" si="6"/>
        <v>0.6</v>
      </c>
    </row>
    <row r="421" spans="1:4" x14ac:dyDescent="0.25">
      <c r="A421" s="15">
        <f>Sheet2!A421</f>
        <v>43118.458333333336</v>
      </c>
      <c r="B421" s="6">
        <v>0</v>
      </c>
      <c r="C421" s="7">
        <v>1.08</v>
      </c>
      <c r="D421" s="13">
        <f t="shared" si="6"/>
        <v>1.08</v>
      </c>
    </row>
    <row r="422" spans="1:4" x14ac:dyDescent="0.25">
      <c r="A422" s="15">
        <f>Sheet2!A422</f>
        <v>43118.5</v>
      </c>
      <c r="B422" s="6">
        <v>0</v>
      </c>
      <c r="C422" s="7">
        <v>0.31</v>
      </c>
      <c r="D422" s="13">
        <f t="shared" si="6"/>
        <v>0.31</v>
      </c>
    </row>
    <row r="423" spans="1:4" x14ac:dyDescent="0.25">
      <c r="A423" s="15">
        <f>Sheet2!A423</f>
        <v>43118.541666666664</v>
      </c>
      <c r="B423" s="6">
        <v>1.17</v>
      </c>
      <c r="C423" s="7">
        <v>0</v>
      </c>
      <c r="D423" s="13">
        <f t="shared" si="6"/>
        <v>1.17</v>
      </c>
    </row>
    <row r="424" spans="1:4" x14ac:dyDescent="0.25">
      <c r="A424" s="15">
        <f>Sheet2!A424</f>
        <v>43118.583333333336</v>
      </c>
      <c r="B424" s="6">
        <v>0</v>
      </c>
      <c r="C424" s="7">
        <v>0.7</v>
      </c>
      <c r="D424" s="13">
        <f t="shared" si="6"/>
        <v>0.7</v>
      </c>
    </row>
    <row r="425" spans="1:4" x14ac:dyDescent="0.25">
      <c r="A425" s="15">
        <f>Sheet2!A425</f>
        <v>43118.625</v>
      </c>
      <c r="B425" s="6">
        <v>0</v>
      </c>
      <c r="C425" s="7">
        <v>1.06</v>
      </c>
      <c r="D425" s="13">
        <f t="shared" si="6"/>
        <v>1.06</v>
      </c>
    </row>
    <row r="426" spans="1:4" x14ac:dyDescent="0.25">
      <c r="A426" s="15">
        <f>Sheet2!A426</f>
        <v>43118.666666666664</v>
      </c>
      <c r="B426" s="6">
        <v>0</v>
      </c>
      <c r="C426" s="7">
        <v>0.64</v>
      </c>
      <c r="D426" s="13">
        <f t="shared" si="6"/>
        <v>0.64</v>
      </c>
    </row>
    <row r="427" spans="1:4" x14ac:dyDescent="0.25">
      <c r="A427" s="15">
        <f>Sheet2!A427</f>
        <v>43118.708333333336</v>
      </c>
      <c r="B427" s="6">
        <v>1.1200000000000001</v>
      </c>
      <c r="C427" s="7">
        <v>0</v>
      </c>
      <c r="D427" s="13">
        <f t="shared" si="6"/>
        <v>1.1200000000000001</v>
      </c>
    </row>
    <row r="428" spans="1:4" x14ac:dyDescent="0.25">
      <c r="A428" s="15">
        <f>Sheet2!A428</f>
        <v>43118.75</v>
      </c>
      <c r="B428" s="6">
        <v>0</v>
      </c>
      <c r="C428" s="7">
        <v>0.77</v>
      </c>
      <c r="D428" s="13">
        <f t="shared" si="6"/>
        <v>0.77</v>
      </c>
    </row>
    <row r="429" spans="1:4" x14ac:dyDescent="0.25">
      <c r="A429" s="15">
        <f>Sheet2!A429</f>
        <v>43118.791666666664</v>
      </c>
      <c r="B429" s="6">
        <v>0</v>
      </c>
      <c r="C429" s="7">
        <v>1.34</v>
      </c>
      <c r="D429" s="13">
        <f t="shared" si="6"/>
        <v>1.34</v>
      </c>
    </row>
    <row r="430" spans="1:4" x14ac:dyDescent="0.25">
      <c r="A430" s="15">
        <f>Sheet2!A430</f>
        <v>43118.833333333336</v>
      </c>
      <c r="B430" s="6">
        <v>0</v>
      </c>
      <c r="C430" s="7">
        <v>1.32</v>
      </c>
      <c r="D430" s="13">
        <f t="shared" si="6"/>
        <v>1.32</v>
      </c>
    </row>
    <row r="431" spans="1:4" x14ac:dyDescent="0.25">
      <c r="A431" s="15">
        <f>Sheet2!A431</f>
        <v>43118.875</v>
      </c>
      <c r="B431" s="6">
        <v>0</v>
      </c>
      <c r="C431" s="7">
        <v>0.59</v>
      </c>
      <c r="D431" s="13">
        <f t="shared" si="6"/>
        <v>0.59</v>
      </c>
    </row>
    <row r="432" spans="1:4" x14ac:dyDescent="0.25">
      <c r="A432" s="15">
        <f>Sheet2!A432</f>
        <v>43118.916666666664</v>
      </c>
      <c r="B432" s="6">
        <v>1.41</v>
      </c>
      <c r="C432" s="7">
        <v>0</v>
      </c>
      <c r="D432" s="13">
        <f t="shared" si="6"/>
        <v>1.41</v>
      </c>
    </row>
    <row r="433" spans="1:4" x14ac:dyDescent="0.25">
      <c r="A433" s="15">
        <f>Sheet2!A433</f>
        <v>43118.958333333336</v>
      </c>
      <c r="B433" s="6">
        <v>1.61</v>
      </c>
      <c r="C433" s="7">
        <v>0</v>
      </c>
      <c r="D433" s="13">
        <f t="shared" si="6"/>
        <v>1.61</v>
      </c>
    </row>
    <row r="434" spans="1:4" x14ac:dyDescent="0.25">
      <c r="A434" s="15">
        <f>Sheet2!A434</f>
        <v>43119</v>
      </c>
      <c r="B434" s="6">
        <v>1.28</v>
      </c>
      <c r="C434" s="7">
        <v>0</v>
      </c>
      <c r="D434" s="13">
        <f t="shared" si="6"/>
        <v>1.28</v>
      </c>
    </row>
    <row r="435" spans="1:4" x14ac:dyDescent="0.25">
      <c r="A435" s="15">
        <f>Sheet2!A435</f>
        <v>43119.041666666664</v>
      </c>
      <c r="B435" s="6">
        <v>1.39</v>
      </c>
      <c r="C435" s="7">
        <v>0</v>
      </c>
      <c r="D435" s="13">
        <f t="shared" si="6"/>
        <v>1.39</v>
      </c>
    </row>
    <row r="436" spans="1:4" x14ac:dyDescent="0.25">
      <c r="A436" s="15">
        <f>Sheet2!A436</f>
        <v>43119.083333333336</v>
      </c>
      <c r="B436" s="6">
        <v>1.21</v>
      </c>
      <c r="C436" s="7">
        <v>0</v>
      </c>
      <c r="D436" s="13">
        <f t="shared" si="6"/>
        <v>1.21</v>
      </c>
    </row>
    <row r="437" spans="1:4" x14ac:dyDescent="0.25">
      <c r="A437" s="15">
        <f>Sheet2!A437</f>
        <v>43119.125</v>
      </c>
      <c r="B437" s="6">
        <v>1.32</v>
      </c>
      <c r="C437" s="7">
        <v>0</v>
      </c>
      <c r="D437" s="13">
        <f t="shared" si="6"/>
        <v>1.32</v>
      </c>
    </row>
    <row r="438" spans="1:4" x14ac:dyDescent="0.25">
      <c r="A438" s="15">
        <f>Sheet2!A438</f>
        <v>43119.166666666664</v>
      </c>
      <c r="B438" s="6">
        <v>1.37</v>
      </c>
      <c r="C438" s="7">
        <v>0</v>
      </c>
      <c r="D438" s="13">
        <f t="shared" si="6"/>
        <v>1.37</v>
      </c>
    </row>
    <row r="439" spans="1:4" x14ac:dyDescent="0.25">
      <c r="A439" s="15">
        <f>Sheet2!A439</f>
        <v>43119.208333333336</v>
      </c>
      <c r="B439" s="6">
        <v>1.36</v>
      </c>
      <c r="C439" s="7">
        <v>0</v>
      </c>
      <c r="D439" s="13">
        <f t="shared" si="6"/>
        <v>1.36</v>
      </c>
    </row>
    <row r="440" spans="1:4" x14ac:dyDescent="0.25">
      <c r="A440" s="15">
        <f>Sheet2!A440</f>
        <v>43119.25</v>
      </c>
      <c r="B440" s="6">
        <v>1.1599999999999999</v>
      </c>
      <c r="C440" s="7">
        <v>0</v>
      </c>
      <c r="D440" s="13">
        <f t="shared" si="6"/>
        <v>1.1599999999999999</v>
      </c>
    </row>
    <row r="441" spans="1:4" x14ac:dyDescent="0.25">
      <c r="A441" s="15">
        <f>Sheet2!A441</f>
        <v>43119.291666666664</v>
      </c>
      <c r="B441" s="6">
        <v>0.8</v>
      </c>
      <c r="C441" s="7">
        <v>0</v>
      </c>
      <c r="D441" s="13">
        <f t="shared" si="6"/>
        <v>0.8</v>
      </c>
    </row>
    <row r="442" spans="1:4" x14ac:dyDescent="0.25">
      <c r="A442" s="15">
        <f>Sheet2!A442</f>
        <v>43119.333333333336</v>
      </c>
      <c r="B442" s="6">
        <v>0.82</v>
      </c>
      <c r="C442" s="7">
        <v>0</v>
      </c>
      <c r="D442" s="13">
        <f t="shared" si="6"/>
        <v>0.82</v>
      </c>
    </row>
    <row r="443" spans="1:4" x14ac:dyDescent="0.25">
      <c r="A443" s="15">
        <f>Sheet2!A443</f>
        <v>43119.375</v>
      </c>
      <c r="B443" s="6">
        <v>2.65</v>
      </c>
      <c r="C443" s="7">
        <v>0</v>
      </c>
      <c r="D443" s="13">
        <f t="shared" si="6"/>
        <v>2.65</v>
      </c>
    </row>
    <row r="444" spans="1:4" x14ac:dyDescent="0.25">
      <c r="A444" s="15">
        <f>Sheet2!A444</f>
        <v>43119.416666666664</v>
      </c>
      <c r="B444" s="6">
        <v>1.22</v>
      </c>
      <c r="C444" s="7">
        <v>0</v>
      </c>
      <c r="D444" s="13">
        <f t="shared" si="6"/>
        <v>1.22</v>
      </c>
    </row>
    <row r="445" spans="1:4" x14ac:dyDescent="0.25">
      <c r="A445" s="15">
        <f>Sheet2!A445</f>
        <v>43119.458333333336</v>
      </c>
      <c r="B445" s="6">
        <v>0</v>
      </c>
      <c r="C445" s="7">
        <v>0.76</v>
      </c>
      <c r="D445" s="13">
        <f t="shared" si="6"/>
        <v>0.76</v>
      </c>
    </row>
    <row r="446" spans="1:4" x14ac:dyDescent="0.25">
      <c r="A446" s="15">
        <f>Sheet2!A446</f>
        <v>43119.5</v>
      </c>
      <c r="B446" s="6">
        <v>0</v>
      </c>
      <c r="C446" s="7">
        <v>0.65</v>
      </c>
      <c r="D446" s="13">
        <f t="shared" si="6"/>
        <v>0.65</v>
      </c>
    </row>
    <row r="447" spans="1:4" x14ac:dyDescent="0.25">
      <c r="A447" s="15">
        <f>Sheet2!A447</f>
        <v>43119.541666666664</v>
      </c>
      <c r="B447" s="6">
        <v>0.89</v>
      </c>
      <c r="C447" s="7">
        <v>0</v>
      </c>
      <c r="D447" s="13">
        <f t="shared" si="6"/>
        <v>0.89</v>
      </c>
    </row>
    <row r="448" spans="1:4" x14ac:dyDescent="0.25">
      <c r="A448" s="15">
        <f>Sheet2!A448</f>
        <v>43119.583333333336</v>
      </c>
      <c r="B448" s="6">
        <v>1.64</v>
      </c>
      <c r="C448" s="7">
        <v>0</v>
      </c>
      <c r="D448" s="13">
        <f t="shared" si="6"/>
        <v>1.64</v>
      </c>
    </row>
    <row r="449" spans="1:4" x14ac:dyDescent="0.25">
      <c r="A449" s="15">
        <f>Sheet2!A449</f>
        <v>43119.625</v>
      </c>
      <c r="B449" s="6">
        <v>0</v>
      </c>
      <c r="C449" s="7">
        <v>0.35</v>
      </c>
      <c r="D449" s="13">
        <f t="shared" si="6"/>
        <v>0.35</v>
      </c>
    </row>
    <row r="450" spans="1:4" x14ac:dyDescent="0.25">
      <c r="A450" s="15">
        <f>Sheet2!A450</f>
        <v>43119.666666666664</v>
      </c>
      <c r="B450" s="6">
        <v>0</v>
      </c>
      <c r="C450" s="7">
        <v>1.97</v>
      </c>
      <c r="D450" s="13">
        <f t="shared" si="6"/>
        <v>1.97</v>
      </c>
    </row>
    <row r="451" spans="1:4" x14ac:dyDescent="0.25">
      <c r="A451" s="15">
        <f>Sheet2!A451</f>
        <v>43119.708333333336</v>
      </c>
      <c r="B451" s="6">
        <v>0</v>
      </c>
      <c r="C451" s="7">
        <v>1.62</v>
      </c>
      <c r="D451" s="13">
        <f t="shared" ref="D451:D514" si="7">B451+C451</f>
        <v>1.62</v>
      </c>
    </row>
    <row r="452" spans="1:4" x14ac:dyDescent="0.25">
      <c r="A452" s="15">
        <f>Sheet2!A452</f>
        <v>43119.75</v>
      </c>
      <c r="B452" s="6">
        <v>0</v>
      </c>
      <c r="C452" s="7">
        <v>0.43</v>
      </c>
      <c r="D452" s="13">
        <f t="shared" si="7"/>
        <v>0.43</v>
      </c>
    </row>
    <row r="453" spans="1:4" x14ac:dyDescent="0.25">
      <c r="A453" s="15">
        <f>Sheet2!A453</f>
        <v>43119.791666666664</v>
      </c>
      <c r="B453" s="6">
        <v>1.28</v>
      </c>
      <c r="C453" s="7">
        <v>0</v>
      </c>
      <c r="D453" s="13">
        <f t="shared" si="7"/>
        <v>1.28</v>
      </c>
    </row>
    <row r="454" spans="1:4" x14ac:dyDescent="0.25">
      <c r="A454" s="15">
        <f>Sheet2!A454</f>
        <v>43119.833333333336</v>
      </c>
      <c r="B454" s="6">
        <v>0</v>
      </c>
      <c r="C454" s="7">
        <v>0.89</v>
      </c>
      <c r="D454" s="13">
        <f t="shared" si="7"/>
        <v>0.89</v>
      </c>
    </row>
    <row r="455" spans="1:4" x14ac:dyDescent="0.25">
      <c r="A455" s="15">
        <f>Sheet2!A455</f>
        <v>43119.875</v>
      </c>
      <c r="B455" s="6">
        <v>0</v>
      </c>
      <c r="C455" s="7">
        <v>1.8</v>
      </c>
      <c r="D455" s="13">
        <f t="shared" si="7"/>
        <v>1.8</v>
      </c>
    </row>
    <row r="456" spans="1:4" x14ac:dyDescent="0.25">
      <c r="A456" s="15">
        <f>Sheet2!A456</f>
        <v>43119.916666666664</v>
      </c>
      <c r="B456" s="6">
        <v>0</v>
      </c>
      <c r="C456" s="7">
        <v>0.54</v>
      </c>
      <c r="D456" s="13">
        <f t="shared" si="7"/>
        <v>0.54</v>
      </c>
    </row>
    <row r="457" spans="1:4" x14ac:dyDescent="0.25">
      <c r="A457" s="15">
        <f>Sheet2!A457</f>
        <v>43119.958333333336</v>
      </c>
      <c r="B457" s="6">
        <v>2.27</v>
      </c>
      <c r="C457" s="7">
        <v>0</v>
      </c>
      <c r="D457" s="13">
        <f t="shared" si="7"/>
        <v>2.27</v>
      </c>
    </row>
    <row r="458" spans="1:4" x14ac:dyDescent="0.25">
      <c r="A458" s="15">
        <f>Sheet2!A458</f>
        <v>43120</v>
      </c>
      <c r="B458" s="6">
        <v>1.25</v>
      </c>
      <c r="C458" s="7">
        <v>0</v>
      </c>
      <c r="D458" s="13">
        <f t="shared" si="7"/>
        <v>1.25</v>
      </c>
    </row>
    <row r="459" spans="1:4" x14ac:dyDescent="0.25">
      <c r="A459" s="15">
        <f>Sheet2!A459</f>
        <v>43120.041666666664</v>
      </c>
      <c r="B459" s="6">
        <v>1.36</v>
      </c>
      <c r="C459" s="7">
        <v>0</v>
      </c>
      <c r="D459" s="13">
        <f t="shared" si="7"/>
        <v>1.36</v>
      </c>
    </row>
    <row r="460" spans="1:4" x14ac:dyDescent="0.25">
      <c r="A460" s="15">
        <f>Sheet2!A460</f>
        <v>43120.083333333336</v>
      </c>
      <c r="B460" s="6">
        <v>1.24</v>
      </c>
      <c r="C460" s="7">
        <v>0</v>
      </c>
      <c r="D460" s="13">
        <f t="shared" si="7"/>
        <v>1.24</v>
      </c>
    </row>
    <row r="461" spans="1:4" x14ac:dyDescent="0.25">
      <c r="A461" s="15">
        <f>Sheet2!A461</f>
        <v>43120.125</v>
      </c>
      <c r="B461" s="6">
        <v>1.41</v>
      </c>
      <c r="C461" s="7">
        <v>0</v>
      </c>
      <c r="D461" s="13">
        <f t="shared" si="7"/>
        <v>1.41</v>
      </c>
    </row>
    <row r="462" spans="1:4" x14ac:dyDescent="0.25">
      <c r="A462" s="15">
        <f>Sheet2!A462</f>
        <v>43120.166666666664</v>
      </c>
      <c r="B462" s="6">
        <v>1.4</v>
      </c>
      <c r="C462" s="7">
        <v>0</v>
      </c>
      <c r="D462" s="13">
        <f t="shared" si="7"/>
        <v>1.4</v>
      </c>
    </row>
    <row r="463" spans="1:4" x14ac:dyDescent="0.25">
      <c r="A463" s="15">
        <f>Sheet2!A463</f>
        <v>43120.208333333336</v>
      </c>
      <c r="B463" s="6">
        <v>0</v>
      </c>
      <c r="C463" s="7">
        <v>0.37</v>
      </c>
      <c r="D463" s="13">
        <f t="shared" si="7"/>
        <v>0.37</v>
      </c>
    </row>
    <row r="464" spans="1:4" x14ac:dyDescent="0.25">
      <c r="A464" s="15">
        <f>Sheet2!A464</f>
        <v>43120.25</v>
      </c>
      <c r="B464" s="6">
        <v>0</v>
      </c>
      <c r="C464" s="7">
        <v>0.73</v>
      </c>
      <c r="D464" s="13">
        <f t="shared" si="7"/>
        <v>0.73</v>
      </c>
    </row>
    <row r="465" spans="1:4" x14ac:dyDescent="0.25">
      <c r="A465" s="15">
        <f>Sheet2!A465</f>
        <v>43120.291666666664</v>
      </c>
      <c r="B465" s="6">
        <v>0</v>
      </c>
      <c r="C465" s="7">
        <v>0.97</v>
      </c>
      <c r="D465" s="13">
        <f t="shared" si="7"/>
        <v>0.97</v>
      </c>
    </row>
    <row r="466" spans="1:4" x14ac:dyDescent="0.25">
      <c r="A466" s="15">
        <f>Sheet2!A466</f>
        <v>43120.333333333336</v>
      </c>
      <c r="B466" s="6">
        <v>0</v>
      </c>
      <c r="C466" s="7">
        <v>0.5</v>
      </c>
      <c r="D466" s="13">
        <f t="shared" si="7"/>
        <v>0.5</v>
      </c>
    </row>
    <row r="467" spans="1:4" x14ac:dyDescent="0.25">
      <c r="A467" s="15">
        <f>Sheet2!A467</f>
        <v>43120.375</v>
      </c>
      <c r="B467" s="6">
        <v>1.48</v>
      </c>
      <c r="C467" s="7">
        <v>0</v>
      </c>
      <c r="D467" s="13">
        <f t="shared" si="7"/>
        <v>1.48</v>
      </c>
    </row>
    <row r="468" spans="1:4" x14ac:dyDescent="0.25">
      <c r="A468" s="15">
        <f>Sheet2!A468</f>
        <v>43120.416666666664</v>
      </c>
      <c r="B468" s="6">
        <v>0</v>
      </c>
      <c r="C468" s="7">
        <v>0.78</v>
      </c>
      <c r="D468" s="13">
        <f t="shared" si="7"/>
        <v>0.78</v>
      </c>
    </row>
    <row r="469" spans="1:4" x14ac:dyDescent="0.25">
      <c r="A469" s="15">
        <f>Sheet2!A469</f>
        <v>43120.458333333336</v>
      </c>
      <c r="B469" s="6">
        <v>0</v>
      </c>
      <c r="C469" s="7">
        <v>1.1200000000000001</v>
      </c>
      <c r="D469" s="13">
        <f t="shared" si="7"/>
        <v>1.1200000000000001</v>
      </c>
    </row>
    <row r="470" spans="1:4" x14ac:dyDescent="0.25">
      <c r="A470" s="15">
        <f>Sheet2!A470</f>
        <v>43120.5</v>
      </c>
      <c r="B470" s="6">
        <v>0</v>
      </c>
      <c r="C470" s="7">
        <v>1.18</v>
      </c>
      <c r="D470" s="13">
        <f t="shared" si="7"/>
        <v>1.18</v>
      </c>
    </row>
    <row r="471" spans="1:4" x14ac:dyDescent="0.25">
      <c r="A471" s="15">
        <f>Sheet2!A471</f>
        <v>43120.541666666664</v>
      </c>
      <c r="B471" s="6">
        <v>0</v>
      </c>
      <c r="C471" s="7">
        <v>0.47</v>
      </c>
      <c r="D471" s="13">
        <f t="shared" si="7"/>
        <v>0.47</v>
      </c>
    </row>
    <row r="472" spans="1:4" x14ac:dyDescent="0.25">
      <c r="A472" s="15">
        <f>Sheet2!A472</f>
        <v>43120.583333333336</v>
      </c>
      <c r="B472" s="6">
        <v>2.41</v>
      </c>
      <c r="C472" s="7">
        <v>0</v>
      </c>
      <c r="D472" s="13">
        <f t="shared" si="7"/>
        <v>2.41</v>
      </c>
    </row>
    <row r="473" spans="1:4" x14ac:dyDescent="0.25">
      <c r="A473" s="15">
        <f>Sheet2!A473</f>
        <v>43120.625</v>
      </c>
      <c r="B473" s="6">
        <v>2.4900000000000002</v>
      </c>
      <c r="C473" s="7">
        <v>0</v>
      </c>
      <c r="D473" s="13">
        <f t="shared" si="7"/>
        <v>2.4900000000000002</v>
      </c>
    </row>
    <row r="474" spans="1:4" x14ac:dyDescent="0.25">
      <c r="A474" s="15">
        <f>Sheet2!A474</f>
        <v>43120.666666666664</v>
      </c>
      <c r="B474" s="6">
        <v>0</v>
      </c>
      <c r="C474" s="7">
        <v>0.95</v>
      </c>
      <c r="D474" s="13">
        <f t="shared" si="7"/>
        <v>0.95</v>
      </c>
    </row>
    <row r="475" spans="1:4" x14ac:dyDescent="0.25">
      <c r="A475" s="15">
        <f>Sheet2!A475</f>
        <v>43120.708333333336</v>
      </c>
      <c r="B475" s="6">
        <v>0</v>
      </c>
      <c r="C475" s="7">
        <v>1.88</v>
      </c>
      <c r="D475" s="13">
        <f t="shared" si="7"/>
        <v>1.88</v>
      </c>
    </row>
    <row r="476" spans="1:4" x14ac:dyDescent="0.25">
      <c r="A476" s="15">
        <f>Sheet2!A476</f>
        <v>43120.75</v>
      </c>
      <c r="B476" s="6">
        <v>0</v>
      </c>
      <c r="C476" s="7">
        <v>1.55</v>
      </c>
      <c r="D476" s="13">
        <f t="shared" si="7"/>
        <v>1.55</v>
      </c>
    </row>
    <row r="477" spans="1:4" x14ac:dyDescent="0.25">
      <c r="A477" s="15">
        <f>Sheet2!A477</f>
        <v>43120.791666666664</v>
      </c>
      <c r="B477" s="6">
        <v>0</v>
      </c>
      <c r="C477" s="7">
        <v>0.65</v>
      </c>
      <c r="D477" s="13">
        <f t="shared" si="7"/>
        <v>0.65</v>
      </c>
    </row>
    <row r="478" spans="1:4" x14ac:dyDescent="0.25">
      <c r="A478" s="15">
        <f>Sheet2!A478</f>
        <v>43120.833333333336</v>
      </c>
      <c r="B478" s="6">
        <v>1.9</v>
      </c>
      <c r="C478" s="7">
        <v>0</v>
      </c>
      <c r="D478" s="13">
        <f t="shared" si="7"/>
        <v>1.9</v>
      </c>
    </row>
    <row r="479" spans="1:4" x14ac:dyDescent="0.25">
      <c r="A479" s="15">
        <f>Sheet2!A479</f>
        <v>43120.875</v>
      </c>
      <c r="B479" s="6">
        <v>2.38</v>
      </c>
      <c r="C479" s="7">
        <v>0</v>
      </c>
      <c r="D479" s="13">
        <f t="shared" si="7"/>
        <v>2.38</v>
      </c>
    </row>
    <row r="480" spans="1:4" x14ac:dyDescent="0.25">
      <c r="A480" s="15">
        <f>Sheet2!A480</f>
        <v>43120.916666666664</v>
      </c>
      <c r="B480" s="6">
        <v>0</v>
      </c>
      <c r="C480" s="7">
        <v>0.46</v>
      </c>
      <c r="D480" s="13">
        <f t="shared" si="7"/>
        <v>0.46</v>
      </c>
    </row>
    <row r="481" spans="1:4" x14ac:dyDescent="0.25">
      <c r="A481" s="15">
        <f>Sheet2!A481</f>
        <v>43120.958333333336</v>
      </c>
      <c r="B481" s="6">
        <v>2.06</v>
      </c>
      <c r="C481" s="7">
        <v>0</v>
      </c>
      <c r="D481" s="13">
        <f t="shared" si="7"/>
        <v>2.06</v>
      </c>
    </row>
    <row r="482" spans="1:4" x14ac:dyDescent="0.25">
      <c r="A482" s="15">
        <f>Sheet2!A482</f>
        <v>43121</v>
      </c>
      <c r="B482" s="6">
        <v>1.92</v>
      </c>
      <c r="C482" s="7">
        <v>0</v>
      </c>
      <c r="D482" s="13">
        <f t="shared" si="7"/>
        <v>1.92</v>
      </c>
    </row>
    <row r="483" spans="1:4" x14ac:dyDescent="0.25">
      <c r="A483" s="15">
        <f>Sheet2!A483</f>
        <v>43121.041666666664</v>
      </c>
      <c r="B483" s="6">
        <v>2.21</v>
      </c>
      <c r="C483" s="7">
        <v>0</v>
      </c>
      <c r="D483" s="13">
        <f t="shared" si="7"/>
        <v>2.21</v>
      </c>
    </row>
    <row r="484" spans="1:4" x14ac:dyDescent="0.25">
      <c r="A484" s="15">
        <f>Sheet2!A484</f>
        <v>43121.083333333336</v>
      </c>
      <c r="B484" s="6">
        <v>1.91</v>
      </c>
      <c r="C484" s="7">
        <v>0</v>
      </c>
      <c r="D484" s="13">
        <f t="shared" si="7"/>
        <v>1.91</v>
      </c>
    </row>
    <row r="485" spans="1:4" x14ac:dyDescent="0.25">
      <c r="A485" s="15">
        <f>Sheet2!A485</f>
        <v>43121.125</v>
      </c>
      <c r="B485" s="6">
        <v>2.4300000000000002</v>
      </c>
      <c r="C485" s="7">
        <v>0</v>
      </c>
      <c r="D485" s="13">
        <f t="shared" si="7"/>
        <v>2.4300000000000002</v>
      </c>
    </row>
    <row r="486" spans="1:4" x14ac:dyDescent="0.25">
      <c r="A486" s="15">
        <f>Sheet2!A486</f>
        <v>43121.166666666664</v>
      </c>
      <c r="B486" s="6">
        <v>1.31</v>
      </c>
      <c r="C486" s="7">
        <v>0</v>
      </c>
      <c r="D486" s="13">
        <f t="shared" si="7"/>
        <v>1.31</v>
      </c>
    </row>
    <row r="487" spans="1:4" x14ac:dyDescent="0.25">
      <c r="A487" s="15">
        <f>Sheet2!A487</f>
        <v>43121.208333333336</v>
      </c>
      <c r="B487" s="6">
        <v>0.75</v>
      </c>
      <c r="C487" s="7">
        <v>0</v>
      </c>
      <c r="D487" s="13">
        <f t="shared" si="7"/>
        <v>0.75</v>
      </c>
    </row>
    <row r="488" spans="1:4" x14ac:dyDescent="0.25">
      <c r="A488" s="15">
        <f>Sheet2!A488</f>
        <v>43121.25</v>
      </c>
      <c r="B488" s="6">
        <v>0</v>
      </c>
      <c r="C488" s="7">
        <v>0.27</v>
      </c>
      <c r="D488" s="13">
        <f t="shared" si="7"/>
        <v>0.27</v>
      </c>
    </row>
    <row r="489" spans="1:4" x14ac:dyDescent="0.25">
      <c r="A489" s="15">
        <f>Sheet2!A489</f>
        <v>43121.291666666664</v>
      </c>
      <c r="B489" s="6">
        <v>0</v>
      </c>
      <c r="C489" s="7">
        <v>0.67</v>
      </c>
      <c r="D489" s="13">
        <f t="shared" si="7"/>
        <v>0.67</v>
      </c>
    </row>
    <row r="490" spans="1:4" x14ac:dyDescent="0.25">
      <c r="A490" s="15">
        <f>Sheet2!A490</f>
        <v>43121.333333333336</v>
      </c>
      <c r="B490" s="6">
        <v>0</v>
      </c>
      <c r="C490" s="7">
        <v>0.41</v>
      </c>
      <c r="D490" s="13">
        <f t="shared" si="7"/>
        <v>0.41</v>
      </c>
    </row>
    <row r="491" spans="1:4" x14ac:dyDescent="0.25">
      <c r="A491" s="15">
        <f>Sheet2!A491</f>
        <v>43121.375</v>
      </c>
      <c r="B491" s="6">
        <v>0.83</v>
      </c>
      <c r="C491" s="7">
        <v>0</v>
      </c>
      <c r="D491" s="13">
        <f t="shared" si="7"/>
        <v>0.83</v>
      </c>
    </row>
    <row r="492" spans="1:4" x14ac:dyDescent="0.25">
      <c r="A492" s="15">
        <f>Sheet2!A492</f>
        <v>43121.416666666664</v>
      </c>
      <c r="B492" s="6">
        <v>0</v>
      </c>
      <c r="C492" s="7">
        <v>1.3</v>
      </c>
      <c r="D492" s="13">
        <f t="shared" si="7"/>
        <v>1.3</v>
      </c>
    </row>
    <row r="493" spans="1:4" x14ac:dyDescent="0.25">
      <c r="A493" s="15">
        <f>Sheet2!A493</f>
        <v>43121.458333333336</v>
      </c>
      <c r="B493" s="6">
        <v>0</v>
      </c>
      <c r="C493" s="7">
        <v>2.06</v>
      </c>
      <c r="D493" s="13">
        <f t="shared" si="7"/>
        <v>2.06</v>
      </c>
    </row>
    <row r="494" spans="1:4" x14ac:dyDescent="0.25">
      <c r="A494" s="15">
        <f>Sheet2!A494</f>
        <v>43121.5</v>
      </c>
      <c r="B494" s="6">
        <v>0</v>
      </c>
      <c r="C494" s="7">
        <v>0.72</v>
      </c>
      <c r="D494" s="13">
        <f t="shared" si="7"/>
        <v>0.72</v>
      </c>
    </row>
    <row r="495" spans="1:4" x14ac:dyDescent="0.25">
      <c r="A495" s="15">
        <f>Sheet2!A495</f>
        <v>43121.541666666664</v>
      </c>
      <c r="B495" s="6">
        <v>1.57</v>
      </c>
      <c r="C495" s="7">
        <v>0</v>
      </c>
      <c r="D495" s="13">
        <f t="shared" si="7"/>
        <v>1.57</v>
      </c>
    </row>
    <row r="496" spans="1:4" x14ac:dyDescent="0.25">
      <c r="A496" s="15">
        <f>Sheet2!A496</f>
        <v>43121.583333333336</v>
      </c>
      <c r="B496" s="6">
        <v>0</v>
      </c>
      <c r="C496" s="7">
        <v>1.37</v>
      </c>
      <c r="D496" s="13">
        <f t="shared" si="7"/>
        <v>1.37</v>
      </c>
    </row>
    <row r="497" spans="1:4" x14ac:dyDescent="0.25">
      <c r="A497" s="15">
        <f>Sheet2!A497</f>
        <v>43121.625</v>
      </c>
      <c r="B497" s="6">
        <v>0</v>
      </c>
      <c r="C497" s="7">
        <v>1.94</v>
      </c>
      <c r="D497" s="13">
        <f t="shared" si="7"/>
        <v>1.94</v>
      </c>
    </row>
    <row r="498" spans="1:4" x14ac:dyDescent="0.25">
      <c r="A498" s="15">
        <f>Sheet2!A498</f>
        <v>43121.666666666664</v>
      </c>
      <c r="B498" s="6">
        <v>0</v>
      </c>
      <c r="C498" s="7">
        <v>1.86</v>
      </c>
      <c r="D498" s="13">
        <f t="shared" si="7"/>
        <v>1.86</v>
      </c>
    </row>
    <row r="499" spans="1:4" x14ac:dyDescent="0.25">
      <c r="A499" s="15">
        <f>Sheet2!A499</f>
        <v>43121.708333333336</v>
      </c>
      <c r="B499" s="6">
        <v>0</v>
      </c>
      <c r="C499" s="7">
        <v>1.66</v>
      </c>
      <c r="D499" s="13">
        <f t="shared" si="7"/>
        <v>1.66</v>
      </c>
    </row>
    <row r="500" spans="1:4" x14ac:dyDescent="0.25">
      <c r="A500" s="15">
        <f>Sheet2!A500</f>
        <v>43121.75</v>
      </c>
      <c r="B500" s="6">
        <v>0</v>
      </c>
      <c r="C500" s="7">
        <v>0.27</v>
      </c>
      <c r="D500" s="13">
        <f t="shared" si="7"/>
        <v>0.27</v>
      </c>
    </row>
    <row r="501" spans="1:4" x14ac:dyDescent="0.25">
      <c r="A501" s="15">
        <f>Sheet2!A501</f>
        <v>43121.791666666664</v>
      </c>
      <c r="B501" s="6">
        <v>1.54</v>
      </c>
      <c r="C501" s="7">
        <v>0</v>
      </c>
      <c r="D501" s="13">
        <f t="shared" si="7"/>
        <v>1.54</v>
      </c>
    </row>
    <row r="502" spans="1:4" x14ac:dyDescent="0.25">
      <c r="A502" s="15">
        <f>Sheet2!A502</f>
        <v>43121.833333333336</v>
      </c>
      <c r="B502" s="6">
        <v>0</v>
      </c>
      <c r="C502" s="7">
        <v>0.94</v>
      </c>
      <c r="D502" s="13">
        <f t="shared" si="7"/>
        <v>0.94</v>
      </c>
    </row>
    <row r="503" spans="1:4" x14ac:dyDescent="0.25">
      <c r="A503" s="15">
        <f>Sheet2!A503</f>
        <v>43121.875</v>
      </c>
      <c r="B503" s="6">
        <v>0</v>
      </c>
      <c r="C503" s="7">
        <v>1.48</v>
      </c>
      <c r="D503" s="13">
        <f t="shared" si="7"/>
        <v>1.48</v>
      </c>
    </row>
    <row r="504" spans="1:4" x14ac:dyDescent="0.25">
      <c r="A504" s="15">
        <f>Sheet2!A504</f>
        <v>43121.916666666664</v>
      </c>
      <c r="B504" s="6">
        <v>0</v>
      </c>
      <c r="C504" s="7">
        <v>0.52</v>
      </c>
      <c r="D504" s="13">
        <f t="shared" si="7"/>
        <v>0.52</v>
      </c>
    </row>
    <row r="505" spans="1:4" x14ac:dyDescent="0.25">
      <c r="A505" s="15">
        <f>Sheet2!A505</f>
        <v>43121.958333333336</v>
      </c>
      <c r="B505" s="6">
        <v>2.4900000000000002</v>
      </c>
      <c r="C505" s="7">
        <v>0</v>
      </c>
      <c r="D505" s="13">
        <f t="shared" si="7"/>
        <v>2.4900000000000002</v>
      </c>
    </row>
    <row r="506" spans="1:4" x14ac:dyDescent="0.25">
      <c r="A506" s="15">
        <f>Sheet2!A506</f>
        <v>43122</v>
      </c>
      <c r="B506" s="6">
        <v>2.2599999999999998</v>
      </c>
      <c r="C506" s="7">
        <v>0</v>
      </c>
      <c r="D506" s="13">
        <f t="shared" si="7"/>
        <v>2.2599999999999998</v>
      </c>
    </row>
    <row r="507" spans="1:4" x14ac:dyDescent="0.25">
      <c r="A507" s="15">
        <f>Sheet2!A507</f>
        <v>43122.041666666664</v>
      </c>
      <c r="B507" s="6">
        <v>2.0099999999999998</v>
      </c>
      <c r="C507" s="7">
        <v>0</v>
      </c>
      <c r="D507" s="13">
        <f t="shared" si="7"/>
        <v>2.0099999999999998</v>
      </c>
    </row>
    <row r="508" spans="1:4" x14ac:dyDescent="0.25">
      <c r="A508" s="15">
        <f>Sheet2!A508</f>
        <v>43122.083333333336</v>
      </c>
      <c r="B508" s="6">
        <v>1.83</v>
      </c>
      <c r="C508" s="7">
        <v>0</v>
      </c>
      <c r="D508" s="13">
        <f t="shared" si="7"/>
        <v>1.83</v>
      </c>
    </row>
    <row r="509" spans="1:4" x14ac:dyDescent="0.25">
      <c r="A509" s="15">
        <f>Sheet2!A509</f>
        <v>43122.125</v>
      </c>
      <c r="B509" s="6">
        <v>0</v>
      </c>
      <c r="C509" s="7">
        <v>2.11</v>
      </c>
      <c r="D509" s="13">
        <f t="shared" si="7"/>
        <v>2.11</v>
      </c>
    </row>
    <row r="510" spans="1:4" x14ac:dyDescent="0.25">
      <c r="A510" s="15">
        <f>Sheet2!A510</f>
        <v>43122.166666666664</v>
      </c>
      <c r="B510" s="6">
        <v>0</v>
      </c>
      <c r="C510" s="7">
        <v>0.48</v>
      </c>
      <c r="D510" s="13">
        <f t="shared" si="7"/>
        <v>0.48</v>
      </c>
    </row>
    <row r="511" spans="1:4" x14ac:dyDescent="0.25">
      <c r="A511" s="15">
        <f>Sheet2!A511</f>
        <v>43122.208333333336</v>
      </c>
      <c r="B511" s="6">
        <v>1.1299999999999999</v>
      </c>
      <c r="C511" s="7">
        <v>0</v>
      </c>
      <c r="D511" s="13">
        <f t="shared" si="7"/>
        <v>1.1299999999999999</v>
      </c>
    </row>
    <row r="512" spans="1:4" x14ac:dyDescent="0.25">
      <c r="A512" s="15">
        <f>Sheet2!A512</f>
        <v>43122.25</v>
      </c>
      <c r="B512" s="6">
        <v>0</v>
      </c>
      <c r="C512" s="7">
        <v>0.37</v>
      </c>
      <c r="D512" s="13">
        <f t="shared" si="7"/>
        <v>0.37</v>
      </c>
    </row>
    <row r="513" spans="1:4" x14ac:dyDescent="0.25">
      <c r="A513" s="15">
        <f>Sheet2!A513</f>
        <v>43122.291666666664</v>
      </c>
      <c r="B513" s="6">
        <v>0</v>
      </c>
      <c r="C513" s="7">
        <v>0.69</v>
      </c>
      <c r="D513" s="13">
        <f t="shared" si="7"/>
        <v>0.69</v>
      </c>
    </row>
    <row r="514" spans="1:4" x14ac:dyDescent="0.25">
      <c r="A514" s="15">
        <f>Sheet2!A514</f>
        <v>43122.333333333336</v>
      </c>
      <c r="B514" s="6">
        <v>0</v>
      </c>
      <c r="C514" s="7">
        <v>0.89</v>
      </c>
      <c r="D514" s="13">
        <f t="shared" si="7"/>
        <v>0.89</v>
      </c>
    </row>
    <row r="515" spans="1:4" x14ac:dyDescent="0.25">
      <c r="A515" s="15">
        <f>Sheet2!A515</f>
        <v>43122.375</v>
      </c>
      <c r="B515" s="6">
        <v>0</v>
      </c>
      <c r="C515" s="7">
        <v>1.68</v>
      </c>
      <c r="D515" s="13">
        <f t="shared" ref="D515:D578" si="8">B515+C515</f>
        <v>1.68</v>
      </c>
    </row>
    <row r="516" spans="1:4" x14ac:dyDescent="0.25">
      <c r="A516" s="15">
        <f>Sheet2!A516</f>
        <v>43122.416666666664</v>
      </c>
      <c r="B516" s="6">
        <v>0</v>
      </c>
      <c r="C516" s="7">
        <v>1.33</v>
      </c>
      <c r="D516" s="13">
        <f t="shared" si="8"/>
        <v>1.33</v>
      </c>
    </row>
    <row r="517" spans="1:4" x14ac:dyDescent="0.25">
      <c r="A517" s="15">
        <f>Sheet2!A517</f>
        <v>43122.458333333336</v>
      </c>
      <c r="B517" s="6">
        <v>2.2000000000000002</v>
      </c>
      <c r="C517" s="7">
        <v>0</v>
      </c>
      <c r="D517" s="13">
        <f t="shared" si="8"/>
        <v>2.2000000000000002</v>
      </c>
    </row>
    <row r="518" spans="1:4" x14ac:dyDescent="0.25">
      <c r="A518" s="15">
        <f>Sheet2!A518</f>
        <v>43122.5</v>
      </c>
      <c r="B518" s="6">
        <v>0</v>
      </c>
      <c r="C518" s="7">
        <v>1.02</v>
      </c>
      <c r="D518" s="13">
        <f t="shared" si="8"/>
        <v>1.02</v>
      </c>
    </row>
    <row r="519" spans="1:4" x14ac:dyDescent="0.25">
      <c r="A519" s="15">
        <f>Sheet2!A519</f>
        <v>43122.541666666664</v>
      </c>
      <c r="B519" s="6">
        <v>0</v>
      </c>
      <c r="C519" s="7">
        <v>1.28</v>
      </c>
      <c r="D519" s="13">
        <f t="shared" si="8"/>
        <v>1.28</v>
      </c>
    </row>
    <row r="520" spans="1:4" x14ac:dyDescent="0.25">
      <c r="A520" s="15">
        <f>Sheet2!A520</f>
        <v>43122.583333333336</v>
      </c>
      <c r="B520" s="6">
        <v>0</v>
      </c>
      <c r="C520" s="7">
        <v>1.31</v>
      </c>
      <c r="D520" s="13">
        <f t="shared" si="8"/>
        <v>1.31</v>
      </c>
    </row>
    <row r="521" spans="1:4" x14ac:dyDescent="0.25">
      <c r="A521" s="15">
        <f>Sheet2!A521</f>
        <v>43122.625</v>
      </c>
      <c r="B521" s="6">
        <v>0</v>
      </c>
      <c r="C521" s="7">
        <v>0.59</v>
      </c>
      <c r="D521" s="13">
        <f t="shared" si="8"/>
        <v>0.59</v>
      </c>
    </row>
    <row r="522" spans="1:4" x14ac:dyDescent="0.25">
      <c r="A522" s="15">
        <f>Sheet2!A522</f>
        <v>43122.666666666664</v>
      </c>
      <c r="B522" s="6">
        <v>0</v>
      </c>
      <c r="C522" s="7">
        <v>0.92</v>
      </c>
      <c r="D522" s="13">
        <f t="shared" si="8"/>
        <v>0.92</v>
      </c>
    </row>
    <row r="523" spans="1:4" x14ac:dyDescent="0.25">
      <c r="A523" s="15">
        <f>Sheet2!A523</f>
        <v>43122.708333333336</v>
      </c>
      <c r="B523" s="6">
        <v>0</v>
      </c>
      <c r="C523" s="7">
        <v>1.45</v>
      </c>
      <c r="D523" s="13">
        <f t="shared" si="8"/>
        <v>1.45</v>
      </c>
    </row>
    <row r="524" spans="1:4" x14ac:dyDescent="0.25">
      <c r="A524" s="15">
        <f>Sheet2!A524</f>
        <v>43122.75</v>
      </c>
      <c r="B524" s="6">
        <v>0</v>
      </c>
      <c r="C524" s="7">
        <v>2.2400000000000002</v>
      </c>
      <c r="D524" s="13">
        <f t="shared" si="8"/>
        <v>2.2400000000000002</v>
      </c>
    </row>
    <row r="525" spans="1:4" x14ac:dyDescent="0.25">
      <c r="A525" s="15">
        <f>Sheet2!A525</f>
        <v>43122.791666666664</v>
      </c>
      <c r="B525" s="6">
        <v>0</v>
      </c>
      <c r="C525" s="7">
        <v>2.17</v>
      </c>
      <c r="D525" s="13">
        <f t="shared" si="8"/>
        <v>2.17</v>
      </c>
    </row>
    <row r="526" spans="1:4" x14ac:dyDescent="0.25">
      <c r="A526" s="15">
        <f>Sheet2!A526</f>
        <v>43122.833333333336</v>
      </c>
      <c r="B526" s="6">
        <v>0</v>
      </c>
      <c r="C526" s="7">
        <v>0.86</v>
      </c>
      <c r="D526" s="13">
        <f t="shared" si="8"/>
        <v>0.86</v>
      </c>
    </row>
    <row r="527" spans="1:4" x14ac:dyDescent="0.25">
      <c r="A527" s="15">
        <f>Sheet2!A527</f>
        <v>43122.875</v>
      </c>
      <c r="B527" s="6">
        <v>2.35</v>
      </c>
      <c r="C527" s="7">
        <v>0</v>
      </c>
      <c r="D527" s="13">
        <f t="shared" si="8"/>
        <v>2.35</v>
      </c>
    </row>
    <row r="528" spans="1:4" x14ac:dyDescent="0.25">
      <c r="A528" s="15">
        <f>Sheet2!A528</f>
        <v>43122.916666666664</v>
      </c>
      <c r="B528" s="6">
        <v>0</v>
      </c>
      <c r="C528" s="7">
        <v>0.8</v>
      </c>
      <c r="D528" s="13">
        <f t="shared" si="8"/>
        <v>0.8</v>
      </c>
    </row>
    <row r="529" spans="1:4" x14ac:dyDescent="0.25">
      <c r="A529" s="15">
        <f>Sheet2!A529</f>
        <v>43122.958333333336</v>
      </c>
      <c r="B529" s="6">
        <v>0</v>
      </c>
      <c r="C529" s="7">
        <v>1.26</v>
      </c>
      <c r="D529" s="13">
        <f t="shared" si="8"/>
        <v>1.26</v>
      </c>
    </row>
    <row r="530" spans="1:4" x14ac:dyDescent="0.25">
      <c r="A530" s="15">
        <f>Sheet2!A530</f>
        <v>43123</v>
      </c>
      <c r="B530" s="6">
        <v>2.04</v>
      </c>
      <c r="C530" s="7">
        <v>0</v>
      </c>
      <c r="D530" s="13">
        <f t="shared" si="8"/>
        <v>2.04</v>
      </c>
    </row>
    <row r="531" spans="1:4" x14ac:dyDescent="0.25">
      <c r="A531" s="15">
        <f>Sheet2!A531</f>
        <v>43123.041666666664</v>
      </c>
      <c r="B531" s="6">
        <v>1.85</v>
      </c>
      <c r="C531" s="7">
        <v>0</v>
      </c>
      <c r="D531" s="13">
        <f t="shared" si="8"/>
        <v>1.85</v>
      </c>
    </row>
    <row r="532" spans="1:4" x14ac:dyDescent="0.25">
      <c r="A532" s="15">
        <f>Sheet2!A532</f>
        <v>43123.083333333336</v>
      </c>
      <c r="B532" s="6">
        <v>2.21</v>
      </c>
      <c r="C532" s="7">
        <v>0</v>
      </c>
      <c r="D532" s="13">
        <f t="shared" si="8"/>
        <v>2.21</v>
      </c>
    </row>
    <row r="533" spans="1:4" x14ac:dyDescent="0.25">
      <c r="A533" s="15">
        <f>Sheet2!A533</f>
        <v>43123.125</v>
      </c>
      <c r="B533" s="6">
        <v>2.62</v>
      </c>
      <c r="C533" s="7">
        <v>0</v>
      </c>
      <c r="D533" s="13">
        <f t="shared" si="8"/>
        <v>2.62</v>
      </c>
    </row>
    <row r="534" spans="1:4" x14ac:dyDescent="0.25">
      <c r="A534" s="15">
        <f>Sheet2!A534</f>
        <v>43123.166666666664</v>
      </c>
      <c r="B534" s="6">
        <v>1.38</v>
      </c>
      <c r="C534" s="7">
        <v>0</v>
      </c>
      <c r="D534" s="13">
        <f t="shared" si="8"/>
        <v>1.38</v>
      </c>
    </row>
    <row r="535" spans="1:4" x14ac:dyDescent="0.25">
      <c r="A535" s="15">
        <f>Sheet2!A535</f>
        <v>43123.208333333336</v>
      </c>
      <c r="B535" s="6">
        <v>0.86</v>
      </c>
      <c r="C535" s="7">
        <v>0</v>
      </c>
      <c r="D535" s="13">
        <f t="shared" si="8"/>
        <v>0.86</v>
      </c>
    </row>
    <row r="536" spans="1:4" x14ac:dyDescent="0.25">
      <c r="A536" s="15">
        <f>Sheet2!A536</f>
        <v>43123.25</v>
      </c>
      <c r="B536" s="6">
        <v>0</v>
      </c>
      <c r="C536" s="7">
        <v>0.47</v>
      </c>
      <c r="D536" s="13">
        <f t="shared" si="8"/>
        <v>0.47</v>
      </c>
    </row>
    <row r="537" spans="1:4" x14ac:dyDescent="0.25">
      <c r="A537" s="15">
        <f>Sheet2!A537</f>
        <v>43123.291666666664</v>
      </c>
      <c r="B537" s="6">
        <v>0</v>
      </c>
      <c r="C537" s="7">
        <v>0.89</v>
      </c>
      <c r="D537" s="13">
        <f t="shared" si="8"/>
        <v>0.89</v>
      </c>
    </row>
    <row r="538" spans="1:4" x14ac:dyDescent="0.25">
      <c r="A538" s="15">
        <f>Sheet2!A538</f>
        <v>43123.333333333336</v>
      </c>
      <c r="B538" s="6">
        <v>0</v>
      </c>
      <c r="C538" s="7">
        <v>0.4</v>
      </c>
      <c r="D538" s="13">
        <f t="shared" si="8"/>
        <v>0.4</v>
      </c>
    </row>
    <row r="539" spans="1:4" x14ac:dyDescent="0.25">
      <c r="A539" s="15">
        <f>Sheet2!A539</f>
        <v>43123.375</v>
      </c>
      <c r="B539" s="6">
        <v>1.75</v>
      </c>
      <c r="C539" s="7">
        <v>0</v>
      </c>
      <c r="D539" s="13">
        <f t="shared" si="8"/>
        <v>1.75</v>
      </c>
    </row>
    <row r="540" spans="1:4" x14ac:dyDescent="0.25">
      <c r="A540" s="15">
        <f>Sheet2!A540</f>
        <v>43123.416666666664</v>
      </c>
      <c r="B540" s="6">
        <v>0</v>
      </c>
      <c r="C540" s="7">
        <v>1.39</v>
      </c>
      <c r="D540" s="13">
        <f t="shared" si="8"/>
        <v>1.39</v>
      </c>
    </row>
    <row r="541" spans="1:4" x14ac:dyDescent="0.25">
      <c r="A541" s="15">
        <f>Sheet2!A541</f>
        <v>43123.458333333336</v>
      </c>
      <c r="B541" s="6">
        <v>0</v>
      </c>
      <c r="C541" s="7">
        <v>2.04</v>
      </c>
      <c r="D541" s="13">
        <f t="shared" si="8"/>
        <v>2.04</v>
      </c>
    </row>
    <row r="542" spans="1:4" x14ac:dyDescent="0.25">
      <c r="A542" s="15">
        <f>Sheet2!A542</f>
        <v>43123.5</v>
      </c>
      <c r="B542" s="6">
        <v>0</v>
      </c>
      <c r="C542" s="7">
        <v>0.74</v>
      </c>
      <c r="D542" s="13">
        <f t="shared" si="8"/>
        <v>0.74</v>
      </c>
    </row>
    <row r="543" spans="1:4" x14ac:dyDescent="0.25">
      <c r="A543" s="15">
        <f>Sheet2!A543</f>
        <v>43123.541666666664</v>
      </c>
      <c r="B543" s="6">
        <v>0</v>
      </c>
      <c r="C543" s="7">
        <v>1.73</v>
      </c>
      <c r="D543" s="13">
        <f t="shared" si="8"/>
        <v>1.73</v>
      </c>
    </row>
    <row r="544" spans="1:4" x14ac:dyDescent="0.25">
      <c r="A544" s="15">
        <f>Sheet2!A544</f>
        <v>43123.583333333336</v>
      </c>
      <c r="B544" s="6">
        <v>0</v>
      </c>
      <c r="C544" s="7">
        <v>2.59</v>
      </c>
      <c r="D544" s="13">
        <f t="shared" si="8"/>
        <v>2.59</v>
      </c>
    </row>
    <row r="545" spans="1:4" x14ac:dyDescent="0.25">
      <c r="A545" s="15">
        <f>Sheet2!A545</f>
        <v>43123.625</v>
      </c>
      <c r="B545" s="6">
        <v>0</v>
      </c>
      <c r="C545" s="7">
        <v>2.33</v>
      </c>
      <c r="D545" s="13">
        <f t="shared" si="8"/>
        <v>2.33</v>
      </c>
    </row>
    <row r="546" spans="1:4" x14ac:dyDescent="0.25">
      <c r="A546" s="15">
        <f>Sheet2!A546</f>
        <v>43123.666666666664</v>
      </c>
      <c r="B546" s="6">
        <v>0</v>
      </c>
      <c r="C546" s="7">
        <v>0.56999999999999995</v>
      </c>
      <c r="D546" s="13">
        <f t="shared" si="8"/>
        <v>0.56999999999999995</v>
      </c>
    </row>
    <row r="547" spans="1:4" x14ac:dyDescent="0.25">
      <c r="A547" s="15">
        <f>Sheet2!A547</f>
        <v>43123.708333333336</v>
      </c>
      <c r="B547" s="6">
        <v>0</v>
      </c>
      <c r="C547" s="7">
        <v>1.4</v>
      </c>
      <c r="D547" s="13">
        <f t="shared" si="8"/>
        <v>1.4</v>
      </c>
    </row>
    <row r="548" spans="1:4" x14ac:dyDescent="0.25">
      <c r="A548" s="15">
        <f>Sheet2!A548</f>
        <v>43123.75</v>
      </c>
      <c r="B548" s="6">
        <v>0</v>
      </c>
      <c r="C548" s="7">
        <v>2.0499999999999998</v>
      </c>
      <c r="D548" s="13">
        <f t="shared" si="8"/>
        <v>2.0499999999999998</v>
      </c>
    </row>
    <row r="549" spans="1:4" x14ac:dyDescent="0.25">
      <c r="A549" s="15">
        <f>Sheet2!A549</f>
        <v>43123.791666666664</v>
      </c>
      <c r="B549" s="6">
        <v>0</v>
      </c>
      <c r="C549" s="7">
        <v>2.48</v>
      </c>
      <c r="D549" s="13">
        <f t="shared" si="8"/>
        <v>2.48</v>
      </c>
    </row>
    <row r="550" spans="1:4" x14ac:dyDescent="0.25">
      <c r="A550" s="15">
        <f>Sheet2!A550</f>
        <v>43123.833333333336</v>
      </c>
      <c r="B550" s="6">
        <v>0</v>
      </c>
      <c r="C550" s="7">
        <v>0.59</v>
      </c>
      <c r="D550" s="13">
        <f t="shared" si="8"/>
        <v>0.59</v>
      </c>
    </row>
    <row r="551" spans="1:4" x14ac:dyDescent="0.25">
      <c r="A551" s="15">
        <f>Sheet2!A551</f>
        <v>43123.875</v>
      </c>
      <c r="B551" s="6">
        <v>2.46</v>
      </c>
      <c r="C551" s="7">
        <v>0</v>
      </c>
      <c r="D551" s="13">
        <f t="shared" si="8"/>
        <v>2.46</v>
      </c>
    </row>
    <row r="552" spans="1:4" x14ac:dyDescent="0.25">
      <c r="A552" s="15">
        <f>Sheet2!A552</f>
        <v>43123.916666666664</v>
      </c>
      <c r="B552" s="6">
        <v>2.06</v>
      </c>
      <c r="C552" s="7">
        <v>0</v>
      </c>
      <c r="D552" s="13">
        <f t="shared" si="8"/>
        <v>2.06</v>
      </c>
    </row>
    <row r="553" spans="1:4" x14ac:dyDescent="0.25">
      <c r="A553" s="15">
        <f>Sheet2!A553</f>
        <v>43123.958333333336</v>
      </c>
      <c r="B553" s="6">
        <v>1.78</v>
      </c>
      <c r="C553" s="7">
        <v>0</v>
      </c>
      <c r="D553" s="13">
        <f t="shared" si="8"/>
        <v>1.78</v>
      </c>
    </row>
    <row r="554" spans="1:4" x14ac:dyDescent="0.25">
      <c r="A554" s="15">
        <f>Sheet2!A554</f>
        <v>43124</v>
      </c>
      <c r="B554" s="6">
        <v>2.29</v>
      </c>
      <c r="C554" s="7">
        <v>0</v>
      </c>
      <c r="D554" s="13">
        <f t="shared" si="8"/>
        <v>2.29</v>
      </c>
    </row>
    <row r="555" spans="1:4" x14ac:dyDescent="0.25">
      <c r="A555" s="15">
        <f>Sheet2!A555</f>
        <v>43124.041666666664</v>
      </c>
      <c r="B555" s="6">
        <v>1.78</v>
      </c>
      <c r="C555" s="7">
        <v>0</v>
      </c>
      <c r="D555" s="13">
        <f t="shared" si="8"/>
        <v>1.78</v>
      </c>
    </row>
    <row r="556" spans="1:4" x14ac:dyDescent="0.25">
      <c r="A556" s="15">
        <f>Sheet2!A556</f>
        <v>43124.083333333336</v>
      </c>
      <c r="B556" s="6">
        <v>2.2200000000000002</v>
      </c>
      <c r="C556" s="7">
        <v>0</v>
      </c>
      <c r="D556" s="13">
        <f t="shared" si="8"/>
        <v>2.2200000000000002</v>
      </c>
    </row>
    <row r="557" spans="1:4" x14ac:dyDescent="0.25">
      <c r="A557" s="15">
        <f>Sheet2!A557</f>
        <v>43124.125</v>
      </c>
      <c r="B557" s="6">
        <v>0.63</v>
      </c>
      <c r="C557" s="7">
        <v>0</v>
      </c>
      <c r="D557" s="13">
        <f t="shared" si="8"/>
        <v>0.63</v>
      </c>
    </row>
    <row r="558" spans="1:4" x14ac:dyDescent="0.25">
      <c r="A558" s="15">
        <f>Sheet2!A558</f>
        <v>43124.166666666664</v>
      </c>
      <c r="B558" s="6">
        <v>2.3199999999999998</v>
      </c>
      <c r="C558" s="7">
        <v>0</v>
      </c>
      <c r="D558" s="13">
        <f t="shared" si="8"/>
        <v>2.3199999999999998</v>
      </c>
    </row>
    <row r="559" spans="1:4" x14ac:dyDescent="0.25">
      <c r="A559" s="15">
        <f>Sheet2!A559</f>
        <v>43124.208333333336</v>
      </c>
      <c r="B559" s="6">
        <v>2.39</v>
      </c>
      <c r="C559" s="7">
        <v>0</v>
      </c>
      <c r="D559" s="13">
        <f t="shared" si="8"/>
        <v>2.39</v>
      </c>
    </row>
    <row r="560" spans="1:4" x14ac:dyDescent="0.25">
      <c r="A560" s="15">
        <f>Sheet2!A560</f>
        <v>43124.25</v>
      </c>
      <c r="B560" s="6">
        <v>2.0499999999999998</v>
      </c>
      <c r="C560" s="7">
        <v>0</v>
      </c>
      <c r="D560" s="13">
        <f t="shared" si="8"/>
        <v>2.0499999999999998</v>
      </c>
    </row>
    <row r="561" spans="1:4" x14ac:dyDescent="0.25">
      <c r="A561" s="15">
        <f>Sheet2!A561</f>
        <v>43124.291666666664</v>
      </c>
      <c r="B561" s="6">
        <v>1.62</v>
      </c>
      <c r="C561" s="7">
        <v>0</v>
      </c>
      <c r="D561" s="13">
        <f t="shared" si="8"/>
        <v>1.62</v>
      </c>
    </row>
    <row r="562" spans="1:4" x14ac:dyDescent="0.25">
      <c r="A562" s="15">
        <f>Sheet2!A562</f>
        <v>43124.333333333336</v>
      </c>
      <c r="B562" s="6">
        <v>0.4</v>
      </c>
      <c r="C562" s="7">
        <v>0</v>
      </c>
      <c r="D562" s="13">
        <f t="shared" si="8"/>
        <v>0.4</v>
      </c>
    </row>
    <row r="563" spans="1:4" x14ac:dyDescent="0.25">
      <c r="A563" s="15">
        <f>Sheet2!A563</f>
        <v>43124.375</v>
      </c>
      <c r="B563" s="6">
        <v>1.1000000000000001</v>
      </c>
      <c r="C563" s="7">
        <v>0</v>
      </c>
      <c r="D563" s="13">
        <f t="shared" si="8"/>
        <v>1.1000000000000001</v>
      </c>
    </row>
    <row r="564" spans="1:4" x14ac:dyDescent="0.25">
      <c r="A564" s="15">
        <f>Sheet2!A564</f>
        <v>43124.416666666664</v>
      </c>
      <c r="B564" s="6">
        <v>0.43</v>
      </c>
      <c r="C564" s="7">
        <v>0</v>
      </c>
      <c r="D564" s="13">
        <f t="shared" si="8"/>
        <v>0.43</v>
      </c>
    </row>
    <row r="565" spans="1:4" x14ac:dyDescent="0.25">
      <c r="A565" s="15">
        <f>Sheet2!A565</f>
        <v>43124.458333333336</v>
      </c>
      <c r="B565" s="6">
        <v>0</v>
      </c>
      <c r="C565" s="7">
        <v>1.18</v>
      </c>
      <c r="D565" s="13">
        <f t="shared" si="8"/>
        <v>1.18</v>
      </c>
    </row>
    <row r="566" spans="1:4" x14ac:dyDescent="0.25">
      <c r="A566" s="15">
        <f>Sheet2!A566</f>
        <v>43124.5</v>
      </c>
      <c r="B566" s="6">
        <v>1.31</v>
      </c>
      <c r="C566" s="7">
        <v>0</v>
      </c>
      <c r="D566" s="13">
        <f t="shared" si="8"/>
        <v>1.31</v>
      </c>
    </row>
    <row r="567" spans="1:4" x14ac:dyDescent="0.25">
      <c r="A567" s="15">
        <f>Sheet2!A567</f>
        <v>43124.541666666664</v>
      </c>
      <c r="B567" s="6">
        <v>1.96</v>
      </c>
      <c r="C567" s="7">
        <v>0</v>
      </c>
      <c r="D567" s="13">
        <f t="shared" si="8"/>
        <v>1.96</v>
      </c>
    </row>
    <row r="568" spans="1:4" x14ac:dyDescent="0.25">
      <c r="A568" s="15">
        <f>Sheet2!A568</f>
        <v>43124.583333333336</v>
      </c>
      <c r="B568" s="6">
        <v>0</v>
      </c>
      <c r="C568" s="7">
        <v>1.05</v>
      </c>
      <c r="D568" s="13">
        <f t="shared" si="8"/>
        <v>1.05</v>
      </c>
    </row>
    <row r="569" spans="1:4" x14ac:dyDescent="0.25">
      <c r="A569" s="15">
        <f>Sheet2!A569</f>
        <v>43124.625</v>
      </c>
      <c r="B569" s="6">
        <v>0</v>
      </c>
      <c r="C569" s="7">
        <v>2.19</v>
      </c>
      <c r="D569" s="13">
        <f t="shared" si="8"/>
        <v>2.19</v>
      </c>
    </row>
    <row r="570" spans="1:4" x14ac:dyDescent="0.25">
      <c r="A570" s="15">
        <f>Sheet2!A570</f>
        <v>43124.666666666664</v>
      </c>
      <c r="B570" s="6">
        <v>0</v>
      </c>
      <c r="C570" s="7">
        <v>1.07</v>
      </c>
      <c r="D570" s="13">
        <f t="shared" si="8"/>
        <v>1.07</v>
      </c>
    </row>
    <row r="571" spans="1:4" x14ac:dyDescent="0.25">
      <c r="A571" s="15">
        <f>Sheet2!A571</f>
        <v>43124.708333333336</v>
      </c>
      <c r="B571" s="6">
        <v>0</v>
      </c>
      <c r="C571" s="7">
        <v>1.95</v>
      </c>
      <c r="D571" s="13">
        <f t="shared" si="8"/>
        <v>1.95</v>
      </c>
    </row>
    <row r="572" spans="1:4" x14ac:dyDescent="0.25">
      <c r="A572" s="15">
        <f>Sheet2!A572</f>
        <v>43124.75</v>
      </c>
      <c r="B572" s="6">
        <v>0</v>
      </c>
      <c r="C572" s="7">
        <v>0.95</v>
      </c>
      <c r="D572" s="13">
        <f t="shared" si="8"/>
        <v>0.95</v>
      </c>
    </row>
    <row r="573" spans="1:4" x14ac:dyDescent="0.25">
      <c r="A573" s="15">
        <f>Sheet2!A573</f>
        <v>43124.791666666664</v>
      </c>
      <c r="B573" s="6">
        <v>1.85</v>
      </c>
      <c r="C573" s="7">
        <v>0</v>
      </c>
      <c r="D573" s="13">
        <f t="shared" si="8"/>
        <v>1.85</v>
      </c>
    </row>
    <row r="574" spans="1:4" x14ac:dyDescent="0.25">
      <c r="A574" s="15">
        <f>Sheet2!A574</f>
        <v>43124.833333333336</v>
      </c>
      <c r="B574" s="6">
        <v>0</v>
      </c>
      <c r="C574" s="7">
        <v>1.18</v>
      </c>
      <c r="D574" s="13">
        <f t="shared" si="8"/>
        <v>1.18</v>
      </c>
    </row>
    <row r="575" spans="1:4" x14ac:dyDescent="0.25">
      <c r="A575" s="15">
        <f>Sheet2!A575</f>
        <v>43124.875</v>
      </c>
      <c r="B575" s="6">
        <v>0</v>
      </c>
      <c r="C575" s="7">
        <v>2.02</v>
      </c>
      <c r="D575" s="13">
        <f t="shared" si="8"/>
        <v>2.02</v>
      </c>
    </row>
    <row r="576" spans="1:4" x14ac:dyDescent="0.25">
      <c r="A576" s="15">
        <f>Sheet2!A576</f>
        <v>43124.916666666664</v>
      </c>
      <c r="B576" s="6">
        <v>0</v>
      </c>
      <c r="C576" s="7">
        <v>0.72</v>
      </c>
      <c r="D576" s="13">
        <f t="shared" si="8"/>
        <v>0.72</v>
      </c>
    </row>
    <row r="577" spans="1:4" x14ac:dyDescent="0.25">
      <c r="A577" s="15">
        <f>Sheet2!A577</f>
        <v>43124.958333333336</v>
      </c>
      <c r="B577" s="6">
        <v>2.11</v>
      </c>
      <c r="C577" s="7">
        <v>0</v>
      </c>
      <c r="D577" s="13">
        <f t="shared" si="8"/>
        <v>2.11</v>
      </c>
    </row>
    <row r="578" spans="1:4" x14ac:dyDescent="0.25">
      <c r="A578" s="15">
        <f>Sheet2!A578</f>
        <v>43125</v>
      </c>
      <c r="B578" s="6">
        <v>1.81</v>
      </c>
      <c r="C578" s="7">
        <v>0</v>
      </c>
      <c r="D578" s="13">
        <f t="shared" si="8"/>
        <v>1.81</v>
      </c>
    </row>
    <row r="579" spans="1:4" x14ac:dyDescent="0.25">
      <c r="A579" s="15">
        <f>Sheet2!A579</f>
        <v>43125.041666666664</v>
      </c>
      <c r="B579" s="6">
        <v>1.79</v>
      </c>
      <c r="C579" s="7">
        <v>0</v>
      </c>
      <c r="D579" s="13">
        <f t="shared" ref="D579:D642" si="9">B579+C579</f>
        <v>1.79</v>
      </c>
    </row>
    <row r="580" spans="1:4" x14ac:dyDescent="0.25">
      <c r="A580" s="15">
        <f>Sheet2!A580</f>
        <v>43125.083333333336</v>
      </c>
      <c r="B580" s="6">
        <v>1.99</v>
      </c>
      <c r="C580" s="7">
        <v>0</v>
      </c>
      <c r="D580" s="13">
        <f t="shared" si="9"/>
        <v>1.99</v>
      </c>
    </row>
    <row r="581" spans="1:4" x14ac:dyDescent="0.25">
      <c r="A581" s="15">
        <f>Sheet2!A581</f>
        <v>43125.125</v>
      </c>
      <c r="B581" s="6">
        <v>2.48</v>
      </c>
      <c r="C581" s="7">
        <v>0</v>
      </c>
      <c r="D581" s="13">
        <f t="shared" si="9"/>
        <v>2.48</v>
      </c>
    </row>
    <row r="582" spans="1:4" x14ac:dyDescent="0.25">
      <c r="A582" s="15">
        <f>Sheet2!A582</f>
        <v>43125.166666666664</v>
      </c>
      <c r="B582" s="6">
        <v>0</v>
      </c>
      <c r="C582" s="7">
        <v>0.48</v>
      </c>
      <c r="D582" s="13">
        <f t="shared" si="9"/>
        <v>0.48</v>
      </c>
    </row>
    <row r="583" spans="1:4" x14ac:dyDescent="0.25">
      <c r="A583" s="15">
        <f>Sheet2!A583</f>
        <v>43125.208333333336</v>
      </c>
      <c r="B583" s="6">
        <v>0</v>
      </c>
      <c r="C583" s="7">
        <v>0.84</v>
      </c>
      <c r="D583" s="13">
        <f t="shared" si="9"/>
        <v>0.84</v>
      </c>
    </row>
    <row r="584" spans="1:4" x14ac:dyDescent="0.25">
      <c r="A584" s="15">
        <f>Sheet2!A584</f>
        <v>43125.25</v>
      </c>
      <c r="B584" s="6">
        <v>0</v>
      </c>
      <c r="C584" s="7">
        <v>0.27</v>
      </c>
      <c r="D584" s="13">
        <f t="shared" si="9"/>
        <v>0.27</v>
      </c>
    </row>
    <row r="585" spans="1:4" x14ac:dyDescent="0.25">
      <c r="A585" s="15">
        <f>Sheet2!A585</f>
        <v>43125.291666666664</v>
      </c>
      <c r="B585" s="6">
        <v>0.72</v>
      </c>
      <c r="C585" s="7">
        <v>0</v>
      </c>
      <c r="D585" s="13">
        <f t="shared" si="9"/>
        <v>0.72</v>
      </c>
    </row>
    <row r="586" spans="1:4" x14ac:dyDescent="0.25">
      <c r="A586" s="15">
        <f>Sheet2!A586</f>
        <v>43125.333333333336</v>
      </c>
      <c r="B586" s="6">
        <v>0.72</v>
      </c>
      <c r="C586" s="7">
        <v>0</v>
      </c>
      <c r="D586" s="13">
        <f t="shared" si="9"/>
        <v>0.72</v>
      </c>
    </row>
    <row r="587" spans="1:4" x14ac:dyDescent="0.25">
      <c r="A587" s="15">
        <f>Sheet2!A587</f>
        <v>43125.375</v>
      </c>
      <c r="B587" s="6">
        <v>0</v>
      </c>
      <c r="C587" s="7">
        <v>0.96</v>
      </c>
      <c r="D587" s="13">
        <f t="shared" si="9"/>
        <v>0.96</v>
      </c>
    </row>
    <row r="588" spans="1:4" x14ac:dyDescent="0.25">
      <c r="A588" s="15">
        <f>Sheet2!A588</f>
        <v>43125.416666666664</v>
      </c>
      <c r="B588" s="6">
        <v>0</v>
      </c>
      <c r="C588" s="7">
        <v>1.23</v>
      </c>
      <c r="D588" s="13">
        <f t="shared" si="9"/>
        <v>1.23</v>
      </c>
    </row>
    <row r="589" spans="1:4" x14ac:dyDescent="0.25">
      <c r="A589" s="15">
        <f>Sheet2!A589</f>
        <v>43125.458333333336</v>
      </c>
      <c r="B589" s="6">
        <v>0</v>
      </c>
      <c r="C589" s="7">
        <v>1.18</v>
      </c>
      <c r="D589" s="13">
        <f t="shared" si="9"/>
        <v>1.18</v>
      </c>
    </row>
    <row r="590" spans="1:4" x14ac:dyDescent="0.25">
      <c r="A590" s="15">
        <f>Sheet2!A590</f>
        <v>43125.5</v>
      </c>
      <c r="B590" s="6">
        <v>0</v>
      </c>
      <c r="C590" s="7">
        <v>0.53</v>
      </c>
      <c r="D590" s="13">
        <f t="shared" si="9"/>
        <v>0.53</v>
      </c>
    </row>
    <row r="591" spans="1:4" x14ac:dyDescent="0.25">
      <c r="A591" s="15">
        <f>Sheet2!A591</f>
        <v>43125.541666666664</v>
      </c>
      <c r="B591" s="6">
        <v>1.8</v>
      </c>
      <c r="C591" s="7">
        <v>0</v>
      </c>
      <c r="D591" s="13">
        <f t="shared" si="9"/>
        <v>1.8</v>
      </c>
    </row>
    <row r="592" spans="1:4" x14ac:dyDescent="0.25">
      <c r="A592" s="15">
        <f>Sheet2!A592</f>
        <v>43125.583333333336</v>
      </c>
      <c r="B592" s="6">
        <v>0</v>
      </c>
      <c r="C592" s="7">
        <v>1.54</v>
      </c>
      <c r="D592" s="13">
        <f t="shared" si="9"/>
        <v>1.54</v>
      </c>
    </row>
    <row r="593" spans="1:4" x14ac:dyDescent="0.25">
      <c r="A593" s="15">
        <f>Sheet2!A593</f>
        <v>43125.625</v>
      </c>
      <c r="B593" s="6">
        <v>0</v>
      </c>
      <c r="C593" s="7">
        <v>1.92</v>
      </c>
      <c r="D593" s="13">
        <f t="shared" si="9"/>
        <v>1.92</v>
      </c>
    </row>
    <row r="594" spans="1:4" x14ac:dyDescent="0.25">
      <c r="A594" s="15">
        <f>Sheet2!A594</f>
        <v>43125.666666666664</v>
      </c>
      <c r="B594" s="6">
        <v>0</v>
      </c>
      <c r="C594" s="7">
        <v>1.79</v>
      </c>
      <c r="D594" s="13">
        <f t="shared" si="9"/>
        <v>1.79</v>
      </c>
    </row>
    <row r="595" spans="1:4" x14ac:dyDescent="0.25">
      <c r="A595" s="15">
        <f>Sheet2!A595</f>
        <v>43125.708333333336</v>
      </c>
      <c r="B595" s="6">
        <v>0</v>
      </c>
      <c r="C595" s="7">
        <v>0.68</v>
      </c>
      <c r="D595" s="13">
        <f t="shared" si="9"/>
        <v>0.68</v>
      </c>
    </row>
    <row r="596" spans="1:4" x14ac:dyDescent="0.25">
      <c r="A596" s="15">
        <f>Sheet2!A596</f>
        <v>43125.75</v>
      </c>
      <c r="B596" s="6">
        <v>0</v>
      </c>
      <c r="C596" s="7">
        <v>0.9</v>
      </c>
      <c r="D596" s="13">
        <f t="shared" si="9"/>
        <v>0.9</v>
      </c>
    </row>
    <row r="597" spans="1:4" x14ac:dyDescent="0.25">
      <c r="A597" s="15">
        <f>Sheet2!A597</f>
        <v>43125.791666666664</v>
      </c>
      <c r="B597" s="6">
        <v>0</v>
      </c>
      <c r="C597" s="7">
        <v>1.95</v>
      </c>
      <c r="D597" s="13">
        <f t="shared" si="9"/>
        <v>1.95</v>
      </c>
    </row>
    <row r="598" spans="1:4" x14ac:dyDescent="0.25">
      <c r="A598" s="15">
        <f>Sheet2!A598</f>
        <v>43125.833333333336</v>
      </c>
      <c r="B598" s="6">
        <v>0</v>
      </c>
      <c r="C598" s="7">
        <v>1.52</v>
      </c>
      <c r="D598" s="13">
        <f t="shared" si="9"/>
        <v>1.52</v>
      </c>
    </row>
    <row r="599" spans="1:4" x14ac:dyDescent="0.25">
      <c r="A599" s="15">
        <f>Sheet2!A599</f>
        <v>43125.875</v>
      </c>
      <c r="B599" s="6">
        <v>1.44</v>
      </c>
      <c r="C599" s="7">
        <v>0</v>
      </c>
      <c r="D599" s="13">
        <f t="shared" si="9"/>
        <v>1.44</v>
      </c>
    </row>
    <row r="600" spans="1:4" x14ac:dyDescent="0.25">
      <c r="A600" s="15">
        <f>Sheet2!A600</f>
        <v>43125.916666666664</v>
      </c>
      <c r="B600" s="6">
        <v>2.12</v>
      </c>
      <c r="C600" s="7">
        <v>0</v>
      </c>
      <c r="D600" s="13">
        <f t="shared" si="9"/>
        <v>2.12</v>
      </c>
    </row>
    <row r="601" spans="1:4" x14ac:dyDescent="0.25">
      <c r="A601" s="15">
        <f>Sheet2!A601</f>
        <v>43125.958333333336</v>
      </c>
      <c r="B601" s="6">
        <v>1.57</v>
      </c>
      <c r="C601" s="7">
        <v>0</v>
      </c>
      <c r="D601" s="13">
        <f t="shared" si="9"/>
        <v>1.57</v>
      </c>
    </row>
    <row r="602" spans="1:4" x14ac:dyDescent="0.25">
      <c r="A602" s="15">
        <f>Sheet2!A602</f>
        <v>43126</v>
      </c>
      <c r="B602" s="6">
        <v>1.78</v>
      </c>
      <c r="C602" s="7">
        <v>0</v>
      </c>
      <c r="D602" s="13">
        <f t="shared" si="9"/>
        <v>1.78</v>
      </c>
    </row>
    <row r="603" spans="1:4" x14ac:dyDescent="0.25">
      <c r="A603" s="15">
        <f>Sheet2!A603</f>
        <v>43126.041666666664</v>
      </c>
      <c r="B603" s="6">
        <v>1.92</v>
      </c>
      <c r="C603" s="7">
        <v>0</v>
      </c>
      <c r="D603" s="13">
        <f t="shared" si="9"/>
        <v>1.92</v>
      </c>
    </row>
    <row r="604" spans="1:4" x14ac:dyDescent="0.25">
      <c r="A604" s="15">
        <f>Sheet2!A604</f>
        <v>43126.083333333336</v>
      </c>
      <c r="B604" s="6">
        <v>1.58</v>
      </c>
      <c r="C604" s="7">
        <v>0</v>
      </c>
      <c r="D604" s="13">
        <f t="shared" si="9"/>
        <v>1.58</v>
      </c>
    </row>
    <row r="605" spans="1:4" x14ac:dyDescent="0.25">
      <c r="A605" s="15">
        <f>Sheet2!A605</f>
        <v>43126.125</v>
      </c>
      <c r="B605" s="6">
        <v>1.91</v>
      </c>
      <c r="C605" s="7">
        <v>0</v>
      </c>
      <c r="D605" s="13">
        <f t="shared" si="9"/>
        <v>1.91</v>
      </c>
    </row>
    <row r="606" spans="1:4" x14ac:dyDescent="0.25">
      <c r="A606" s="15">
        <f>Sheet2!A606</f>
        <v>43126.166666666664</v>
      </c>
      <c r="B606" s="6">
        <v>0</v>
      </c>
      <c r="C606" s="7">
        <v>0.57999999999999996</v>
      </c>
      <c r="D606" s="13">
        <f t="shared" si="9"/>
        <v>0.57999999999999996</v>
      </c>
    </row>
    <row r="607" spans="1:4" x14ac:dyDescent="0.25">
      <c r="A607" s="15">
        <f>Sheet2!A607</f>
        <v>43126.208333333336</v>
      </c>
      <c r="B607" s="6">
        <v>0</v>
      </c>
      <c r="C607" s="7">
        <v>0.94</v>
      </c>
      <c r="D607" s="13">
        <f t="shared" si="9"/>
        <v>0.94</v>
      </c>
    </row>
    <row r="608" spans="1:4" x14ac:dyDescent="0.25">
      <c r="A608" s="15">
        <f>Sheet2!A608</f>
        <v>43126.25</v>
      </c>
      <c r="B608" s="6">
        <v>0</v>
      </c>
      <c r="C608" s="7">
        <v>0.36</v>
      </c>
      <c r="D608" s="13">
        <f t="shared" si="9"/>
        <v>0.36</v>
      </c>
    </row>
    <row r="609" spans="1:4" x14ac:dyDescent="0.25">
      <c r="A609" s="15">
        <f>Sheet2!A609</f>
        <v>43126.291666666664</v>
      </c>
      <c r="B609" s="6">
        <v>1.32</v>
      </c>
      <c r="C609" s="7">
        <v>0</v>
      </c>
      <c r="D609" s="13">
        <f t="shared" si="9"/>
        <v>1.32</v>
      </c>
    </row>
    <row r="610" spans="1:4" x14ac:dyDescent="0.25">
      <c r="A610" s="15">
        <f>Sheet2!A610</f>
        <v>43126.333333333336</v>
      </c>
      <c r="B610" s="6">
        <v>0</v>
      </c>
      <c r="C610" s="7">
        <v>1.08</v>
      </c>
      <c r="D610" s="13">
        <f t="shared" si="9"/>
        <v>1.08</v>
      </c>
    </row>
    <row r="611" spans="1:4" x14ac:dyDescent="0.25">
      <c r="A611" s="15">
        <f>Sheet2!A611</f>
        <v>43126.375</v>
      </c>
      <c r="B611" s="6">
        <v>0</v>
      </c>
      <c r="C611" s="7">
        <v>1.69</v>
      </c>
      <c r="D611" s="13">
        <f t="shared" si="9"/>
        <v>1.69</v>
      </c>
    </row>
    <row r="612" spans="1:4" x14ac:dyDescent="0.25">
      <c r="A612" s="15">
        <f>Sheet2!A612</f>
        <v>43126.416666666664</v>
      </c>
      <c r="B612" s="6">
        <v>0</v>
      </c>
      <c r="C612" s="7">
        <v>1.55</v>
      </c>
      <c r="D612" s="13">
        <f t="shared" si="9"/>
        <v>1.55</v>
      </c>
    </row>
    <row r="613" spans="1:4" x14ac:dyDescent="0.25">
      <c r="A613" s="15">
        <f>Sheet2!A613</f>
        <v>43126.458333333336</v>
      </c>
      <c r="B613" s="6">
        <v>1.33</v>
      </c>
      <c r="C613" s="7">
        <v>0</v>
      </c>
      <c r="D613" s="13">
        <f t="shared" si="9"/>
        <v>1.33</v>
      </c>
    </row>
    <row r="614" spans="1:4" x14ac:dyDescent="0.25">
      <c r="A614" s="15">
        <f>Sheet2!A614</f>
        <v>43126.5</v>
      </c>
      <c r="B614" s="6">
        <v>0</v>
      </c>
      <c r="C614" s="7">
        <v>0.76</v>
      </c>
      <c r="D614" s="13">
        <f t="shared" si="9"/>
        <v>0.76</v>
      </c>
    </row>
    <row r="615" spans="1:4" x14ac:dyDescent="0.25">
      <c r="A615" s="15">
        <f>Sheet2!A615</f>
        <v>43126.541666666664</v>
      </c>
      <c r="B615" s="6">
        <v>0</v>
      </c>
      <c r="C615" s="7">
        <v>1.4</v>
      </c>
      <c r="D615" s="13">
        <f t="shared" si="9"/>
        <v>1.4</v>
      </c>
    </row>
    <row r="616" spans="1:4" x14ac:dyDescent="0.25">
      <c r="A616" s="15">
        <f>Sheet2!A616</f>
        <v>43126.583333333336</v>
      </c>
      <c r="B616" s="6">
        <v>0</v>
      </c>
      <c r="C616" s="7">
        <v>1.79</v>
      </c>
      <c r="D616" s="13">
        <f t="shared" si="9"/>
        <v>1.79</v>
      </c>
    </row>
    <row r="617" spans="1:4" x14ac:dyDescent="0.25">
      <c r="A617" s="15">
        <f>Sheet2!A617</f>
        <v>43126.625</v>
      </c>
      <c r="B617" s="6">
        <v>0</v>
      </c>
      <c r="C617" s="7">
        <v>2.0099999999999998</v>
      </c>
      <c r="D617" s="13">
        <f t="shared" si="9"/>
        <v>2.0099999999999998</v>
      </c>
    </row>
    <row r="618" spans="1:4" x14ac:dyDescent="0.25">
      <c r="A618" s="15">
        <f>Sheet2!A618</f>
        <v>43126.666666666664</v>
      </c>
      <c r="B618" s="6">
        <v>0</v>
      </c>
      <c r="C618" s="7">
        <v>0.5</v>
      </c>
      <c r="D618" s="13">
        <f t="shared" si="9"/>
        <v>0.5</v>
      </c>
    </row>
    <row r="619" spans="1:4" x14ac:dyDescent="0.25">
      <c r="A619" s="15">
        <f>Sheet2!A619</f>
        <v>43126.708333333336</v>
      </c>
      <c r="B619" s="6">
        <v>2.5499999999999998</v>
      </c>
      <c r="C619" s="7">
        <v>0</v>
      </c>
      <c r="D619" s="13">
        <f t="shared" si="9"/>
        <v>2.5499999999999998</v>
      </c>
    </row>
    <row r="620" spans="1:4" x14ac:dyDescent="0.25">
      <c r="A620" s="15">
        <f>Sheet2!A620</f>
        <v>43126.75</v>
      </c>
      <c r="B620" s="6">
        <v>0</v>
      </c>
      <c r="C620" s="7">
        <v>0.91</v>
      </c>
      <c r="D620" s="13">
        <f t="shared" si="9"/>
        <v>0.91</v>
      </c>
    </row>
    <row r="621" spans="1:4" x14ac:dyDescent="0.25">
      <c r="A621" s="15">
        <f>Sheet2!A621</f>
        <v>43126.791666666664</v>
      </c>
      <c r="B621" s="6">
        <v>0</v>
      </c>
      <c r="C621" s="7">
        <v>1.84</v>
      </c>
      <c r="D621" s="13">
        <f t="shared" si="9"/>
        <v>1.84</v>
      </c>
    </row>
    <row r="622" spans="1:4" x14ac:dyDescent="0.25">
      <c r="A622" s="15">
        <f>Sheet2!A622</f>
        <v>43126.833333333336</v>
      </c>
      <c r="B622" s="6">
        <v>0</v>
      </c>
      <c r="C622" s="7">
        <v>0.97</v>
      </c>
      <c r="D622" s="13">
        <f t="shared" si="9"/>
        <v>0.97</v>
      </c>
    </row>
    <row r="623" spans="1:4" x14ac:dyDescent="0.25">
      <c r="A623" s="15">
        <f>Sheet2!A623</f>
        <v>43126.875</v>
      </c>
      <c r="B623" s="6">
        <v>1.92</v>
      </c>
      <c r="C623" s="7">
        <v>0</v>
      </c>
      <c r="D623" s="13">
        <f t="shared" si="9"/>
        <v>1.92</v>
      </c>
    </row>
    <row r="624" spans="1:4" x14ac:dyDescent="0.25">
      <c r="A624" s="15">
        <f>Sheet2!A624</f>
        <v>43126.916666666664</v>
      </c>
      <c r="B624" s="6">
        <v>1.57</v>
      </c>
      <c r="C624" s="7">
        <v>0</v>
      </c>
      <c r="D624" s="13">
        <f t="shared" si="9"/>
        <v>1.57</v>
      </c>
    </row>
    <row r="625" spans="1:4" x14ac:dyDescent="0.25">
      <c r="A625" s="15">
        <f>Sheet2!A625</f>
        <v>43126.958333333336</v>
      </c>
      <c r="B625" s="6">
        <v>1.2</v>
      </c>
      <c r="C625" s="7">
        <v>0</v>
      </c>
      <c r="D625" s="13">
        <f t="shared" si="9"/>
        <v>1.2</v>
      </c>
    </row>
    <row r="626" spans="1:4" x14ac:dyDescent="0.25">
      <c r="A626" s="15">
        <f>Sheet2!A626</f>
        <v>43127</v>
      </c>
      <c r="B626" s="6">
        <v>1.76</v>
      </c>
      <c r="C626" s="7">
        <v>0</v>
      </c>
      <c r="D626" s="13">
        <f t="shared" si="9"/>
        <v>1.76</v>
      </c>
    </row>
    <row r="627" spans="1:4" x14ac:dyDescent="0.25">
      <c r="A627" s="15">
        <f>Sheet2!A627</f>
        <v>43127.041666666664</v>
      </c>
      <c r="B627" s="6">
        <v>1.6</v>
      </c>
      <c r="C627" s="7">
        <v>0</v>
      </c>
      <c r="D627" s="13">
        <f t="shared" si="9"/>
        <v>1.6</v>
      </c>
    </row>
    <row r="628" spans="1:4" x14ac:dyDescent="0.25">
      <c r="A628" s="15">
        <f>Sheet2!A628</f>
        <v>43127.083333333336</v>
      </c>
      <c r="B628" s="6">
        <v>1.49</v>
      </c>
      <c r="C628" s="7">
        <v>0</v>
      </c>
      <c r="D628" s="13">
        <f t="shared" si="9"/>
        <v>1.49</v>
      </c>
    </row>
    <row r="629" spans="1:4" x14ac:dyDescent="0.25">
      <c r="A629" s="15">
        <f>Sheet2!A629</f>
        <v>43127.125</v>
      </c>
      <c r="B629" s="6">
        <v>2.06</v>
      </c>
      <c r="C629" s="7">
        <v>0</v>
      </c>
      <c r="D629" s="13">
        <f t="shared" si="9"/>
        <v>2.06</v>
      </c>
    </row>
    <row r="630" spans="1:4" x14ac:dyDescent="0.25">
      <c r="A630" s="15">
        <f>Sheet2!A630</f>
        <v>43127.166666666664</v>
      </c>
      <c r="B630" s="6">
        <v>0</v>
      </c>
      <c r="C630" s="7">
        <v>0.45</v>
      </c>
      <c r="D630" s="13">
        <f t="shared" si="9"/>
        <v>0.45</v>
      </c>
    </row>
    <row r="631" spans="1:4" x14ac:dyDescent="0.25">
      <c r="A631" s="15">
        <f>Sheet2!A631</f>
        <v>43127.208333333336</v>
      </c>
      <c r="B631" s="6">
        <v>0</v>
      </c>
      <c r="C631" s="7">
        <v>0.74</v>
      </c>
      <c r="D631" s="13">
        <f t="shared" si="9"/>
        <v>0.74</v>
      </c>
    </row>
    <row r="632" spans="1:4" x14ac:dyDescent="0.25">
      <c r="A632" s="15">
        <f>Sheet2!A632</f>
        <v>43127.25</v>
      </c>
      <c r="B632" s="6">
        <v>0</v>
      </c>
      <c r="C632" s="7">
        <v>0.36</v>
      </c>
      <c r="D632" s="13">
        <f t="shared" si="9"/>
        <v>0.36</v>
      </c>
    </row>
    <row r="633" spans="1:4" x14ac:dyDescent="0.25">
      <c r="A633" s="15">
        <f>Sheet2!A633</f>
        <v>43127.291666666664</v>
      </c>
      <c r="B633" s="6">
        <v>1.32</v>
      </c>
      <c r="C633" s="7">
        <v>0</v>
      </c>
      <c r="D633" s="13">
        <f t="shared" si="9"/>
        <v>1.32</v>
      </c>
    </row>
    <row r="634" spans="1:4" x14ac:dyDescent="0.25">
      <c r="A634" s="15">
        <f>Sheet2!A634</f>
        <v>43127.333333333336</v>
      </c>
      <c r="B634" s="6">
        <v>0</v>
      </c>
      <c r="C634" s="7">
        <v>1.08</v>
      </c>
      <c r="D634" s="13">
        <f t="shared" si="9"/>
        <v>1.08</v>
      </c>
    </row>
    <row r="635" spans="1:4" x14ac:dyDescent="0.25">
      <c r="A635" s="15">
        <f>Sheet2!A635</f>
        <v>43127.375</v>
      </c>
      <c r="B635" s="6">
        <v>0</v>
      </c>
      <c r="C635" s="7">
        <v>1.69</v>
      </c>
      <c r="D635" s="13">
        <f t="shared" si="9"/>
        <v>1.69</v>
      </c>
    </row>
    <row r="636" spans="1:4" x14ac:dyDescent="0.25">
      <c r="A636" s="15">
        <f>Sheet2!A636</f>
        <v>43127.416666666664</v>
      </c>
      <c r="B636" s="6">
        <v>0</v>
      </c>
      <c r="C636" s="7">
        <v>1.55</v>
      </c>
      <c r="D636" s="13">
        <f t="shared" si="9"/>
        <v>1.55</v>
      </c>
    </row>
    <row r="637" spans="1:4" x14ac:dyDescent="0.25">
      <c r="A637" s="15">
        <f>Sheet2!A637</f>
        <v>43127.458333333336</v>
      </c>
      <c r="B637" s="6">
        <v>0</v>
      </c>
      <c r="C637" s="7">
        <v>0.36</v>
      </c>
      <c r="D637" s="13">
        <f t="shared" si="9"/>
        <v>0.36</v>
      </c>
    </row>
    <row r="638" spans="1:4" x14ac:dyDescent="0.25">
      <c r="A638" s="15">
        <f>Sheet2!A638</f>
        <v>43127.5</v>
      </c>
      <c r="B638" s="6">
        <v>0</v>
      </c>
      <c r="C638" s="7">
        <v>1.44</v>
      </c>
      <c r="D638" s="13">
        <f t="shared" si="9"/>
        <v>1.44</v>
      </c>
    </row>
    <row r="639" spans="1:4" x14ac:dyDescent="0.25">
      <c r="A639" s="15">
        <f>Sheet2!A639</f>
        <v>43127.541666666664</v>
      </c>
      <c r="B639" s="6">
        <v>0</v>
      </c>
      <c r="C639" s="7">
        <v>1.74</v>
      </c>
      <c r="D639" s="13">
        <f t="shared" si="9"/>
        <v>1.74</v>
      </c>
    </row>
    <row r="640" spans="1:4" x14ac:dyDescent="0.25">
      <c r="A640" s="15">
        <f>Sheet2!A640</f>
        <v>43127.583333333336</v>
      </c>
      <c r="B640" s="6">
        <v>0</v>
      </c>
      <c r="C640" s="7">
        <v>2.04</v>
      </c>
      <c r="D640" s="13">
        <f t="shared" si="9"/>
        <v>2.04</v>
      </c>
    </row>
    <row r="641" spans="1:4" x14ac:dyDescent="0.25">
      <c r="A641" s="15">
        <f>Sheet2!A641</f>
        <v>43127.625</v>
      </c>
      <c r="B641" s="6">
        <v>0</v>
      </c>
      <c r="C641" s="7">
        <v>2.2999999999999998</v>
      </c>
      <c r="D641" s="13">
        <f t="shared" si="9"/>
        <v>2.2999999999999998</v>
      </c>
    </row>
    <row r="642" spans="1:4" x14ac:dyDescent="0.25">
      <c r="A642" s="15">
        <f>Sheet2!A642</f>
        <v>43127.666666666664</v>
      </c>
      <c r="B642" s="6">
        <v>0</v>
      </c>
      <c r="C642" s="7">
        <v>0.65</v>
      </c>
      <c r="D642" s="13">
        <f t="shared" si="9"/>
        <v>0.65</v>
      </c>
    </row>
    <row r="643" spans="1:4" x14ac:dyDescent="0.25">
      <c r="A643" s="15">
        <f>Sheet2!A643</f>
        <v>43127.708333333336</v>
      </c>
      <c r="B643" s="6">
        <v>0</v>
      </c>
      <c r="C643" s="7">
        <v>1.2</v>
      </c>
      <c r="D643" s="13">
        <f t="shared" ref="D643:D706" si="10">B643+C643</f>
        <v>1.2</v>
      </c>
    </row>
    <row r="644" spans="1:4" x14ac:dyDescent="0.25">
      <c r="A644" s="15">
        <f>Sheet2!A644</f>
        <v>43127.75</v>
      </c>
      <c r="B644" s="6">
        <v>0</v>
      </c>
      <c r="C644" s="7">
        <v>1.77</v>
      </c>
      <c r="D644" s="13">
        <f t="shared" si="10"/>
        <v>1.77</v>
      </c>
    </row>
    <row r="645" spans="1:4" x14ac:dyDescent="0.25">
      <c r="A645" s="15">
        <f>Sheet2!A645</f>
        <v>43127.791666666664</v>
      </c>
      <c r="B645" s="6">
        <v>0</v>
      </c>
      <c r="C645" s="7">
        <v>2.12</v>
      </c>
      <c r="D645" s="13">
        <f t="shared" si="10"/>
        <v>2.12</v>
      </c>
    </row>
    <row r="646" spans="1:4" x14ac:dyDescent="0.25">
      <c r="A646" s="15">
        <f>Sheet2!A646</f>
        <v>43127.833333333336</v>
      </c>
      <c r="B646" s="6">
        <v>0</v>
      </c>
      <c r="C646" s="7">
        <v>0.61</v>
      </c>
      <c r="D646" s="13">
        <f t="shared" si="10"/>
        <v>0.61</v>
      </c>
    </row>
    <row r="647" spans="1:4" x14ac:dyDescent="0.25">
      <c r="A647" s="15">
        <f>Sheet2!A647</f>
        <v>43127.875</v>
      </c>
      <c r="B647" s="6">
        <v>2.27</v>
      </c>
      <c r="C647" s="7">
        <v>0</v>
      </c>
      <c r="D647" s="13">
        <f t="shared" si="10"/>
        <v>2.27</v>
      </c>
    </row>
    <row r="648" spans="1:4" x14ac:dyDescent="0.25">
      <c r="A648" s="15">
        <f>Sheet2!A648</f>
        <v>43127.916666666664</v>
      </c>
      <c r="B648" s="6">
        <v>1.61</v>
      </c>
      <c r="C648" s="7">
        <v>0</v>
      </c>
      <c r="D648" s="13">
        <f t="shared" si="10"/>
        <v>1.61</v>
      </c>
    </row>
    <row r="649" spans="1:4" x14ac:dyDescent="0.25">
      <c r="A649" s="15">
        <f>Sheet2!A649</f>
        <v>43127.958333333336</v>
      </c>
      <c r="B649" s="6">
        <v>2.21</v>
      </c>
      <c r="C649" s="7">
        <v>0</v>
      </c>
      <c r="D649" s="13">
        <f t="shared" si="10"/>
        <v>2.21</v>
      </c>
    </row>
    <row r="650" spans="1:4" x14ac:dyDescent="0.25">
      <c r="A650" s="15">
        <f>Sheet2!A650</f>
        <v>43128</v>
      </c>
      <c r="B650" s="6">
        <v>1.86</v>
      </c>
      <c r="C650" s="7">
        <v>0</v>
      </c>
      <c r="D650" s="13">
        <f t="shared" si="10"/>
        <v>1.86</v>
      </c>
    </row>
    <row r="651" spans="1:4" x14ac:dyDescent="0.25">
      <c r="A651" s="15">
        <f>Sheet2!A651</f>
        <v>43128.041666666664</v>
      </c>
      <c r="B651" s="6">
        <v>1.93</v>
      </c>
      <c r="C651" s="7">
        <v>0</v>
      </c>
      <c r="D651" s="13">
        <f t="shared" si="10"/>
        <v>1.93</v>
      </c>
    </row>
    <row r="652" spans="1:4" x14ac:dyDescent="0.25">
      <c r="A652" s="15">
        <f>Sheet2!A652</f>
        <v>43128.083333333336</v>
      </c>
      <c r="B652" s="6">
        <v>1.82</v>
      </c>
      <c r="C652" s="7">
        <v>0</v>
      </c>
      <c r="D652" s="13">
        <f t="shared" si="10"/>
        <v>1.82</v>
      </c>
    </row>
    <row r="653" spans="1:4" x14ac:dyDescent="0.25">
      <c r="A653" s="15">
        <f>Sheet2!A653</f>
        <v>43128.125</v>
      </c>
      <c r="B653" s="6">
        <v>0</v>
      </c>
      <c r="C653" s="7">
        <v>1.19</v>
      </c>
      <c r="D653" s="13">
        <f t="shared" si="10"/>
        <v>1.19</v>
      </c>
    </row>
    <row r="654" spans="1:4" x14ac:dyDescent="0.25">
      <c r="A654" s="15">
        <f>Sheet2!A654</f>
        <v>43128.166666666664</v>
      </c>
      <c r="B654" s="6">
        <v>0</v>
      </c>
      <c r="C654" s="7">
        <v>0.73</v>
      </c>
      <c r="D654" s="13">
        <f t="shared" si="10"/>
        <v>0.73</v>
      </c>
    </row>
    <row r="655" spans="1:4" x14ac:dyDescent="0.25">
      <c r="A655" s="15">
        <f>Sheet2!A655</f>
        <v>43128.208333333336</v>
      </c>
      <c r="B655" s="6">
        <v>1.1399999999999999</v>
      </c>
      <c r="C655" s="7">
        <v>0</v>
      </c>
      <c r="D655" s="13">
        <f t="shared" si="10"/>
        <v>1.1399999999999999</v>
      </c>
    </row>
    <row r="656" spans="1:4" x14ac:dyDescent="0.25">
      <c r="A656" s="15">
        <f>Sheet2!A656</f>
        <v>43128.25</v>
      </c>
      <c r="B656" s="6">
        <v>0</v>
      </c>
      <c r="C656" s="7">
        <v>0.37</v>
      </c>
      <c r="D656" s="13">
        <f t="shared" si="10"/>
        <v>0.37</v>
      </c>
    </row>
    <row r="657" spans="1:4" x14ac:dyDescent="0.25">
      <c r="A657" s="15">
        <f>Sheet2!A657</f>
        <v>43128.291666666664</v>
      </c>
      <c r="B657" s="6">
        <v>0</v>
      </c>
      <c r="C657" s="7">
        <v>0.82</v>
      </c>
      <c r="D657" s="13">
        <f t="shared" si="10"/>
        <v>0.82</v>
      </c>
    </row>
    <row r="658" spans="1:4" x14ac:dyDescent="0.25">
      <c r="A658" s="15">
        <f>Sheet2!A658</f>
        <v>43128.333333333336</v>
      </c>
      <c r="B658" s="6">
        <v>0</v>
      </c>
      <c r="C658" s="7">
        <v>0.93</v>
      </c>
      <c r="D658" s="13">
        <f t="shared" si="10"/>
        <v>0.93</v>
      </c>
    </row>
    <row r="659" spans="1:4" x14ac:dyDescent="0.25">
      <c r="A659" s="15">
        <f>Sheet2!A659</f>
        <v>43128.375</v>
      </c>
      <c r="B659" s="6">
        <v>0</v>
      </c>
      <c r="C659" s="7">
        <v>0.45</v>
      </c>
      <c r="D659" s="13">
        <f t="shared" si="10"/>
        <v>0.45</v>
      </c>
    </row>
    <row r="660" spans="1:4" x14ac:dyDescent="0.25">
      <c r="A660" s="15">
        <f>Sheet2!A660</f>
        <v>43128.416666666664</v>
      </c>
      <c r="B660" s="6">
        <v>0</v>
      </c>
      <c r="C660" s="7">
        <v>0.8</v>
      </c>
      <c r="D660" s="13">
        <f t="shared" si="10"/>
        <v>0.8</v>
      </c>
    </row>
    <row r="661" spans="1:4" x14ac:dyDescent="0.25">
      <c r="A661" s="15">
        <f>Sheet2!A661</f>
        <v>43128.458333333336</v>
      </c>
      <c r="B661" s="6">
        <v>0</v>
      </c>
      <c r="C661" s="7">
        <v>1.37</v>
      </c>
      <c r="D661" s="13">
        <f t="shared" si="10"/>
        <v>1.37</v>
      </c>
    </row>
    <row r="662" spans="1:4" x14ac:dyDescent="0.25">
      <c r="A662" s="15">
        <f>Sheet2!A662</f>
        <v>43128.5</v>
      </c>
      <c r="B662" s="6">
        <v>0</v>
      </c>
      <c r="C662" s="7">
        <v>1.46</v>
      </c>
      <c r="D662" s="13">
        <f t="shared" si="10"/>
        <v>1.46</v>
      </c>
    </row>
    <row r="663" spans="1:4" x14ac:dyDescent="0.25">
      <c r="A663" s="15">
        <f>Sheet2!A663</f>
        <v>43128.541666666664</v>
      </c>
      <c r="B663" s="6">
        <v>0</v>
      </c>
      <c r="C663" s="7">
        <v>0.93</v>
      </c>
      <c r="D663" s="13">
        <f t="shared" si="10"/>
        <v>0.93</v>
      </c>
    </row>
    <row r="664" spans="1:4" x14ac:dyDescent="0.25">
      <c r="A664" s="15">
        <f>Sheet2!A664</f>
        <v>43128.583333333336</v>
      </c>
      <c r="B664" s="6">
        <v>0</v>
      </c>
      <c r="C664" s="7">
        <v>0.35</v>
      </c>
      <c r="D664" s="13">
        <f t="shared" si="10"/>
        <v>0.35</v>
      </c>
    </row>
    <row r="665" spans="1:4" x14ac:dyDescent="0.25">
      <c r="A665" s="15">
        <f>Sheet2!A665</f>
        <v>43128.625</v>
      </c>
      <c r="B665" s="6">
        <v>0.88</v>
      </c>
      <c r="C665" s="7">
        <v>0</v>
      </c>
      <c r="D665" s="13">
        <f t="shared" si="10"/>
        <v>0.88</v>
      </c>
    </row>
    <row r="666" spans="1:4" x14ac:dyDescent="0.25">
      <c r="A666" s="15">
        <f>Sheet2!A666</f>
        <v>43128.666666666664</v>
      </c>
      <c r="B666" s="6">
        <v>0</v>
      </c>
      <c r="C666" s="7">
        <v>1.58</v>
      </c>
      <c r="D666" s="13">
        <f t="shared" si="10"/>
        <v>1.58</v>
      </c>
    </row>
    <row r="667" spans="1:4" x14ac:dyDescent="0.25">
      <c r="A667" s="15">
        <f>Sheet2!A667</f>
        <v>43128.708333333336</v>
      </c>
      <c r="B667" s="6">
        <v>0</v>
      </c>
      <c r="C667" s="7">
        <v>2.1800000000000002</v>
      </c>
      <c r="D667" s="13">
        <f t="shared" si="10"/>
        <v>2.1800000000000002</v>
      </c>
    </row>
    <row r="668" spans="1:4" x14ac:dyDescent="0.25">
      <c r="A668" s="15">
        <f>Sheet2!A668</f>
        <v>43128.75</v>
      </c>
      <c r="B668" s="6">
        <v>0</v>
      </c>
      <c r="C668" s="7">
        <v>1.74</v>
      </c>
      <c r="D668" s="13">
        <f t="shared" si="10"/>
        <v>1.74</v>
      </c>
    </row>
    <row r="669" spans="1:4" x14ac:dyDescent="0.25">
      <c r="A669" s="15">
        <f>Sheet2!A669</f>
        <v>43128.791666666664</v>
      </c>
      <c r="B669" s="6">
        <v>0</v>
      </c>
      <c r="C669" s="7">
        <v>2.0699999999999998</v>
      </c>
      <c r="D669" s="13">
        <f t="shared" si="10"/>
        <v>2.0699999999999998</v>
      </c>
    </row>
    <row r="670" spans="1:4" x14ac:dyDescent="0.25">
      <c r="A670" s="15">
        <f>Sheet2!A670</f>
        <v>43128.833333333336</v>
      </c>
      <c r="B670" s="6">
        <v>0</v>
      </c>
      <c r="C670" s="7">
        <v>0.63</v>
      </c>
      <c r="D670" s="13">
        <f t="shared" si="10"/>
        <v>0.63</v>
      </c>
    </row>
    <row r="671" spans="1:4" x14ac:dyDescent="0.25">
      <c r="A671" s="15">
        <f>Sheet2!A671</f>
        <v>43128.875</v>
      </c>
      <c r="B671" s="6">
        <v>4.76</v>
      </c>
      <c r="C671" s="7">
        <v>0</v>
      </c>
      <c r="D671" s="13">
        <f t="shared" si="10"/>
        <v>4.76</v>
      </c>
    </row>
    <row r="672" spans="1:4" x14ac:dyDescent="0.25">
      <c r="A672" s="15">
        <f>Sheet2!A672</f>
        <v>43128.916666666664</v>
      </c>
      <c r="B672" s="6">
        <v>0</v>
      </c>
      <c r="C672" s="7">
        <v>0.73</v>
      </c>
      <c r="D672" s="13">
        <f t="shared" si="10"/>
        <v>0.73</v>
      </c>
    </row>
    <row r="673" spans="1:4" x14ac:dyDescent="0.25">
      <c r="A673" s="15">
        <f>Sheet2!A673</f>
        <v>43128.958333333336</v>
      </c>
      <c r="B673" s="6">
        <v>0</v>
      </c>
      <c r="C673" s="7">
        <v>1.32</v>
      </c>
      <c r="D673" s="13">
        <f t="shared" si="10"/>
        <v>1.32</v>
      </c>
    </row>
    <row r="674" spans="1:4" x14ac:dyDescent="0.25">
      <c r="A674" s="15">
        <f>Sheet2!A674</f>
        <v>43129</v>
      </c>
      <c r="B674" s="6">
        <v>2.06</v>
      </c>
      <c r="C674" s="7">
        <v>0</v>
      </c>
      <c r="D674" s="13">
        <f t="shared" si="10"/>
        <v>2.06</v>
      </c>
    </row>
    <row r="675" spans="1:4" x14ac:dyDescent="0.25">
      <c r="A675" s="15">
        <f>Sheet2!A675</f>
        <v>43129.041666666664</v>
      </c>
      <c r="B675" s="6">
        <v>2.2799999999999998</v>
      </c>
      <c r="C675" s="7">
        <v>0</v>
      </c>
      <c r="D675" s="13">
        <f t="shared" si="10"/>
        <v>2.2799999999999998</v>
      </c>
    </row>
    <row r="676" spans="1:4" x14ac:dyDescent="0.25">
      <c r="A676" s="15">
        <f>Sheet2!A676</f>
        <v>43129.083333333336</v>
      </c>
      <c r="B676" s="6">
        <v>2.12</v>
      </c>
      <c r="C676" s="7">
        <v>0</v>
      </c>
      <c r="D676" s="13">
        <f t="shared" si="10"/>
        <v>2.12</v>
      </c>
    </row>
    <row r="677" spans="1:4" x14ac:dyDescent="0.25">
      <c r="A677" s="15">
        <f>Sheet2!A677</f>
        <v>43129.125</v>
      </c>
      <c r="B677" s="6">
        <v>3.11</v>
      </c>
      <c r="C677" s="7">
        <v>0</v>
      </c>
      <c r="D677" s="13">
        <f t="shared" si="10"/>
        <v>3.11</v>
      </c>
    </row>
    <row r="678" spans="1:4" x14ac:dyDescent="0.25">
      <c r="A678" s="15">
        <f>Sheet2!A678</f>
        <v>43129.166666666664</v>
      </c>
      <c r="B678" s="6">
        <v>0</v>
      </c>
      <c r="C678" s="7">
        <v>0.65</v>
      </c>
      <c r="D678" s="13">
        <f t="shared" si="10"/>
        <v>0.65</v>
      </c>
    </row>
    <row r="679" spans="1:4" x14ac:dyDescent="0.25">
      <c r="A679" s="15">
        <f>Sheet2!A679</f>
        <v>43129.208333333336</v>
      </c>
      <c r="B679" s="6">
        <v>0</v>
      </c>
      <c r="C679" s="7">
        <v>1.25</v>
      </c>
      <c r="D679" s="13">
        <f t="shared" si="10"/>
        <v>1.25</v>
      </c>
    </row>
    <row r="680" spans="1:4" x14ac:dyDescent="0.25">
      <c r="A680" s="15">
        <f>Sheet2!A680</f>
        <v>43129.25</v>
      </c>
      <c r="B680" s="6">
        <v>0</v>
      </c>
      <c r="C680" s="7">
        <v>1.08</v>
      </c>
      <c r="D680" s="13">
        <f t="shared" si="10"/>
        <v>1.08</v>
      </c>
    </row>
    <row r="681" spans="1:4" x14ac:dyDescent="0.25">
      <c r="A681" s="15">
        <f>Sheet2!A681</f>
        <v>43129.291666666664</v>
      </c>
      <c r="B681" s="6">
        <v>0</v>
      </c>
      <c r="C681" s="7">
        <v>1.03</v>
      </c>
      <c r="D681" s="13">
        <f t="shared" si="10"/>
        <v>1.03</v>
      </c>
    </row>
    <row r="682" spans="1:4" x14ac:dyDescent="0.25">
      <c r="A682" s="15">
        <f>Sheet2!A682</f>
        <v>43129.333333333336</v>
      </c>
      <c r="B682" s="6">
        <v>0</v>
      </c>
      <c r="C682" s="7">
        <v>1.24</v>
      </c>
      <c r="D682" s="13">
        <f t="shared" si="10"/>
        <v>1.24</v>
      </c>
    </row>
    <row r="683" spans="1:4" x14ac:dyDescent="0.25">
      <c r="A683" s="15">
        <f>Sheet2!A683</f>
        <v>43129.375</v>
      </c>
      <c r="B683" s="6">
        <v>0</v>
      </c>
      <c r="C683" s="7">
        <v>1.17</v>
      </c>
      <c r="D683" s="13">
        <f t="shared" si="10"/>
        <v>1.17</v>
      </c>
    </row>
    <row r="684" spans="1:4" x14ac:dyDescent="0.25">
      <c r="A684" s="15">
        <f>Sheet2!A684</f>
        <v>43129.416666666664</v>
      </c>
      <c r="B684" s="6">
        <v>2.09</v>
      </c>
      <c r="C684" s="7">
        <v>0</v>
      </c>
      <c r="D684" s="13">
        <f t="shared" si="10"/>
        <v>2.09</v>
      </c>
    </row>
    <row r="685" spans="1:4" x14ac:dyDescent="0.25">
      <c r="A685" s="15">
        <f>Sheet2!A685</f>
        <v>43129.458333333336</v>
      </c>
      <c r="B685" s="6">
        <v>1.82</v>
      </c>
      <c r="C685" s="7">
        <v>0</v>
      </c>
      <c r="D685" s="13">
        <f t="shared" si="10"/>
        <v>1.82</v>
      </c>
    </row>
    <row r="686" spans="1:4" x14ac:dyDescent="0.25">
      <c r="A686" s="15">
        <f>Sheet2!A686</f>
        <v>43129.5</v>
      </c>
      <c r="B686" s="6">
        <v>0</v>
      </c>
      <c r="C686" s="7">
        <v>1.31</v>
      </c>
      <c r="D686" s="13">
        <f t="shared" si="10"/>
        <v>1.31</v>
      </c>
    </row>
    <row r="687" spans="1:4" x14ac:dyDescent="0.25">
      <c r="A687" s="15">
        <f>Sheet2!A687</f>
        <v>43129.541666666664</v>
      </c>
      <c r="B687" s="6">
        <v>0</v>
      </c>
      <c r="C687" s="7">
        <v>2.2000000000000002</v>
      </c>
      <c r="D687" s="13">
        <f t="shared" si="10"/>
        <v>2.2000000000000002</v>
      </c>
    </row>
    <row r="688" spans="1:4" x14ac:dyDescent="0.25">
      <c r="A688" s="15">
        <f>Sheet2!A688</f>
        <v>43129.583333333336</v>
      </c>
      <c r="B688" s="6">
        <v>0</v>
      </c>
      <c r="C688" s="7">
        <v>2.21</v>
      </c>
      <c r="D688" s="13">
        <f t="shared" si="10"/>
        <v>2.21</v>
      </c>
    </row>
    <row r="689" spans="1:4" x14ac:dyDescent="0.25">
      <c r="A689" s="15">
        <f>Sheet2!A689</f>
        <v>43129.625</v>
      </c>
      <c r="B689" s="6">
        <v>0</v>
      </c>
      <c r="C689" s="7">
        <v>0.91</v>
      </c>
      <c r="D689" s="13">
        <f t="shared" si="10"/>
        <v>0.91</v>
      </c>
    </row>
    <row r="690" spans="1:4" x14ac:dyDescent="0.25">
      <c r="A690" s="15">
        <f>Sheet2!A690</f>
        <v>43129.666666666664</v>
      </c>
      <c r="B690" s="6">
        <v>0</v>
      </c>
      <c r="C690" s="7">
        <v>1.38</v>
      </c>
      <c r="D690" s="13">
        <f t="shared" si="10"/>
        <v>1.38</v>
      </c>
    </row>
    <row r="691" spans="1:4" x14ac:dyDescent="0.25">
      <c r="A691" s="15">
        <f>Sheet2!A691</f>
        <v>43129.708333333336</v>
      </c>
      <c r="B691" s="6">
        <v>0</v>
      </c>
      <c r="C691" s="7">
        <v>2.2999999999999998</v>
      </c>
      <c r="D691" s="13">
        <f t="shared" si="10"/>
        <v>2.2999999999999998</v>
      </c>
    </row>
    <row r="692" spans="1:4" x14ac:dyDescent="0.25">
      <c r="A692" s="15">
        <f>Sheet2!A692</f>
        <v>43129.75</v>
      </c>
      <c r="B692" s="6">
        <v>0</v>
      </c>
      <c r="C692" s="7">
        <v>2.29</v>
      </c>
      <c r="D692" s="13">
        <f t="shared" si="10"/>
        <v>2.29</v>
      </c>
    </row>
    <row r="693" spans="1:4" x14ac:dyDescent="0.25">
      <c r="A693" s="15">
        <f>Sheet2!A693</f>
        <v>43129.791666666664</v>
      </c>
      <c r="B693" s="6">
        <v>0</v>
      </c>
      <c r="C693" s="7">
        <v>2.1</v>
      </c>
      <c r="D693" s="13">
        <f t="shared" si="10"/>
        <v>2.1</v>
      </c>
    </row>
    <row r="694" spans="1:4" x14ac:dyDescent="0.25">
      <c r="A694" s="15">
        <f>Sheet2!A694</f>
        <v>43129.833333333336</v>
      </c>
      <c r="B694" s="6">
        <v>0</v>
      </c>
      <c r="C694" s="7">
        <v>0.79</v>
      </c>
      <c r="D694" s="13">
        <f t="shared" si="10"/>
        <v>0.79</v>
      </c>
    </row>
    <row r="695" spans="1:4" x14ac:dyDescent="0.25">
      <c r="A695" s="15">
        <f>Sheet2!A695</f>
        <v>43129.875</v>
      </c>
      <c r="B695" s="6">
        <v>1.95</v>
      </c>
      <c r="C695" s="7">
        <v>0</v>
      </c>
      <c r="D695" s="13">
        <f t="shared" si="10"/>
        <v>1.95</v>
      </c>
    </row>
    <row r="696" spans="1:4" x14ac:dyDescent="0.25">
      <c r="A696" s="15">
        <f>Sheet2!A696</f>
        <v>43129.916666666664</v>
      </c>
      <c r="B696" s="6">
        <v>0</v>
      </c>
      <c r="C696" s="7">
        <v>0.92</v>
      </c>
      <c r="D696" s="13">
        <f t="shared" si="10"/>
        <v>0.92</v>
      </c>
    </row>
    <row r="697" spans="1:4" x14ac:dyDescent="0.25">
      <c r="A697" s="15">
        <f>Sheet2!A697</f>
        <v>43129.958333333336</v>
      </c>
      <c r="B697" s="6">
        <v>1.67</v>
      </c>
      <c r="C697" s="7">
        <v>0</v>
      </c>
      <c r="D697" s="13">
        <f t="shared" si="10"/>
        <v>1.67</v>
      </c>
    </row>
    <row r="698" spans="1:4" x14ac:dyDescent="0.25">
      <c r="A698" s="15">
        <f>Sheet2!A698</f>
        <v>43130</v>
      </c>
      <c r="B698" s="6">
        <v>1.47</v>
      </c>
      <c r="C698" s="7">
        <v>0</v>
      </c>
      <c r="D698" s="13">
        <f t="shared" si="10"/>
        <v>1.47</v>
      </c>
    </row>
    <row r="699" spans="1:4" x14ac:dyDescent="0.25">
      <c r="A699" s="15">
        <f>Sheet2!A699</f>
        <v>43130.041666666664</v>
      </c>
      <c r="B699" s="6">
        <v>1.81</v>
      </c>
      <c r="C699" s="7">
        <v>0</v>
      </c>
      <c r="D699" s="13">
        <f t="shared" si="10"/>
        <v>1.81</v>
      </c>
    </row>
    <row r="700" spans="1:4" x14ac:dyDescent="0.25">
      <c r="A700" s="15">
        <f>Sheet2!A700</f>
        <v>43130.083333333336</v>
      </c>
      <c r="B700" s="6">
        <v>2.31</v>
      </c>
      <c r="C700" s="7">
        <v>0</v>
      </c>
      <c r="D700" s="13">
        <f t="shared" si="10"/>
        <v>2.31</v>
      </c>
    </row>
    <row r="701" spans="1:4" x14ac:dyDescent="0.25">
      <c r="A701" s="15">
        <f>Sheet2!A701</f>
        <v>43130.125</v>
      </c>
      <c r="B701" s="6">
        <v>3.53</v>
      </c>
      <c r="C701" s="7">
        <v>0</v>
      </c>
      <c r="D701" s="13">
        <f t="shared" si="10"/>
        <v>3.53</v>
      </c>
    </row>
    <row r="702" spans="1:4" x14ac:dyDescent="0.25">
      <c r="A702" s="15">
        <f>Sheet2!A702</f>
        <v>43130.166666666664</v>
      </c>
      <c r="B702" s="6">
        <v>0</v>
      </c>
      <c r="C702" s="7">
        <v>0.68</v>
      </c>
      <c r="D702" s="13">
        <f t="shared" si="10"/>
        <v>0.68</v>
      </c>
    </row>
    <row r="703" spans="1:4" x14ac:dyDescent="0.25">
      <c r="A703" s="15">
        <f>Sheet2!A703</f>
        <v>43130.208333333336</v>
      </c>
      <c r="B703" s="6">
        <v>0</v>
      </c>
      <c r="C703" s="7">
        <v>0.93</v>
      </c>
      <c r="D703" s="13">
        <f t="shared" si="10"/>
        <v>0.93</v>
      </c>
    </row>
    <row r="704" spans="1:4" x14ac:dyDescent="0.25">
      <c r="A704" s="15">
        <f>Sheet2!A704</f>
        <v>43130.25</v>
      </c>
      <c r="B704" s="6">
        <v>0</v>
      </c>
      <c r="C704" s="7">
        <v>0.71</v>
      </c>
      <c r="D704" s="13">
        <f t="shared" si="10"/>
        <v>0.71</v>
      </c>
    </row>
    <row r="705" spans="1:4" x14ac:dyDescent="0.25">
      <c r="A705" s="15">
        <f>Sheet2!A705</f>
        <v>43130.291666666664</v>
      </c>
      <c r="B705" s="6">
        <v>0</v>
      </c>
      <c r="C705" s="7">
        <v>0.75</v>
      </c>
      <c r="D705" s="13">
        <f t="shared" si="10"/>
        <v>0.75</v>
      </c>
    </row>
    <row r="706" spans="1:4" x14ac:dyDescent="0.25">
      <c r="A706" s="15">
        <f>Sheet2!A706</f>
        <v>43130.333333333336</v>
      </c>
      <c r="B706" s="6">
        <v>0</v>
      </c>
      <c r="C706" s="7">
        <v>0.92</v>
      </c>
      <c r="D706" s="13">
        <f t="shared" si="10"/>
        <v>0.92</v>
      </c>
    </row>
    <row r="707" spans="1:4" x14ac:dyDescent="0.25">
      <c r="A707" s="15">
        <f>Sheet2!A707</f>
        <v>43130.375</v>
      </c>
      <c r="B707" s="6">
        <v>1.58</v>
      </c>
      <c r="C707" s="7">
        <v>0</v>
      </c>
      <c r="D707" s="13">
        <f t="shared" ref="D707:D770" si="11">B707+C707</f>
        <v>1.58</v>
      </c>
    </row>
    <row r="708" spans="1:4" x14ac:dyDescent="0.25">
      <c r="A708" s="15">
        <f>Sheet2!A708</f>
        <v>43130.416666666664</v>
      </c>
      <c r="B708" s="6">
        <v>0</v>
      </c>
      <c r="C708" s="7">
        <v>0.92</v>
      </c>
      <c r="D708" s="13">
        <f t="shared" si="11"/>
        <v>0.92</v>
      </c>
    </row>
    <row r="709" spans="1:4" x14ac:dyDescent="0.25">
      <c r="A709" s="15">
        <f>Sheet2!A709</f>
        <v>43130.458333333336</v>
      </c>
      <c r="B709" s="6">
        <v>0</v>
      </c>
      <c r="C709" s="7">
        <v>1.32</v>
      </c>
      <c r="D709" s="13">
        <f t="shared" si="11"/>
        <v>1.32</v>
      </c>
    </row>
    <row r="710" spans="1:4" x14ac:dyDescent="0.25">
      <c r="A710" s="15">
        <f>Sheet2!A710</f>
        <v>43130.5</v>
      </c>
      <c r="B710" s="6">
        <v>0</v>
      </c>
      <c r="C710" s="7">
        <v>1.4</v>
      </c>
      <c r="D710" s="13">
        <f t="shared" si="11"/>
        <v>1.4</v>
      </c>
    </row>
    <row r="711" spans="1:4" x14ac:dyDescent="0.25">
      <c r="A711" s="15">
        <f>Sheet2!A711</f>
        <v>43130.541666666664</v>
      </c>
      <c r="B711" s="6">
        <v>0</v>
      </c>
      <c r="C711" s="7">
        <v>1.41</v>
      </c>
      <c r="D711" s="13">
        <f t="shared" si="11"/>
        <v>1.41</v>
      </c>
    </row>
    <row r="712" spans="1:4" x14ac:dyDescent="0.25">
      <c r="A712" s="15">
        <f>Sheet2!A712</f>
        <v>43130.583333333336</v>
      </c>
      <c r="B712" s="6">
        <v>0</v>
      </c>
      <c r="C712" s="7">
        <v>0.77</v>
      </c>
      <c r="D712" s="13">
        <f t="shared" si="11"/>
        <v>0.77</v>
      </c>
    </row>
    <row r="713" spans="1:4" x14ac:dyDescent="0.25">
      <c r="A713" s="15">
        <f>Sheet2!A713</f>
        <v>43130.625</v>
      </c>
      <c r="B713" s="6">
        <v>0</v>
      </c>
      <c r="C713" s="7">
        <v>0.8</v>
      </c>
      <c r="D713" s="13">
        <f t="shared" si="11"/>
        <v>0.8</v>
      </c>
    </row>
    <row r="714" spans="1:4" x14ac:dyDescent="0.25">
      <c r="A714" s="15">
        <f>Sheet2!A714</f>
        <v>43130.666666666664</v>
      </c>
      <c r="B714" s="6">
        <v>0</v>
      </c>
      <c r="C714" s="7">
        <v>1.56</v>
      </c>
      <c r="D714" s="13">
        <f t="shared" si="11"/>
        <v>1.56</v>
      </c>
    </row>
    <row r="715" spans="1:4" x14ac:dyDescent="0.25">
      <c r="A715" s="15">
        <f>Sheet2!A715</f>
        <v>43130.708333333336</v>
      </c>
      <c r="B715" s="6">
        <v>0</v>
      </c>
      <c r="C715" s="7">
        <v>2.2400000000000002</v>
      </c>
      <c r="D715" s="13">
        <f t="shared" si="11"/>
        <v>2.2400000000000002</v>
      </c>
    </row>
    <row r="716" spans="1:4" x14ac:dyDescent="0.25">
      <c r="A716" s="15">
        <f>Sheet2!A716</f>
        <v>43130.75</v>
      </c>
      <c r="B716" s="6">
        <v>0</v>
      </c>
      <c r="C716" s="7">
        <v>2.21</v>
      </c>
      <c r="D716" s="13">
        <f t="shared" si="11"/>
        <v>2.21</v>
      </c>
    </row>
    <row r="717" spans="1:4" x14ac:dyDescent="0.25">
      <c r="A717" s="15">
        <f>Sheet2!A717</f>
        <v>43130.791666666664</v>
      </c>
      <c r="B717" s="6">
        <v>0</v>
      </c>
      <c r="C717" s="7">
        <v>2.2200000000000002</v>
      </c>
      <c r="D717" s="13">
        <f t="shared" si="11"/>
        <v>2.2200000000000002</v>
      </c>
    </row>
    <row r="718" spans="1:4" x14ac:dyDescent="0.25">
      <c r="A718" s="15">
        <f>Sheet2!A718</f>
        <v>43130.833333333336</v>
      </c>
      <c r="B718" s="6">
        <v>0</v>
      </c>
      <c r="C718" s="7">
        <v>1.78</v>
      </c>
      <c r="D718" s="13">
        <f t="shared" si="11"/>
        <v>1.78</v>
      </c>
    </row>
    <row r="719" spans="1:4" x14ac:dyDescent="0.25">
      <c r="A719" s="15">
        <f>Sheet2!A719</f>
        <v>43130.875</v>
      </c>
      <c r="B719" s="6">
        <v>0</v>
      </c>
      <c r="C719" s="7">
        <v>1.94</v>
      </c>
      <c r="D719" s="13">
        <f t="shared" si="11"/>
        <v>1.94</v>
      </c>
    </row>
    <row r="720" spans="1:4" x14ac:dyDescent="0.25">
      <c r="A720" s="15">
        <f>Sheet2!A720</f>
        <v>43130.916666666664</v>
      </c>
      <c r="B720" s="6">
        <v>0</v>
      </c>
      <c r="C720" s="7">
        <v>0.63</v>
      </c>
      <c r="D720" s="13">
        <f t="shared" si="11"/>
        <v>0.63</v>
      </c>
    </row>
    <row r="721" spans="1:4" x14ac:dyDescent="0.25">
      <c r="A721" s="15">
        <f>Sheet2!A721</f>
        <v>43130.958333333336</v>
      </c>
      <c r="B721" s="6">
        <v>2.04</v>
      </c>
      <c r="C721" s="7">
        <v>0</v>
      </c>
      <c r="D721" s="13">
        <f t="shared" si="11"/>
        <v>2.04</v>
      </c>
    </row>
    <row r="722" spans="1:4" x14ac:dyDescent="0.25">
      <c r="A722" s="15">
        <f>Sheet2!A722</f>
        <v>43131</v>
      </c>
      <c r="B722" s="6">
        <v>0</v>
      </c>
      <c r="C722" s="7">
        <v>0.72</v>
      </c>
      <c r="D722" s="13">
        <f t="shared" si="11"/>
        <v>0.72</v>
      </c>
    </row>
    <row r="723" spans="1:4" x14ac:dyDescent="0.25">
      <c r="A723" s="15">
        <f>Sheet2!A723</f>
        <v>43131.041666666664</v>
      </c>
      <c r="B723" s="6">
        <v>0</v>
      </c>
      <c r="C723" s="7">
        <v>0.82</v>
      </c>
      <c r="D723" s="13">
        <f t="shared" si="11"/>
        <v>0.82</v>
      </c>
    </row>
    <row r="724" spans="1:4" x14ac:dyDescent="0.25">
      <c r="A724" s="15">
        <f>Sheet2!A724</f>
        <v>43131.083333333336</v>
      </c>
      <c r="B724" s="6">
        <v>1.72</v>
      </c>
      <c r="C724" s="7">
        <v>0</v>
      </c>
      <c r="D724" s="13">
        <f t="shared" si="11"/>
        <v>1.72</v>
      </c>
    </row>
    <row r="725" spans="1:4" x14ac:dyDescent="0.25">
      <c r="A725" s="15">
        <f>Sheet2!A725</f>
        <v>43131.125</v>
      </c>
      <c r="B725" s="6">
        <v>2.59</v>
      </c>
      <c r="C725" s="7">
        <v>0</v>
      </c>
      <c r="D725" s="13">
        <f t="shared" si="11"/>
        <v>2.59</v>
      </c>
    </row>
    <row r="726" spans="1:4" x14ac:dyDescent="0.25">
      <c r="A726" s="15">
        <f>Sheet2!A726</f>
        <v>43131.166666666664</v>
      </c>
      <c r="B726" s="6">
        <v>0</v>
      </c>
      <c r="C726" s="7">
        <v>0.7</v>
      </c>
      <c r="D726" s="13">
        <f t="shared" si="11"/>
        <v>0.7</v>
      </c>
    </row>
    <row r="727" spans="1:4" x14ac:dyDescent="0.25">
      <c r="A727" s="15">
        <f>Sheet2!A727</f>
        <v>43131.208333333336</v>
      </c>
      <c r="B727" s="6">
        <v>0</v>
      </c>
      <c r="C727" s="7">
        <v>0.86</v>
      </c>
      <c r="D727" s="13">
        <f t="shared" si="11"/>
        <v>0.86</v>
      </c>
    </row>
    <row r="728" spans="1:4" x14ac:dyDescent="0.25">
      <c r="A728" s="15">
        <f>Sheet2!A728</f>
        <v>43131.25</v>
      </c>
      <c r="B728" s="6">
        <v>0</v>
      </c>
      <c r="C728" s="7">
        <v>0.71</v>
      </c>
      <c r="D728" s="13">
        <f t="shared" si="11"/>
        <v>0.71</v>
      </c>
    </row>
    <row r="729" spans="1:4" x14ac:dyDescent="0.25">
      <c r="A729" s="15">
        <f>Sheet2!A729</f>
        <v>43131.291666666664</v>
      </c>
      <c r="B729" s="6">
        <v>0</v>
      </c>
      <c r="C729" s="7">
        <v>0.26</v>
      </c>
      <c r="D729" s="13">
        <f t="shared" si="11"/>
        <v>0.26</v>
      </c>
    </row>
    <row r="730" spans="1:4" x14ac:dyDescent="0.25">
      <c r="A730" s="15">
        <f>Sheet2!A730</f>
        <v>43131.333333333336</v>
      </c>
      <c r="B730" s="6">
        <v>0</v>
      </c>
      <c r="C730" s="7">
        <v>0.6</v>
      </c>
      <c r="D730" s="13">
        <f t="shared" si="11"/>
        <v>0.6</v>
      </c>
    </row>
    <row r="731" spans="1:4" x14ac:dyDescent="0.25">
      <c r="A731" s="15">
        <f>Sheet2!A731</f>
        <v>43131.375</v>
      </c>
      <c r="B731" s="6">
        <v>0</v>
      </c>
      <c r="C731" s="7">
        <v>0.92</v>
      </c>
      <c r="D731" s="13">
        <f t="shared" si="11"/>
        <v>0.92</v>
      </c>
    </row>
    <row r="732" spans="1:4" x14ac:dyDescent="0.25">
      <c r="A732" s="15">
        <f>Sheet2!A732</f>
        <v>43131.416666666664</v>
      </c>
      <c r="B732" s="6">
        <v>0</v>
      </c>
      <c r="C732" s="7">
        <v>1.2</v>
      </c>
      <c r="D732" s="13">
        <f t="shared" si="11"/>
        <v>1.2</v>
      </c>
    </row>
    <row r="733" spans="1:4" x14ac:dyDescent="0.25">
      <c r="A733" s="15">
        <f>Sheet2!A733</f>
        <v>43131.458333333336</v>
      </c>
      <c r="B733" s="6">
        <v>0</v>
      </c>
      <c r="C733" s="7">
        <v>1.3</v>
      </c>
      <c r="D733" s="13">
        <f t="shared" si="11"/>
        <v>1.3</v>
      </c>
    </row>
    <row r="734" spans="1:4" x14ac:dyDescent="0.25">
      <c r="A734" s="15">
        <f>Sheet2!A734</f>
        <v>43131.5</v>
      </c>
      <c r="B734" s="6">
        <v>0</v>
      </c>
      <c r="C734" s="7">
        <v>1.33</v>
      </c>
      <c r="D734" s="13">
        <f t="shared" si="11"/>
        <v>1.33</v>
      </c>
    </row>
    <row r="735" spans="1:4" x14ac:dyDescent="0.25">
      <c r="A735" s="15">
        <f>Sheet2!A735</f>
        <v>43131.541666666664</v>
      </c>
      <c r="B735" s="6">
        <v>0</v>
      </c>
      <c r="C735" s="7">
        <v>0.4</v>
      </c>
      <c r="D735" s="13">
        <f t="shared" si="11"/>
        <v>0.4</v>
      </c>
    </row>
    <row r="736" spans="1:4" x14ac:dyDescent="0.25">
      <c r="A736" s="15">
        <f>Sheet2!A736</f>
        <v>43131.583333333336</v>
      </c>
      <c r="B736" s="6">
        <v>0</v>
      </c>
      <c r="C736" s="7">
        <v>0.85</v>
      </c>
      <c r="D736" s="13">
        <f t="shared" si="11"/>
        <v>0.85</v>
      </c>
    </row>
    <row r="737" spans="1:4" x14ac:dyDescent="0.25">
      <c r="A737" s="15">
        <f>Sheet2!A737</f>
        <v>43131.625</v>
      </c>
      <c r="B737" s="6">
        <v>0</v>
      </c>
      <c r="C737" s="7">
        <v>1.3</v>
      </c>
      <c r="D737" s="13">
        <f t="shared" si="11"/>
        <v>1.3</v>
      </c>
    </row>
    <row r="738" spans="1:4" x14ac:dyDescent="0.25">
      <c r="A738" s="15">
        <f>Sheet2!A738</f>
        <v>43131.666666666664</v>
      </c>
      <c r="B738" s="6">
        <v>0</v>
      </c>
      <c r="C738" s="7">
        <v>1.21</v>
      </c>
      <c r="D738" s="13">
        <f t="shared" si="11"/>
        <v>1.21</v>
      </c>
    </row>
    <row r="739" spans="1:4" x14ac:dyDescent="0.25">
      <c r="A739" s="15">
        <f>Sheet2!A739</f>
        <v>43131.708333333336</v>
      </c>
      <c r="B739" s="6">
        <v>0</v>
      </c>
      <c r="C739" s="7">
        <v>1.17</v>
      </c>
      <c r="D739" s="13">
        <f t="shared" si="11"/>
        <v>1.17</v>
      </c>
    </row>
    <row r="740" spans="1:4" x14ac:dyDescent="0.25">
      <c r="A740" s="15">
        <f>Sheet2!A740</f>
        <v>43131.75</v>
      </c>
      <c r="B740" s="6">
        <v>0</v>
      </c>
      <c r="C740" s="7">
        <v>1.24</v>
      </c>
      <c r="D740" s="13">
        <f t="shared" si="11"/>
        <v>1.24</v>
      </c>
    </row>
    <row r="741" spans="1:4" x14ac:dyDescent="0.25">
      <c r="A741" s="15">
        <f>Sheet2!A741</f>
        <v>43131.791666666664</v>
      </c>
      <c r="B741" s="6">
        <v>0</v>
      </c>
      <c r="C741" s="7">
        <v>0.52</v>
      </c>
      <c r="D741" s="13">
        <f t="shared" si="11"/>
        <v>0.52</v>
      </c>
    </row>
    <row r="742" spans="1:4" x14ac:dyDescent="0.25">
      <c r="A742" s="15">
        <f>Sheet2!A742</f>
        <v>43131.833333333336</v>
      </c>
      <c r="B742" s="6">
        <v>0</v>
      </c>
      <c r="C742" s="7">
        <v>0.95</v>
      </c>
      <c r="D742" s="13">
        <f t="shared" si="11"/>
        <v>0.95</v>
      </c>
    </row>
    <row r="743" spans="1:4" x14ac:dyDescent="0.25">
      <c r="A743" s="15">
        <f>Sheet2!A743</f>
        <v>43131.875</v>
      </c>
      <c r="B743" s="6">
        <v>0</v>
      </c>
      <c r="C743" s="7">
        <v>1.23</v>
      </c>
      <c r="D743" s="13">
        <f t="shared" si="11"/>
        <v>1.23</v>
      </c>
    </row>
    <row r="744" spans="1:4" x14ac:dyDescent="0.25">
      <c r="A744" s="15">
        <f>Sheet2!A744</f>
        <v>43131.916666666664</v>
      </c>
      <c r="B744" s="6">
        <v>0</v>
      </c>
      <c r="C744" s="7">
        <v>0.53</v>
      </c>
      <c r="D744" s="13">
        <f t="shared" si="11"/>
        <v>0.53</v>
      </c>
    </row>
    <row r="745" spans="1:4" x14ac:dyDescent="0.25">
      <c r="A745" s="15">
        <f>Sheet2!A745</f>
        <v>43131.958333333336</v>
      </c>
      <c r="B745" s="6">
        <v>1.71</v>
      </c>
      <c r="C745" s="7">
        <v>0</v>
      </c>
      <c r="D745" s="13">
        <f t="shared" si="11"/>
        <v>1.71</v>
      </c>
    </row>
    <row r="746" spans="1:4" x14ac:dyDescent="0.25">
      <c r="A746" s="15">
        <f>Sheet2!A746</f>
        <v>43132</v>
      </c>
      <c r="B746" s="8">
        <v>1.67</v>
      </c>
      <c r="C746" s="9">
        <v>0</v>
      </c>
      <c r="D746" s="13">
        <f t="shared" si="11"/>
        <v>1.67</v>
      </c>
    </row>
    <row r="747" spans="1:4" x14ac:dyDescent="0.25">
      <c r="A747" s="15">
        <f>Sheet2!A747</f>
        <v>0</v>
      </c>
      <c r="B747" s="8">
        <v>2.14</v>
      </c>
      <c r="C747" s="9">
        <v>0</v>
      </c>
      <c r="D747" s="13">
        <f t="shared" si="11"/>
        <v>2.14</v>
      </c>
    </row>
    <row r="748" spans="1:4" x14ac:dyDescent="0.25">
      <c r="A748" s="15">
        <f>Sheet2!A748</f>
        <v>0</v>
      </c>
      <c r="B748" s="8">
        <v>0</v>
      </c>
      <c r="C748" s="9">
        <v>1.1200000000000001</v>
      </c>
      <c r="D748" s="13">
        <f t="shared" si="11"/>
        <v>1.1200000000000001</v>
      </c>
    </row>
    <row r="749" spans="1:4" x14ac:dyDescent="0.25">
      <c r="A749" s="15">
        <f>Sheet2!A749</f>
        <v>0</v>
      </c>
      <c r="B749" s="8">
        <v>0</v>
      </c>
      <c r="C749" s="9">
        <v>2.75</v>
      </c>
      <c r="D749" s="13">
        <f t="shared" si="11"/>
        <v>2.75</v>
      </c>
    </row>
    <row r="750" spans="1:4" x14ac:dyDescent="0.25">
      <c r="A750" s="15">
        <f>Sheet2!A750</f>
        <v>0</v>
      </c>
      <c r="B750" s="8">
        <v>0</v>
      </c>
      <c r="C750" s="9">
        <v>0.97</v>
      </c>
      <c r="D750" s="13">
        <f t="shared" si="11"/>
        <v>0.97</v>
      </c>
    </row>
    <row r="751" spans="1:4" x14ac:dyDescent="0.25">
      <c r="A751" s="15">
        <f>Sheet2!A751</f>
        <v>0</v>
      </c>
      <c r="B751" s="8">
        <v>2.75</v>
      </c>
      <c r="C751" s="9">
        <v>0</v>
      </c>
      <c r="D751" s="13">
        <f t="shared" si="11"/>
        <v>2.75</v>
      </c>
    </row>
    <row r="752" spans="1:4" x14ac:dyDescent="0.25">
      <c r="A752" s="15">
        <f>Sheet2!A752</f>
        <v>0</v>
      </c>
      <c r="B752" s="8">
        <v>0</v>
      </c>
      <c r="C752" s="9">
        <v>1.07</v>
      </c>
      <c r="D752" s="13">
        <f t="shared" si="11"/>
        <v>1.07</v>
      </c>
    </row>
    <row r="753" spans="1:4" x14ac:dyDescent="0.25">
      <c r="A753" s="15">
        <f>Sheet2!A753</f>
        <v>0</v>
      </c>
      <c r="B753" s="8">
        <v>0</v>
      </c>
      <c r="C753" s="9">
        <v>2.1800000000000002</v>
      </c>
      <c r="D753" s="13">
        <f t="shared" si="11"/>
        <v>2.1800000000000002</v>
      </c>
    </row>
    <row r="754" spans="1:4" x14ac:dyDescent="0.25">
      <c r="A754" s="15">
        <f>Sheet2!A754</f>
        <v>0</v>
      </c>
      <c r="B754" s="8">
        <v>0</v>
      </c>
      <c r="C754" s="9">
        <v>1.43</v>
      </c>
      <c r="D754" s="13">
        <f t="shared" si="11"/>
        <v>1.43</v>
      </c>
    </row>
    <row r="755" spans="1:4" x14ac:dyDescent="0.25">
      <c r="A755" s="15">
        <f>Sheet2!A755</f>
        <v>0</v>
      </c>
      <c r="B755" s="8">
        <v>0</v>
      </c>
      <c r="C755" s="9">
        <v>0.89</v>
      </c>
      <c r="D755" s="13">
        <f t="shared" si="11"/>
        <v>0.89</v>
      </c>
    </row>
    <row r="756" spans="1:4" x14ac:dyDescent="0.25">
      <c r="A756" s="15">
        <f>Sheet2!A756</f>
        <v>0</v>
      </c>
      <c r="B756" s="8">
        <v>0</v>
      </c>
      <c r="C756" s="9">
        <v>0.34</v>
      </c>
      <c r="D756" s="13">
        <f t="shared" si="11"/>
        <v>0.34</v>
      </c>
    </row>
    <row r="757" spans="1:4" x14ac:dyDescent="0.25">
      <c r="A757" s="15">
        <f>Sheet2!A757</f>
        <v>0</v>
      </c>
      <c r="B757" s="8">
        <v>0</v>
      </c>
      <c r="C757" s="9">
        <v>0.7</v>
      </c>
      <c r="D757" s="13">
        <f t="shared" si="11"/>
        <v>0.7</v>
      </c>
    </row>
    <row r="758" spans="1:4" x14ac:dyDescent="0.25">
      <c r="A758" s="15">
        <f>Sheet2!A758</f>
        <v>0</v>
      </c>
      <c r="B758" s="8">
        <v>0</v>
      </c>
      <c r="C758" s="9">
        <v>1.1100000000000001</v>
      </c>
      <c r="D758" s="13">
        <f t="shared" si="11"/>
        <v>1.1100000000000001</v>
      </c>
    </row>
    <row r="759" spans="1:4" x14ac:dyDescent="0.25">
      <c r="A759" s="15">
        <f>Sheet2!A759</f>
        <v>0</v>
      </c>
      <c r="B759" s="8">
        <v>0</v>
      </c>
      <c r="C759" s="9">
        <v>1.33</v>
      </c>
      <c r="D759" s="13">
        <f t="shared" si="11"/>
        <v>1.33</v>
      </c>
    </row>
    <row r="760" spans="1:4" x14ac:dyDescent="0.25">
      <c r="A760" s="15">
        <f>Sheet2!A760</f>
        <v>0</v>
      </c>
      <c r="B760" s="8">
        <v>0</v>
      </c>
      <c r="C760" s="9">
        <v>0.51</v>
      </c>
      <c r="D760" s="13">
        <f t="shared" si="11"/>
        <v>0.51</v>
      </c>
    </row>
    <row r="761" spans="1:4" x14ac:dyDescent="0.25">
      <c r="A761" s="15">
        <f>Sheet2!A761</f>
        <v>0</v>
      </c>
      <c r="B761" s="8">
        <v>1.44</v>
      </c>
      <c r="C761" s="9">
        <v>0</v>
      </c>
      <c r="D761" s="13">
        <f t="shared" si="11"/>
        <v>1.44</v>
      </c>
    </row>
    <row r="762" spans="1:4" x14ac:dyDescent="0.25">
      <c r="A762" s="15">
        <f>Sheet2!A762</f>
        <v>0</v>
      </c>
      <c r="B762" s="8">
        <v>0</v>
      </c>
      <c r="C762" s="9">
        <v>0.68</v>
      </c>
      <c r="D762" s="13">
        <f t="shared" si="11"/>
        <v>0.68</v>
      </c>
    </row>
    <row r="763" spans="1:4" x14ac:dyDescent="0.25">
      <c r="A763" s="15">
        <f>Sheet2!A763</f>
        <v>0</v>
      </c>
      <c r="B763" s="8">
        <v>0</v>
      </c>
      <c r="C763" s="9">
        <v>1.34</v>
      </c>
      <c r="D763" s="13">
        <f t="shared" si="11"/>
        <v>1.34</v>
      </c>
    </row>
    <row r="764" spans="1:4" x14ac:dyDescent="0.25">
      <c r="A764" s="15">
        <f>Sheet2!A764</f>
        <v>0</v>
      </c>
      <c r="B764" s="8">
        <v>0</v>
      </c>
      <c r="C764" s="9">
        <v>0.71</v>
      </c>
      <c r="D764" s="13">
        <f t="shared" si="11"/>
        <v>0.71</v>
      </c>
    </row>
    <row r="765" spans="1:4" x14ac:dyDescent="0.25">
      <c r="A765" s="15">
        <f>Sheet2!A765</f>
        <v>0</v>
      </c>
      <c r="B765" s="8">
        <v>1.61</v>
      </c>
      <c r="C765" s="9">
        <v>0</v>
      </c>
      <c r="D765" s="13">
        <f t="shared" si="11"/>
        <v>1.61</v>
      </c>
    </row>
    <row r="766" spans="1:4" x14ac:dyDescent="0.25">
      <c r="A766" s="15">
        <f>Sheet2!A766</f>
        <v>0</v>
      </c>
      <c r="B766" s="8">
        <v>0</v>
      </c>
      <c r="C766" s="9">
        <v>0.69</v>
      </c>
      <c r="D766" s="13">
        <f t="shared" si="11"/>
        <v>0.69</v>
      </c>
    </row>
    <row r="767" spans="1:4" x14ac:dyDescent="0.25">
      <c r="A767" s="15">
        <f>Sheet2!A767</f>
        <v>0</v>
      </c>
      <c r="B767" s="8">
        <v>0</v>
      </c>
      <c r="C767" s="9">
        <v>1.1000000000000001</v>
      </c>
      <c r="D767" s="13">
        <f t="shared" si="11"/>
        <v>1.1000000000000001</v>
      </c>
    </row>
    <row r="768" spans="1:4" x14ac:dyDescent="0.25">
      <c r="A768" s="15">
        <f>Sheet2!A768</f>
        <v>0</v>
      </c>
      <c r="B768" s="8">
        <v>0</v>
      </c>
      <c r="C768" s="9">
        <v>0.47</v>
      </c>
      <c r="D768" s="13">
        <f t="shared" si="11"/>
        <v>0.47</v>
      </c>
    </row>
    <row r="769" spans="1:4" x14ac:dyDescent="0.25">
      <c r="A769" s="15">
        <f>Sheet2!A769</f>
        <v>0</v>
      </c>
      <c r="B769" s="8">
        <v>0.92</v>
      </c>
      <c r="C769" s="9">
        <v>0</v>
      </c>
      <c r="D769" s="13">
        <f t="shared" si="11"/>
        <v>0.92</v>
      </c>
    </row>
    <row r="770" spans="1:4" x14ac:dyDescent="0.25">
      <c r="A770" s="15">
        <f>Sheet2!A770</f>
        <v>0</v>
      </c>
      <c r="B770" s="8">
        <v>2.4700000000000002</v>
      </c>
      <c r="C770" s="9">
        <v>0</v>
      </c>
      <c r="D770" s="13">
        <f t="shared" si="11"/>
        <v>2.4700000000000002</v>
      </c>
    </row>
    <row r="771" spans="1:4" x14ac:dyDescent="0.25">
      <c r="A771" s="15">
        <f>Sheet2!A771</f>
        <v>0</v>
      </c>
      <c r="B771" s="8">
        <v>2.0099999999999998</v>
      </c>
      <c r="C771" s="9">
        <v>0</v>
      </c>
      <c r="D771" s="13">
        <f t="shared" ref="D771:D834" si="12">B771+C771</f>
        <v>2.0099999999999998</v>
      </c>
    </row>
    <row r="772" spans="1:4" x14ac:dyDescent="0.25">
      <c r="A772" s="15">
        <f>Sheet2!A772</f>
        <v>0</v>
      </c>
      <c r="B772" s="8">
        <v>2.31</v>
      </c>
      <c r="C772" s="9">
        <v>0</v>
      </c>
      <c r="D772" s="13">
        <f t="shared" si="12"/>
        <v>2.31</v>
      </c>
    </row>
    <row r="773" spans="1:4" x14ac:dyDescent="0.25">
      <c r="A773" s="15">
        <f>Sheet2!A773</f>
        <v>0</v>
      </c>
      <c r="B773" s="8">
        <v>2.08</v>
      </c>
      <c r="C773" s="9">
        <v>0</v>
      </c>
      <c r="D773" s="13">
        <f t="shared" si="12"/>
        <v>2.08</v>
      </c>
    </row>
    <row r="774" spans="1:4" x14ac:dyDescent="0.25">
      <c r="A774" s="15">
        <f>Sheet2!A774</f>
        <v>0</v>
      </c>
      <c r="B774" s="8">
        <v>2.46</v>
      </c>
      <c r="C774" s="9">
        <v>0</v>
      </c>
      <c r="D774" s="13">
        <f t="shared" si="12"/>
        <v>2.46</v>
      </c>
    </row>
    <row r="775" spans="1:4" x14ac:dyDescent="0.25">
      <c r="A775" s="15">
        <f>Sheet2!A775</f>
        <v>0</v>
      </c>
      <c r="B775" s="8">
        <v>2.33</v>
      </c>
      <c r="C775" s="9">
        <v>0</v>
      </c>
      <c r="D775" s="13">
        <f t="shared" si="12"/>
        <v>2.33</v>
      </c>
    </row>
    <row r="776" spans="1:4" x14ac:dyDescent="0.25">
      <c r="A776" s="15">
        <f>Sheet2!A776</f>
        <v>0</v>
      </c>
      <c r="B776" s="8">
        <v>0</v>
      </c>
      <c r="C776" s="9">
        <v>1.57</v>
      </c>
      <c r="D776" s="13">
        <f t="shared" si="12"/>
        <v>1.57</v>
      </c>
    </row>
    <row r="777" spans="1:4" x14ac:dyDescent="0.25">
      <c r="A777" s="15">
        <f>Sheet2!A777</f>
        <v>0</v>
      </c>
      <c r="B777" s="8">
        <v>0</v>
      </c>
      <c r="C777" s="9">
        <v>2.37</v>
      </c>
      <c r="D777" s="13">
        <f t="shared" si="12"/>
        <v>2.37</v>
      </c>
    </row>
    <row r="778" spans="1:4" x14ac:dyDescent="0.25">
      <c r="A778" s="15">
        <f>Sheet2!A778</f>
        <v>0</v>
      </c>
      <c r="B778" s="8">
        <v>0</v>
      </c>
      <c r="C778" s="9">
        <v>0.93</v>
      </c>
      <c r="D778" s="13">
        <f t="shared" si="12"/>
        <v>0.93</v>
      </c>
    </row>
    <row r="779" spans="1:4" x14ac:dyDescent="0.25">
      <c r="A779" s="15">
        <f>Sheet2!A779</f>
        <v>0</v>
      </c>
      <c r="B779" s="8">
        <v>0</v>
      </c>
      <c r="C779" s="9">
        <v>0.73</v>
      </c>
      <c r="D779" s="13">
        <f t="shared" si="12"/>
        <v>0.73</v>
      </c>
    </row>
    <row r="780" spans="1:4" x14ac:dyDescent="0.25">
      <c r="A780" s="15">
        <f>Sheet2!A780</f>
        <v>0</v>
      </c>
      <c r="B780" s="8">
        <v>0</v>
      </c>
      <c r="C780" s="9">
        <v>1.41</v>
      </c>
      <c r="D780" s="13">
        <f t="shared" si="12"/>
        <v>1.41</v>
      </c>
    </row>
    <row r="781" spans="1:4" x14ac:dyDescent="0.25">
      <c r="A781" s="15">
        <f>Sheet2!A781</f>
        <v>0</v>
      </c>
      <c r="B781" s="8">
        <v>0</v>
      </c>
      <c r="C781" s="9">
        <v>1.28</v>
      </c>
      <c r="D781" s="13">
        <f t="shared" si="12"/>
        <v>1.28</v>
      </c>
    </row>
    <row r="782" spans="1:4" x14ac:dyDescent="0.25">
      <c r="A782" s="15">
        <f>Sheet2!A782</f>
        <v>0</v>
      </c>
      <c r="B782" s="8">
        <v>0</v>
      </c>
      <c r="C782" s="9">
        <v>0.37</v>
      </c>
      <c r="D782" s="13">
        <f t="shared" si="12"/>
        <v>0.37</v>
      </c>
    </row>
    <row r="783" spans="1:4" x14ac:dyDescent="0.25">
      <c r="A783" s="15">
        <f>Sheet2!A783</f>
        <v>0</v>
      </c>
      <c r="B783" s="8">
        <v>1.2</v>
      </c>
      <c r="C783" s="9">
        <v>0</v>
      </c>
      <c r="D783" s="13">
        <f t="shared" si="12"/>
        <v>1.2</v>
      </c>
    </row>
    <row r="784" spans="1:4" x14ac:dyDescent="0.25">
      <c r="A784" s="15">
        <f>Sheet2!A784</f>
        <v>0</v>
      </c>
      <c r="B784" s="8">
        <v>0</v>
      </c>
      <c r="C784" s="9">
        <v>0.69</v>
      </c>
      <c r="D784" s="13">
        <f t="shared" si="12"/>
        <v>0.69</v>
      </c>
    </row>
    <row r="785" spans="1:4" x14ac:dyDescent="0.25">
      <c r="A785" s="15">
        <f>Sheet2!A785</f>
        <v>0</v>
      </c>
      <c r="B785" s="8">
        <v>0</v>
      </c>
      <c r="C785" s="9">
        <v>1.29</v>
      </c>
      <c r="D785" s="13">
        <f t="shared" si="12"/>
        <v>1.29</v>
      </c>
    </row>
    <row r="786" spans="1:4" x14ac:dyDescent="0.25">
      <c r="A786" s="15">
        <f>Sheet2!A786</f>
        <v>0</v>
      </c>
      <c r="B786" s="8">
        <v>0</v>
      </c>
      <c r="C786" s="9">
        <v>1.33</v>
      </c>
      <c r="D786" s="13">
        <f t="shared" si="12"/>
        <v>1.33</v>
      </c>
    </row>
    <row r="787" spans="1:4" x14ac:dyDescent="0.25">
      <c r="A787" s="15">
        <f>Sheet2!A787</f>
        <v>0</v>
      </c>
      <c r="B787" s="8">
        <v>0</v>
      </c>
      <c r="C787" s="9">
        <v>1.37</v>
      </c>
      <c r="D787" s="13">
        <f t="shared" si="12"/>
        <v>1.37</v>
      </c>
    </row>
    <row r="788" spans="1:4" x14ac:dyDescent="0.25">
      <c r="A788" s="15">
        <f>Sheet2!A788</f>
        <v>0</v>
      </c>
      <c r="B788" s="8">
        <v>0</v>
      </c>
      <c r="C788" s="9">
        <v>1.75</v>
      </c>
      <c r="D788" s="13">
        <f t="shared" si="12"/>
        <v>1.75</v>
      </c>
    </row>
    <row r="789" spans="1:4" x14ac:dyDescent="0.25">
      <c r="A789" s="15">
        <f>Sheet2!A789</f>
        <v>0</v>
      </c>
      <c r="B789" s="8">
        <v>2.5499999999999998</v>
      </c>
      <c r="C789" s="9">
        <v>0</v>
      </c>
      <c r="D789" s="13">
        <f t="shared" si="12"/>
        <v>2.5499999999999998</v>
      </c>
    </row>
    <row r="790" spans="1:4" x14ac:dyDescent="0.25">
      <c r="A790" s="15">
        <f>Sheet2!A790</f>
        <v>0</v>
      </c>
      <c r="B790" s="8">
        <v>0</v>
      </c>
      <c r="C790" s="9">
        <v>0.7</v>
      </c>
      <c r="D790" s="13">
        <f t="shared" si="12"/>
        <v>0.7</v>
      </c>
    </row>
    <row r="791" spans="1:4" x14ac:dyDescent="0.25">
      <c r="A791" s="15">
        <f>Sheet2!A791</f>
        <v>0</v>
      </c>
      <c r="B791" s="8">
        <v>0</v>
      </c>
      <c r="C791" s="9">
        <v>1.0900000000000001</v>
      </c>
      <c r="D791" s="13">
        <f t="shared" si="12"/>
        <v>1.0900000000000001</v>
      </c>
    </row>
    <row r="792" spans="1:4" x14ac:dyDescent="0.25">
      <c r="A792" s="15">
        <f>Sheet2!A792</f>
        <v>0</v>
      </c>
      <c r="B792" s="8">
        <v>2.0299999999999998</v>
      </c>
      <c r="C792" s="9">
        <v>0</v>
      </c>
      <c r="D792" s="13">
        <f t="shared" si="12"/>
        <v>2.0299999999999998</v>
      </c>
    </row>
    <row r="793" spans="1:4" x14ac:dyDescent="0.25">
      <c r="A793" s="15">
        <f>Sheet2!A793</f>
        <v>0</v>
      </c>
      <c r="B793" s="8">
        <v>2.38</v>
      </c>
      <c r="C793" s="9">
        <v>0</v>
      </c>
      <c r="D793" s="13">
        <f t="shared" si="12"/>
        <v>2.38</v>
      </c>
    </row>
    <row r="794" spans="1:4" x14ac:dyDescent="0.25">
      <c r="A794" s="15">
        <f>Sheet2!A794</f>
        <v>0</v>
      </c>
      <c r="B794" s="8">
        <v>1.98</v>
      </c>
      <c r="C794" s="9">
        <v>0</v>
      </c>
      <c r="D794" s="13">
        <f t="shared" si="12"/>
        <v>1.98</v>
      </c>
    </row>
    <row r="795" spans="1:4" x14ac:dyDescent="0.25">
      <c r="A795" s="15">
        <f>Sheet2!A795</f>
        <v>0</v>
      </c>
      <c r="B795" s="8">
        <v>2.39</v>
      </c>
      <c r="C795" s="9">
        <v>0</v>
      </c>
      <c r="D795" s="13">
        <f t="shared" si="12"/>
        <v>2.39</v>
      </c>
    </row>
    <row r="796" spans="1:4" x14ac:dyDescent="0.25">
      <c r="A796" s="15">
        <f>Sheet2!A796</f>
        <v>0</v>
      </c>
      <c r="B796" s="8">
        <v>1.94</v>
      </c>
      <c r="C796" s="9">
        <v>0</v>
      </c>
      <c r="D796" s="13">
        <f t="shared" si="12"/>
        <v>1.94</v>
      </c>
    </row>
    <row r="797" spans="1:4" x14ac:dyDescent="0.25">
      <c r="A797" s="15">
        <f>Sheet2!A797</f>
        <v>0</v>
      </c>
      <c r="B797" s="8">
        <v>2.17</v>
      </c>
      <c r="C797" s="9">
        <v>0</v>
      </c>
      <c r="D797" s="13">
        <f t="shared" si="12"/>
        <v>2.17</v>
      </c>
    </row>
    <row r="798" spans="1:4" x14ac:dyDescent="0.25">
      <c r="A798" s="15">
        <f>Sheet2!A798</f>
        <v>0</v>
      </c>
      <c r="B798" s="8">
        <v>0</v>
      </c>
      <c r="C798" s="9">
        <v>1.82</v>
      </c>
      <c r="D798" s="13">
        <f t="shared" si="12"/>
        <v>1.82</v>
      </c>
    </row>
    <row r="799" spans="1:4" x14ac:dyDescent="0.25">
      <c r="A799" s="15">
        <f>Sheet2!A799</f>
        <v>0</v>
      </c>
      <c r="B799" s="8">
        <v>0</v>
      </c>
      <c r="C799" s="9">
        <v>1.69</v>
      </c>
      <c r="D799" s="13">
        <f t="shared" si="12"/>
        <v>1.69</v>
      </c>
    </row>
    <row r="800" spans="1:4" x14ac:dyDescent="0.25">
      <c r="A800" s="15">
        <f>Sheet2!A800</f>
        <v>0</v>
      </c>
      <c r="B800" s="8">
        <v>0</v>
      </c>
      <c r="C800" s="9">
        <v>0.71</v>
      </c>
      <c r="D800" s="13">
        <f t="shared" si="12"/>
        <v>0.71</v>
      </c>
    </row>
    <row r="801" spans="1:4" x14ac:dyDescent="0.25">
      <c r="A801" s="15">
        <f>Sheet2!A801</f>
        <v>0</v>
      </c>
      <c r="B801" s="8">
        <v>0</v>
      </c>
      <c r="C801" s="9">
        <v>0.93</v>
      </c>
      <c r="D801" s="13">
        <f t="shared" si="12"/>
        <v>0.93</v>
      </c>
    </row>
    <row r="802" spans="1:4" x14ac:dyDescent="0.25">
      <c r="A802" s="15">
        <f>Sheet2!A802</f>
        <v>0</v>
      </c>
      <c r="B802" s="8">
        <v>0</v>
      </c>
      <c r="C802" s="9">
        <v>1.56</v>
      </c>
      <c r="D802" s="13">
        <f t="shared" si="12"/>
        <v>1.56</v>
      </c>
    </row>
    <row r="803" spans="1:4" x14ac:dyDescent="0.25">
      <c r="A803" s="15">
        <f>Sheet2!A803</f>
        <v>0</v>
      </c>
      <c r="B803" s="8">
        <v>0</v>
      </c>
      <c r="C803" s="9">
        <v>1.36</v>
      </c>
      <c r="D803" s="13">
        <f t="shared" si="12"/>
        <v>1.36</v>
      </c>
    </row>
    <row r="804" spans="1:4" x14ac:dyDescent="0.25">
      <c r="A804" s="15">
        <f>Sheet2!A804</f>
        <v>0</v>
      </c>
      <c r="B804" s="8">
        <v>0</v>
      </c>
      <c r="C804" s="9">
        <v>0.41</v>
      </c>
      <c r="D804" s="13">
        <f t="shared" si="12"/>
        <v>0.41</v>
      </c>
    </row>
    <row r="805" spans="1:4" x14ac:dyDescent="0.25">
      <c r="A805" s="15">
        <f>Sheet2!A805</f>
        <v>0</v>
      </c>
      <c r="B805" s="8">
        <v>0</v>
      </c>
      <c r="C805" s="9">
        <v>0.61</v>
      </c>
      <c r="D805" s="13">
        <f t="shared" si="12"/>
        <v>0.61</v>
      </c>
    </row>
    <row r="806" spans="1:4" x14ac:dyDescent="0.25">
      <c r="A806" s="15">
        <f>Sheet2!A806</f>
        <v>0</v>
      </c>
      <c r="B806" s="8">
        <v>0</v>
      </c>
      <c r="C806" s="9">
        <v>1.41</v>
      </c>
      <c r="D806" s="13">
        <f t="shared" si="12"/>
        <v>1.41</v>
      </c>
    </row>
    <row r="807" spans="1:4" x14ac:dyDescent="0.25">
      <c r="A807" s="15">
        <f>Sheet2!A807</f>
        <v>0</v>
      </c>
      <c r="B807" s="8">
        <v>0</v>
      </c>
      <c r="C807" s="9">
        <v>2.25</v>
      </c>
      <c r="D807" s="13">
        <f t="shared" si="12"/>
        <v>2.25</v>
      </c>
    </row>
    <row r="808" spans="1:4" x14ac:dyDescent="0.25">
      <c r="A808" s="15">
        <f>Sheet2!A808</f>
        <v>0</v>
      </c>
      <c r="B808" s="8">
        <v>0</v>
      </c>
      <c r="C808" s="9">
        <v>0.73</v>
      </c>
      <c r="D808" s="13">
        <f t="shared" si="12"/>
        <v>0.73</v>
      </c>
    </row>
    <row r="809" spans="1:4" x14ac:dyDescent="0.25">
      <c r="A809" s="15">
        <f>Sheet2!A809</f>
        <v>0</v>
      </c>
      <c r="B809" s="8">
        <v>0</v>
      </c>
      <c r="C809" s="9">
        <v>0.83</v>
      </c>
      <c r="D809" s="13">
        <f t="shared" si="12"/>
        <v>0.83</v>
      </c>
    </row>
    <row r="810" spans="1:4" x14ac:dyDescent="0.25">
      <c r="A810" s="15">
        <f>Sheet2!A810</f>
        <v>0</v>
      </c>
      <c r="B810" s="8">
        <v>0</v>
      </c>
      <c r="C810" s="9">
        <v>1.39</v>
      </c>
      <c r="D810" s="13">
        <f t="shared" si="12"/>
        <v>1.39</v>
      </c>
    </row>
    <row r="811" spans="1:4" x14ac:dyDescent="0.25">
      <c r="A811" s="15">
        <f>Sheet2!A811</f>
        <v>0</v>
      </c>
      <c r="B811" s="8">
        <v>0</v>
      </c>
      <c r="C811" s="9">
        <v>1.4</v>
      </c>
      <c r="D811" s="13">
        <f t="shared" si="12"/>
        <v>1.4</v>
      </c>
    </row>
    <row r="812" spans="1:4" x14ac:dyDescent="0.25">
      <c r="A812" s="15">
        <f>Sheet2!A812</f>
        <v>0</v>
      </c>
      <c r="B812" s="8">
        <v>0</v>
      </c>
      <c r="C812" s="9">
        <v>1.37</v>
      </c>
      <c r="D812" s="13">
        <f t="shared" si="12"/>
        <v>1.37</v>
      </c>
    </row>
    <row r="813" spans="1:4" x14ac:dyDescent="0.25">
      <c r="A813" s="15">
        <f>Sheet2!A813</f>
        <v>0</v>
      </c>
      <c r="B813" s="8">
        <v>0</v>
      </c>
      <c r="C813" s="9">
        <v>0.51</v>
      </c>
      <c r="D813" s="13">
        <f t="shared" si="12"/>
        <v>0.51</v>
      </c>
    </row>
    <row r="814" spans="1:4" x14ac:dyDescent="0.25">
      <c r="A814" s="15">
        <f>Sheet2!A814</f>
        <v>0</v>
      </c>
      <c r="B814" s="8">
        <v>0</v>
      </c>
      <c r="C814" s="9">
        <v>0.73</v>
      </c>
      <c r="D814" s="13">
        <f t="shared" si="12"/>
        <v>0.73</v>
      </c>
    </row>
    <row r="815" spans="1:4" x14ac:dyDescent="0.25">
      <c r="A815" s="15">
        <f>Sheet2!A815</f>
        <v>0</v>
      </c>
      <c r="B815" s="8">
        <v>0</v>
      </c>
      <c r="C815" s="9">
        <v>1.31</v>
      </c>
      <c r="D815" s="13">
        <f t="shared" si="12"/>
        <v>1.31</v>
      </c>
    </row>
    <row r="816" spans="1:4" x14ac:dyDescent="0.25">
      <c r="A816" s="15">
        <f>Sheet2!A816</f>
        <v>0</v>
      </c>
      <c r="B816" s="8">
        <v>0</v>
      </c>
      <c r="C816" s="9">
        <v>1.05</v>
      </c>
      <c r="D816" s="13">
        <f t="shared" si="12"/>
        <v>1.05</v>
      </c>
    </row>
    <row r="817" spans="1:4" x14ac:dyDescent="0.25">
      <c r="A817" s="15">
        <f>Sheet2!A817</f>
        <v>0</v>
      </c>
      <c r="B817" s="8">
        <v>0</v>
      </c>
      <c r="C817" s="9">
        <v>0.85</v>
      </c>
      <c r="D817" s="13">
        <f t="shared" si="12"/>
        <v>0.85</v>
      </c>
    </row>
    <row r="818" spans="1:4" x14ac:dyDescent="0.25">
      <c r="A818" s="15">
        <f>Sheet2!A818</f>
        <v>0</v>
      </c>
      <c r="B818" s="8">
        <v>2.35</v>
      </c>
      <c r="C818" s="9">
        <v>0</v>
      </c>
      <c r="D818" s="13">
        <f t="shared" si="12"/>
        <v>2.35</v>
      </c>
    </row>
    <row r="819" spans="1:4" x14ac:dyDescent="0.25">
      <c r="A819" s="15">
        <f>Sheet2!A819</f>
        <v>0</v>
      </c>
      <c r="B819" s="8">
        <v>2.0499999999999998</v>
      </c>
      <c r="C819" s="9">
        <v>0</v>
      </c>
      <c r="D819" s="13">
        <f t="shared" si="12"/>
        <v>2.0499999999999998</v>
      </c>
    </row>
    <row r="820" spans="1:4" x14ac:dyDescent="0.25">
      <c r="A820" s="15">
        <f>Sheet2!A820</f>
        <v>0</v>
      </c>
      <c r="B820" s="8">
        <v>2.13</v>
      </c>
      <c r="C820" s="9">
        <v>0</v>
      </c>
      <c r="D820" s="13">
        <f t="shared" si="12"/>
        <v>2.13</v>
      </c>
    </row>
    <row r="821" spans="1:4" x14ac:dyDescent="0.25">
      <c r="A821" s="15">
        <f>Sheet2!A821</f>
        <v>0</v>
      </c>
      <c r="B821" s="8">
        <v>2.4500000000000002</v>
      </c>
      <c r="C821" s="9">
        <v>0</v>
      </c>
      <c r="D821" s="13">
        <f t="shared" si="12"/>
        <v>2.4500000000000002</v>
      </c>
    </row>
    <row r="822" spans="1:4" x14ac:dyDescent="0.25">
      <c r="A822" s="15">
        <f>Sheet2!A822</f>
        <v>0</v>
      </c>
      <c r="B822" s="8">
        <v>2.02</v>
      </c>
      <c r="C822" s="9">
        <v>0</v>
      </c>
      <c r="D822" s="13">
        <f t="shared" si="12"/>
        <v>2.02</v>
      </c>
    </row>
    <row r="823" spans="1:4" x14ac:dyDescent="0.25">
      <c r="A823" s="15">
        <f>Sheet2!A823</f>
        <v>0</v>
      </c>
      <c r="B823" s="8">
        <v>2.04</v>
      </c>
      <c r="C823" s="9">
        <v>0</v>
      </c>
      <c r="D823" s="13">
        <f t="shared" si="12"/>
        <v>2.04</v>
      </c>
    </row>
    <row r="824" spans="1:4" x14ac:dyDescent="0.25">
      <c r="A824" s="15">
        <f>Sheet2!A824</f>
        <v>0</v>
      </c>
      <c r="B824" s="8">
        <v>0</v>
      </c>
      <c r="C824" s="9">
        <v>0.97</v>
      </c>
      <c r="D824" s="13">
        <f t="shared" si="12"/>
        <v>0.97</v>
      </c>
    </row>
    <row r="825" spans="1:4" x14ac:dyDescent="0.25">
      <c r="A825" s="15">
        <f>Sheet2!A825</f>
        <v>0</v>
      </c>
      <c r="B825" s="8">
        <v>0</v>
      </c>
      <c r="C825" s="9">
        <v>1.96</v>
      </c>
      <c r="D825" s="13">
        <f t="shared" si="12"/>
        <v>1.96</v>
      </c>
    </row>
    <row r="826" spans="1:4" x14ac:dyDescent="0.25">
      <c r="A826" s="15">
        <f>Sheet2!A826</f>
        <v>0</v>
      </c>
      <c r="B826" s="8">
        <v>0</v>
      </c>
      <c r="C826" s="9">
        <v>0.54</v>
      </c>
      <c r="D826" s="13">
        <f t="shared" si="12"/>
        <v>0.54</v>
      </c>
    </row>
    <row r="827" spans="1:4" x14ac:dyDescent="0.25">
      <c r="A827" s="15">
        <f>Sheet2!A827</f>
        <v>0</v>
      </c>
      <c r="B827" s="8">
        <v>0</v>
      </c>
      <c r="C827" s="9">
        <v>0.87</v>
      </c>
      <c r="D827" s="13">
        <f t="shared" si="12"/>
        <v>0.87</v>
      </c>
    </row>
    <row r="828" spans="1:4" x14ac:dyDescent="0.25">
      <c r="A828" s="15">
        <f>Sheet2!A828</f>
        <v>0</v>
      </c>
      <c r="B828" s="8">
        <v>0</v>
      </c>
      <c r="C828" s="9">
        <v>1.33</v>
      </c>
      <c r="D828" s="13">
        <f t="shared" si="12"/>
        <v>1.33</v>
      </c>
    </row>
    <row r="829" spans="1:4" x14ac:dyDescent="0.25">
      <c r="A829" s="15">
        <f>Sheet2!A829</f>
        <v>0</v>
      </c>
      <c r="B829" s="8">
        <v>0</v>
      </c>
      <c r="C829" s="9">
        <v>1.08</v>
      </c>
      <c r="D829" s="13">
        <f t="shared" si="12"/>
        <v>1.08</v>
      </c>
    </row>
    <row r="830" spans="1:4" x14ac:dyDescent="0.25">
      <c r="A830" s="15">
        <f>Sheet2!A830</f>
        <v>0</v>
      </c>
      <c r="B830" s="8">
        <v>0</v>
      </c>
      <c r="C830" s="9">
        <v>1.1399999999999999</v>
      </c>
      <c r="D830" s="13">
        <f t="shared" si="12"/>
        <v>1.1399999999999999</v>
      </c>
    </row>
    <row r="831" spans="1:4" x14ac:dyDescent="0.25">
      <c r="A831" s="15">
        <f>Sheet2!A831</f>
        <v>0</v>
      </c>
      <c r="B831" s="8">
        <v>0</v>
      </c>
      <c r="C831" s="9">
        <v>1.22</v>
      </c>
      <c r="D831" s="13">
        <f t="shared" si="12"/>
        <v>1.22</v>
      </c>
    </row>
    <row r="832" spans="1:4" x14ac:dyDescent="0.25">
      <c r="A832" s="15">
        <f>Sheet2!A832</f>
        <v>0</v>
      </c>
      <c r="B832" s="8">
        <v>0</v>
      </c>
      <c r="C832" s="9">
        <v>0.32</v>
      </c>
      <c r="D832" s="13">
        <f t="shared" si="12"/>
        <v>0.32</v>
      </c>
    </row>
    <row r="833" spans="1:4" x14ac:dyDescent="0.25">
      <c r="A833" s="15">
        <f>Sheet2!A833</f>
        <v>0</v>
      </c>
      <c r="B833" s="8">
        <v>0</v>
      </c>
      <c r="C833" s="9">
        <v>1.5</v>
      </c>
      <c r="D833" s="13">
        <f t="shared" si="12"/>
        <v>1.5</v>
      </c>
    </row>
    <row r="834" spans="1:4" x14ac:dyDescent="0.25">
      <c r="A834" s="15">
        <f>Sheet2!A834</f>
        <v>0</v>
      </c>
      <c r="B834" s="8">
        <v>0</v>
      </c>
      <c r="C834" s="9">
        <v>1.33</v>
      </c>
      <c r="D834" s="13">
        <f t="shared" si="12"/>
        <v>1.33</v>
      </c>
    </row>
    <row r="835" spans="1:4" x14ac:dyDescent="0.25">
      <c r="A835" s="15">
        <f>Sheet2!A835</f>
        <v>0</v>
      </c>
      <c r="B835" s="8">
        <v>0</v>
      </c>
      <c r="C835" s="9">
        <v>1.41</v>
      </c>
      <c r="D835" s="13">
        <f t="shared" ref="D835:D898" si="13">B835+C835</f>
        <v>1.41</v>
      </c>
    </row>
    <row r="836" spans="1:4" x14ac:dyDescent="0.25">
      <c r="A836" s="15">
        <f>Sheet2!A836</f>
        <v>0</v>
      </c>
      <c r="B836" s="8">
        <v>0</v>
      </c>
      <c r="C836" s="9">
        <v>0.44</v>
      </c>
      <c r="D836" s="13">
        <f t="shared" si="13"/>
        <v>0.44</v>
      </c>
    </row>
    <row r="837" spans="1:4" x14ac:dyDescent="0.25">
      <c r="A837" s="15">
        <f>Sheet2!A837</f>
        <v>0</v>
      </c>
      <c r="B837" s="8">
        <v>0</v>
      </c>
      <c r="C837" s="9">
        <v>0.92</v>
      </c>
      <c r="D837" s="13">
        <f t="shared" si="13"/>
        <v>0.92</v>
      </c>
    </row>
    <row r="838" spans="1:4" x14ac:dyDescent="0.25">
      <c r="A838" s="15">
        <f>Sheet2!A838</f>
        <v>0</v>
      </c>
      <c r="B838" s="8">
        <v>0</v>
      </c>
      <c r="C838" s="9">
        <v>1.0900000000000001</v>
      </c>
      <c r="D838" s="13">
        <f t="shared" si="13"/>
        <v>1.0900000000000001</v>
      </c>
    </row>
    <row r="839" spans="1:4" x14ac:dyDescent="0.25">
      <c r="A839" s="15">
        <f>Sheet2!A839</f>
        <v>0</v>
      </c>
      <c r="B839" s="8">
        <v>0</v>
      </c>
      <c r="C839" s="9">
        <v>1.72</v>
      </c>
      <c r="D839" s="13">
        <f t="shared" si="13"/>
        <v>1.72</v>
      </c>
    </row>
    <row r="840" spans="1:4" x14ac:dyDescent="0.25">
      <c r="A840" s="15">
        <f>Sheet2!A840</f>
        <v>0</v>
      </c>
      <c r="B840" s="8">
        <v>0</v>
      </c>
      <c r="C840" s="9">
        <v>0.49</v>
      </c>
      <c r="D840" s="13">
        <f t="shared" si="13"/>
        <v>0.49</v>
      </c>
    </row>
    <row r="841" spans="1:4" x14ac:dyDescent="0.25">
      <c r="A841" s="15">
        <f>Sheet2!A841</f>
        <v>0</v>
      </c>
      <c r="B841" s="8">
        <v>2.1</v>
      </c>
      <c r="C841" s="9">
        <v>0</v>
      </c>
      <c r="D841" s="13">
        <f t="shared" si="13"/>
        <v>2.1</v>
      </c>
    </row>
    <row r="842" spans="1:4" x14ac:dyDescent="0.25">
      <c r="A842" s="15">
        <f>Sheet2!A842</f>
        <v>0</v>
      </c>
      <c r="B842" s="8">
        <v>1.83</v>
      </c>
      <c r="C842" s="9">
        <v>0</v>
      </c>
      <c r="D842" s="13">
        <f t="shared" si="13"/>
        <v>1.83</v>
      </c>
    </row>
    <row r="843" spans="1:4" x14ac:dyDescent="0.25">
      <c r="A843" s="15">
        <f>Sheet2!A843</f>
        <v>0</v>
      </c>
      <c r="B843" s="8">
        <v>2.15</v>
      </c>
      <c r="C843" s="9">
        <v>0</v>
      </c>
      <c r="D843" s="13">
        <f t="shared" si="13"/>
        <v>2.15</v>
      </c>
    </row>
    <row r="844" spans="1:4" x14ac:dyDescent="0.25">
      <c r="A844" s="15">
        <f>Sheet2!A844</f>
        <v>0</v>
      </c>
      <c r="B844" s="8">
        <v>0</v>
      </c>
      <c r="C844" s="9">
        <v>0.56000000000000005</v>
      </c>
      <c r="D844" s="13">
        <f t="shared" si="13"/>
        <v>0.56000000000000005</v>
      </c>
    </row>
    <row r="845" spans="1:4" x14ac:dyDescent="0.25">
      <c r="A845" s="15">
        <f>Sheet2!A845</f>
        <v>0</v>
      </c>
      <c r="B845" s="8">
        <v>0</v>
      </c>
      <c r="C845" s="9">
        <v>2.04</v>
      </c>
      <c r="D845" s="13">
        <f t="shared" si="13"/>
        <v>2.04</v>
      </c>
    </row>
    <row r="846" spans="1:4" x14ac:dyDescent="0.25">
      <c r="A846" s="15">
        <f>Sheet2!A846</f>
        <v>0</v>
      </c>
      <c r="B846" s="8">
        <v>0</v>
      </c>
      <c r="C846" s="9">
        <v>0.9</v>
      </c>
      <c r="D846" s="13">
        <f t="shared" si="13"/>
        <v>0.9</v>
      </c>
    </row>
    <row r="847" spans="1:4" x14ac:dyDescent="0.25">
      <c r="A847" s="15">
        <f>Sheet2!A847</f>
        <v>0</v>
      </c>
      <c r="B847" s="8">
        <v>2.14</v>
      </c>
      <c r="C847" s="9">
        <v>0</v>
      </c>
      <c r="D847" s="13">
        <f t="shared" si="13"/>
        <v>2.14</v>
      </c>
    </row>
    <row r="848" spans="1:4" x14ac:dyDescent="0.25">
      <c r="A848" s="15">
        <f>Sheet2!A848</f>
        <v>0</v>
      </c>
      <c r="B848" s="8">
        <v>1.73</v>
      </c>
      <c r="C848" s="9">
        <v>0</v>
      </c>
      <c r="D848" s="13">
        <f t="shared" si="13"/>
        <v>1.73</v>
      </c>
    </row>
    <row r="849" spans="1:4" x14ac:dyDescent="0.25">
      <c r="A849" s="15">
        <f>Sheet2!A849</f>
        <v>0</v>
      </c>
      <c r="B849" s="8">
        <v>0</v>
      </c>
      <c r="C849" s="9">
        <v>1.28</v>
      </c>
      <c r="D849" s="13">
        <f t="shared" si="13"/>
        <v>1.28</v>
      </c>
    </row>
    <row r="850" spans="1:4" x14ac:dyDescent="0.25">
      <c r="A850" s="15">
        <f>Sheet2!A850</f>
        <v>0</v>
      </c>
      <c r="B850" s="8">
        <v>0</v>
      </c>
      <c r="C850" s="9">
        <v>0.8</v>
      </c>
      <c r="D850" s="13">
        <f t="shared" si="13"/>
        <v>0.8</v>
      </c>
    </row>
    <row r="851" spans="1:4" x14ac:dyDescent="0.25">
      <c r="A851" s="15">
        <f>Sheet2!A851</f>
        <v>0</v>
      </c>
      <c r="B851" s="8">
        <v>0</v>
      </c>
      <c r="C851" s="9">
        <v>1.1200000000000001</v>
      </c>
      <c r="D851" s="13">
        <f t="shared" si="13"/>
        <v>1.1200000000000001</v>
      </c>
    </row>
    <row r="852" spans="1:4" x14ac:dyDescent="0.25">
      <c r="A852" s="15">
        <f>Sheet2!A852</f>
        <v>0</v>
      </c>
      <c r="B852" s="8">
        <v>0</v>
      </c>
      <c r="C852" s="9">
        <v>0.41</v>
      </c>
      <c r="D852" s="13">
        <f t="shared" si="13"/>
        <v>0.41</v>
      </c>
    </row>
    <row r="853" spans="1:4" x14ac:dyDescent="0.25">
      <c r="A853" s="15">
        <f>Sheet2!A853</f>
        <v>0</v>
      </c>
      <c r="B853" s="8">
        <v>0</v>
      </c>
      <c r="C853" s="9">
        <v>0.55000000000000004</v>
      </c>
      <c r="D853" s="13">
        <f t="shared" si="13"/>
        <v>0.55000000000000004</v>
      </c>
    </row>
    <row r="854" spans="1:4" x14ac:dyDescent="0.25">
      <c r="A854" s="15">
        <f>Sheet2!A854</f>
        <v>0</v>
      </c>
      <c r="B854" s="8">
        <v>0</v>
      </c>
      <c r="C854" s="9">
        <v>0.98</v>
      </c>
      <c r="D854" s="13">
        <f t="shared" si="13"/>
        <v>0.98</v>
      </c>
    </row>
    <row r="855" spans="1:4" x14ac:dyDescent="0.25">
      <c r="A855" s="15">
        <f>Sheet2!A855</f>
        <v>0</v>
      </c>
      <c r="B855" s="8">
        <v>0</v>
      </c>
      <c r="C855" s="9">
        <v>1.0900000000000001</v>
      </c>
      <c r="D855" s="13">
        <f t="shared" si="13"/>
        <v>1.0900000000000001</v>
      </c>
    </row>
    <row r="856" spans="1:4" x14ac:dyDescent="0.25">
      <c r="A856" s="15">
        <f>Sheet2!A856</f>
        <v>0</v>
      </c>
      <c r="B856" s="8">
        <v>0</v>
      </c>
      <c r="C856" s="9">
        <v>0.28999999999999998</v>
      </c>
      <c r="D856" s="13">
        <f t="shared" si="13"/>
        <v>0.28999999999999998</v>
      </c>
    </row>
    <row r="857" spans="1:4" x14ac:dyDescent="0.25">
      <c r="A857" s="15">
        <f>Sheet2!A857</f>
        <v>0</v>
      </c>
      <c r="B857" s="8">
        <v>0</v>
      </c>
      <c r="C857" s="9">
        <v>0.72</v>
      </c>
      <c r="D857" s="13">
        <f t="shared" si="13"/>
        <v>0.72</v>
      </c>
    </row>
    <row r="858" spans="1:4" x14ac:dyDescent="0.25">
      <c r="A858" s="15">
        <f>Sheet2!A858</f>
        <v>0</v>
      </c>
      <c r="B858" s="8">
        <v>0</v>
      </c>
      <c r="C858" s="9">
        <v>1.27</v>
      </c>
      <c r="D858" s="13">
        <f t="shared" si="13"/>
        <v>1.27</v>
      </c>
    </row>
    <row r="859" spans="1:4" x14ac:dyDescent="0.25">
      <c r="A859" s="15">
        <f>Sheet2!A859</f>
        <v>0</v>
      </c>
      <c r="B859" s="8">
        <v>0</v>
      </c>
      <c r="C859" s="9">
        <v>0.91</v>
      </c>
      <c r="D859" s="13">
        <f t="shared" si="13"/>
        <v>0.91</v>
      </c>
    </row>
    <row r="860" spans="1:4" x14ac:dyDescent="0.25">
      <c r="A860" s="15">
        <f>Sheet2!A860</f>
        <v>0</v>
      </c>
      <c r="B860" s="8">
        <v>1.2</v>
      </c>
      <c r="C860" s="9">
        <v>0</v>
      </c>
      <c r="D860" s="13">
        <f t="shared" si="13"/>
        <v>1.2</v>
      </c>
    </row>
    <row r="861" spans="1:4" x14ac:dyDescent="0.25">
      <c r="A861" s="15">
        <f>Sheet2!A861</f>
        <v>0</v>
      </c>
      <c r="B861" s="8">
        <v>1.6</v>
      </c>
      <c r="C861" s="9">
        <v>0</v>
      </c>
      <c r="D861" s="13">
        <f t="shared" si="13"/>
        <v>1.6</v>
      </c>
    </row>
    <row r="862" spans="1:4" x14ac:dyDescent="0.25">
      <c r="A862" s="15">
        <f>Sheet2!A862</f>
        <v>0</v>
      </c>
      <c r="B862" s="8">
        <v>0</v>
      </c>
      <c r="C862" s="9">
        <v>0.99</v>
      </c>
      <c r="D862" s="13">
        <f t="shared" si="13"/>
        <v>0.99</v>
      </c>
    </row>
    <row r="863" spans="1:4" x14ac:dyDescent="0.25">
      <c r="A863" s="15">
        <f>Sheet2!A863</f>
        <v>0</v>
      </c>
      <c r="B863" s="8">
        <v>0</v>
      </c>
      <c r="C863" s="9">
        <v>0.62</v>
      </c>
      <c r="D863" s="13">
        <f t="shared" si="13"/>
        <v>0.62</v>
      </c>
    </row>
    <row r="864" spans="1:4" x14ac:dyDescent="0.25">
      <c r="A864" s="15">
        <f>Sheet2!A864</f>
        <v>0</v>
      </c>
      <c r="B864" s="8">
        <v>1.75</v>
      </c>
      <c r="C864" s="9">
        <v>0</v>
      </c>
      <c r="D864" s="13">
        <f t="shared" si="13"/>
        <v>1.75</v>
      </c>
    </row>
    <row r="865" spans="1:4" x14ac:dyDescent="0.25">
      <c r="A865" s="15">
        <f>Sheet2!A865</f>
        <v>0</v>
      </c>
      <c r="B865" s="8">
        <v>1.98</v>
      </c>
      <c r="C865" s="9">
        <v>0</v>
      </c>
      <c r="D865" s="13">
        <f t="shared" si="13"/>
        <v>1.98</v>
      </c>
    </row>
    <row r="866" spans="1:4" x14ac:dyDescent="0.25">
      <c r="A866" s="15">
        <f>Sheet2!A866</f>
        <v>0</v>
      </c>
      <c r="B866" s="8">
        <v>2.06</v>
      </c>
      <c r="C866" s="9">
        <v>0</v>
      </c>
      <c r="D866" s="13">
        <f t="shared" si="13"/>
        <v>2.06</v>
      </c>
    </row>
    <row r="867" spans="1:4" x14ac:dyDescent="0.25">
      <c r="A867" s="15">
        <f>Sheet2!A867</f>
        <v>0</v>
      </c>
      <c r="B867" s="8">
        <v>1.68</v>
      </c>
      <c r="C867" s="9">
        <v>0</v>
      </c>
      <c r="D867" s="13">
        <f t="shared" si="13"/>
        <v>1.68</v>
      </c>
    </row>
    <row r="868" spans="1:4" x14ac:dyDescent="0.25">
      <c r="A868" s="15">
        <f>Sheet2!A868</f>
        <v>0</v>
      </c>
      <c r="B868" s="8">
        <v>1.96</v>
      </c>
      <c r="C868" s="9">
        <v>0</v>
      </c>
      <c r="D868" s="13">
        <f t="shared" si="13"/>
        <v>1.96</v>
      </c>
    </row>
    <row r="869" spans="1:4" x14ac:dyDescent="0.25">
      <c r="A869" s="15">
        <f>Sheet2!A869</f>
        <v>0</v>
      </c>
      <c r="B869" s="8">
        <v>2.06</v>
      </c>
      <c r="C869" s="9">
        <v>0</v>
      </c>
      <c r="D869" s="13">
        <f t="shared" si="13"/>
        <v>2.06</v>
      </c>
    </row>
    <row r="870" spans="1:4" x14ac:dyDescent="0.25">
      <c r="A870" s="15">
        <f>Sheet2!A870</f>
        <v>0</v>
      </c>
      <c r="B870" s="8">
        <v>1.67</v>
      </c>
      <c r="C870" s="9">
        <v>0</v>
      </c>
      <c r="D870" s="13">
        <f t="shared" si="13"/>
        <v>1.67</v>
      </c>
    </row>
    <row r="871" spans="1:4" x14ac:dyDescent="0.25">
      <c r="A871" s="15">
        <f>Sheet2!A871</f>
        <v>0</v>
      </c>
      <c r="B871" s="8">
        <v>1.84</v>
      </c>
      <c r="C871" s="9">
        <v>0</v>
      </c>
      <c r="D871" s="13">
        <f t="shared" si="13"/>
        <v>1.84</v>
      </c>
    </row>
    <row r="872" spans="1:4" x14ac:dyDescent="0.25">
      <c r="A872" s="15">
        <f>Sheet2!A872</f>
        <v>0</v>
      </c>
      <c r="B872" s="8">
        <v>0</v>
      </c>
      <c r="C872" s="9">
        <v>0.79</v>
      </c>
      <c r="D872" s="13">
        <f t="shared" si="13"/>
        <v>0.79</v>
      </c>
    </row>
    <row r="873" spans="1:4" x14ac:dyDescent="0.25">
      <c r="A873" s="15">
        <f>Sheet2!A873</f>
        <v>0</v>
      </c>
      <c r="B873" s="8">
        <v>0</v>
      </c>
      <c r="C873" s="9">
        <v>1.1200000000000001</v>
      </c>
      <c r="D873" s="13">
        <f t="shared" si="13"/>
        <v>1.1200000000000001</v>
      </c>
    </row>
    <row r="874" spans="1:4" x14ac:dyDescent="0.25">
      <c r="A874" s="15">
        <f>Sheet2!A874</f>
        <v>0</v>
      </c>
      <c r="B874" s="8">
        <v>0</v>
      </c>
      <c r="C874" s="9">
        <v>0.32</v>
      </c>
      <c r="D874" s="13">
        <f t="shared" si="13"/>
        <v>0.32</v>
      </c>
    </row>
    <row r="875" spans="1:4" x14ac:dyDescent="0.25">
      <c r="A875" s="15">
        <f>Sheet2!A875</f>
        <v>0</v>
      </c>
      <c r="B875" s="8">
        <v>0.94</v>
      </c>
      <c r="C875" s="9">
        <v>0</v>
      </c>
      <c r="D875" s="13">
        <f t="shared" si="13"/>
        <v>0.94</v>
      </c>
    </row>
    <row r="876" spans="1:4" x14ac:dyDescent="0.25">
      <c r="A876" s="15">
        <f>Sheet2!A876</f>
        <v>0</v>
      </c>
      <c r="B876" s="8">
        <v>0</v>
      </c>
      <c r="C876" s="9">
        <v>0.52</v>
      </c>
      <c r="D876" s="13">
        <f t="shared" si="13"/>
        <v>0.52</v>
      </c>
    </row>
    <row r="877" spans="1:4" x14ac:dyDescent="0.25">
      <c r="A877" s="15">
        <f>Sheet2!A877</f>
        <v>0</v>
      </c>
      <c r="B877" s="8">
        <v>0</v>
      </c>
      <c r="C877" s="9">
        <v>0.83</v>
      </c>
      <c r="D877" s="13">
        <f t="shared" si="13"/>
        <v>0.83</v>
      </c>
    </row>
    <row r="878" spans="1:4" x14ac:dyDescent="0.25">
      <c r="A878" s="15">
        <f>Sheet2!A878</f>
        <v>0</v>
      </c>
      <c r="B878" s="8">
        <v>0</v>
      </c>
      <c r="C878" s="9">
        <v>0.93</v>
      </c>
      <c r="D878" s="13">
        <f t="shared" si="13"/>
        <v>0.93</v>
      </c>
    </row>
    <row r="879" spans="1:4" x14ac:dyDescent="0.25">
      <c r="A879" s="15">
        <f>Sheet2!A879</f>
        <v>0</v>
      </c>
      <c r="B879" s="8">
        <v>0.97</v>
      </c>
      <c r="C879" s="9">
        <v>0</v>
      </c>
      <c r="D879" s="13">
        <f t="shared" si="13"/>
        <v>0.97</v>
      </c>
    </row>
    <row r="880" spans="1:4" x14ac:dyDescent="0.25">
      <c r="A880" s="15">
        <f>Sheet2!A880</f>
        <v>0</v>
      </c>
      <c r="B880" s="8">
        <v>0</v>
      </c>
      <c r="C880" s="9">
        <v>0.64</v>
      </c>
      <c r="D880" s="13">
        <f t="shared" si="13"/>
        <v>0.64</v>
      </c>
    </row>
    <row r="881" spans="1:4" x14ac:dyDescent="0.25">
      <c r="A881" s="15">
        <f>Sheet2!A881</f>
        <v>0</v>
      </c>
      <c r="B881" s="8">
        <v>0</v>
      </c>
      <c r="C881" s="9">
        <v>1.23</v>
      </c>
      <c r="D881" s="13">
        <f t="shared" si="13"/>
        <v>1.23</v>
      </c>
    </row>
    <row r="882" spans="1:4" x14ac:dyDescent="0.25">
      <c r="A882" s="15">
        <f>Sheet2!A882</f>
        <v>0</v>
      </c>
      <c r="B882" s="8">
        <v>0</v>
      </c>
      <c r="C882" s="9">
        <v>0.73</v>
      </c>
      <c r="D882" s="13">
        <f t="shared" si="13"/>
        <v>0.73</v>
      </c>
    </row>
    <row r="883" spans="1:4" x14ac:dyDescent="0.25">
      <c r="A883" s="15">
        <f>Sheet2!A883</f>
        <v>0</v>
      </c>
      <c r="B883" s="8">
        <v>1.42</v>
      </c>
      <c r="C883" s="9">
        <v>0</v>
      </c>
      <c r="D883" s="13">
        <f t="shared" si="13"/>
        <v>1.42</v>
      </c>
    </row>
    <row r="884" spans="1:4" x14ac:dyDescent="0.25">
      <c r="A884" s="15">
        <f>Sheet2!A884</f>
        <v>0</v>
      </c>
      <c r="B884" s="8">
        <v>0</v>
      </c>
      <c r="C884" s="9">
        <v>0.69</v>
      </c>
      <c r="D884" s="13">
        <f t="shared" si="13"/>
        <v>0.69</v>
      </c>
    </row>
    <row r="885" spans="1:4" x14ac:dyDescent="0.25">
      <c r="A885" s="15">
        <f>Sheet2!A885</f>
        <v>0</v>
      </c>
      <c r="B885" s="8">
        <v>0</v>
      </c>
      <c r="C885" s="9">
        <v>1.17</v>
      </c>
      <c r="D885" s="13">
        <f t="shared" si="13"/>
        <v>1.17</v>
      </c>
    </row>
    <row r="886" spans="1:4" x14ac:dyDescent="0.25">
      <c r="A886" s="15">
        <f>Sheet2!A886</f>
        <v>0</v>
      </c>
      <c r="B886" s="8">
        <v>0</v>
      </c>
      <c r="C886" s="9">
        <v>0.48</v>
      </c>
      <c r="D886" s="13">
        <f t="shared" si="13"/>
        <v>0.48</v>
      </c>
    </row>
    <row r="887" spans="1:4" x14ac:dyDescent="0.25">
      <c r="A887" s="15">
        <f>Sheet2!A887</f>
        <v>0</v>
      </c>
      <c r="B887" s="8">
        <v>0.94</v>
      </c>
      <c r="C887" s="9">
        <v>0</v>
      </c>
      <c r="D887" s="13">
        <f t="shared" si="13"/>
        <v>0.94</v>
      </c>
    </row>
    <row r="888" spans="1:4" x14ac:dyDescent="0.25">
      <c r="A888" s="15">
        <f>Sheet2!A888</f>
        <v>0</v>
      </c>
      <c r="B888" s="8">
        <v>0.8</v>
      </c>
      <c r="C888" s="9">
        <v>0</v>
      </c>
      <c r="D888" s="13">
        <f t="shared" si="13"/>
        <v>0.8</v>
      </c>
    </row>
    <row r="889" spans="1:4" x14ac:dyDescent="0.25">
      <c r="A889" s="15">
        <f>Sheet2!A889</f>
        <v>0</v>
      </c>
      <c r="B889" s="8">
        <v>1.42</v>
      </c>
      <c r="C889" s="9">
        <v>0</v>
      </c>
      <c r="D889" s="13">
        <f t="shared" si="13"/>
        <v>1.42</v>
      </c>
    </row>
    <row r="890" spans="1:4" x14ac:dyDescent="0.25">
      <c r="A890" s="15">
        <f>Sheet2!A890</f>
        <v>0</v>
      </c>
      <c r="B890" s="8">
        <v>1.86</v>
      </c>
      <c r="C890" s="9">
        <v>0</v>
      </c>
      <c r="D890" s="13">
        <f t="shared" si="13"/>
        <v>1.86</v>
      </c>
    </row>
    <row r="891" spans="1:4" x14ac:dyDescent="0.25">
      <c r="A891" s="15">
        <f>Sheet2!A891</f>
        <v>0</v>
      </c>
      <c r="B891" s="8">
        <v>1.59</v>
      </c>
      <c r="C891" s="9">
        <v>0</v>
      </c>
      <c r="D891" s="13">
        <f t="shared" si="13"/>
        <v>1.59</v>
      </c>
    </row>
    <row r="892" spans="1:4" x14ac:dyDescent="0.25">
      <c r="A892" s="15">
        <f>Sheet2!A892</f>
        <v>0</v>
      </c>
      <c r="B892" s="8">
        <v>2</v>
      </c>
      <c r="C892" s="9">
        <v>0</v>
      </c>
      <c r="D892" s="13">
        <f t="shared" si="13"/>
        <v>2</v>
      </c>
    </row>
    <row r="893" spans="1:4" x14ac:dyDescent="0.25">
      <c r="A893" s="15">
        <f>Sheet2!A893</f>
        <v>0</v>
      </c>
      <c r="B893" s="8">
        <v>1.8</v>
      </c>
      <c r="C893" s="9">
        <v>0</v>
      </c>
      <c r="D893" s="13">
        <f t="shared" si="13"/>
        <v>1.8</v>
      </c>
    </row>
    <row r="894" spans="1:4" x14ac:dyDescent="0.25">
      <c r="A894" s="15">
        <f>Sheet2!A894</f>
        <v>0</v>
      </c>
      <c r="B894" s="8">
        <v>1.92</v>
      </c>
      <c r="C894" s="9">
        <v>0</v>
      </c>
      <c r="D894" s="13">
        <f t="shared" si="13"/>
        <v>1.92</v>
      </c>
    </row>
    <row r="895" spans="1:4" x14ac:dyDescent="0.25">
      <c r="A895" s="15">
        <f>Sheet2!A895</f>
        <v>0</v>
      </c>
      <c r="B895" s="8">
        <v>0</v>
      </c>
      <c r="C895" s="9">
        <v>0.39</v>
      </c>
      <c r="D895" s="13">
        <f t="shared" si="13"/>
        <v>0.39</v>
      </c>
    </row>
    <row r="896" spans="1:4" x14ac:dyDescent="0.25">
      <c r="A896" s="15">
        <f>Sheet2!A896</f>
        <v>0</v>
      </c>
      <c r="B896" s="8">
        <v>0</v>
      </c>
      <c r="C896" s="9">
        <v>0.69</v>
      </c>
      <c r="D896" s="13">
        <f t="shared" si="13"/>
        <v>0.69</v>
      </c>
    </row>
    <row r="897" spans="1:4" x14ac:dyDescent="0.25">
      <c r="A897" s="15">
        <f>Sheet2!A897</f>
        <v>0</v>
      </c>
      <c r="B897" s="8">
        <v>1.31</v>
      </c>
      <c r="C897" s="9">
        <v>0</v>
      </c>
      <c r="D897" s="13">
        <f t="shared" si="13"/>
        <v>1.31</v>
      </c>
    </row>
    <row r="898" spans="1:4" x14ac:dyDescent="0.25">
      <c r="A898" s="15">
        <f>Sheet2!A898</f>
        <v>0</v>
      </c>
      <c r="B898" s="8">
        <v>1.53</v>
      </c>
      <c r="C898" s="9">
        <v>0</v>
      </c>
      <c r="D898" s="13">
        <f t="shared" si="13"/>
        <v>1.53</v>
      </c>
    </row>
    <row r="899" spans="1:4" x14ac:dyDescent="0.25">
      <c r="A899" s="15">
        <f>Sheet2!A899</f>
        <v>0</v>
      </c>
      <c r="B899" s="8">
        <v>0.98</v>
      </c>
      <c r="C899" s="9">
        <v>0</v>
      </c>
      <c r="D899" s="13">
        <f t="shared" ref="D899:D962" si="14">B899+C899</f>
        <v>0.98</v>
      </c>
    </row>
    <row r="900" spans="1:4" x14ac:dyDescent="0.25">
      <c r="A900" s="15">
        <f>Sheet2!A900</f>
        <v>0</v>
      </c>
      <c r="B900" s="8">
        <v>0</v>
      </c>
      <c r="C900" s="9">
        <v>0.81</v>
      </c>
      <c r="D900" s="13">
        <f t="shared" si="14"/>
        <v>0.81</v>
      </c>
    </row>
    <row r="901" spans="1:4" x14ac:dyDescent="0.25">
      <c r="A901" s="15">
        <f>Sheet2!A901</f>
        <v>0</v>
      </c>
      <c r="B901" s="8">
        <v>0</v>
      </c>
      <c r="C901" s="9">
        <v>1.1499999999999999</v>
      </c>
      <c r="D901" s="13">
        <f t="shared" si="14"/>
        <v>1.1499999999999999</v>
      </c>
    </row>
    <row r="902" spans="1:4" x14ac:dyDescent="0.25">
      <c r="A902" s="15">
        <f>Sheet2!A902</f>
        <v>0</v>
      </c>
      <c r="B902" s="8">
        <v>0</v>
      </c>
      <c r="C902" s="9">
        <v>0.31</v>
      </c>
      <c r="D902" s="13">
        <f t="shared" si="14"/>
        <v>0.31</v>
      </c>
    </row>
    <row r="903" spans="1:4" x14ac:dyDescent="0.25">
      <c r="A903" s="15">
        <f>Sheet2!A903</f>
        <v>0</v>
      </c>
      <c r="B903" s="8">
        <v>1.17</v>
      </c>
      <c r="C903" s="9">
        <v>0</v>
      </c>
      <c r="D903" s="13">
        <f t="shared" si="14"/>
        <v>1.17</v>
      </c>
    </row>
    <row r="904" spans="1:4" x14ac:dyDescent="0.25">
      <c r="A904" s="15">
        <f>Sheet2!A904</f>
        <v>0</v>
      </c>
      <c r="B904" s="8">
        <v>0</v>
      </c>
      <c r="C904" s="9">
        <v>0.66</v>
      </c>
      <c r="D904" s="13">
        <f t="shared" si="14"/>
        <v>0.66</v>
      </c>
    </row>
    <row r="905" spans="1:4" x14ac:dyDescent="0.25">
      <c r="A905" s="15">
        <f>Sheet2!A905</f>
        <v>0</v>
      </c>
      <c r="B905" s="8">
        <v>0</v>
      </c>
      <c r="C905" s="9">
        <v>1.4</v>
      </c>
      <c r="D905" s="13">
        <f t="shared" si="14"/>
        <v>1.4</v>
      </c>
    </row>
    <row r="906" spans="1:4" x14ac:dyDescent="0.25">
      <c r="A906" s="15">
        <f>Sheet2!A906</f>
        <v>0</v>
      </c>
      <c r="B906" s="8">
        <v>0</v>
      </c>
      <c r="C906" s="9">
        <v>0.74</v>
      </c>
      <c r="D906" s="13">
        <f t="shared" si="14"/>
        <v>0.74</v>
      </c>
    </row>
    <row r="907" spans="1:4" x14ac:dyDescent="0.25">
      <c r="A907" s="15">
        <f>Sheet2!A907</f>
        <v>0</v>
      </c>
      <c r="B907" s="8">
        <v>0</v>
      </c>
      <c r="C907" s="9">
        <v>0.42</v>
      </c>
      <c r="D907" s="13">
        <f t="shared" si="14"/>
        <v>0.42</v>
      </c>
    </row>
    <row r="908" spans="1:4" x14ac:dyDescent="0.25">
      <c r="A908" s="15">
        <f>Sheet2!A908</f>
        <v>0</v>
      </c>
      <c r="B908" s="8">
        <v>0</v>
      </c>
      <c r="C908" s="9">
        <v>1.08</v>
      </c>
      <c r="D908" s="13">
        <f t="shared" si="14"/>
        <v>1.08</v>
      </c>
    </row>
    <row r="909" spans="1:4" x14ac:dyDescent="0.25">
      <c r="A909" s="15">
        <f>Sheet2!A909</f>
        <v>0</v>
      </c>
      <c r="B909" s="8">
        <v>0</v>
      </c>
      <c r="C909" s="9">
        <v>1.39</v>
      </c>
      <c r="D909" s="13">
        <f t="shared" si="14"/>
        <v>1.39</v>
      </c>
    </row>
    <row r="910" spans="1:4" x14ac:dyDescent="0.25">
      <c r="A910" s="15">
        <f>Sheet2!A910</f>
        <v>0</v>
      </c>
      <c r="B910" s="8">
        <v>0</v>
      </c>
      <c r="C910" s="9">
        <v>0.9</v>
      </c>
      <c r="D910" s="13">
        <f t="shared" si="14"/>
        <v>0.9</v>
      </c>
    </row>
    <row r="911" spans="1:4" x14ac:dyDescent="0.25">
      <c r="A911" s="15">
        <f>Sheet2!A911</f>
        <v>0</v>
      </c>
      <c r="B911" s="8">
        <v>0.99</v>
      </c>
      <c r="C911" s="9">
        <v>0</v>
      </c>
      <c r="D911" s="13">
        <f t="shared" si="14"/>
        <v>0.99</v>
      </c>
    </row>
    <row r="912" spans="1:4" x14ac:dyDescent="0.25">
      <c r="A912" s="15">
        <f>Sheet2!A912</f>
        <v>0</v>
      </c>
      <c r="B912" s="8">
        <v>1</v>
      </c>
      <c r="C912" s="9">
        <v>0</v>
      </c>
      <c r="D912" s="13">
        <f t="shared" si="14"/>
        <v>1</v>
      </c>
    </row>
    <row r="913" spans="1:4" x14ac:dyDescent="0.25">
      <c r="A913" s="15">
        <f>Sheet2!A913</f>
        <v>0</v>
      </c>
      <c r="B913" s="8">
        <v>1.96</v>
      </c>
      <c r="C913" s="9">
        <v>0</v>
      </c>
      <c r="D913" s="13">
        <f t="shared" si="14"/>
        <v>1.96</v>
      </c>
    </row>
    <row r="914" spans="1:4" x14ac:dyDescent="0.25">
      <c r="A914" s="15">
        <f>Sheet2!A914</f>
        <v>0</v>
      </c>
      <c r="B914" s="8">
        <v>1.67</v>
      </c>
      <c r="C914" s="9">
        <v>0</v>
      </c>
      <c r="D914" s="13">
        <f t="shared" si="14"/>
        <v>1.67</v>
      </c>
    </row>
    <row r="915" spans="1:4" x14ac:dyDescent="0.25">
      <c r="A915" s="15">
        <f>Sheet2!A915</f>
        <v>0</v>
      </c>
      <c r="B915" s="8">
        <v>1.97</v>
      </c>
      <c r="C915" s="9">
        <v>0</v>
      </c>
      <c r="D915" s="13">
        <f t="shared" si="14"/>
        <v>1.97</v>
      </c>
    </row>
    <row r="916" spans="1:4" x14ac:dyDescent="0.25">
      <c r="A916" s="15">
        <f>Sheet2!A916</f>
        <v>0</v>
      </c>
      <c r="B916" s="8">
        <v>1.76</v>
      </c>
      <c r="C916" s="9">
        <v>0</v>
      </c>
      <c r="D916" s="13">
        <f t="shared" si="14"/>
        <v>1.76</v>
      </c>
    </row>
    <row r="917" spans="1:4" x14ac:dyDescent="0.25">
      <c r="A917" s="15">
        <f>Sheet2!A917</f>
        <v>0</v>
      </c>
      <c r="B917" s="8">
        <v>2.06</v>
      </c>
      <c r="C917" s="9">
        <v>0</v>
      </c>
      <c r="D917" s="13">
        <f t="shared" si="14"/>
        <v>2.06</v>
      </c>
    </row>
    <row r="918" spans="1:4" x14ac:dyDescent="0.25">
      <c r="A918" s="15">
        <f>Sheet2!A918</f>
        <v>0</v>
      </c>
      <c r="B918" s="8">
        <v>1.71</v>
      </c>
      <c r="C918" s="9">
        <v>0</v>
      </c>
      <c r="D918" s="13">
        <f t="shared" si="14"/>
        <v>1.71</v>
      </c>
    </row>
    <row r="919" spans="1:4" x14ac:dyDescent="0.25">
      <c r="A919" s="15">
        <f>Sheet2!A919</f>
        <v>0</v>
      </c>
      <c r="B919" s="8">
        <v>1.83</v>
      </c>
      <c r="C919" s="9">
        <v>0</v>
      </c>
      <c r="D919" s="13">
        <f t="shared" si="14"/>
        <v>1.83</v>
      </c>
    </row>
    <row r="920" spans="1:4" x14ac:dyDescent="0.25">
      <c r="A920" s="15">
        <f>Sheet2!A920</f>
        <v>0</v>
      </c>
      <c r="B920" s="8">
        <v>1.65</v>
      </c>
      <c r="C920" s="9">
        <v>0</v>
      </c>
      <c r="D920" s="13">
        <f t="shared" si="14"/>
        <v>1.65</v>
      </c>
    </row>
    <row r="921" spans="1:4" x14ac:dyDescent="0.25">
      <c r="A921" s="15">
        <f>Sheet2!A921</f>
        <v>0</v>
      </c>
      <c r="B921" s="8">
        <v>0</v>
      </c>
      <c r="C921" s="9">
        <v>1.93</v>
      </c>
      <c r="D921" s="13">
        <f t="shared" si="14"/>
        <v>1.93</v>
      </c>
    </row>
    <row r="922" spans="1:4" x14ac:dyDescent="0.25">
      <c r="A922" s="15">
        <f>Sheet2!A922</f>
        <v>0</v>
      </c>
      <c r="B922" s="8">
        <v>0</v>
      </c>
      <c r="C922" s="9">
        <v>1.99</v>
      </c>
      <c r="D922" s="13">
        <f t="shared" si="14"/>
        <v>1.99</v>
      </c>
    </row>
    <row r="923" spans="1:4" x14ac:dyDescent="0.25">
      <c r="A923" s="15">
        <f>Sheet2!A923</f>
        <v>0</v>
      </c>
      <c r="B923" s="8">
        <v>0</v>
      </c>
      <c r="C923" s="9">
        <v>1.3</v>
      </c>
      <c r="D923" s="13">
        <f t="shared" si="14"/>
        <v>1.3</v>
      </c>
    </row>
    <row r="924" spans="1:4" x14ac:dyDescent="0.25">
      <c r="A924" s="15">
        <f>Sheet2!A924</f>
        <v>0</v>
      </c>
      <c r="B924" s="8">
        <v>0</v>
      </c>
      <c r="C924" s="9">
        <v>0.21</v>
      </c>
      <c r="D924" s="13">
        <f t="shared" si="14"/>
        <v>0.21</v>
      </c>
    </row>
    <row r="925" spans="1:4" x14ac:dyDescent="0.25">
      <c r="A925" s="15">
        <f>Sheet2!A925</f>
        <v>0</v>
      </c>
      <c r="B925" s="8">
        <v>2.46</v>
      </c>
      <c r="C925" s="9">
        <v>0</v>
      </c>
      <c r="D925" s="13">
        <f t="shared" si="14"/>
        <v>2.46</v>
      </c>
    </row>
    <row r="926" spans="1:4" x14ac:dyDescent="0.25">
      <c r="A926" s="15">
        <f>Sheet2!A926</f>
        <v>0</v>
      </c>
      <c r="B926" s="8">
        <v>0</v>
      </c>
      <c r="C926" s="9">
        <v>1.37</v>
      </c>
      <c r="D926" s="13">
        <f t="shared" si="14"/>
        <v>1.37</v>
      </c>
    </row>
    <row r="927" spans="1:4" x14ac:dyDescent="0.25">
      <c r="A927" s="15">
        <f>Sheet2!A927</f>
        <v>0</v>
      </c>
      <c r="B927" s="8">
        <v>0</v>
      </c>
      <c r="C927" s="9">
        <v>1.3</v>
      </c>
      <c r="D927" s="13">
        <f t="shared" si="14"/>
        <v>1.3</v>
      </c>
    </row>
    <row r="928" spans="1:4" x14ac:dyDescent="0.25">
      <c r="A928" s="15">
        <f>Sheet2!A928</f>
        <v>0</v>
      </c>
      <c r="B928" s="8">
        <v>0</v>
      </c>
      <c r="C928" s="9">
        <v>0.36</v>
      </c>
      <c r="D928" s="13">
        <f t="shared" si="14"/>
        <v>0.36</v>
      </c>
    </row>
    <row r="929" spans="1:4" x14ac:dyDescent="0.25">
      <c r="A929" s="15">
        <f>Sheet2!A929</f>
        <v>0</v>
      </c>
      <c r="B929" s="8">
        <v>1.62</v>
      </c>
      <c r="C929" s="9">
        <v>0</v>
      </c>
      <c r="D929" s="13">
        <f t="shared" si="14"/>
        <v>1.62</v>
      </c>
    </row>
    <row r="930" spans="1:4" x14ac:dyDescent="0.25">
      <c r="A930" s="15">
        <f>Sheet2!A930</f>
        <v>0</v>
      </c>
      <c r="B930" s="8">
        <v>0</v>
      </c>
      <c r="C930" s="9">
        <v>0.75</v>
      </c>
      <c r="D930" s="13">
        <f t="shared" si="14"/>
        <v>0.75</v>
      </c>
    </row>
    <row r="931" spans="1:4" x14ac:dyDescent="0.25">
      <c r="A931" s="15">
        <f>Sheet2!A931</f>
        <v>0</v>
      </c>
      <c r="B931" s="8">
        <v>0</v>
      </c>
      <c r="C931" s="9">
        <v>1.1100000000000001</v>
      </c>
      <c r="D931" s="13">
        <f t="shared" si="14"/>
        <v>1.1100000000000001</v>
      </c>
    </row>
    <row r="932" spans="1:4" x14ac:dyDescent="0.25">
      <c r="A932" s="15">
        <f>Sheet2!A932</f>
        <v>0</v>
      </c>
      <c r="B932" s="8">
        <v>0</v>
      </c>
      <c r="C932" s="9">
        <v>0.43</v>
      </c>
      <c r="D932" s="13">
        <f t="shared" si="14"/>
        <v>0.43</v>
      </c>
    </row>
    <row r="933" spans="1:4" x14ac:dyDescent="0.25">
      <c r="A933" s="15">
        <f>Sheet2!A933</f>
        <v>0</v>
      </c>
      <c r="B933" s="8">
        <v>1.77</v>
      </c>
      <c r="C933" s="9">
        <v>0</v>
      </c>
      <c r="D933" s="13">
        <f t="shared" si="14"/>
        <v>1.77</v>
      </c>
    </row>
    <row r="934" spans="1:4" x14ac:dyDescent="0.25">
      <c r="A934" s="15">
        <f>Sheet2!A934</f>
        <v>0</v>
      </c>
      <c r="B934" s="8">
        <v>1.03</v>
      </c>
      <c r="C934" s="9">
        <v>0</v>
      </c>
      <c r="D934" s="13">
        <f t="shared" si="14"/>
        <v>1.03</v>
      </c>
    </row>
    <row r="935" spans="1:4" x14ac:dyDescent="0.25">
      <c r="A935" s="15">
        <f>Sheet2!A935</f>
        <v>0</v>
      </c>
      <c r="B935" s="8">
        <v>1.49</v>
      </c>
      <c r="C935" s="9">
        <v>0</v>
      </c>
      <c r="D935" s="13">
        <f t="shared" si="14"/>
        <v>1.49</v>
      </c>
    </row>
    <row r="936" spans="1:4" x14ac:dyDescent="0.25">
      <c r="A936" s="15">
        <f>Sheet2!A936</f>
        <v>0</v>
      </c>
      <c r="B936" s="8">
        <v>1.08</v>
      </c>
      <c r="C936" s="9">
        <v>0</v>
      </c>
      <c r="D936" s="13">
        <f t="shared" si="14"/>
        <v>1.08</v>
      </c>
    </row>
    <row r="937" spans="1:4" x14ac:dyDescent="0.25">
      <c r="A937" s="15">
        <f>Sheet2!A937</f>
        <v>0</v>
      </c>
      <c r="B937" s="8">
        <v>2.04</v>
      </c>
      <c r="C937" s="9">
        <v>0</v>
      </c>
      <c r="D937" s="13">
        <f t="shared" si="14"/>
        <v>2.04</v>
      </c>
    </row>
    <row r="938" spans="1:4" x14ac:dyDescent="0.25">
      <c r="A938" s="15">
        <f>Sheet2!A938</f>
        <v>0</v>
      </c>
      <c r="B938" s="8">
        <v>1.58</v>
      </c>
      <c r="C938" s="9">
        <v>0</v>
      </c>
      <c r="D938" s="13">
        <f t="shared" si="14"/>
        <v>1.58</v>
      </c>
    </row>
    <row r="939" spans="1:4" x14ac:dyDescent="0.25">
      <c r="A939" s="15">
        <f>Sheet2!A939</f>
        <v>0</v>
      </c>
      <c r="B939" s="8">
        <v>1.8</v>
      </c>
      <c r="C939" s="9">
        <v>0</v>
      </c>
      <c r="D939" s="13">
        <f t="shared" si="14"/>
        <v>1.8</v>
      </c>
    </row>
    <row r="940" spans="1:4" x14ac:dyDescent="0.25">
      <c r="A940" s="15">
        <f>Sheet2!A940</f>
        <v>0</v>
      </c>
      <c r="B940" s="8">
        <v>1.68</v>
      </c>
      <c r="C940" s="9">
        <v>0</v>
      </c>
      <c r="D940" s="13">
        <f t="shared" si="14"/>
        <v>1.68</v>
      </c>
    </row>
    <row r="941" spans="1:4" x14ac:dyDescent="0.25">
      <c r="A941" s="15">
        <f>Sheet2!A941</f>
        <v>0</v>
      </c>
      <c r="B941" s="8">
        <v>1.83</v>
      </c>
      <c r="C941" s="9">
        <v>0</v>
      </c>
      <c r="D941" s="13">
        <f t="shared" si="14"/>
        <v>1.83</v>
      </c>
    </row>
    <row r="942" spans="1:4" x14ac:dyDescent="0.25">
      <c r="A942" s="15">
        <f>Sheet2!A942</f>
        <v>0</v>
      </c>
      <c r="B942" s="8">
        <v>1.55</v>
      </c>
      <c r="C942" s="9">
        <v>0</v>
      </c>
      <c r="D942" s="13">
        <f t="shared" si="14"/>
        <v>1.55</v>
      </c>
    </row>
    <row r="943" spans="1:4" x14ac:dyDescent="0.25">
      <c r="A943" s="15">
        <f>Sheet2!A943</f>
        <v>0</v>
      </c>
      <c r="B943" s="8">
        <v>1.6</v>
      </c>
      <c r="C943" s="9">
        <v>0</v>
      </c>
      <c r="D943" s="13">
        <f t="shared" si="14"/>
        <v>1.6</v>
      </c>
    </row>
    <row r="944" spans="1:4" x14ac:dyDescent="0.25">
      <c r="A944" s="15">
        <f>Sheet2!A944</f>
        <v>0</v>
      </c>
      <c r="B944" s="8">
        <v>0</v>
      </c>
      <c r="C944" s="9">
        <v>0.96</v>
      </c>
      <c r="D944" s="13">
        <f t="shared" si="14"/>
        <v>0.96</v>
      </c>
    </row>
    <row r="945" spans="1:4" x14ac:dyDescent="0.25">
      <c r="A945" s="15">
        <f>Sheet2!A945</f>
        <v>0</v>
      </c>
      <c r="B945" s="8">
        <v>1.64</v>
      </c>
      <c r="C945" s="9">
        <v>0</v>
      </c>
      <c r="D945" s="13">
        <f t="shared" si="14"/>
        <v>1.64</v>
      </c>
    </row>
    <row r="946" spans="1:4" x14ac:dyDescent="0.25">
      <c r="A946" s="15">
        <f>Sheet2!A946</f>
        <v>0</v>
      </c>
      <c r="B946" s="8">
        <v>0</v>
      </c>
      <c r="C946" s="9">
        <v>1.62</v>
      </c>
      <c r="D946" s="13">
        <f t="shared" si="14"/>
        <v>1.62</v>
      </c>
    </row>
    <row r="947" spans="1:4" x14ac:dyDescent="0.25">
      <c r="A947" s="15">
        <f>Sheet2!A947</f>
        <v>0</v>
      </c>
      <c r="B947" s="8">
        <v>0</v>
      </c>
      <c r="C947" s="9">
        <v>1.35</v>
      </c>
      <c r="D947" s="13">
        <f t="shared" si="14"/>
        <v>1.35</v>
      </c>
    </row>
    <row r="948" spans="1:4" x14ac:dyDescent="0.25">
      <c r="A948" s="15">
        <f>Sheet2!A948</f>
        <v>0</v>
      </c>
      <c r="B948" s="8">
        <v>0</v>
      </c>
      <c r="C948" s="9">
        <v>0.6</v>
      </c>
      <c r="D948" s="13">
        <f t="shared" si="14"/>
        <v>0.6</v>
      </c>
    </row>
    <row r="949" spans="1:4" x14ac:dyDescent="0.25">
      <c r="A949" s="15">
        <f>Sheet2!A949</f>
        <v>0</v>
      </c>
      <c r="B949" s="8">
        <v>2.02</v>
      </c>
      <c r="C949" s="9">
        <v>0</v>
      </c>
      <c r="D949" s="13">
        <f t="shared" si="14"/>
        <v>2.02</v>
      </c>
    </row>
    <row r="950" spans="1:4" x14ac:dyDescent="0.25">
      <c r="A950" s="15">
        <f>Sheet2!A950</f>
        <v>0</v>
      </c>
      <c r="B950" s="8">
        <v>0</v>
      </c>
      <c r="C950" s="9">
        <v>0.57999999999999996</v>
      </c>
      <c r="D950" s="13">
        <f t="shared" si="14"/>
        <v>0.57999999999999996</v>
      </c>
    </row>
    <row r="951" spans="1:4" x14ac:dyDescent="0.25">
      <c r="A951" s="15">
        <f>Sheet2!A951</f>
        <v>0</v>
      </c>
      <c r="B951" s="8">
        <v>0</v>
      </c>
      <c r="C951" s="9">
        <v>0.96</v>
      </c>
      <c r="D951" s="13">
        <f t="shared" si="14"/>
        <v>0.96</v>
      </c>
    </row>
    <row r="952" spans="1:4" x14ac:dyDescent="0.25">
      <c r="A952" s="15">
        <f>Sheet2!A952</f>
        <v>0</v>
      </c>
      <c r="B952" s="8">
        <v>0</v>
      </c>
      <c r="C952" s="9">
        <v>0.64</v>
      </c>
      <c r="D952" s="13">
        <f t="shared" si="14"/>
        <v>0.64</v>
      </c>
    </row>
    <row r="953" spans="1:4" x14ac:dyDescent="0.25">
      <c r="A953" s="15">
        <f>Sheet2!A953</f>
        <v>0</v>
      </c>
      <c r="B953" s="8">
        <v>2.34</v>
      </c>
      <c r="C953" s="9">
        <v>0</v>
      </c>
      <c r="D953" s="13">
        <f t="shared" si="14"/>
        <v>2.34</v>
      </c>
    </row>
    <row r="954" spans="1:4" x14ac:dyDescent="0.25">
      <c r="A954" s="15">
        <f>Sheet2!A954</f>
        <v>0</v>
      </c>
      <c r="B954" s="8">
        <v>0</v>
      </c>
      <c r="C954" s="9">
        <v>1.0900000000000001</v>
      </c>
      <c r="D954" s="13">
        <f t="shared" si="14"/>
        <v>1.0900000000000001</v>
      </c>
    </row>
    <row r="955" spans="1:4" x14ac:dyDescent="0.25">
      <c r="A955" s="15">
        <f>Sheet2!A955</f>
        <v>0</v>
      </c>
      <c r="B955" s="8">
        <v>0</v>
      </c>
      <c r="C955" s="9">
        <v>1.34</v>
      </c>
      <c r="D955" s="13">
        <f t="shared" si="14"/>
        <v>1.34</v>
      </c>
    </row>
    <row r="956" spans="1:4" x14ac:dyDescent="0.25">
      <c r="A956" s="15">
        <f>Sheet2!A956</f>
        <v>0</v>
      </c>
      <c r="B956" s="8">
        <v>0</v>
      </c>
      <c r="C956" s="9">
        <v>1.31</v>
      </c>
      <c r="D956" s="13">
        <f t="shared" si="14"/>
        <v>1.31</v>
      </c>
    </row>
    <row r="957" spans="1:4" x14ac:dyDescent="0.25">
      <c r="A957" s="15">
        <f>Sheet2!A957</f>
        <v>0</v>
      </c>
      <c r="B957" s="8">
        <v>0</v>
      </c>
      <c r="C957" s="9">
        <v>0.32</v>
      </c>
      <c r="D957" s="13">
        <f t="shared" si="14"/>
        <v>0.32</v>
      </c>
    </row>
    <row r="958" spans="1:4" x14ac:dyDescent="0.25">
      <c r="A958" s="15">
        <f>Sheet2!A958</f>
        <v>0</v>
      </c>
      <c r="B958" s="8">
        <v>1.74</v>
      </c>
      <c r="C958" s="9">
        <v>0</v>
      </c>
      <c r="D958" s="13">
        <f t="shared" si="14"/>
        <v>1.74</v>
      </c>
    </row>
    <row r="959" spans="1:4" x14ac:dyDescent="0.25">
      <c r="A959" s="15">
        <f>Sheet2!A959</f>
        <v>0</v>
      </c>
      <c r="B959" s="8">
        <v>1.24</v>
      </c>
      <c r="C959" s="9">
        <v>0</v>
      </c>
      <c r="D959" s="13">
        <f t="shared" si="14"/>
        <v>1.24</v>
      </c>
    </row>
    <row r="960" spans="1:4" x14ac:dyDescent="0.25">
      <c r="A960" s="15">
        <f>Sheet2!A960</f>
        <v>0</v>
      </c>
      <c r="B960" s="8">
        <v>1.55</v>
      </c>
      <c r="C960" s="9">
        <v>0</v>
      </c>
      <c r="D960" s="13">
        <f t="shared" si="14"/>
        <v>1.55</v>
      </c>
    </row>
    <row r="961" spans="1:4" x14ac:dyDescent="0.25">
      <c r="A961" s="15">
        <f>Sheet2!A961</f>
        <v>0</v>
      </c>
      <c r="B961" s="8">
        <v>1.83</v>
      </c>
      <c r="C961" s="9">
        <v>0</v>
      </c>
      <c r="D961" s="13">
        <f t="shared" si="14"/>
        <v>1.83</v>
      </c>
    </row>
    <row r="962" spans="1:4" x14ac:dyDescent="0.25">
      <c r="A962" s="15">
        <f>Sheet2!A962</f>
        <v>0</v>
      </c>
      <c r="B962" s="8">
        <v>1.73</v>
      </c>
      <c r="C962" s="9">
        <v>0</v>
      </c>
      <c r="D962" s="13">
        <f t="shared" si="14"/>
        <v>1.73</v>
      </c>
    </row>
    <row r="963" spans="1:4" x14ac:dyDescent="0.25">
      <c r="A963" s="15">
        <f>Sheet2!A963</f>
        <v>0</v>
      </c>
      <c r="B963" s="8">
        <v>1.58</v>
      </c>
      <c r="C963" s="9">
        <v>0</v>
      </c>
      <c r="D963" s="13">
        <f t="shared" ref="D963:D1026" si="15">B963+C963</f>
        <v>1.58</v>
      </c>
    </row>
    <row r="964" spans="1:4" x14ac:dyDescent="0.25">
      <c r="A964" s="15">
        <f>Sheet2!A964</f>
        <v>0</v>
      </c>
      <c r="B964" s="8">
        <v>1.55</v>
      </c>
      <c r="C964" s="9">
        <v>0</v>
      </c>
      <c r="D964" s="13">
        <f t="shared" si="15"/>
        <v>1.55</v>
      </c>
    </row>
    <row r="965" spans="1:4" x14ac:dyDescent="0.25">
      <c r="A965" s="15">
        <f>Sheet2!A965</f>
        <v>0</v>
      </c>
      <c r="B965" s="8">
        <v>1.45</v>
      </c>
      <c r="C965" s="9">
        <v>0</v>
      </c>
      <c r="D965" s="13">
        <f t="shared" si="15"/>
        <v>1.45</v>
      </c>
    </row>
    <row r="966" spans="1:4" x14ac:dyDescent="0.25">
      <c r="A966" s="15">
        <f>Sheet2!A966</f>
        <v>0</v>
      </c>
      <c r="B966" s="8">
        <v>1.86</v>
      </c>
      <c r="C966" s="9">
        <v>0</v>
      </c>
      <c r="D966" s="13">
        <f t="shared" si="15"/>
        <v>1.86</v>
      </c>
    </row>
    <row r="967" spans="1:4" x14ac:dyDescent="0.25">
      <c r="A967" s="15">
        <f>Sheet2!A967</f>
        <v>0</v>
      </c>
      <c r="B967" s="8">
        <v>1.5</v>
      </c>
      <c r="C967" s="9">
        <v>0</v>
      </c>
      <c r="D967" s="13">
        <f t="shared" si="15"/>
        <v>1.5</v>
      </c>
    </row>
    <row r="968" spans="1:4" x14ac:dyDescent="0.25">
      <c r="A968" s="15">
        <f>Sheet2!A968</f>
        <v>0</v>
      </c>
      <c r="B968" s="8">
        <v>0</v>
      </c>
      <c r="C968" s="9">
        <v>1.24</v>
      </c>
      <c r="D968" s="13">
        <f t="shared" si="15"/>
        <v>1.24</v>
      </c>
    </row>
    <row r="969" spans="1:4" x14ac:dyDescent="0.25">
      <c r="A969" s="15">
        <f>Sheet2!A969</f>
        <v>0</v>
      </c>
      <c r="B969" s="8">
        <v>0</v>
      </c>
      <c r="C969" s="9">
        <v>1.2</v>
      </c>
      <c r="D969" s="13">
        <f t="shared" si="15"/>
        <v>1.2</v>
      </c>
    </row>
    <row r="970" spans="1:4" x14ac:dyDescent="0.25">
      <c r="A970" s="15">
        <f>Sheet2!A970</f>
        <v>0</v>
      </c>
      <c r="B970" s="8">
        <v>0</v>
      </c>
      <c r="C970" s="9">
        <v>0.53</v>
      </c>
      <c r="D970" s="13">
        <f t="shared" si="15"/>
        <v>0.53</v>
      </c>
    </row>
    <row r="971" spans="1:4" x14ac:dyDescent="0.25">
      <c r="A971" s="15">
        <f>Sheet2!A971</f>
        <v>0</v>
      </c>
      <c r="B971" s="8">
        <v>1.54</v>
      </c>
      <c r="C971" s="9">
        <v>0</v>
      </c>
      <c r="D971" s="13">
        <f t="shared" si="15"/>
        <v>1.54</v>
      </c>
    </row>
    <row r="972" spans="1:4" x14ac:dyDescent="0.25">
      <c r="A972" s="15">
        <f>Sheet2!A972</f>
        <v>0</v>
      </c>
      <c r="B972" s="8">
        <v>0</v>
      </c>
      <c r="C972" s="9">
        <v>0.68</v>
      </c>
      <c r="D972" s="13">
        <f t="shared" si="15"/>
        <v>0.68</v>
      </c>
    </row>
    <row r="973" spans="1:4" x14ac:dyDescent="0.25">
      <c r="A973" s="15">
        <f>Sheet2!A973</f>
        <v>0</v>
      </c>
      <c r="B973" s="8">
        <v>0</v>
      </c>
      <c r="C973" s="9">
        <v>1.18</v>
      </c>
      <c r="D973" s="13">
        <f t="shared" si="15"/>
        <v>1.18</v>
      </c>
    </row>
    <row r="974" spans="1:4" x14ac:dyDescent="0.25">
      <c r="A974" s="15">
        <f>Sheet2!A974</f>
        <v>0</v>
      </c>
      <c r="B974" s="8">
        <v>0</v>
      </c>
      <c r="C974" s="9">
        <v>0.51</v>
      </c>
      <c r="D974" s="13">
        <f t="shared" si="15"/>
        <v>0.51</v>
      </c>
    </row>
    <row r="975" spans="1:4" x14ac:dyDescent="0.25">
      <c r="A975" s="15">
        <f>Sheet2!A975</f>
        <v>0</v>
      </c>
      <c r="B975" s="8">
        <v>1.39</v>
      </c>
      <c r="C975" s="9">
        <v>0</v>
      </c>
      <c r="D975" s="13">
        <f t="shared" si="15"/>
        <v>1.39</v>
      </c>
    </row>
    <row r="976" spans="1:4" x14ac:dyDescent="0.25">
      <c r="A976" s="15">
        <f>Sheet2!A976</f>
        <v>0</v>
      </c>
      <c r="B976" s="8">
        <v>1.38</v>
      </c>
      <c r="C976" s="9">
        <v>0</v>
      </c>
      <c r="D976" s="13">
        <f t="shared" si="15"/>
        <v>1.38</v>
      </c>
    </row>
    <row r="977" spans="1:4" x14ac:dyDescent="0.25">
      <c r="A977" s="15">
        <f>Sheet2!A977</f>
        <v>0</v>
      </c>
      <c r="B977" s="8">
        <v>0</v>
      </c>
      <c r="C977" s="9">
        <v>1.3</v>
      </c>
      <c r="D977" s="13">
        <f t="shared" si="15"/>
        <v>1.3</v>
      </c>
    </row>
    <row r="978" spans="1:4" x14ac:dyDescent="0.25">
      <c r="A978" s="15">
        <f>Sheet2!A978</f>
        <v>0</v>
      </c>
      <c r="B978" s="8">
        <v>0</v>
      </c>
      <c r="C978" s="9">
        <v>0.63</v>
      </c>
      <c r="D978" s="13">
        <f t="shared" si="15"/>
        <v>0.63</v>
      </c>
    </row>
    <row r="979" spans="1:4" x14ac:dyDescent="0.25">
      <c r="A979" s="15">
        <f>Sheet2!A979</f>
        <v>0</v>
      </c>
      <c r="B979" s="8">
        <v>1.04</v>
      </c>
      <c r="C979" s="9">
        <v>0</v>
      </c>
      <c r="D979" s="13">
        <f t="shared" si="15"/>
        <v>1.04</v>
      </c>
    </row>
    <row r="980" spans="1:4" x14ac:dyDescent="0.25">
      <c r="A980" s="15">
        <f>Sheet2!A980</f>
        <v>0</v>
      </c>
      <c r="B980" s="8">
        <v>1.1399999999999999</v>
      </c>
      <c r="C980" s="9">
        <v>0</v>
      </c>
      <c r="D980" s="13">
        <f t="shared" si="15"/>
        <v>1.1399999999999999</v>
      </c>
    </row>
    <row r="981" spans="1:4" x14ac:dyDescent="0.25">
      <c r="A981" s="15">
        <f>Sheet2!A981</f>
        <v>0</v>
      </c>
      <c r="B981" s="8">
        <v>1.29</v>
      </c>
      <c r="C981" s="9">
        <v>0</v>
      </c>
      <c r="D981" s="13">
        <f t="shared" si="15"/>
        <v>1.29</v>
      </c>
    </row>
    <row r="982" spans="1:4" x14ac:dyDescent="0.25">
      <c r="A982" s="15">
        <f>Sheet2!A982</f>
        <v>0</v>
      </c>
      <c r="B982" s="8">
        <v>0</v>
      </c>
      <c r="C982" s="9">
        <v>0.49</v>
      </c>
      <c r="D982" s="13">
        <f t="shared" si="15"/>
        <v>0.49</v>
      </c>
    </row>
    <row r="983" spans="1:4" x14ac:dyDescent="0.25">
      <c r="A983" s="15">
        <f>Sheet2!A983</f>
        <v>0</v>
      </c>
      <c r="B983" s="8">
        <v>0.85</v>
      </c>
      <c r="C983" s="9">
        <v>0</v>
      </c>
      <c r="D983" s="13">
        <f t="shared" si="15"/>
        <v>0.85</v>
      </c>
    </row>
    <row r="984" spans="1:4" x14ac:dyDescent="0.25">
      <c r="A984" s="15">
        <f>Sheet2!A984</f>
        <v>0</v>
      </c>
      <c r="B984" s="8">
        <v>0.91</v>
      </c>
      <c r="C984" s="9">
        <v>0</v>
      </c>
      <c r="D984" s="13">
        <f t="shared" si="15"/>
        <v>0.91</v>
      </c>
    </row>
    <row r="985" spans="1:4" x14ac:dyDescent="0.25">
      <c r="A985" s="15">
        <f>Sheet2!A985</f>
        <v>0</v>
      </c>
      <c r="B985" s="8">
        <v>1.34</v>
      </c>
      <c r="C985" s="9">
        <v>0</v>
      </c>
      <c r="D985" s="13">
        <f t="shared" si="15"/>
        <v>1.34</v>
      </c>
    </row>
    <row r="986" spans="1:4" x14ac:dyDescent="0.25">
      <c r="A986" s="15">
        <f>Sheet2!A986</f>
        <v>0</v>
      </c>
      <c r="B986" s="8">
        <v>1.69</v>
      </c>
      <c r="C986" s="9">
        <v>0</v>
      </c>
      <c r="D986" s="13">
        <f t="shared" si="15"/>
        <v>1.69</v>
      </c>
    </row>
    <row r="987" spans="1:4" x14ac:dyDescent="0.25">
      <c r="A987" s="15">
        <f>Sheet2!A987</f>
        <v>0</v>
      </c>
      <c r="B987" s="8">
        <v>1.4</v>
      </c>
      <c r="C987" s="9">
        <v>0</v>
      </c>
      <c r="D987" s="13">
        <f t="shared" si="15"/>
        <v>1.4</v>
      </c>
    </row>
    <row r="988" spans="1:4" x14ac:dyDescent="0.25">
      <c r="A988" s="15">
        <f>Sheet2!A988</f>
        <v>0</v>
      </c>
      <c r="B988" s="8">
        <v>1.51</v>
      </c>
      <c r="C988" s="9">
        <v>0</v>
      </c>
      <c r="D988" s="13">
        <f t="shared" si="15"/>
        <v>1.51</v>
      </c>
    </row>
    <row r="989" spans="1:4" x14ac:dyDescent="0.25">
      <c r="A989" s="15">
        <f>Sheet2!A989</f>
        <v>0</v>
      </c>
      <c r="B989" s="8">
        <v>1.97</v>
      </c>
      <c r="C989" s="9">
        <v>0</v>
      </c>
      <c r="D989" s="13">
        <f t="shared" si="15"/>
        <v>1.97</v>
      </c>
    </row>
    <row r="990" spans="1:4" x14ac:dyDescent="0.25">
      <c r="A990" s="15">
        <f>Sheet2!A990</f>
        <v>0</v>
      </c>
      <c r="B990" s="8">
        <v>1.43</v>
      </c>
      <c r="C990" s="9">
        <v>0</v>
      </c>
      <c r="D990" s="13">
        <f t="shared" si="15"/>
        <v>1.43</v>
      </c>
    </row>
    <row r="991" spans="1:4" x14ac:dyDescent="0.25">
      <c r="A991" s="15">
        <f>Sheet2!A991</f>
        <v>0</v>
      </c>
      <c r="B991" s="8">
        <v>1.23</v>
      </c>
      <c r="C991" s="9">
        <v>0</v>
      </c>
      <c r="D991" s="13">
        <f t="shared" si="15"/>
        <v>1.23</v>
      </c>
    </row>
    <row r="992" spans="1:4" x14ac:dyDescent="0.25">
      <c r="A992" s="15">
        <f>Sheet2!A992</f>
        <v>0</v>
      </c>
      <c r="B992" s="8">
        <v>1.1499999999999999</v>
      </c>
      <c r="C992" s="9">
        <v>0</v>
      </c>
      <c r="D992" s="13">
        <f t="shared" si="15"/>
        <v>1.1499999999999999</v>
      </c>
    </row>
    <row r="993" spans="1:4" x14ac:dyDescent="0.25">
      <c r="A993" s="15">
        <f>Sheet2!A993</f>
        <v>0</v>
      </c>
      <c r="B993" s="8">
        <v>1.1499999999999999</v>
      </c>
      <c r="C993" s="9">
        <v>0</v>
      </c>
      <c r="D993" s="13">
        <f t="shared" si="15"/>
        <v>1.1499999999999999</v>
      </c>
    </row>
    <row r="994" spans="1:4" x14ac:dyDescent="0.25">
      <c r="A994" s="15">
        <f>Sheet2!A994</f>
        <v>0</v>
      </c>
      <c r="B994" s="8">
        <v>0</v>
      </c>
      <c r="C994" s="9">
        <v>0.48</v>
      </c>
      <c r="D994" s="13">
        <f t="shared" si="15"/>
        <v>0.48</v>
      </c>
    </row>
    <row r="995" spans="1:4" x14ac:dyDescent="0.25">
      <c r="A995" s="15">
        <f>Sheet2!A995</f>
        <v>0</v>
      </c>
      <c r="B995" s="8">
        <v>0</v>
      </c>
      <c r="C995" s="9">
        <v>0.83</v>
      </c>
      <c r="D995" s="13">
        <f t="shared" si="15"/>
        <v>0.83</v>
      </c>
    </row>
    <row r="996" spans="1:4" x14ac:dyDescent="0.25">
      <c r="A996" s="15">
        <f>Sheet2!A996</f>
        <v>0</v>
      </c>
      <c r="B996" s="8">
        <v>0</v>
      </c>
      <c r="C996" s="9">
        <v>0.32</v>
      </c>
      <c r="D996" s="13">
        <f t="shared" si="15"/>
        <v>0.32</v>
      </c>
    </row>
    <row r="997" spans="1:4" x14ac:dyDescent="0.25">
      <c r="A997" s="15">
        <f>Sheet2!A997</f>
        <v>0</v>
      </c>
      <c r="B997" s="8">
        <v>1.65</v>
      </c>
      <c r="C997" s="9">
        <v>0</v>
      </c>
      <c r="D997" s="13">
        <f t="shared" si="15"/>
        <v>1.65</v>
      </c>
    </row>
    <row r="998" spans="1:4" x14ac:dyDescent="0.25">
      <c r="A998" s="15">
        <f>Sheet2!A998</f>
        <v>0</v>
      </c>
      <c r="B998" s="8">
        <v>0</v>
      </c>
      <c r="C998" s="9">
        <v>0.47</v>
      </c>
      <c r="D998" s="13">
        <f t="shared" si="15"/>
        <v>0.47</v>
      </c>
    </row>
    <row r="999" spans="1:4" x14ac:dyDescent="0.25">
      <c r="A999" s="15">
        <f>Sheet2!A999</f>
        <v>0</v>
      </c>
      <c r="B999" s="8">
        <v>0</v>
      </c>
      <c r="C999" s="9">
        <v>1.55</v>
      </c>
      <c r="D999" s="13">
        <f t="shared" si="15"/>
        <v>1.55</v>
      </c>
    </row>
    <row r="1000" spans="1:4" x14ac:dyDescent="0.25">
      <c r="A1000" s="15">
        <f>Sheet2!A1000</f>
        <v>0</v>
      </c>
      <c r="B1000" s="8">
        <v>0</v>
      </c>
      <c r="C1000" s="9">
        <v>0.88</v>
      </c>
      <c r="D1000" s="13">
        <f t="shared" si="15"/>
        <v>0.88</v>
      </c>
    </row>
    <row r="1001" spans="1:4" x14ac:dyDescent="0.25">
      <c r="A1001" s="15">
        <f>Sheet2!A1001</f>
        <v>0</v>
      </c>
      <c r="B1001" s="8">
        <v>1.41</v>
      </c>
      <c r="C1001" s="9">
        <v>0</v>
      </c>
      <c r="D1001" s="13">
        <f t="shared" si="15"/>
        <v>1.41</v>
      </c>
    </row>
    <row r="1002" spans="1:4" x14ac:dyDescent="0.25">
      <c r="A1002" s="15">
        <f>Sheet2!A1002</f>
        <v>0</v>
      </c>
      <c r="B1002" s="8">
        <v>0</v>
      </c>
      <c r="C1002" s="9">
        <v>0.67</v>
      </c>
      <c r="D1002" s="13">
        <f t="shared" si="15"/>
        <v>0.67</v>
      </c>
    </row>
    <row r="1003" spans="1:4" x14ac:dyDescent="0.25">
      <c r="A1003" s="15">
        <f>Sheet2!A1003</f>
        <v>0</v>
      </c>
      <c r="B1003" s="8">
        <v>0</v>
      </c>
      <c r="C1003" s="9">
        <v>0.84</v>
      </c>
      <c r="D1003" s="13">
        <f t="shared" si="15"/>
        <v>0.84</v>
      </c>
    </row>
    <row r="1004" spans="1:4" x14ac:dyDescent="0.25">
      <c r="A1004" s="15">
        <f>Sheet2!A1004</f>
        <v>0</v>
      </c>
      <c r="B1004" s="8">
        <v>0</v>
      </c>
      <c r="C1004" s="9">
        <v>0.42</v>
      </c>
      <c r="D1004" s="13">
        <f t="shared" si="15"/>
        <v>0.42</v>
      </c>
    </row>
    <row r="1005" spans="1:4" x14ac:dyDescent="0.25">
      <c r="A1005" s="15">
        <f>Sheet2!A1005</f>
        <v>0</v>
      </c>
      <c r="B1005" s="8">
        <v>0.84</v>
      </c>
      <c r="C1005" s="9">
        <v>0</v>
      </c>
      <c r="D1005" s="13">
        <f t="shared" si="15"/>
        <v>0.84</v>
      </c>
    </row>
    <row r="1006" spans="1:4" x14ac:dyDescent="0.25">
      <c r="A1006" s="15">
        <f>Sheet2!A1006</f>
        <v>0</v>
      </c>
      <c r="B1006" s="8">
        <v>1.59</v>
      </c>
      <c r="C1006" s="9">
        <v>0</v>
      </c>
      <c r="D1006" s="13">
        <f t="shared" si="15"/>
        <v>1.59</v>
      </c>
    </row>
    <row r="1007" spans="1:4" x14ac:dyDescent="0.25">
      <c r="A1007" s="15">
        <f>Sheet2!A1007</f>
        <v>0</v>
      </c>
      <c r="B1007" s="8">
        <v>0.85</v>
      </c>
      <c r="C1007" s="9">
        <v>0</v>
      </c>
      <c r="D1007" s="13">
        <f t="shared" si="15"/>
        <v>0.85</v>
      </c>
    </row>
    <row r="1008" spans="1:4" x14ac:dyDescent="0.25">
      <c r="A1008" s="15">
        <f>Sheet2!A1008</f>
        <v>0</v>
      </c>
      <c r="B1008" s="8">
        <v>0.67</v>
      </c>
      <c r="C1008" s="9">
        <v>0</v>
      </c>
      <c r="D1008" s="13">
        <f t="shared" si="15"/>
        <v>0.67</v>
      </c>
    </row>
    <row r="1009" spans="1:4" x14ac:dyDescent="0.25">
      <c r="A1009" s="15">
        <f>Sheet2!A1009</f>
        <v>0</v>
      </c>
      <c r="B1009" s="8">
        <v>1.38</v>
      </c>
      <c r="C1009" s="9">
        <v>0</v>
      </c>
      <c r="D1009" s="13">
        <f t="shared" si="15"/>
        <v>1.38</v>
      </c>
    </row>
    <row r="1010" spans="1:4" x14ac:dyDescent="0.25">
      <c r="A1010" s="15">
        <f>Sheet2!A1010</f>
        <v>0</v>
      </c>
      <c r="B1010" s="8">
        <v>1.1000000000000001</v>
      </c>
      <c r="C1010" s="9">
        <v>0</v>
      </c>
      <c r="D1010" s="13">
        <f t="shared" si="15"/>
        <v>1.1000000000000001</v>
      </c>
    </row>
    <row r="1011" spans="1:4" x14ac:dyDescent="0.25">
      <c r="A1011" s="15">
        <f>Sheet2!A1011</f>
        <v>0</v>
      </c>
      <c r="B1011" s="8">
        <v>0.96</v>
      </c>
      <c r="C1011" s="9">
        <v>0</v>
      </c>
      <c r="D1011" s="13">
        <f t="shared" si="15"/>
        <v>0.96</v>
      </c>
    </row>
    <row r="1012" spans="1:4" x14ac:dyDescent="0.25">
      <c r="A1012" s="15">
        <f>Sheet2!A1012</f>
        <v>0</v>
      </c>
      <c r="B1012" s="8">
        <v>0.91</v>
      </c>
      <c r="C1012" s="9">
        <v>0</v>
      </c>
      <c r="D1012" s="13">
        <f t="shared" si="15"/>
        <v>0.91</v>
      </c>
    </row>
    <row r="1013" spans="1:4" x14ac:dyDescent="0.25">
      <c r="A1013" s="15">
        <f>Sheet2!A1013</f>
        <v>0</v>
      </c>
      <c r="B1013" s="8">
        <v>1.42</v>
      </c>
      <c r="C1013" s="9">
        <v>0</v>
      </c>
      <c r="D1013" s="13">
        <f t="shared" si="15"/>
        <v>1.42</v>
      </c>
    </row>
    <row r="1014" spans="1:4" x14ac:dyDescent="0.25">
      <c r="A1014" s="15">
        <f>Sheet2!A1014</f>
        <v>0</v>
      </c>
      <c r="B1014" s="8">
        <v>0</v>
      </c>
      <c r="C1014" s="9">
        <v>0.24</v>
      </c>
      <c r="D1014" s="13">
        <f t="shared" si="15"/>
        <v>0.24</v>
      </c>
    </row>
    <row r="1015" spans="1:4" x14ac:dyDescent="0.25">
      <c r="A1015" s="15">
        <f>Sheet2!A1015</f>
        <v>0</v>
      </c>
      <c r="B1015" s="8">
        <v>0</v>
      </c>
      <c r="C1015" s="9">
        <v>0.83</v>
      </c>
      <c r="D1015" s="13">
        <f t="shared" si="15"/>
        <v>0.83</v>
      </c>
    </row>
    <row r="1016" spans="1:4" x14ac:dyDescent="0.25">
      <c r="A1016" s="15">
        <f>Sheet2!A1016</f>
        <v>0</v>
      </c>
      <c r="B1016" s="8">
        <v>0</v>
      </c>
      <c r="C1016" s="9">
        <v>0.74</v>
      </c>
      <c r="D1016" s="13">
        <f t="shared" si="15"/>
        <v>0.74</v>
      </c>
    </row>
    <row r="1017" spans="1:4" x14ac:dyDescent="0.25">
      <c r="A1017" s="15">
        <f>Sheet2!A1017</f>
        <v>0</v>
      </c>
      <c r="B1017" s="8">
        <v>0</v>
      </c>
      <c r="C1017" s="9">
        <v>0.25</v>
      </c>
      <c r="D1017" s="13">
        <f t="shared" si="15"/>
        <v>0.25</v>
      </c>
    </row>
    <row r="1018" spans="1:4" x14ac:dyDescent="0.25">
      <c r="A1018" s="15">
        <f>Sheet2!A1018</f>
        <v>0</v>
      </c>
      <c r="B1018" s="8">
        <v>0.96</v>
      </c>
      <c r="C1018" s="9">
        <v>0</v>
      </c>
      <c r="D1018" s="13">
        <f t="shared" si="15"/>
        <v>0.96</v>
      </c>
    </row>
    <row r="1019" spans="1:4" x14ac:dyDescent="0.25">
      <c r="A1019" s="15">
        <f>Sheet2!A1019</f>
        <v>0</v>
      </c>
      <c r="B1019" s="8">
        <v>1.05</v>
      </c>
      <c r="C1019" s="9">
        <v>0</v>
      </c>
      <c r="D1019" s="13">
        <f t="shared" si="15"/>
        <v>1.05</v>
      </c>
    </row>
    <row r="1020" spans="1:4" x14ac:dyDescent="0.25">
      <c r="A1020" s="15">
        <f>Sheet2!A1020</f>
        <v>0</v>
      </c>
      <c r="B1020" s="8">
        <v>0.75</v>
      </c>
      <c r="C1020" s="9">
        <v>0</v>
      </c>
      <c r="D1020" s="13">
        <f t="shared" si="15"/>
        <v>0.75</v>
      </c>
    </row>
    <row r="1021" spans="1:4" x14ac:dyDescent="0.25">
      <c r="A1021" s="15">
        <f>Sheet2!A1021</f>
        <v>0</v>
      </c>
      <c r="B1021" s="8">
        <v>1.02</v>
      </c>
      <c r="C1021" s="9">
        <v>0</v>
      </c>
      <c r="D1021" s="13">
        <f t="shared" si="15"/>
        <v>1.02</v>
      </c>
    </row>
    <row r="1022" spans="1:4" x14ac:dyDescent="0.25">
      <c r="A1022" s="15">
        <f>Sheet2!A1022</f>
        <v>0</v>
      </c>
      <c r="B1022" s="8">
        <v>0</v>
      </c>
      <c r="C1022" s="9">
        <v>0.3</v>
      </c>
      <c r="D1022" s="13">
        <f t="shared" si="15"/>
        <v>0.3</v>
      </c>
    </row>
    <row r="1023" spans="1:4" x14ac:dyDescent="0.25">
      <c r="A1023" s="15">
        <f>Sheet2!A1023</f>
        <v>0</v>
      </c>
      <c r="B1023" s="8">
        <v>0</v>
      </c>
      <c r="C1023" s="9">
        <v>0.6</v>
      </c>
      <c r="D1023" s="13">
        <f t="shared" si="15"/>
        <v>0.6</v>
      </c>
    </row>
    <row r="1024" spans="1:4" x14ac:dyDescent="0.25">
      <c r="A1024" s="15">
        <f>Sheet2!A1024</f>
        <v>0</v>
      </c>
      <c r="B1024" s="8">
        <v>0</v>
      </c>
      <c r="C1024" s="9">
        <v>0.27</v>
      </c>
      <c r="D1024" s="13">
        <f t="shared" si="15"/>
        <v>0.27</v>
      </c>
    </row>
    <row r="1025" spans="1:4" x14ac:dyDescent="0.25">
      <c r="A1025" s="15">
        <f>Sheet2!A1025</f>
        <v>0</v>
      </c>
      <c r="B1025" s="8">
        <v>0.8</v>
      </c>
      <c r="C1025" s="9">
        <v>0</v>
      </c>
      <c r="D1025" s="13">
        <f t="shared" si="15"/>
        <v>0.8</v>
      </c>
    </row>
    <row r="1026" spans="1:4" x14ac:dyDescent="0.25">
      <c r="A1026" s="15">
        <f>Sheet2!A1026</f>
        <v>0</v>
      </c>
      <c r="B1026" s="8">
        <v>0</v>
      </c>
      <c r="C1026" s="9">
        <v>0.43</v>
      </c>
      <c r="D1026" s="13">
        <f t="shared" si="15"/>
        <v>0.43</v>
      </c>
    </row>
    <row r="1027" spans="1:4" x14ac:dyDescent="0.25">
      <c r="A1027" s="15">
        <f>Sheet2!A1027</f>
        <v>0</v>
      </c>
      <c r="B1027" s="8">
        <v>0</v>
      </c>
      <c r="C1027" s="9">
        <v>0.67</v>
      </c>
      <c r="D1027" s="13">
        <f t="shared" ref="D1027:D1090" si="16">B1027+C1027</f>
        <v>0.67</v>
      </c>
    </row>
    <row r="1028" spans="1:4" x14ac:dyDescent="0.25">
      <c r="A1028" s="15">
        <f>Sheet2!A1028</f>
        <v>0</v>
      </c>
      <c r="B1028" s="8">
        <v>0</v>
      </c>
      <c r="C1028" s="9">
        <v>0.28999999999999998</v>
      </c>
      <c r="D1028" s="13">
        <f t="shared" si="16"/>
        <v>0.28999999999999998</v>
      </c>
    </row>
    <row r="1029" spans="1:4" x14ac:dyDescent="0.25">
      <c r="A1029" s="15">
        <f>Sheet2!A1029</f>
        <v>0</v>
      </c>
      <c r="B1029" s="8">
        <v>0.65</v>
      </c>
      <c r="C1029" s="9">
        <v>0</v>
      </c>
      <c r="D1029" s="13">
        <f t="shared" si="16"/>
        <v>0.65</v>
      </c>
    </row>
    <row r="1030" spans="1:4" x14ac:dyDescent="0.25">
      <c r="A1030" s="15">
        <f>Sheet2!A1030</f>
        <v>0</v>
      </c>
      <c r="B1030" s="8">
        <v>0.82</v>
      </c>
      <c r="C1030" s="9">
        <v>0</v>
      </c>
      <c r="D1030" s="13">
        <f t="shared" si="16"/>
        <v>0.82</v>
      </c>
    </row>
    <row r="1031" spans="1:4" x14ac:dyDescent="0.25">
      <c r="A1031" s="15">
        <f>Sheet2!A1031</f>
        <v>0</v>
      </c>
      <c r="B1031" s="8">
        <v>0.96</v>
      </c>
      <c r="C1031" s="9">
        <v>0</v>
      </c>
      <c r="D1031" s="13">
        <f t="shared" si="16"/>
        <v>0.96</v>
      </c>
    </row>
    <row r="1032" spans="1:4" x14ac:dyDescent="0.25">
      <c r="A1032" s="15">
        <f>Sheet2!A1032</f>
        <v>0</v>
      </c>
      <c r="B1032" s="8">
        <v>0.87</v>
      </c>
      <c r="C1032" s="9">
        <v>0</v>
      </c>
      <c r="D1032" s="13">
        <f t="shared" si="16"/>
        <v>0.87</v>
      </c>
    </row>
    <row r="1033" spans="1:4" x14ac:dyDescent="0.25">
      <c r="A1033" s="15">
        <f>Sheet2!A1033</f>
        <v>0</v>
      </c>
      <c r="B1033" s="8">
        <v>1.02</v>
      </c>
      <c r="C1033" s="9">
        <v>0</v>
      </c>
      <c r="D1033" s="13">
        <f t="shared" si="16"/>
        <v>1.02</v>
      </c>
    </row>
    <row r="1034" spans="1:4" x14ac:dyDescent="0.25">
      <c r="A1034" s="15">
        <f>Sheet2!A1034</f>
        <v>0</v>
      </c>
      <c r="B1034" s="8">
        <v>0.94</v>
      </c>
      <c r="C1034" s="9">
        <v>0</v>
      </c>
      <c r="D1034" s="13">
        <f t="shared" si="16"/>
        <v>0.94</v>
      </c>
    </row>
    <row r="1035" spans="1:4" x14ac:dyDescent="0.25">
      <c r="A1035" s="15">
        <f>Sheet2!A1035</f>
        <v>0</v>
      </c>
      <c r="B1035" s="8">
        <v>1.1200000000000001</v>
      </c>
      <c r="C1035" s="9">
        <v>0</v>
      </c>
      <c r="D1035" s="13">
        <f t="shared" si="16"/>
        <v>1.1200000000000001</v>
      </c>
    </row>
    <row r="1036" spans="1:4" x14ac:dyDescent="0.25">
      <c r="A1036" s="15">
        <f>Sheet2!A1036</f>
        <v>0</v>
      </c>
      <c r="B1036" s="8">
        <v>0.9</v>
      </c>
      <c r="C1036" s="9">
        <v>0</v>
      </c>
      <c r="D1036" s="13">
        <f t="shared" si="16"/>
        <v>0.9</v>
      </c>
    </row>
    <row r="1037" spans="1:4" x14ac:dyDescent="0.25">
      <c r="A1037" s="15">
        <f>Sheet2!A1037</f>
        <v>0</v>
      </c>
      <c r="B1037" s="8">
        <v>1.31</v>
      </c>
      <c r="C1037" s="9">
        <v>0</v>
      </c>
      <c r="D1037" s="13">
        <f t="shared" si="16"/>
        <v>1.31</v>
      </c>
    </row>
    <row r="1038" spans="1:4" x14ac:dyDescent="0.25">
      <c r="A1038" s="15">
        <f>Sheet2!A1038</f>
        <v>0</v>
      </c>
      <c r="B1038" s="8">
        <v>1</v>
      </c>
      <c r="C1038" s="9">
        <v>0</v>
      </c>
      <c r="D1038" s="13">
        <f t="shared" si="16"/>
        <v>1</v>
      </c>
    </row>
    <row r="1039" spans="1:4" x14ac:dyDescent="0.25">
      <c r="A1039" s="15">
        <f>Sheet2!A1039</f>
        <v>0</v>
      </c>
      <c r="B1039" s="8">
        <v>0.78</v>
      </c>
      <c r="C1039" s="9">
        <v>0</v>
      </c>
      <c r="D1039" s="13">
        <f t="shared" si="16"/>
        <v>0.78</v>
      </c>
    </row>
    <row r="1040" spans="1:4" x14ac:dyDescent="0.25">
      <c r="A1040" s="15">
        <f>Sheet2!A1040</f>
        <v>0</v>
      </c>
      <c r="B1040" s="8">
        <v>1.24</v>
      </c>
      <c r="C1040" s="9">
        <v>0</v>
      </c>
      <c r="D1040" s="13">
        <f t="shared" si="16"/>
        <v>1.24</v>
      </c>
    </row>
    <row r="1041" spans="1:4" x14ac:dyDescent="0.25">
      <c r="A1041" s="15">
        <f>Sheet2!A1041</f>
        <v>0</v>
      </c>
      <c r="B1041" s="8">
        <v>1</v>
      </c>
      <c r="C1041" s="9">
        <v>0</v>
      </c>
      <c r="D1041" s="13">
        <f t="shared" si="16"/>
        <v>1</v>
      </c>
    </row>
    <row r="1042" spans="1:4" x14ac:dyDescent="0.25">
      <c r="A1042" s="15">
        <f>Sheet2!A1042</f>
        <v>0</v>
      </c>
      <c r="B1042" s="8">
        <v>1.19</v>
      </c>
      <c r="C1042" s="9">
        <v>0</v>
      </c>
      <c r="D1042" s="13">
        <f t="shared" si="16"/>
        <v>1.19</v>
      </c>
    </row>
    <row r="1043" spans="1:4" x14ac:dyDescent="0.25">
      <c r="A1043" s="15">
        <f>Sheet2!A1043</f>
        <v>0</v>
      </c>
      <c r="B1043" s="8">
        <v>0</v>
      </c>
      <c r="C1043" s="9">
        <v>0.69</v>
      </c>
      <c r="D1043" s="13">
        <f t="shared" si="16"/>
        <v>0.69</v>
      </c>
    </row>
    <row r="1044" spans="1:4" x14ac:dyDescent="0.25">
      <c r="A1044" s="15">
        <f>Sheet2!A1044</f>
        <v>0</v>
      </c>
      <c r="B1044" s="8">
        <v>0</v>
      </c>
      <c r="C1044" s="9">
        <v>0.33</v>
      </c>
      <c r="D1044" s="13">
        <f t="shared" si="16"/>
        <v>0.33</v>
      </c>
    </row>
    <row r="1045" spans="1:4" x14ac:dyDescent="0.25">
      <c r="A1045" s="15">
        <f>Sheet2!A1045</f>
        <v>0</v>
      </c>
      <c r="B1045" s="8">
        <v>1.42</v>
      </c>
      <c r="C1045" s="9">
        <v>0</v>
      </c>
      <c r="D1045" s="13">
        <f t="shared" si="16"/>
        <v>1.42</v>
      </c>
    </row>
    <row r="1046" spans="1:4" x14ac:dyDescent="0.25">
      <c r="A1046" s="15">
        <f>Sheet2!A1046</f>
        <v>0</v>
      </c>
      <c r="B1046" s="8">
        <v>3.48</v>
      </c>
      <c r="C1046" s="9">
        <v>0</v>
      </c>
      <c r="D1046" s="13">
        <f t="shared" si="16"/>
        <v>3.48</v>
      </c>
    </row>
    <row r="1047" spans="1:4" x14ac:dyDescent="0.25">
      <c r="A1047" s="15">
        <f>Sheet2!A1047</f>
        <v>0</v>
      </c>
      <c r="B1047" s="8">
        <v>1.98</v>
      </c>
      <c r="C1047" s="9">
        <v>0</v>
      </c>
      <c r="D1047" s="13">
        <f t="shared" si="16"/>
        <v>1.98</v>
      </c>
    </row>
    <row r="1048" spans="1:4" x14ac:dyDescent="0.25">
      <c r="A1048" s="15">
        <f>Sheet2!A1048</f>
        <v>0</v>
      </c>
      <c r="B1048" s="8">
        <v>0.93</v>
      </c>
      <c r="C1048" s="9">
        <v>0</v>
      </c>
      <c r="D1048" s="13">
        <f t="shared" si="16"/>
        <v>0.93</v>
      </c>
    </row>
    <row r="1049" spans="1:4" x14ac:dyDescent="0.25">
      <c r="A1049" s="15">
        <f>Sheet2!A1049</f>
        <v>0</v>
      </c>
      <c r="B1049" s="8">
        <v>0.84</v>
      </c>
      <c r="C1049" s="9">
        <v>0</v>
      </c>
      <c r="D1049" s="13">
        <f t="shared" si="16"/>
        <v>0.84</v>
      </c>
    </row>
    <row r="1050" spans="1:4" x14ac:dyDescent="0.25">
      <c r="A1050" s="15">
        <f>Sheet2!A1050</f>
        <v>0</v>
      </c>
      <c r="B1050" s="8">
        <v>1.4</v>
      </c>
      <c r="C1050" s="9">
        <v>0</v>
      </c>
      <c r="D1050" s="13">
        <f t="shared" si="16"/>
        <v>1.4</v>
      </c>
    </row>
    <row r="1051" spans="1:4" x14ac:dyDescent="0.25">
      <c r="A1051" s="15">
        <f>Sheet2!A1051</f>
        <v>0</v>
      </c>
      <c r="B1051" s="8">
        <v>1.2</v>
      </c>
      <c r="C1051" s="9">
        <v>0</v>
      </c>
      <c r="D1051" s="13">
        <f t="shared" si="16"/>
        <v>1.2</v>
      </c>
    </row>
    <row r="1052" spans="1:4" x14ac:dyDescent="0.25">
      <c r="A1052" s="15">
        <f>Sheet2!A1052</f>
        <v>0</v>
      </c>
      <c r="B1052" s="8">
        <v>1.03</v>
      </c>
      <c r="C1052" s="9">
        <v>0</v>
      </c>
      <c r="D1052" s="13">
        <f t="shared" si="16"/>
        <v>1.03</v>
      </c>
    </row>
    <row r="1053" spans="1:4" x14ac:dyDescent="0.25">
      <c r="A1053" s="15">
        <f>Sheet2!A1053</f>
        <v>0</v>
      </c>
      <c r="B1053" s="8">
        <v>0.68</v>
      </c>
      <c r="C1053" s="9">
        <v>0</v>
      </c>
      <c r="D1053" s="13">
        <f t="shared" si="16"/>
        <v>0.68</v>
      </c>
    </row>
    <row r="1054" spans="1:4" x14ac:dyDescent="0.25">
      <c r="A1054" s="15">
        <f>Sheet2!A1054</f>
        <v>0</v>
      </c>
      <c r="B1054" s="8">
        <v>0.97</v>
      </c>
      <c r="C1054" s="9">
        <v>0</v>
      </c>
      <c r="D1054" s="13">
        <f t="shared" si="16"/>
        <v>0.97</v>
      </c>
    </row>
    <row r="1055" spans="1:4" x14ac:dyDescent="0.25">
      <c r="A1055" s="15">
        <f>Sheet2!A1055</f>
        <v>0</v>
      </c>
      <c r="B1055" s="8">
        <v>0.78</v>
      </c>
      <c r="C1055" s="9">
        <v>0</v>
      </c>
      <c r="D1055" s="13">
        <f t="shared" si="16"/>
        <v>0.78</v>
      </c>
    </row>
    <row r="1056" spans="1:4" x14ac:dyDescent="0.25">
      <c r="A1056" s="15">
        <f>Sheet2!A1056</f>
        <v>0</v>
      </c>
      <c r="B1056" s="8">
        <v>0.97</v>
      </c>
      <c r="C1056" s="9">
        <v>0</v>
      </c>
      <c r="D1056" s="13">
        <f t="shared" si="16"/>
        <v>0.97</v>
      </c>
    </row>
    <row r="1057" spans="1:4" x14ac:dyDescent="0.25">
      <c r="A1057" s="15">
        <f>Sheet2!A1057</f>
        <v>0</v>
      </c>
      <c r="B1057" s="8">
        <v>1.1000000000000001</v>
      </c>
      <c r="C1057" s="9">
        <v>0</v>
      </c>
      <c r="D1057" s="13">
        <f t="shared" si="16"/>
        <v>1.1000000000000001</v>
      </c>
    </row>
    <row r="1058" spans="1:4" x14ac:dyDescent="0.25">
      <c r="A1058" s="15">
        <f>Sheet2!A1058</f>
        <v>0</v>
      </c>
      <c r="B1058" s="8">
        <v>1.17</v>
      </c>
      <c r="C1058" s="9">
        <v>0</v>
      </c>
      <c r="D1058" s="13">
        <f t="shared" si="16"/>
        <v>1.17</v>
      </c>
    </row>
    <row r="1059" spans="1:4" x14ac:dyDescent="0.25">
      <c r="A1059" s="15">
        <f>Sheet2!A1059</f>
        <v>0</v>
      </c>
      <c r="B1059" s="8">
        <v>1.1000000000000001</v>
      </c>
      <c r="C1059" s="9">
        <v>0</v>
      </c>
      <c r="D1059" s="13">
        <f t="shared" si="16"/>
        <v>1.1000000000000001</v>
      </c>
    </row>
    <row r="1060" spans="1:4" x14ac:dyDescent="0.25">
      <c r="A1060" s="15">
        <f>Sheet2!A1060</f>
        <v>0</v>
      </c>
      <c r="B1060" s="8">
        <v>1.1299999999999999</v>
      </c>
      <c r="C1060" s="9">
        <v>0</v>
      </c>
      <c r="D1060" s="13">
        <f t="shared" si="16"/>
        <v>1.1299999999999999</v>
      </c>
    </row>
    <row r="1061" spans="1:4" x14ac:dyDescent="0.25">
      <c r="A1061" s="15">
        <f>Sheet2!A1061</f>
        <v>0</v>
      </c>
      <c r="B1061" s="8">
        <v>1.54</v>
      </c>
      <c r="C1061" s="9">
        <v>0</v>
      </c>
      <c r="D1061" s="13">
        <f t="shared" si="16"/>
        <v>1.54</v>
      </c>
    </row>
    <row r="1062" spans="1:4" x14ac:dyDescent="0.25">
      <c r="A1062" s="15">
        <f>Sheet2!A1062</f>
        <v>0</v>
      </c>
      <c r="B1062" s="8">
        <v>1.35</v>
      </c>
      <c r="C1062" s="9">
        <v>0</v>
      </c>
      <c r="D1062" s="13">
        <f t="shared" si="16"/>
        <v>1.35</v>
      </c>
    </row>
    <row r="1063" spans="1:4" x14ac:dyDescent="0.25">
      <c r="A1063" s="15">
        <f>Sheet2!A1063</f>
        <v>0</v>
      </c>
      <c r="B1063" s="8">
        <v>1.22</v>
      </c>
      <c r="C1063" s="9">
        <v>0</v>
      </c>
      <c r="D1063" s="13">
        <f t="shared" si="16"/>
        <v>1.22</v>
      </c>
    </row>
    <row r="1064" spans="1:4" x14ac:dyDescent="0.25">
      <c r="A1064" s="15">
        <f>Sheet2!A1064</f>
        <v>0</v>
      </c>
      <c r="B1064" s="8">
        <v>1.37</v>
      </c>
      <c r="C1064" s="9">
        <v>0</v>
      </c>
      <c r="D1064" s="13">
        <f t="shared" si="16"/>
        <v>1.37</v>
      </c>
    </row>
    <row r="1065" spans="1:4" x14ac:dyDescent="0.25">
      <c r="A1065" s="15">
        <f>Sheet2!A1065</f>
        <v>0</v>
      </c>
      <c r="B1065" s="8">
        <v>1.05</v>
      </c>
      <c r="C1065" s="9">
        <v>0</v>
      </c>
      <c r="D1065" s="13">
        <f t="shared" si="16"/>
        <v>1.05</v>
      </c>
    </row>
    <row r="1066" spans="1:4" x14ac:dyDescent="0.25">
      <c r="A1066" s="15">
        <f>Sheet2!A1066</f>
        <v>0</v>
      </c>
      <c r="B1066" s="8">
        <v>0</v>
      </c>
      <c r="C1066" s="9">
        <v>0.72</v>
      </c>
      <c r="D1066" s="13">
        <f t="shared" si="16"/>
        <v>0.72</v>
      </c>
    </row>
    <row r="1067" spans="1:4" x14ac:dyDescent="0.25">
      <c r="A1067" s="15">
        <f>Sheet2!A1067</f>
        <v>0</v>
      </c>
      <c r="B1067" s="8">
        <v>0</v>
      </c>
      <c r="C1067" s="9">
        <v>1.34</v>
      </c>
      <c r="D1067" s="13">
        <f t="shared" si="16"/>
        <v>1.34</v>
      </c>
    </row>
    <row r="1068" spans="1:4" x14ac:dyDescent="0.25">
      <c r="A1068" s="15">
        <f>Sheet2!A1068</f>
        <v>0</v>
      </c>
      <c r="B1068" s="8">
        <v>1.92</v>
      </c>
      <c r="C1068" s="9">
        <v>0</v>
      </c>
      <c r="D1068" s="13">
        <f t="shared" si="16"/>
        <v>1.92</v>
      </c>
    </row>
    <row r="1069" spans="1:4" x14ac:dyDescent="0.25">
      <c r="A1069" s="15">
        <f>Sheet2!A1069</f>
        <v>0</v>
      </c>
      <c r="B1069" s="8">
        <v>1.02</v>
      </c>
      <c r="C1069" s="9">
        <v>0</v>
      </c>
      <c r="D1069" s="13">
        <f t="shared" si="16"/>
        <v>1.02</v>
      </c>
    </row>
    <row r="1070" spans="1:4" x14ac:dyDescent="0.25">
      <c r="A1070" s="15">
        <f>Sheet2!A1070</f>
        <v>0</v>
      </c>
      <c r="B1070" s="8">
        <v>0</v>
      </c>
      <c r="C1070" s="9">
        <v>0.21</v>
      </c>
      <c r="D1070" s="13">
        <f t="shared" si="16"/>
        <v>0.21</v>
      </c>
    </row>
    <row r="1071" spans="1:4" x14ac:dyDescent="0.25">
      <c r="A1071" s="15">
        <f>Sheet2!A1071</f>
        <v>0</v>
      </c>
      <c r="B1071" s="8">
        <v>0</v>
      </c>
      <c r="C1071" s="9">
        <v>0.46</v>
      </c>
      <c r="D1071" s="13">
        <f t="shared" si="16"/>
        <v>0.46</v>
      </c>
    </row>
    <row r="1072" spans="1:4" x14ac:dyDescent="0.25">
      <c r="A1072" s="15">
        <f>Sheet2!A1072</f>
        <v>0</v>
      </c>
      <c r="B1072" s="8">
        <v>0</v>
      </c>
      <c r="C1072" s="9">
        <v>0.33</v>
      </c>
      <c r="D1072" s="13">
        <f t="shared" si="16"/>
        <v>0.33</v>
      </c>
    </row>
    <row r="1073" spans="1:4" x14ac:dyDescent="0.25">
      <c r="A1073" s="15">
        <f>Sheet2!A1073</f>
        <v>0</v>
      </c>
      <c r="B1073" s="8">
        <v>1.01</v>
      </c>
      <c r="C1073" s="9">
        <v>0</v>
      </c>
      <c r="D1073" s="13">
        <f t="shared" si="16"/>
        <v>1.01</v>
      </c>
    </row>
    <row r="1074" spans="1:4" x14ac:dyDescent="0.25">
      <c r="A1074" s="15">
        <f>Sheet2!A1074</f>
        <v>0</v>
      </c>
      <c r="B1074" s="8">
        <v>0</v>
      </c>
      <c r="C1074" s="9">
        <v>0.59</v>
      </c>
      <c r="D1074" s="13">
        <f t="shared" si="16"/>
        <v>0.59</v>
      </c>
    </row>
    <row r="1075" spans="1:4" x14ac:dyDescent="0.25">
      <c r="A1075" s="15">
        <f>Sheet2!A1075</f>
        <v>0</v>
      </c>
      <c r="B1075" s="8">
        <v>0</v>
      </c>
      <c r="C1075" s="9">
        <v>0.97</v>
      </c>
      <c r="D1075" s="13">
        <f t="shared" si="16"/>
        <v>0.97</v>
      </c>
    </row>
    <row r="1076" spans="1:4" x14ac:dyDescent="0.25">
      <c r="A1076" s="15">
        <f>Sheet2!A1076</f>
        <v>0</v>
      </c>
      <c r="B1076" s="8">
        <v>0</v>
      </c>
      <c r="C1076" s="9">
        <v>0.87</v>
      </c>
      <c r="D1076" s="13">
        <f t="shared" si="16"/>
        <v>0.87</v>
      </c>
    </row>
    <row r="1077" spans="1:4" x14ac:dyDescent="0.25">
      <c r="A1077" s="15">
        <f>Sheet2!A1077</f>
        <v>0</v>
      </c>
      <c r="B1077" s="8">
        <v>0</v>
      </c>
      <c r="C1077" s="9">
        <v>1.1000000000000001</v>
      </c>
      <c r="D1077" s="13">
        <f t="shared" si="16"/>
        <v>1.1000000000000001</v>
      </c>
    </row>
    <row r="1078" spans="1:4" x14ac:dyDescent="0.25">
      <c r="A1078" s="15">
        <f>Sheet2!A1078</f>
        <v>0</v>
      </c>
      <c r="B1078" s="8">
        <v>1.06</v>
      </c>
      <c r="C1078" s="9">
        <v>0</v>
      </c>
      <c r="D1078" s="13">
        <f t="shared" si="16"/>
        <v>1.06</v>
      </c>
    </row>
    <row r="1079" spans="1:4" x14ac:dyDescent="0.25">
      <c r="A1079" s="15">
        <f>Sheet2!A1079</f>
        <v>0</v>
      </c>
      <c r="B1079" s="8">
        <v>0.53</v>
      </c>
      <c r="C1079" s="9">
        <v>0</v>
      </c>
      <c r="D1079" s="13">
        <f t="shared" si="16"/>
        <v>0.53</v>
      </c>
    </row>
    <row r="1080" spans="1:4" x14ac:dyDescent="0.25">
      <c r="A1080" s="15">
        <f>Sheet2!A1080</f>
        <v>0</v>
      </c>
      <c r="B1080" s="8">
        <v>0.69</v>
      </c>
      <c r="C1080" s="9">
        <v>0</v>
      </c>
      <c r="D1080" s="13">
        <f t="shared" si="16"/>
        <v>0.69</v>
      </c>
    </row>
    <row r="1081" spans="1:4" x14ac:dyDescent="0.25">
      <c r="A1081" s="15">
        <f>Sheet2!A1081</f>
        <v>0</v>
      </c>
      <c r="B1081" s="8">
        <v>1.41</v>
      </c>
      <c r="C1081" s="9">
        <v>0</v>
      </c>
      <c r="D1081" s="13">
        <f t="shared" si="16"/>
        <v>1.41</v>
      </c>
    </row>
    <row r="1082" spans="1:4" x14ac:dyDescent="0.25">
      <c r="A1082" s="15">
        <f>Sheet2!A1082</f>
        <v>0</v>
      </c>
      <c r="B1082" s="8">
        <v>1.29</v>
      </c>
      <c r="C1082" s="9">
        <v>0</v>
      </c>
      <c r="D1082" s="13">
        <f t="shared" si="16"/>
        <v>1.29</v>
      </c>
    </row>
    <row r="1083" spans="1:4" x14ac:dyDescent="0.25">
      <c r="A1083" s="15">
        <f>Sheet2!A1083</f>
        <v>0</v>
      </c>
      <c r="B1083" s="8">
        <v>1.45</v>
      </c>
      <c r="C1083" s="9">
        <v>0</v>
      </c>
      <c r="D1083" s="13">
        <f t="shared" si="16"/>
        <v>1.45</v>
      </c>
    </row>
    <row r="1084" spans="1:4" x14ac:dyDescent="0.25">
      <c r="A1084" s="15">
        <f>Sheet2!A1084</f>
        <v>0</v>
      </c>
      <c r="B1084" s="8">
        <v>1.17</v>
      </c>
      <c r="C1084" s="9">
        <v>0</v>
      </c>
      <c r="D1084" s="13">
        <f t="shared" si="16"/>
        <v>1.17</v>
      </c>
    </row>
    <row r="1085" spans="1:4" x14ac:dyDescent="0.25">
      <c r="A1085" s="15">
        <f>Sheet2!A1085</f>
        <v>0</v>
      </c>
      <c r="B1085" s="8">
        <v>0</v>
      </c>
      <c r="C1085" s="9">
        <v>0.5</v>
      </c>
      <c r="D1085" s="13">
        <f t="shared" si="16"/>
        <v>0.5</v>
      </c>
    </row>
    <row r="1086" spans="1:4" x14ac:dyDescent="0.25">
      <c r="A1086" s="15">
        <f>Sheet2!A1086</f>
        <v>0</v>
      </c>
      <c r="B1086" s="8">
        <v>0</v>
      </c>
      <c r="C1086" s="9">
        <v>0.31</v>
      </c>
      <c r="D1086" s="13">
        <f t="shared" si="16"/>
        <v>0.31</v>
      </c>
    </row>
    <row r="1087" spans="1:4" x14ac:dyDescent="0.25">
      <c r="A1087" s="15">
        <f>Sheet2!A1087</f>
        <v>0</v>
      </c>
      <c r="B1087" s="8">
        <v>1.1399999999999999</v>
      </c>
      <c r="C1087" s="9">
        <v>0</v>
      </c>
      <c r="D1087" s="13">
        <f t="shared" si="16"/>
        <v>1.1399999999999999</v>
      </c>
    </row>
    <row r="1088" spans="1:4" x14ac:dyDescent="0.25">
      <c r="A1088" s="15">
        <f>Sheet2!A1088</f>
        <v>0</v>
      </c>
      <c r="B1088" s="8">
        <v>1.32</v>
      </c>
      <c r="C1088" s="9">
        <v>0</v>
      </c>
      <c r="D1088" s="13">
        <f t="shared" si="16"/>
        <v>1.32</v>
      </c>
    </row>
    <row r="1089" spans="1:4" x14ac:dyDescent="0.25">
      <c r="A1089" s="15">
        <f>Sheet2!A1089</f>
        <v>0</v>
      </c>
      <c r="B1089" s="8">
        <v>0.95</v>
      </c>
      <c r="C1089" s="9">
        <v>0</v>
      </c>
      <c r="D1089" s="13">
        <f t="shared" si="16"/>
        <v>0.95</v>
      </c>
    </row>
    <row r="1090" spans="1:4" x14ac:dyDescent="0.25">
      <c r="A1090" s="15">
        <f>Sheet2!A1090</f>
        <v>0</v>
      </c>
      <c r="B1090" s="8">
        <v>0</v>
      </c>
      <c r="C1090" s="9">
        <v>0.56999999999999995</v>
      </c>
      <c r="D1090" s="13">
        <f t="shared" si="16"/>
        <v>0.56999999999999995</v>
      </c>
    </row>
    <row r="1091" spans="1:4" x14ac:dyDescent="0.25">
      <c r="A1091" s="15">
        <f>Sheet2!A1091</f>
        <v>0</v>
      </c>
      <c r="B1091" s="8">
        <v>0</v>
      </c>
      <c r="C1091" s="9">
        <v>0.85</v>
      </c>
      <c r="D1091" s="13">
        <f t="shared" ref="D1091:D1154" si="17">B1091+C1091</f>
        <v>0.85</v>
      </c>
    </row>
    <row r="1092" spans="1:4" x14ac:dyDescent="0.25">
      <c r="A1092" s="15">
        <f>Sheet2!A1092</f>
        <v>0</v>
      </c>
      <c r="B1092" s="8">
        <v>0.99</v>
      </c>
      <c r="C1092" s="9">
        <v>0</v>
      </c>
      <c r="D1092" s="13">
        <f t="shared" si="17"/>
        <v>0.99</v>
      </c>
    </row>
    <row r="1093" spans="1:4" x14ac:dyDescent="0.25">
      <c r="A1093" s="15">
        <f>Sheet2!A1093</f>
        <v>0</v>
      </c>
      <c r="B1093" s="8">
        <v>0.78</v>
      </c>
      <c r="C1093" s="9">
        <v>0</v>
      </c>
      <c r="D1093" s="13">
        <f t="shared" si="17"/>
        <v>0.78</v>
      </c>
    </row>
    <row r="1094" spans="1:4" x14ac:dyDescent="0.25">
      <c r="A1094" s="15">
        <f>Sheet2!A1094</f>
        <v>0</v>
      </c>
      <c r="B1094" s="8">
        <v>0.22</v>
      </c>
      <c r="C1094" s="9">
        <v>0</v>
      </c>
      <c r="D1094" s="13">
        <f t="shared" si="17"/>
        <v>0.22</v>
      </c>
    </row>
    <row r="1095" spans="1:4" x14ac:dyDescent="0.25">
      <c r="A1095" s="15">
        <f>Sheet2!A1095</f>
        <v>0</v>
      </c>
      <c r="B1095" s="8">
        <v>0</v>
      </c>
      <c r="C1095" s="9">
        <v>0.22</v>
      </c>
      <c r="D1095" s="13">
        <f t="shared" si="17"/>
        <v>0.22</v>
      </c>
    </row>
    <row r="1096" spans="1:4" x14ac:dyDescent="0.25">
      <c r="A1096" s="15">
        <f>Sheet2!A1096</f>
        <v>0</v>
      </c>
      <c r="B1096" s="8">
        <v>0</v>
      </c>
      <c r="C1096" s="9">
        <v>0.42</v>
      </c>
      <c r="D1096" s="13">
        <f t="shared" si="17"/>
        <v>0.42</v>
      </c>
    </row>
    <row r="1097" spans="1:4" x14ac:dyDescent="0.25">
      <c r="A1097" s="15">
        <f>Sheet2!A1097</f>
        <v>0</v>
      </c>
      <c r="B1097" s="8">
        <v>0</v>
      </c>
      <c r="C1097" s="9">
        <v>0.44</v>
      </c>
      <c r="D1097" s="13">
        <f t="shared" si="17"/>
        <v>0.44</v>
      </c>
    </row>
    <row r="1098" spans="1:4" x14ac:dyDescent="0.25">
      <c r="A1098" s="15">
        <f>Sheet2!A1098</f>
        <v>0</v>
      </c>
      <c r="B1098" s="8">
        <v>0.77</v>
      </c>
      <c r="C1098" s="9">
        <v>0</v>
      </c>
      <c r="D1098" s="13">
        <f t="shared" si="17"/>
        <v>0.77</v>
      </c>
    </row>
    <row r="1099" spans="1:4" x14ac:dyDescent="0.25">
      <c r="A1099" s="15">
        <f>Sheet2!A1099</f>
        <v>0</v>
      </c>
      <c r="B1099" s="8">
        <v>1.36</v>
      </c>
      <c r="C1099" s="9">
        <v>0</v>
      </c>
      <c r="D1099" s="13">
        <f t="shared" si="17"/>
        <v>1.36</v>
      </c>
    </row>
    <row r="1100" spans="1:4" x14ac:dyDescent="0.25">
      <c r="A1100" s="15">
        <f>Sheet2!A1100</f>
        <v>0</v>
      </c>
      <c r="B1100" s="8">
        <v>0</v>
      </c>
      <c r="C1100" s="9">
        <v>0.6</v>
      </c>
      <c r="D1100" s="13">
        <f t="shared" si="17"/>
        <v>0.6</v>
      </c>
    </row>
    <row r="1101" spans="1:4" x14ac:dyDescent="0.25">
      <c r="A1101" s="15">
        <f>Sheet2!A1101</f>
        <v>0</v>
      </c>
      <c r="B1101" s="8">
        <v>0</v>
      </c>
      <c r="C1101" s="9">
        <v>1.03</v>
      </c>
      <c r="D1101" s="13">
        <f t="shared" si="17"/>
        <v>1.03</v>
      </c>
    </row>
    <row r="1102" spans="1:4" x14ac:dyDescent="0.25">
      <c r="A1102" s="15">
        <f>Sheet2!A1102</f>
        <v>0</v>
      </c>
      <c r="B1102" s="8">
        <v>0</v>
      </c>
      <c r="C1102" s="9">
        <v>0.53</v>
      </c>
      <c r="D1102" s="13">
        <f t="shared" si="17"/>
        <v>0.53</v>
      </c>
    </row>
    <row r="1103" spans="1:4" x14ac:dyDescent="0.25">
      <c r="A1103" s="15">
        <f>Sheet2!A1103</f>
        <v>0</v>
      </c>
      <c r="B1103" s="8">
        <v>0.92</v>
      </c>
      <c r="C1103" s="9">
        <v>0</v>
      </c>
      <c r="D1103" s="13">
        <f t="shared" si="17"/>
        <v>0.92</v>
      </c>
    </row>
    <row r="1104" spans="1:4" x14ac:dyDescent="0.25">
      <c r="A1104" s="15">
        <f>Sheet2!A1104</f>
        <v>0</v>
      </c>
      <c r="B1104" s="8">
        <v>1.43</v>
      </c>
      <c r="C1104" s="9">
        <v>0</v>
      </c>
      <c r="D1104" s="13">
        <f t="shared" si="17"/>
        <v>1.43</v>
      </c>
    </row>
    <row r="1105" spans="1:4" x14ac:dyDescent="0.25">
      <c r="A1105" s="15">
        <f>Sheet2!A1105</f>
        <v>0</v>
      </c>
      <c r="B1105" s="8">
        <v>1.24</v>
      </c>
      <c r="C1105" s="9">
        <v>0</v>
      </c>
      <c r="D1105" s="13">
        <f t="shared" si="17"/>
        <v>1.24</v>
      </c>
    </row>
    <row r="1106" spans="1:4" x14ac:dyDescent="0.25">
      <c r="A1106" s="15">
        <f>Sheet2!A1106</f>
        <v>0</v>
      </c>
      <c r="B1106" s="8">
        <v>1.51</v>
      </c>
      <c r="C1106" s="9">
        <v>0</v>
      </c>
      <c r="D1106" s="13">
        <f t="shared" si="17"/>
        <v>1.51</v>
      </c>
    </row>
    <row r="1107" spans="1:4" x14ac:dyDescent="0.25">
      <c r="A1107" s="15">
        <f>Sheet2!A1107</f>
        <v>0</v>
      </c>
      <c r="B1107" s="8">
        <v>1.24</v>
      </c>
      <c r="C1107" s="9">
        <v>0</v>
      </c>
      <c r="D1107" s="13">
        <f t="shared" si="17"/>
        <v>1.24</v>
      </c>
    </row>
    <row r="1108" spans="1:4" x14ac:dyDescent="0.25">
      <c r="A1108" s="15">
        <f>Sheet2!A1108</f>
        <v>0</v>
      </c>
      <c r="B1108" s="8">
        <v>1.35</v>
      </c>
      <c r="C1108" s="9">
        <v>0</v>
      </c>
      <c r="D1108" s="13">
        <f t="shared" si="17"/>
        <v>1.35</v>
      </c>
    </row>
    <row r="1109" spans="1:4" x14ac:dyDescent="0.25">
      <c r="A1109" s="15">
        <f>Sheet2!A1109</f>
        <v>0</v>
      </c>
      <c r="B1109" s="8">
        <v>1.49</v>
      </c>
      <c r="C1109" s="9">
        <v>0</v>
      </c>
      <c r="D1109" s="13">
        <f t="shared" si="17"/>
        <v>1.49</v>
      </c>
    </row>
    <row r="1110" spans="1:4" x14ac:dyDescent="0.25">
      <c r="A1110" s="15">
        <f>Sheet2!A1110</f>
        <v>0</v>
      </c>
      <c r="B1110" s="8">
        <v>1.5</v>
      </c>
      <c r="C1110" s="9">
        <v>0</v>
      </c>
      <c r="D1110" s="13">
        <f t="shared" si="17"/>
        <v>1.5</v>
      </c>
    </row>
    <row r="1111" spans="1:4" x14ac:dyDescent="0.25">
      <c r="A1111" s="15">
        <f>Sheet2!A1111</f>
        <v>0</v>
      </c>
      <c r="B1111" s="8">
        <v>1.23</v>
      </c>
      <c r="C1111" s="9">
        <v>0</v>
      </c>
      <c r="D1111" s="13">
        <f t="shared" si="17"/>
        <v>1.23</v>
      </c>
    </row>
    <row r="1112" spans="1:4" x14ac:dyDescent="0.25">
      <c r="A1112" s="15">
        <f>Sheet2!A1112</f>
        <v>0</v>
      </c>
      <c r="B1112" s="8">
        <v>1.06</v>
      </c>
      <c r="C1112" s="9">
        <v>0</v>
      </c>
      <c r="D1112" s="13">
        <f t="shared" si="17"/>
        <v>1.06</v>
      </c>
    </row>
    <row r="1113" spans="1:4" x14ac:dyDescent="0.25">
      <c r="A1113" s="15">
        <f>Sheet2!A1113</f>
        <v>0</v>
      </c>
      <c r="B1113" s="8">
        <v>0.89</v>
      </c>
      <c r="C1113" s="9">
        <v>0</v>
      </c>
      <c r="D1113" s="13">
        <f t="shared" si="17"/>
        <v>0.89</v>
      </c>
    </row>
    <row r="1114" spans="1:4" x14ac:dyDescent="0.25">
      <c r="A1114" s="15">
        <f>Sheet2!A1114</f>
        <v>0</v>
      </c>
      <c r="B1114" s="8">
        <v>1.36</v>
      </c>
      <c r="C1114" s="9">
        <v>0</v>
      </c>
      <c r="D1114" s="13">
        <f t="shared" si="17"/>
        <v>1.36</v>
      </c>
    </row>
    <row r="1115" spans="1:4" x14ac:dyDescent="0.25">
      <c r="A1115" s="15">
        <f>Sheet2!A1115</f>
        <v>0</v>
      </c>
      <c r="B1115" s="8">
        <v>1.78</v>
      </c>
      <c r="C1115" s="9">
        <v>0</v>
      </c>
      <c r="D1115" s="13">
        <f t="shared" si="17"/>
        <v>1.78</v>
      </c>
    </row>
    <row r="1116" spans="1:4" x14ac:dyDescent="0.25">
      <c r="A1116" s="15">
        <f>Sheet2!A1116</f>
        <v>0</v>
      </c>
      <c r="B1116" s="8">
        <v>0.76</v>
      </c>
      <c r="C1116" s="9">
        <v>0</v>
      </c>
      <c r="D1116" s="13">
        <f t="shared" si="17"/>
        <v>0.76</v>
      </c>
    </row>
    <row r="1117" spans="1:4" x14ac:dyDescent="0.25">
      <c r="A1117" s="15">
        <f>Sheet2!A1117</f>
        <v>0</v>
      </c>
      <c r="B1117" s="8">
        <v>0.65</v>
      </c>
      <c r="C1117" s="9">
        <v>0</v>
      </c>
      <c r="D1117" s="13">
        <f t="shared" si="17"/>
        <v>0.65</v>
      </c>
    </row>
    <row r="1118" spans="1:4" x14ac:dyDescent="0.25">
      <c r="A1118" s="15">
        <f>Sheet2!A1118</f>
        <v>0</v>
      </c>
      <c r="B1118" s="8">
        <v>0.7</v>
      </c>
      <c r="C1118" s="9">
        <v>0</v>
      </c>
      <c r="D1118" s="13">
        <f t="shared" si="17"/>
        <v>0.7</v>
      </c>
    </row>
    <row r="1119" spans="1:4" x14ac:dyDescent="0.25">
      <c r="A1119" s="15">
        <f>Sheet2!A1119</f>
        <v>0</v>
      </c>
      <c r="B1119" s="8">
        <v>0.5</v>
      </c>
      <c r="C1119" s="9">
        <v>0</v>
      </c>
      <c r="D1119" s="13">
        <f t="shared" si="17"/>
        <v>0.5</v>
      </c>
    </row>
    <row r="1120" spans="1:4" x14ac:dyDescent="0.25">
      <c r="A1120" s="15">
        <f>Sheet2!A1120</f>
        <v>0</v>
      </c>
      <c r="B1120" s="8">
        <v>1.44</v>
      </c>
      <c r="C1120" s="9">
        <v>0</v>
      </c>
      <c r="D1120" s="13">
        <f t="shared" si="17"/>
        <v>1.44</v>
      </c>
    </row>
    <row r="1121" spans="1:4" x14ac:dyDescent="0.25">
      <c r="A1121" s="15">
        <f>Sheet2!A1121</f>
        <v>0</v>
      </c>
      <c r="B1121" s="8">
        <v>1.17</v>
      </c>
      <c r="C1121" s="9">
        <v>0</v>
      </c>
      <c r="D1121" s="13">
        <f t="shared" si="17"/>
        <v>1.17</v>
      </c>
    </row>
    <row r="1122" spans="1:4" x14ac:dyDescent="0.25">
      <c r="A1122" s="15">
        <f>Sheet2!A1122</f>
        <v>0</v>
      </c>
      <c r="B1122" s="8">
        <v>1.81</v>
      </c>
      <c r="C1122" s="9">
        <v>0</v>
      </c>
      <c r="D1122" s="13">
        <f t="shared" si="17"/>
        <v>1.81</v>
      </c>
    </row>
    <row r="1123" spans="1:4" x14ac:dyDescent="0.25">
      <c r="A1123" s="15">
        <f>Sheet2!A1123</f>
        <v>0</v>
      </c>
      <c r="B1123" s="8">
        <v>0.99</v>
      </c>
      <c r="C1123" s="9">
        <v>0</v>
      </c>
      <c r="D1123" s="13">
        <f t="shared" si="17"/>
        <v>0.99</v>
      </c>
    </row>
    <row r="1124" spans="1:4" x14ac:dyDescent="0.25">
      <c r="A1124" s="15">
        <f>Sheet2!A1124</f>
        <v>0</v>
      </c>
      <c r="B1124" s="8">
        <v>0</v>
      </c>
      <c r="C1124" s="9">
        <v>0.42</v>
      </c>
      <c r="D1124" s="13">
        <f t="shared" si="17"/>
        <v>0.42</v>
      </c>
    </row>
    <row r="1125" spans="1:4" x14ac:dyDescent="0.25">
      <c r="A1125" s="15">
        <f>Sheet2!A1125</f>
        <v>0</v>
      </c>
      <c r="B1125" s="8">
        <v>1.1200000000000001</v>
      </c>
      <c r="C1125" s="9">
        <v>0</v>
      </c>
      <c r="D1125" s="13">
        <f t="shared" si="17"/>
        <v>1.1200000000000001</v>
      </c>
    </row>
    <row r="1126" spans="1:4" x14ac:dyDescent="0.25">
      <c r="A1126" s="15">
        <f>Sheet2!A1126</f>
        <v>0</v>
      </c>
      <c r="B1126" s="8">
        <v>0.98</v>
      </c>
      <c r="C1126" s="9">
        <v>0</v>
      </c>
      <c r="D1126" s="13">
        <f t="shared" si="17"/>
        <v>0.98</v>
      </c>
    </row>
    <row r="1127" spans="1:4" x14ac:dyDescent="0.25">
      <c r="A1127" s="15">
        <f>Sheet2!A1127</f>
        <v>0</v>
      </c>
      <c r="B1127" s="8">
        <v>1.1200000000000001</v>
      </c>
      <c r="C1127" s="9">
        <v>0</v>
      </c>
      <c r="D1127" s="13">
        <f t="shared" si="17"/>
        <v>1.1200000000000001</v>
      </c>
    </row>
    <row r="1128" spans="1:4" x14ac:dyDescent="0.25">
      <c r="A1128" s="15">
        <f>Sheet2!A1128</f>
        <v>0</v>
      </c>
      <c r="B1128" s="8">
        <v>1.18</v>
      </c>
      <c r="C1128" s="9">
        <v>0</v>
      </c>
      <c r="D1128" s="13">
        <f t="shared" si="17"/>
        <v>1.18</v>
      </c>
    </row>
    <row r="1129" spans="1:4" x14ac:dyDescent="0.25">
      <c r="A1129" s="15">
        <f>Sheet2!A1129</f>
        <v>0</v>
      </c>
      <c r="B1129" s="8">
        <v>1.72</v>
      </c>
      <c r="C1129" s="9">
        <v>0</v>
      </c>
      <c r="D1129" s="13">
        <f t="shared" si="17"/>
        <v>1.72</v>
      </c>
    </row>
    <row r="1130" spans="1:4" x14ac:dyDescent="0.25">
      <c r="A1130" s="15">
        <f>Sheet2!A1130</f>
        <v>0</v>
      </c>
      <c r="B1130" s="8">
        <v>1.37</v>
      </c>
      <c r="C1130" s="9">
        <v>0</v>
      </c>
      <c r="D1130" s="13">
        <f t="shared" si="17"/>
        <v>1.37</v>
      </c>
    </row>
    <row r="1131" spans="1:4" x14ac:dyDescent="0.25">
      <c r="A1131" s="15">
        <f>Sheet2!A1131</f>
        <v>0</v>
      </c>
      <c r="B1131" s="8">
        <v>1.37</v>
      </c>
      <c r="C1131" s="9">
        <v>0</v>
      </c>
      <c r="D1131" s="13">
        <f t="shared" si="17"/>
        <v>1.37</v>
      </c>
    </row>
    <row r="1132" spans="1:4" x14ac:dyDescent="0.25">
      <c r="A1132" s="15">
        <f>Sheet2!A1132</f>
        <v>0</v>
      </c>
      <c r="B1132" s="8">
        <v>1.33</v>
      </c>
      <c r="C1132" s="9">
        <v>0</v>
      </c>
      <c r="D1132" s="13">
        <f t="shared" si="17"/>
        <v>1.33</v>
      </c>
    </row>
    <row r="1133" spans="1:4" x14ac:dyDescent="0.25">
      <c r="A1133" s="15">
        <f>Sheet2!A1133</f>
        <v>0</v>
      </c>
      <c r="B1133" s="8">
        <v>1.38</v>
      </c>
      <c r="C1133" s="9">
        <v>0</v>
      </c>
      <c r="D1133" s="13">
        <f t="shared" si="17"/>
        <v>1.38</v>
      </c>
    </row>
    <row r="1134" spans="1:4" x14ac:dyDescent="0.25">
      <c r="A1134" s="15">
        <f>Sheet2!A1134</f>
        <v>0</v>
      </c>
      <c r="B1134" s="8">
        <v>1.54</v>
      </c>
      <c r="C1134" s="9">
        <v>0</v>
      </c>
      <c r="D1134" s="13">
        <f t="shared" si="17"/>
        <v>1.54</v>
      </c>
    </row>
    <row r="1135" spans="1:4" x14ac:dyDescent="0.25">
      <c r="A1135" s="15">
        <f>Sheet2!A1135</f>
        <v>0</v>
      </c>
      <c r="B1135" s="8">
        <v>1.38</v>
      </c>
      <c r="C1135" s="9">
        <v>0</v>
      </c>
      <c r="D1135" s="13">
        <f t="shared" si="17"/>
        <v>1.38</v>
      </c>
    </row>
    <row r="1136" spans="1:4" x14ac:dyDescent="0.25">
      <c r="A1136" s="15">
        <f>Sheet2!A1136</f>
        <v>0</v>
      </c>
      <c r="B1136" s="8">
        <v>0.87</v>
      </c>
      <c r="C1136" s="9">
        <v>0</v>
      </c>
      <c r="D1136" s="13">
        <f t="shared" si="17"/>
        <v>0.87</v>
      </c>
    </row>
    <row r="1137" spans="1:4" x14ac:dyDescent="0.25">
      <c r="A1137" s="15">
        <f>Sheet2!A1137</f>
        <v>0</v>
      </c>
      <c r="B1137" s="8">
        <v>0</v>
      </c>
      <c r="C1137" s="9">
        <v>0.74</v>
      </c>
      <c r="D1137" s="13">
        <f t="shared" si="17"/>
        <v>0.74</v>
      </c>
    </row>
    <row r="1138" spans="1:4" x14ac:dyDescent="0.25">
      <c r="A1138" s="15">
        <f>Sheet2!A1138</f>
        <v>0</v>
      </c>
      <c r="B1138" s="8">
        <v>0</v>
      </c>
      <c r="C1138" s="9">
        <v>1.1000000000000001</v>
      </c>
      <c r="D1138" s="13">
        <f t="shared" si="17"/>
        <v>1.1000000000000001</v>
      </c>
    </row>
    <row r="1139" spans="1:4" x14ac:dyDescent="0.25">
      <c r="A1139" s="15">
        <f>Sheet2!A1139</f>
        <v>0</v>
      </c>
      <c r="B1139" s="8">
        <v>0</v>
      </c>
      <c r="C1139" s="9">
        <v>0.44</v>
      </c>
      <c r="D1139" s="13">
        <f t="shared" si="17"/>
        <v>0.44</v>
      </c>
    </row>
    <row r="1140" spans="1:4" x14ac:dyDescent="0.25">
      <c r="A1140" s="15">
        <f>Sheet2!A1140</f>
        <v>0</v>
      </c>
      <c r="B1140" s="8">
        <v>0.94</v>
      </c>
      <c r="C1140" s="9">
        <v>0</v>
      </c>
      <c r="D1140" s="13">
        <f t="shared" si="17"/>
        <v>0.94</v>
      </c>
    </row>
    <row r="1141" spans="1:4" x14ac:dyDescent="0.25">
      <c r="A1141" s="15">
        <f>Sheet2!A1141</f>
        <v>0</v>
      </c>
      <c r="B1141" s="8">
        <v>0.74</v>
      </c>
      <c r="C1141" s="9">
        <v>0</v>
      </c>
      <c r="D1141" s="13">
        <f t="shared" si="17"/>
        <v>0.74</v>
      </c>
    </row>
    <row r="1142" spans="1:4" x14ac:dyDescent="0.25">
      <c r="A1142" s="15">
        <f>Sheet2!A1142</f>
        <v>0</v>
      </c>
      <c r="B1142" s="8">
        <v>0</v>
      </c>
      <c r="C1142" s="9">
        <v>0.4</v>
      </c>
      <c r="D1142" s="13">
        <f t="shared" si="17"/>
        <v>0.4</v>
      </c>
    </row>
    <row r="1143" spans="1:4" x14ac:dyDescent="0.25">
      <c r="A1143" s="15">
        <f>Sheet2!A1143</f>
        <v>0</v>
      </c>
      <c r="B1143" s="8">
        <v>0</v>
      </c>
      <c r="C1143" s="9">
        <v>1.22</v>
      </c>
      <c r="D1143" s="13">
        <f t="shared" si="17"/>
        <v>1.22</v>
      </c>
    </row>
    <row r="1144" spans="1:4" x14ac:dyDescent="0.25">
      <c r="A1144" s="15">
        <f>Sheet2!A1144</f>
        <v>0</v>
      </c>
      <c r="B1144" s="8">
        <v>0</v>
      </c>
      <c r="C1144" s="9">
        <v>0.72</v>
      </c>
      <c r="D1144" s="13">
        <f t="shared" si="17"/>
        <v>0.72</v>
      </c>
    </row>
    <row r="1145" spans="1:4" x14ac:dyDescent="0.25">
      <c r="A1145" s="15">
        <f>Sheet2!A1145</f>
        <v>0</v>
      </c>
      <c r="B1145" s="8">
        <v>0</v>
      </c>
      <c r="C1145" s="9">
        <v>0.51</v>
      </c>
      <c r="D1145" s="13">
        <f t="shared" si="17"/>
        <v>0.51</v>
      </c>
    </row>
    <row r="1146" spans="1:4" x14ac:dyDescent="0.25">
      <c r="A1146" s="15">
        <f>Sheet2!A1146</f>
        <v>0</v>
      </c>
      <c r="B1146" s="8">
        <v>0</v>
      </c>
      <c r="C1146" s="9">
        <v>1.04</v>
      </c>
      <c r="D1146" s="13">
        <f t="shared" si="17"/>
        <v>1.04</v>
      </c>
    </row>
    <row r="1147" spans="1:4" x14ac:dyDescent="0.25">
      <c r="A1147" s="15">
        <f>Sheet2!A1147</f>
        <v>0</v>
      </c>
      <c r="B1147" s="8">
        <v>0</v>
      </c>
      <c r="C1147" s="9">
        <v>0.85</v>
      </c>
      <c r="D1147" s="13">
        <f t="shared" si="17"/>
        <v>0.85</v>
      </c>
    </row>
    <row r="1148" spans="1:4" x14ac:dyDescent="0.25">
      <c r="A1148" s="15">
        <f>Sheet2!A1148</f>
        <v>0</v>
      </c>
      <c r="B1148" s="8">
        <v>0</v>
      </c>
      <c r="C1148" s="9">
        <v>0.59</v>
      </c>
      <c r="D1148" s="13">
        <f t="shared" si="17"/>
        <v>0.59</v>
      </c>
    </row>
    <row r="1149" spans="1:4" x14ac:dyDescent="0.25">
      <c r="A1149" s="15">
        <f>Sheet2!A1149</f>
        <v>0</v>
      </c>
      <c r="B1149" s="8">
        <v>0</v>
      </c>
      <c r="C1149" s="9">
        <v>0.11</v>
      </c>
      <c r="D1149" s="13">
        <f t="shared" si="17"/>
        <v>0.11</v>
      </c>
    </row>
    <row r="1150" spans="1:4" x14ac:dyDescent="0.25">
      <c r="A1150" s="15">
        <f>Sheet2!A1150</f>
        <v>0</v>
      </c>
      <c r="B1150" s="8">
        <v>0</v>
      </c>
      <c r="C1150" s="9">
        <v>0.4</v>
      </c>
      <c r="D1150" s="13">
        <f t="shared" si="17"/>
        <v>0.4</v>
      </c>
    </row>
    <row r="1151" spans="1:4" x14ac:dyDescent="0.25">
      <c r="A1151" s="15">
        <f>Sheet2!A1151</f>
        <v>0</v>
      </c>
      <c r="B1151" s="8">
        <v>0</v>
      </c>
      <c r="C1151" s="9">
        <v>0.36</v>
      </c>
      <c r="D1151" s="13">
        <f t="shared" si="17"/>
        <v>0.36</v>
      </c>
    </row>
    <row r="1152" spans="1:4" x14ac:dyDescent="0.25">
      <c r="A1152" s="15">
        <f>Sheet2!A1152</f>
        <v>0</v>
      </c>
      <c r="B1152" s="8">
        <v>0.99</v>
      </c>
      <c r="C1152" s="9">
        <v>0</v>
      </c>
      <c r="D1152" s="13">
        <f t="shared" si="17"/>
        <v>0.99</v>
      </c>
    </row>
    <row r="1153" spans="1:4" x14ac:dyDescent="0.25">
      <c r="A1153" s="15">
        <f>Sheet2!A1153</f>
        <v>0</v>
      </c>
      <c r="B1153" s="8">
        <v>1.03</v>
      </c>
      <c r="C1153" s="9">
        <v>0</v>
      </c>
      <c r="D1153" s="13">
        <f t="shared" si="17"/>
        <v>1.03</v>
      </c>
    </row>
    <row r="1154" spans="1:4" x14ac:dyDescent="0.25">
      <c r="A1154" s="15">
        <f>Sheet2!A1154</f>
        <v>0</v>
      </c>
      <c r="B1154" s="8">
        <v>0.92</v>
      </c>
      <c r="C1154" s="9">
        <v>0</v>
      </c>
      <c r="D1154" s="13">
        <f t="shared" si="17"/>
        <v>0.92</v>
      </c>
    </row>
    <row r="1155" spans="1:4" x14ac:dyDescent="0.25">
      <c r="A1155" s="15">
        <f>Sheet2!A1155</f>
        <v>0</v>
      </c>
      <c r="B1155" s="8">
        <v>1.05</v>
      </c>
      <c r="C1155" s="9">
        <v>0</v>
      </c>
      <c r="D1155" s="13">
        <f t="shared" ref="D1155:D1218" si="18">B1155+C1155</f>
        <v>1.05</v>
      </c>
    </row>
    <row r="1156" spans="1:4" x14ac:dyDescent="0.25">
      <c r="A1156" s="15">
        <f>Sheet2!A1156</f>
        <v>0</v>
      </c>
      <c r="B1156" s="8">
        <v>0.75</v>
      </c>
      <c r="C1156" s="9">
        <v>0</v>
      </c>
      <c r="D1156" s="13">
        <f t="shared" si="18"/>
        <v>0.75</v>
      </c>
    </row>
    <row r="1157" spans="1:4" x14ac:dyDescent="0.25">
      <c r="A1157" s="15">
        <f>Sheet2!A1157</f>
        <v>0</v>
      </c>
      <c r="B1157" s="8">
        <v>1.59</v>
      </c>
      <c r="C1157" s="9">
        <v>0</v>
      </c>
      <c r="D1157" s="13">
        <f t="shared" si="18"/>
        <v>1.59</v>
      </c>
    </row>
    <row r="1158" spans="1:4" x14ac:dyDescent="0.25">
      <c r="A1158" s="15">
        <f>Sheet2!A1158</f>
        <v>0</v>
      </c>
      <c r="B1158" s="8">
        <v>0.95</v>
      </c>
      <c r="C1158" s="9">
        <v>0</v>
      </c>
      <c r="D1158" s="13">
        <f t="shared" si="18"/>
        <v>0.95</v>
      </c>
    </row>
    <row r="1159" spans="1:4" x14ac:dyDescent="0.25">
      <c r="A1159" s="15">
        <f>Sheet2!A1159</f>
        <v>0</v>
      </c>
      <c r="B1159" s="8">
        <v>1.19</v>
      </c>
      <c r="C1159" s="9">
        <v>0</v>
      </c>
      <c r="D1159" s="13">
        <f t="shared" si="18"/>
        <v>1.19</v>
      </c>
    </row>
    <row r="1160" spans="1:4" x14ac:dyDescent="0.25">
      <c r="A1160" s="15">
        <f>Sheet2!A1160</f>
        <v>0</v>
      </c>
      <c r="B1160" s="8">
        <v>0</v>
      </c>
      <c r="C1160" s="9">
        <v>0.27</v>
      </c>
      <c r="D1160" s="13">
        <f t="shared" si="18"/>
        <v>0.27</v>
      </c>
    </row>
    <row r="1161" spans="1:4" x14ac:dyDescent="0.25">
      <c r="A1161" s="15">
        <f>Sheet2!A1161</f>
        <v>0</v>
      </c>
      <c r="B1161" s="8">
        <v>0</v>
      </c>
      <c r="C1161" s="9">
        <v>0.56999999999999995</v>
      </c>
      <c r="D1161" s="13">
        <f t="shared" si="18"/>
        <v>0.56999999999999995</v>
      </c>
    </row>
    <row r="1162" spans="1:4" x14ac:dyDescent="0.25">
      <c r="A1162" s="15">
        <f>Sheet2!A1162</f>
        <v>0</v>
      </c>
      <c r="B1162" s="8">
        <v>0</v>
      </c>
      <c r="C1162" s="9">
        <v>0.4</v>
      </c>
      <c r="D1162" s="13">
        <f t="shared" si="18"/>
        <v>0.4</v>
      </c>
    </row>
    <row r="1163" spans="1:4" x14ac:dyDescent="0.25">
      <c r="A1163" s="15">
        <f>Sheet2!A1163</f>
        <v>0</v>
      </c>
      <c r="B1163" s="8">
        <v>0.75</v>
      </c>
      <c r="C1163" s="9">
        <v>0</v>
      </c>
      <c r="D1163" s="13">
        <f t="shared" si="18"/>
        <v>0.75</v>
      </c>
    </row>
    <row r="1164" spans="1:4" x14ac:dyDescent="0.25">
      <c r="A1164" s="15">
        <f>Sheet2!A1164</f>
        <v>0</v>
      </c>
      <c r="B1164" s="8">
        <v>0</v>
      </c>
      <c r="C1164" s="9">
        <v>1.66</v>
      </c>
      <c r="D1164" s="13">
        <f t="shared" si="18"/>
        <v>1.66</v>
      </c>
    </row>
    <row r="1165" spans="1:4" x14ac:dyDescent="0.25">
      <c r="A1165" s="15">
        <f>Sheet2!A1165</f>
        <v>0</v>
      </c>
      <c r="B1165" s="8">
        <v>0</v>
      </c>
      <c r="C1165" s="9">
        <v>1.4</v>
      </c>
      <c r="D1165" s="13">
        <f t="shared" si="18"/>
        <v>1.4</v>
      </c>
    </row>
    <row r="1166" spans="1:4" x14ac:dyDescent="0.25">
      <c r="A1166" s="15">
        <f>Sheet2!A1166</f>
        <v>0</v>
      </c>
      <c r="B1166" s="8">
        <v>0</v>
      </c>
      <c r="C1166" s="9">
        <v>0.21</v>
      </c>
      <c r="D1166" s="13">
        <f t="shared" si="18"/>
        <v>0.21</v>
      </c>
    </row>
    <row r="1167" spans="1:4" x14ac:dyDescent="0.25">
      <c r="A1167" s="15">
        <f>Sheet2!A1167</f>
        <v>0</v>
      </c>
      <c r="B1167" s="8">
        <v>0</v>
      </c>
      <c r="C1167" s="9">
        <v>0.77</v>
      </c>
      <c r="D1167" s="13">
        <f t="shared" si="18"/>
        <v>0.77</v>
      </c>
    </row>
    <row r="1168" spans="1:4" x14ac:dyDescent="0.25">
      <c r="A1168" s="15">
        <f>Sheet2!A1168</f>
        <v>0</v>
      </c>
      <c r="B1168" s="8">
        <v>0</v>
      </c>
      <c r="C1168" s="9">
        <v>1.1100000000000001</v>
      </c>
      <c r="D1168" s="13">
        <f t="shared" si="18"/>
        <v>1.1100000000000001</v>
      </c>
    </row>
    <row r="1169" spans="1:4" x14ac:dyDescent="0.25">
      <c r="A1169" s="15">
        <f>Sheet2!A1169</f>
        <v>0</v>
      </c>
      <c r="B1169" s="8">
        <v>0</v>
      </c>
      <c r="C1169" s="9">
        <v>1.04</v>
      </c>
      <c r="D1169" s="13">
        <f t="shared" si="18"/>
        <v>1.04</v>
      </c>
    </row>
    <row r="1170" spans="1:4" x14ac:dyDescent="0.25">
      <c r="A1170" s="15">
        <f>Sheet2!A1170</f>
        <v>0</v>
      </c>
      <c r="B1170" s="8">
        <v>0</v>
      </c>
      <c r="C1170" s="9">
        <v>1.0900000000000001</v>
      </c>
      <c r="D1170" s="13">
        <f t="shared" si="18"/>
        <v>1.0900000000000001</v>
      </c>
    </row>
    <row r="1171" spans="1:4" x14ac:dyDescent="0.25">
      <c r="A1171" s="15">
        <f>Sheet2!A1171</f>
        <v>0</v>
      </c>
      <c r="B1171" s="8">
        <v>0</v>
      </c>
      <c r="C1171" s="9">
        <v>0.32</v>
      </c>
      <c r="D1171" s="13">
        <f t="shared" si="18"/>
        <v>0.32</v>
      </c>
    </row>
    <row r="1172" spans="1:4" x14ac:dyDescent="0.25">
      <c r="A1172" s="15">
        <f>Sheet2!A1172</f>
        <v>0</v>
      </c>
      <c r="B1172" s="8">
        <v>0</v>
      </c>
      <c r="C1172" s="9">
        <v>0.56999999999999995</v>
      </c>
      <c r="D1172" s="13">
        <f t="shared" si="18"/>
        <v>0.56999999999999995</v>
      </c>
    </row>
    <row r="1173" spans="1:4" x14ac:dyDescent="0.25">
      <c r="A1173" s="15">
        <f>Sheet2!A1173</f>
        <v>0</v>
      </c>
      <c r="B1173" s="8">
        <v>1.8</v>
      </c>
      <c r="C1173" s="9">
        <v>0</v>
      </c>
      <c r="D1173" s="13">
        <f t="shared" si="18"/>
        <v>1.8</v>
      </c>
    </row>
    <row r="1174" spans="1:4" x14ac:dyDescent="0.25">
      <c r="A1174" s="15">
        <f>Sheet2!A1174</f>
        <v>0</v>
      </c>
      <c r="B1174" s="8">
        <v>0</v>
      </c>
      <c r="C1174" s="9">
        <v>0.54</v>
      </c>
      <c r="D1174" s="13">
        <f t="shared" si="18"/>
        <v>0.54</v>
      </c>
    </row>
    <row r="1175" spans="1:4" x14ac:dyDescent="0.25">
      <c r="A1175" s="15">
        <f>Sheet2!A1175</f>
        <v>0</v>
      </c>
      <c r="B1175" s="8">
        <v>0</v>
      </c>
      <c r="C1175" s="9">
        <v>0.48</v>
      </c>
      <c r="D1175" s="13">
        <f t="shared" si="18"/>
        <v>0.48</v>
      </c>
    </row>
    <row r="1176" spans="1:4" x14ac:dyDescent="0.25">
      <c r="A1176" s="15">
        <f>Sheet2!A1176</f>
        <v>0</v>
      </c>
      <c r="B1176" s="8">
        <v>1.1299999999999999</v>
      </c>
      <c r="C1176" s="9">
        <v>0</v>
      </c>
      <c r="D1176" s="13">
        <f t="shared" si="18"/>
        <v>1.1299999999999999</v>
      </c>
    </row>
    <row r="1177" spans="1:4" x14ac:dyDescent="0.25">
      <c r="A1177" s="15">
        <f>Sheet2!A1177</f>
        <v>0</v>
      </c>
      <c r="B1177" s="8">
        <v>1.59</v>
      </c>
      <c r="C1177" s="9">
        <v>0</v>
      </c>
      <c r="D1177" s="13">
        <f t="shared" si="18"/>
        <v>1.59</v>
      </c>
    </row>
    <row r="1178" spans="1:4" x14ac:dyDescent="0.25">
      <c r="A1178" s="15">
        <f>Sheet2!A1178</f>
        <v>0</v>
      </c>
      <c r="B1178" s="8">
        <v>1.57</v>
      </c>
      <c r="C1178" s="9">
        <v>0</v>
      </c>
      <c r="D1178" s="13">
        <f t="shared" si="18"/>
        <v>1.57</v>
      </c>
    </row>
    <row r="1179" spans="1:4" x14ac:dyDescent="0.25">
      <c r="A1179" s="15">
        <f>Sheet2!A1179</f>
        <v>0</v>
      </c>
      <c r="B1179" s="8">
        <v>1.55</v>
      </c>
      <c r="C1179" s="9">
        <v>0</v>
      </c>
      <c r="D1179" s="13">
        <f t="shared" si="18"/>
        <v>1.55</v>
      </c>
    </row>
    <row r="1180" spans="1:4" x14ac:dyDescent="0.25">
      <c r="A1180" s="15">
        <f>Sheet2!A1180</f>
        <v>0</v>
      </c>
      <c r="B1180" s="8">
        <v>1.31</v>
      </c>
      <c r="C1180" s="9">
        <v>0</v>
      </c>
      <c r="D1180" s="13">
        <f t="shared" si="18"/>
        <v>1.31</v>
      </c>
    </row>
    <row r="1181" spans="1:4" x14ac:dyDescent="0.25">
      <c r="A1181" s="15">
        <f>Sheet2!A1181</f>
        <v>0</v>
      </c>
      <c r="B1181" s="8">
        <v>1.98</v>
      </c>
      <c r="C1181" s="9">
        <v>0</v>
      </c>
      <c r="D1181" s="13">
        <f t="shared" si="18"/>
        <v>1.98</v>
      </c>
    </row>
    <row r="1182" spans="1:4" x14ac:dyDescent="0.25">
      <c r="A1182" s="15">
        <f>Sheet2!A1182</f>
        <v>0</v>
      </c>
      <c r="B1182" s="8">
        <v>0.88</v>
      </c>
      <c r="C1182" s="9">
        <v>0</v>
      </c>
      <c r="D1182" s="13">
        <f t="shared" si="18"/>
        <v>0.88</v>
      </c>
    </row>
    <row r="1183" spans="1:4" x14ac:dyDescent="0.25">
      <c r="A1183" s="15">
        <f>Sheet2!A1183</f>
        <v>0</v>
      </c>
      <c r="B1183" s="8">
        <v>0.53</v>
      </c>
      <c r="C1183" s="9">
        <v>0</v>
      </c>
      <c r="D1183" s="13">
        <f t="shared" si="18"/>
        <v>0.53</v>
      </c>
    </row>
    <row r="1184" spans="1:4" x14ac:dyDescent="0.25">
      <c r="A1184" s="15">
        <f>Sheet2!A1184</f>
        <v>0</v>
      </c>
      <c r="B1184" s="8">
        <v>0.16</v>
      </c>
      <c r="C1184" s="9">
        <v>0</v>
      </c>
      <c r="D1184" s="13">
        <f t="shared" si="18"/>
        <v>0.16</v>
      </c>
    </row>
    <row r="1185" spans="1:4" x14ac:dyDescent="0.25">
      <c r="A1185" s="15">
        <f>Sheet2!A1185</f>
        <v>0</v>
      </c>
      <c r="B1185" s="8">
        <v>0</v>
      </c>
      <c r="C1185" s="9">
        <v>0.31</v>
      </c>
      <c r="D1185" s="13">
        <f t="shared" si="18"/>
        <v>0.31</v>
      </c>
    </row>
    <row r="1186" spans="1:4" x14ac:dyDescent="0.25">
      <c r="A1186" s="15">
        <f>Sheet2!A1186</f>
        <v>0</v>
      </c>
      <c r="B1186" s="8">
        <v>0.2</v>
      </c>
      <c r="C1186" s="9">
        <v>0</v>
      </c>
      <c r="D1186" s="13">
        <f t="shared" si="18"/>
        <v>0.2</v>
      </c>
    </row>
    <row r="1187" spans="1:4" x14ac:dyDescent="0.25">
      <c r="A1187" s="15">
        <f>Sheet2!A1187</f>
        <v>0</v>
      </c>
      <c r="B1187" s="8">
        <v>0.31</v>
      </c>
      <c r="C1187" s="9">
        <v>0</v>
      </c>
      <c r="D1187" s="13">
        <f t="shared" si="18"/>
        <v>0.31</v>
      </c>
    </row>
    <row r="1188" spans="1:4" x14ac:dyDescent="0.25">
      <c r="A1188" s="15">
        <f>Sheet2!A1188</f>
        <v>0</v>
      </c>
      <c r="B1188" s="8">
        <v>0.05</v>
      </c>
      <c r="C1188" s="9">
        <v>0</v>
      </c>
      <c r="D1188" s="13">
        <f t="shared" si="18"/>
        <v>0.05</v>
      </c>
    </row>
    <row r="1189" spans="1:4" x14ac:dyDescent="0.25">
      <c r="A1189" s="15">
        <f>Sheet2!A1189</f>
        <v>0</v>
      </c>
      <c r="B1189" s="8">
        <v>0</v>
      </c>
      <c r="C1189" s="9">
        <v>0.42</v>
      </c>
      <c r="D1189" s="13">
        <f t="shared" si="18"/>
        <v>0.42</v>
      </c>
    </row>
    <row r="1190" spans="1:4" x14ac:dyDescent="0.25">
      <c r="A1190" s="15">
        <f>Sheet2!A1190</f>
        <v>0</v>
      </c>
      <c r="B1190" s="8">
        <v>0.59</v>
      </c>
      <c r="C1190" s="9">
        <v>0</v>
      </c>
      <c r="D1190" s="13">
        <f t="shared" si="18"/>
        <v>0.59</v>
      </c>
    </row>
    <row r="1191" spans="1:4" x14ac:dyDescent="0.25">
      <c r="A1191" s="15">
        <f>Sheet2!A1191</f>
        <v>0</v>
      </c>
      <c r="B1191" s="8">
        <v>1.26</v>
      </c>
      <c r="C1191" s="9">
        <v>0</v>
      </c>
      <c r="D1191" s="13">
        <f t="shared" si="18"/>
        <v>1.26</v>
      </c>
    </row>
    <row r="1192" spans="1:4" x14ac:dyDescent="0.25">
      <c r="A1192" s="15">
        <f>Sheet2!A1192</f>
        <v>0</v>
      </c>
      <c r="B1192" s="8">
        <v>0</v>
      </c>
      <c r="C1192" s="9">
        <v>1.02</v>
      </c>
      <c r="D1192" s="13">
        <f t="shared" si="18"/>
        <v>1.02</v>
      </c>
    </row>
    <row r="1193" spans="1:4" x14ac:dyDescent="0.25">
      <c r="A1193" s="15">
        <f>Sheet2!A1193</f>
        <v>0</v>
      </c>
      <c r="B1193" s="8">
        <v>0</v>
      </c>
      <c r="C1193" s="9">
        <v>1.54</v>
      </c>
      <c r="D1193" s="13">
        <f t="shared" si="18"/>
        <v>1.54</v>
      </c>
    </row>
    <row r="1194" spans="1:4" x14ac:dyDescent="0.25">
      <c r="A1194" s="15">
        <f>Sheet2!A1194</f>
        <v>0</v>
      </c>
      <c r="B1194" s="8">
        <v>0</v>
      </c>
      <c r="C1194" s="9">
        <v>0.99</v>
      </c>
      <c r="D1194" s="13">
        <f t="shared" si="18"/>
        <v>0.99</v>
      </c>
    </row>
    <row r="1195" spans="1:4" x14ac:dyDescent="0.25">
      <c r="A1195" s="15">
        <f>Sheet2!A1195</f>
        <v>0</v>
      </c>
      <c r="B1195" s="8">
        <v>0</v>
      </c>
      <c r="C1195" s="9">
        <v>0.82</v>
      </c>
      <c r="D1195" s="13">
        <f t="shared" si="18"/>
        <v>0.82</v>
      </c>
    </row>
    <row r="1196" spans="1:4" x14ac:dyDescent="0.25">
      <c r="A1196" s="15">
        <f>Sheet2!A1196</f>
        <v>0</v>
      </c>
      <c r="B1196" s="8">
        <v>2.31</v>
      </c>
      <c r="C1196" s="9">
        <v>0</v>
      </c>
      <c r="D1196" s="13">
        <f t="shared" si="18"/>
        <v>2.31</v>
      </c>
    </row>
    <row r="1197" spans="1:4" x14ac:dyDescent="0.25">
      <c r="A1197" s="15">
        <f>Sheet2!A1197</f>
        <v>0</v>
      </c>
      <c r="B1197" s="8">
        <v>1.17</v>
      </c>
      <c r="C1197" s="9">
        <v>0</v>
      </c>
      <c r="D1197" s="13">
        <f t="shared" si="18"/>
        <v>1.17</v>
      </c>
    </row>
    <row r="1198" spans="1:4" x14ac:dyDescent="0.25">
      <c r="A1198" s="15">
        <f>Sheet2!A1198</f>
        <v>0</v>
      </c>
      <c r="B1198" s="8">
        <v>0</v>
      </c>
      <c r="C1198" s="9">
        <v>0.4</v>
      </c>
      <c r="D1198" s="13">
        <f t="shared" si="18"/>
        <v>0.4</v>
      </c>
    </row>
    <row r="1199" spans="1:4" x14ac:dyDescent="0.25">
      <c r="A1199" s="15">
        <f>Sheet2!A1199</f>
        <v>0</v>
      </c>
      <c r="B1199" s="8">
        <v>0</v>
      </c>
      <c r="C1199" s="9">
        <v>0.36</v>
      </c>
      <c r="D1199" s="13">
        <f t="shared" si="18"/>
        <v>0.36</v>
      </c>
    </row>
    <row r="1200" spans="1:4" x14ac:dyDescent="0.25">
      <c r="A1200" s="15">
        <f>Sheet2!A1200</f>
        <v>0</v>
      </c>
      <c r="B1200" s="8">
        <v>0.99</v>
      </c>
      <c r="C1200" s="9">
        <v>0</v>
      </c>
      <c r="D1200" s="13">
        <f t="shared" si="18"/>
        <v>0.99</v>
      </c>
    </row>
    <row r="1201" spans="1:4" x14ac:dyDescent="0.25">
      <c r="A1201" s="15">
        <f>Sheet2!A1201</f>
        <v>0</v>
      </c>
      <c r="B1201" s="8">
        <v>1.03</v>
      </c>
      <c r="C1201" s="9">
        <v>0</v>
      </c>
      <c r="D1201" s="13">
        <f t="shared" si="18"/>
        <v>1.03</v>
      </c>
    </row>
    <row r="1202" spans="1:4" x14ac:dyDescent="0.25">
      <c r="A1202" s="15">
        <f>Sheet2!A1202</f>
        <v>0</v>
      </c>
      <c r="B1202" s="8">
        <v>0.92</v>
      </c>
      <c r="C1202" s="9">
        <v>0</v>
      </c>
      <c r="D1202" s="13">
        <f t="shared" si="18"/>
        <v>0.92</v>
      </c>
    </row>
    <row r="1203" spans="1:4" x14ac:dyDescent="0.25">
      <c r="A1203" s="15">
        <f>Sheet2!A1203</f>
        <v>0</v>
      </c>
      <c r="B1203" s="8">
        <v>1.05</v>
      </c>
      <c r="C1203" s="9">
        <v>0</v>
      </c>
      <c r="D1203" s="13">
        <f t="shared" si="18"/>
        <v>1.05</v>
      </c>
    </row>
    <row r="1204" spans="1:4" x14ac:dyDescent="0.25">
      <c r="A1204" s="15">
        <f>Sheet2!A1204</f>
        <v>0</v>
      </c>
      <c r="B1204" s="8">
        <v>0.75</v>
      </c>
      <c r="C1204" s="9">
        <v>0</v>
      </c>
      <c r="D1204" s="13">
        <f t="shared" si="18"/>
        <v>0.75</v>
      </c>
    </row>
    <row r="1205" spans="1:4" x14ac:dyDescent="0.25">
      <c r="A1205" s="15">
        <f>Sheet2!A1205</f>
        <v>0</v>
      </c>
      <c r="B1205" s="8">
        <v>1.59</v>
      </c>
      <c r="C1205" s="9">
        <v>0</v>
      </c>
      <c r="D1205" s="13">
        <f t="shared" si="18"/>
        <v>1.59</v>
      </c>
    </row>
    <row r="1206" spans="1:4" x14ac:dyDescent="0.25">
      <c r="A1206" s="15">
        <f>Sheet2!A1206</f>
        <v>0</v>
      </c>
      <c r="B1206" s="8">
        <v>0.95</v>
      </c>
      <c r="C1206" s="9">
        <v>0</v>
      </c>
      <c r="D1206" s="13">
        <f t="shared" si="18"/>
        <v>0.95</v>
      </c>
    </row>
    <row r="1207" spans="1:4" x14ac:dyDescent="0.25">
      <c r="A1207" s="15">
        <f>Sheet2!A1207</f>
        <v>0</v>
      </c>
      <c r="B1207" s="8">
        <v>1.19</v>
      </c>
      <c r="C1207" s="9">
        <v>0</v>
      </c>
      <c r="D1207" s="13">
        <f t="shared" si="18"/>
        <v>1.19</v>
      </c>
    </row>
    <row r="1208" spans="1:4" x14ac:dyDescent="0.25">
      <c r="A1208" s="15">
        <f>Sheet2!A1208</f>
        <v>0</v>
      </c>
      <c r="B1208" s="8">
        <v>0</v>
      </c>
      <c r="C1208" s="9">
        <v>0.27</v>
      </c>
      <c r="D1208" s="13">
        <f t="shared" si="18"/>
        <v>0.27</v>
      </c>
    </row>
    <row r="1209" spans="1:4" x14ac:dyDescent="0.25">
      <c r="A1209" s="15">
        <f>Sheet2!A1209</f>
        <v>0</v>
      </c>
      <c r="B1209" s="8">
        <v>0</v>
      </c>
      <c r="C1209" s="9">
        <v>0.56999999999999995</v>
      </c>
      <c r="D1209" s="13">
        <f t="shared" si="18"/>
        <v>0.56999999999999995</v>
      </c>
    </row>
    <row r="1210" spans="1:4" x14ac:dyDescent="0.25">
      <c r="A1210" s="15">
        <f>Sheet2!A1210</f>
        <v>0</v>
      </c>
      <c r="B1210" s="8">
        <v>0</v>
      </c>
      <c r="C1210" s="9">
        <v>0.4</v>
      </c>
      <c r="D1210" s="13">
        <f t="shared" si="18"/>
        <v>0.4</v>
      </c>
    </row>
    <row r="1211" spans="1:4" x14ac:dyDescent="0.25">
      <c r="A1211" s="15">
        <f>Sheet2!A1211</f>
        <v>0</v>
      </c>
      <c r="B1211" s="8">
        <v>0.75</v>
      </c>
      <c r="C1211" s="9">
        <v>0</v>
      </c>
      <c r="D1211" s="13">
        <f t="shared" si="18"/>
        <v>0.75</v>
      </c>
    </row>
    <row r="1212" spans="1:4" x14ac:dyDescent="0.25">
      <c r="A1212" s="15">
        <f>Sheet2!A1212</f>
        <v>0</v>
      </c>
      <c r="B1212" s="8">
        <v>0</v>
      </c>
      <c r="C1212" s="9">
        <v>0.28999999999999998</v>
      </c>
      <c r="D1212" s="13">
        <f t="shared" si="18"/>
        <v>0.28999999999999998</v>
      </c>
    </row>
    <row r="1213" spans="1:4" x14ac:dyDescent="0.25">
      <c r="A1213" s="15">
        <f>Sheet2!A1213</f>
        <v>0</v>
      </c>
      <c r="B1213" s="8">
        <v>0</v>
      </c>
      <c r="C1213" s="9">
        <v>0.63</v>
      </c>
      <c r="D1213" s="13">
        <f t="shared" si="18"/>
        <v>0.63</v>
      </c>
    </row>
    <row r="1214" spans="1:4" x14ac:dyDescent="0.25">
      <c r="A1214" s="15">
        <f>Sheet2!A1214</f>
        <v>0</v>
      </c>
      <c r="B1214" s="8">
        <v>0</v>
      </c>
      <c r="C1214" s="9">
        <v>0.59</v>
      </c>
      <c r="D1214" s="13">
        <f t="shared" si="18"/>
        <v>0.59</v>
      </c>
    </row>
    <row r="1215" spans="1:4" x14ac:dyDescent="0.25">
      <c r="A1215" s="15">
        <f>Sheet2!A1215</f>
        <v>0</v>
      </c>
      <c r="B1215" s="8">
        <v>0</v>
      </c>
      <c r="C1215" s="9">
        <v>0.63</v>
      </c>
      <c r="D1215" s="13">
        <f t="shared" si="18"/>
        <v>0.63</v>
      </c>
    </row>
    <row r="1216" spans="1:4" x14ac:dyDescent="0.25">
      <c r="A1216" s="15">
        <f>Sheet2!A1216</f>
        <v>0</v>
      </c>
      <c r="B1216" s="8">
        <v>0</v>
      </c>
      <c r="C1216" s="9">
        <v>0.37</v>
      </c>
      <c r="D1216" s="13">
        <f t="shared" si="18"/>
        <v>0.37</v>
      </c>
    </row>
    <row r="1217" spans="1:4" x14ac:dyDescent="0.25">
      <c r="A1217" s="15">
        <f>Sheet2!A1217</f>
        <v>0</v>
      </c>
      <c r="B1217" s="8">
        <v>1.32</v>
      </c>
      <c r="C1217" s="9">
        <v>0</v>
      </c>
      <c r="D1217" s="13">
        <f t="shared" si="18"/>
        <v>1.32</v>
      </c>
    </row>
    <row r="1218" spans="1:4" x14ac:dyDescent="0.25">
      <c r="A1218" s="15">
        <f>Sheet2!A1218</f>
        <v>0</v>
      </c>
      <c r="B1218" s="8">
        <v>0</v>
      </c>
      <c r="C1218" s="9">
        <v>0.86</v>
      </c>
      <c r="D1218" s="13">
        <f t="shared" si="18"/>
        <v>0.86</v>
      </c>
    </row>
    <row r="1219" spans="1:4" x14ac:dyDescent="0.25">
      <c r="A1219" s="15">
        <f>Sheet2!A1219</f>
        <v>0</v>
      </c>
      <c r="B1219" s="8">
        <v>0</v>
      </c>
      <c r="C1219" s="9">
        <v>1.02</v>
      </c>
      <c r="D1219" s="13">
        <f t="shared" ref="D1219:D1282" si="19">B1219+C1219</f>
        <v>1.02</v>
      </c>
    </row>
    <row r="1220" spans="1:4" x14ac:dyDescent="0.25">
      <c r="A1220" s="15">
        <f>Sheet2!A1220</f>
        <v>0</v>
      </c>
      <c r="B1220" s="8">
        <v>0</v>
      </c>
      <c r="C1220" s="9">
        <v>1.51</v>
      </c>
      <c r="D1220" s="13">
        <f t="shared" si="19"/>
        <v>1.51</v>
      </c>
    </row>
    <row r="1221" spans="1:4" x14ac:dyDescent="0.25">
      <c r="A1221" s="15">
        <f>Sheet2!A1221</f>
        <v>0</v>
      </c>
      <c r="B1221" s="8">
        <v>0</v>
      </c>
      <c r="C1221" s="9">
        <v>0.24</v>
      </c>
      <c r="D1221" s="13">
        <f t="shared" si="19"/>
        <v>0.24</v>
      </c>
    </row>
    <row r="1222" spans="1:4" x14ac:dyDescent="0.25">
      <c r="A1222" s="15">
        <f>Sheet2!A1222</f>
        <v>0</v>
      </c>
      <c r="B1222" s="8">
        <v>0</v>
      </c>
      <c r="C1222" s="9">
        <v>1.04</v>
      </c>
      <c r="D1222" s="13">
        <f t="shared" si="19"/>
        <v>1.04</v>
      </c>
    </row>
    <row r="1223" spans="1:4" x14ac:dyDescent="0.25">
      <c r="A1223" s="15">
        <f>Sheet2!A1223</f>
        <v>0</v>
      </c>
      <c r="B1223" s="8">
        <v>1.42</v>
      </c>
      <c r="C1223" s="9">
        <v>0</v>
      </c>
      <c r="D1223" s="13">
        <f t="shared" si="19"/>
        <v>1.42</v>
      </c>
    </row>
    <row r="1224" spans="1:4" x14ac:dyDescent="0.25">
      <c r="A1224" s="15">
        <f>Sheet2!A1224</f>
        <v>0</v>
      </c>
      <c r="B1224" s="8">
        <v>1.1399999999999999</v>
      </c>
      <c r="C1224" s="9">
        <v>0</v>
      </c>
      <c r="D1224" s="13">
        <f t="shared" si="19"/>
        <v>1.1399999999999999</v>
      </c>
    </row>
    <row r="1225" spans="1:4" x14ac:dyDescent="0.25">
      <c r="A1225" s="15">
        <f>Sheet2!A1225</f>
        <v>0</v>
      </c>
      <c r="B1225" s="8">
        <v>0.84</v>
      </c>
      <c r="C1225" s="9">
        <v>0</v>
      </c>
      <c r="D1225" s="13">
        <f t="shared" si="19"/>
        <v>0.84</v>
      </c>
    </row>
    <row r="1226" spans="1:4" x14ac:dyDescent="0.25">
      <c r="A1226" s="15">
        <f>Sheet2!A1226</f>
        <v>0</v>
      </c>
      <c r="B1226" s="8">
        <v>1.1399999999999999</v>
      </c>
      <c r="C1226" s="9">
        <v>0</v>
      </c>
      <c r="D1226" s="13">
        <f t="shared" si="19"/>
        <v>1.1399999999999999</v>
      </c>
    </row>
    <row r="1227" spans="1:4" x14ac:dyDescent="0.25">
      <c r="A1227" s="15">
        <f>Sheet2!A1227</f>
        <v>0</v>
      </c>
      <c r="B1227" s="8">
        <v>0.8</v>
      </c>
      <c r="C1227" s="9">
        <v>0</v>
      </c>
      <c r="D1227" s="13">
        <f t="shared" si="19"/>
        <v>0.8</v>
      </c>
    </row>
    <row r="1228" spans="1:4" x14ac:dyDescent="0.25">
      <c r="A1228" s="15">
        <f>Sheet2!A1228</f>
        <v>0</v>
      </c>
      <c r="B1228" s="8">
        <v>1.39</v>
      </c>
      <c r="C1228" s="9">
        <v>0</v>
      </c>
      <c r="D1228" s="13">
        <f t="shared" si="19"/>
        <v>1.39</v>
      </c>
    </row>
    <row r="1229" spans="1:4" x14ac:dyDescent="0.25">
      <c r="A1229" s="15">
        <f>Sheet2!A1229</f>
        <v>0</v>
      </c>
      <c r="B1229" s="8">
        <v>1.02</v>
      </c>
      <c r="C1229" s="9">
        <v>0</v>
      </c>
      <c r="D1229" s="13">
        <f t="shared" si="19"/>
        <v>1.02</v>
      </c>
    </row>
    <row r="1230" spans="1:4" x14ac:dyDescent="0.25">
      <c r="A1230" s="15">
        <f>Sheet2!A1230</f>
        <v>0</v>
      </c>
      <c r="B1230" s="8">
        <v>1.62</v>
      </c>
      <c r="C1230" s="9">
        <v>0</v>
      </c>
      <c r="D1230" s="13">
        <f t="shared" si="19"/>
        <v>1.62</v>
      </c>
    </row>
    <row r="1231" spans="1:4" x14ac:dyDescent="0.25">
      <c r="A1231" s="15">
        <f>Sheet2!A1231</f>
        <v>0</v>
      </c>
      <c r="B1231" s="8">
        <v>0.87</v>
      </c>
      <c r="C1231" s="9">
        <v>0</v>
      </c>
      <c r="D1231" s="13">
        <f t="shared" si="19"/>
        <v>0.87</v>
      </c>
    </row>
    <row r="1232" spans="1:4" x14ac:dyDescent="0.25">
      <c r="A1232" s="15">
        <f>Sheet2!A1232</f>
        <v>0</v>
      </c>
      <c r="B1232" s="8">
        <v>0.67</v>
      </c>
      <c r="C1232" s="9">
        <v>0</v>
      </c>
      <c r="D1232" s="13">
        <f t="shared" si="19"/>
        <v>0.67</v>
      </c>
    </row>
    <row r="1233" spans="1:4" x14ac:dyDescent="0.25">
      <c r="A1233" s="15">
        <f>Sheet2!A1233</f>
        <v>0</v>
      </c>
      <c r="B1233" s="8">
        <v>0.59</v>
      </c>
      <c r="C1233" s="9">
        <v>0</v>
      </c>
      <c r="D1233" s="13">
        <f t="shared" si="19"/>
        <v>0.59</v>
      </c>
    </row>
    <row r="1234" spans="1:4" x14ac:dyDescent="0.25">
      <c r="A1234" s="15">
        <f>Sheet2!A1234</f>
        <v>0</v>
      </c>
      <c r="B1234" s="8">
        <v>0</v>
      </c>
      <c r="C1234" s="9">
        <v>0.21</v>
      </c>
      <c r="D1234" s="13">
        <f t="shared" si="19"/>
        <v>0.21</v>
      </c>
    </row>
    <row r="1235" spans="1:4" x14ac:dyDescent="0.25">
      <c r="A1235" s="15">
        <f>Sheet2!A1235</f>
        <v>0</v>
      </c>
      <c r="B1235" s="8">
        <v>0</v>
      </c>
      <c r="C1235" s="9">
        <v>0.32</v>
      </c>
      <c r="D1235" s="13">
        <f t="shared" si="19"/>
        <v>0.32</v>
      </c>
    </row>
    <row r="1236" spans="1:4" x14ac:dyDescent="0.25">
      <c r="A1236" s="15">
        <f>Sheet2!A1236</f>
        <v>0</v>
      </c>
      <c r="B1236" s="8">
        <v>0.32</v>
      </c>
      <c r="C1236" s="9">
        <v>0</v>
      </c>
      <c r="D1236" s="13">
        <f t="shared" si="19"/>
        <v>0.32</v>
      </c>
    </row>
    <row r="1237" spans="1:4" x14ac:dyDescent="0.25">
      <c r="A1237" s="15">
        <f>Sheet2!A1237</f>
        <v>0</v>
      </c>
      <c r="B1237" s="8">
        <v>0.72</v>
      </c>
      <c r="C1237" s="9">
        <v>0</v>
      </c>
      <c r="D1237" s="13">
        <f t="shared" si="19"/>
        <v>0.72</v>
      </c>
    </row>
    <row r="1238" spans="1:4" x14ac:dyDescent="0.25">
      <c r="A1238" s="15">
        <f>Sheet2!A1238</f>
        <v>0</v>
      </c>
      <c r="B1238" s="8">
        <v>0</v>
      </c>
      <c r="C1238" s="9">
        <v>0.28000000000000003</v>
      </c>
      <c r="D1238" s="13">
        <f t="shared" si="19"/>
        <v>0.28000000000000003</v>
      </c>
    </row>
    <row r="1239" spans="1:4" x14ac:dyDescent="0.25">
      <c r="A1239" s="15">
        <f>Sheet2!A1239</f>
        <v>0</v>
      </c>
      <c r="B1239" s="8">
        <v>0</v>
      </c>
      <c r="C1239" s="9">
        <v>0.73</v>
      </c>
      <c r="D1239" s="13">
        <f t="shared" si="19"/>
        <v>0.73</v>
      </c>
    </row>
    <row r="1240" spans="1:4" x14ac:dyDescent="0.25">
      <c r="A1240" s="15">
        <f>Sheet2!A1240</f>
        <v>0</v>
      </c>
      <c r="B1240" s="8">
        <v>0</v>
      </c>
      <c r="C1240" s="9">
        <v>0.56000000000000005</v>
      </c>
      <c r="D1240" s="13">
        <f t="shared" si="19"/>
        <v>0.56000000000000005</v>
      </c>
    </row>
    <row r="1241" spans="1:4" x14ac:dyDescent="0.25">
      <c r="A1241" s="15">
        <f>Sheet2!A1241</f>
        <v>0</v>
      </c>
      <c r="B1241" s="8">
        <v>1.67</v>
      </c>
      <c r="C1241" s="9">
        <v>0</v>
      </c>
      <c r="D1241" s="13">
        <f t="shared" si="19"/>
        <v>1.67</v>
      </c>
    </row>
    <row r="1242" spans="1:4" x14ac:dyDescent="0.25">
      <c r="A1242" s="15">
        <f>Sheet2!A1242</f>
        <v>0</v>
      </c>
      <c r="B1242" s="8">
        <v>0</v>
      </c>
      <c r="C1242" s="9">
        <v>0.55000000000000004</v>
      </c>
      <c r="D1242" s="13">
        <f t="shared" si="19"/>
        <v>0.55000000000000004</v>
      </c>
    </row>
    <row r="1243" spans="1:4" x14ac:dyDescent="0.25">
      <c r="A1243" s="15">
        <f>Sheet2!A1243</f>
        <v>0</v>
      </c>
      <c r="B1243" s="8">
        <v>0</v>
      </c>
      <c r="C1243" s="9">
        <v>1.03</v>
      </c>
      <c r="D1243" s="13">
        <f t="shared" si="19"/>
        <v>1.03</v>
      </c>
    </row>
    <row r="1244" spans="1:4" x14ac:dyDescent="0.25">
      <c r="A1244" s="15">
        <f>Sheet2!A1244</f>
        <v>0</v>
      </c>
      <c r="B1244" s="8">
        <v>0</v>
      </c>
      <c r="C1244" s="9">
        <v>1.03</v>
      </c>
      <c r="D1244" s="13">
        <f t="shared" si="19"/>
        <v>1.03</v>
      </c>
    </row>
    <row r="1245" spans="1:4" x14ac:dyDescent="0.25">
      <c r="A1245" s="15">
        <f>Sheet2!A1245</f>
        <v>0</v>
      </c>
      <c r="B1245" s="8">
        <v>0</v>
      </c>
      <c r="C1245" s="9">
        <v>0.61</v>
      </c>
      <c r="D1245" s="13">
        <f t="shared" si="19"/>
        <v>0.61</v>
      </c>
    </row>
    <row r="1246" spans="1:4" x14ac:dyDescent="0.25">
      <c r="A1246" s="15">
        <f>Sheet2!A1246</f>
        <v>0</v>
      </c>
      <c r="B1246" s="8">
        <v>0.89</v>
      </c>
      <c r="C1246" s="9">
        <v>0</v>
      </c>
      <c r="D1246" s="13">
        <f t="shared" si="19"/>
        <v>0.89</v>
      </c>
    </row>
    <row r="1247" spans="1:4" x14ac:dyDescent="0.25">
      <c r="A1247" s="15">
        <f>Sheet2!A1247</f>
        <v>0</v>
      </c>
      <c r="B1247" s="8">
        <v>0.98</v>
      </c>
      <c r="C1247" s="9">
        <v>0</v>
      </c>
      <c r="D1247" s="13">
        <f t="shared" si="19"/>
        <v>0.98</v>
      </c>
    </row>
    <row r="1248" spans="1:4" x14ac:dyDescent="0.25">
      <c r="A1248" s="15">
        <f>Sheet2!A1248</f>
        <v>0</v>
      </c>
      <c r="B1248" s="8">
        <v>0.82</v>
      </c>
      <c r="C1248" s="9">
        <v>0</v>
      </c>
      <c r="D1248" s="13">
        <f t="shared" si="19"/>
        <v>0.82</v>
      </c>
    </row>
    <row r="1249" spans="1:4" x14ac:dyDescent="0.25">
      <c r="A1249" s="15">
        <f>Sheet2!A1249</f>
        <v>0</v>
      </c>
      <c r="B1249" s="8">
        <v>1.04</v>
      </c>
      <c r="C1249" s="9">
        <v>0</v>
      </c>
      <c r="D1249" s="13">
        <f t="shared" si="19"/>
        <v>1.04</v>
      </c>
    </row>
    <row r="1250" spans="1:4" x14ac:dyDescent="0.25">
      <c r="A1250" s="15">
        <f>Sheet2!A1250</f>
        <v>0</v>
      </c>
      <c r="B1250" s="8">
        <v>0.77</v>
      </c>
      <c r="C1250" s="9">
        <v>0</v>
      </c>
      <c r="D1250" s="13">
        <f t="shared" si="19"/>
        <v>0.77</v>
      </c>
    </row>
    <row r="1251" spans="1:4" x14ac:dyDescent="0.25">
      <c r="A1251" s="15">
        <f>Sheet2!A1251</f>
        <v>0</v>
      </c>
      <c r="B1251" s="8">
        <v>0.93</v>
      </c>
      <c r="C1251" s="9">
        <v>0</v>
      </c>
      <c r="D1251" s="13">
        <f t="shared" si="19"/>
        <v>0.93</v>
      </c>
    </row>
    <row r="1252" spans="1:4" x14ac:dyDescent="0.25">
      <c r="A1252" s="15">
        <f>Sheet2!A1252</f>
        <v>0</v>
      </c>
      <c r="B1252" s="8">
        <v>1.01</v>
      </c>
      <c r="C1252" s="9">
        <v>0</v>
      </c>
      <c r="D1252" s="13">
        <f t="shared" si="19"/>
        <v>1.01</v>
      </c>
    </row>
    <row r="1253" spans="1:4" x14ac:dyDescent="0.25">
      <c r="A1253" s="15">
        <f>Sheet2!A1253</f>
        <v>0</v>
      </c>
      <c r="B1253" s="8">
        <v>1.22</v>
      </c>
      <c r="C1253" s="9">
        <v>0</v>
      </c>
      <c r="D1253" s="13">
        <f t="shared" si="19"/>
        <v>1.22</v>
      </c>
    </row>
    <row r="1254" spans="1:4" x14ac:dyDescent="0.25">
      <c r="A1254" s="15">
        <f>Sheet2!A1254</f>
        <v>0</v>
      </c>
      <c r="B1254" s="8">
        <v>0</v>
      </c>
      <c r="C1254" s="9">
        <v>0.87</v>
      </c>
      <c r="D1254" s="13">
        <f t="shared" si="19"/>
        <v>0.87</v>
      </c>
    </row>
    <row r="1255" spans="1:4" x14ac:dyDescent="0.25">
      <c r="A1255" s="15">
        <f>Sheet2!A1255</f>
        <v>0</v>
      </c>
      <c r="B1255" s="8">
        <v>0</v>
      </c>
      <c r="C1255" s="9">
        <v>0.26</v>
      </c>
      <c r="D1255" s="13">
        <f t="shared" si="19"/>
        <v>0.26</v>
      </c>
    </row>
    <row r="1256" spans="1:4" x14ac:dyDescent="0.25">
      <c r="A1256" s="15">
        <f>Sheet2!A1256</f>
        <v>0</v>
      </c>
      <c r="B1256" s="8">
        <v>0.91</v>
      </c>
      <c r="C1256" s="9">
        <v>0</v>
      </c>
      <c r="D1256" s="13">
        <f t="shared" si="19"/>
        <v>0.91</v>
      </c>
    </row>
    <row r="1257" spans="1:4" x14ac:dyDescent="0.25">
      <c r="A1257" s="15">
        <f>Sheet2!A1257</f>
        <v>0</v>
      </c>
      <c r="B1257" s="8">
        <v>0.51</v>
      </c>
      <c r="C1257" s="9">
        <v>0</v>
      </c>
      <c r="D1257" s="13">
        <f t="shared" si="19"/>
        <v>0.51</v>
      </c>
    </row>
    <row r="1258" spans="1:4" x14ac:dyDescent="0.25">
      <c r="A1258" s="15">
        <f>Sheet2!A1258</f>
        <v>0</v>
      </c>
      <c r="B1258" s="8">
        <v>0.43</v>
      </c>
      <c r="C1258" s="9">
        <v>0</v>
      </c>
      <c r="D1258" s="13">
        <f t="shared" si="19"/>
        <v>0.43</v>
      </c>
    </row>
    <row r="1259" spans="1:4" x14ac:dyDescent="0.25">
      <c r="A1259" s="15">
        <f>Sheet2!A1259</f>
        <v>0</v>
      </c>
      <c r="B1259" s="8">
        <v>0.59</v>
      </c>
      <c r="C1259" s="9">
        <v>0</v>
      </c>
      <c r="D1259" s="13">
        <f t="shared" si="19"/>
        <v>0.59</v>
      </c>
    </row>
    <row r="1260" spans="1:4" x14ac:dyDescent="0.25">
      <c r="A1260" s="15">
        <f>Sheet2!A1260</f>
        <v>0</v>
      </c>
      <c r="B1260" s="8">
        <v>0</v>
      </c>
      <c r="C1260" s="9">
        <v>0.35</v>
      </c>
      <c r="D1260" s="13">
        <f t="shared" si="19"/>
        <v>0.35</v>
      </c>
    </row>
    <row r="1261" spans="1:4" x14ac:dyDescent="0.25">
      <c r="A1261" s="15">
        <f>Sheet2!A1261</f>
        <v>0</v>
      </c>
      <c r="B1261" s="8">
        <v>0</v>
      </c>
      <c r="C1261" s="9">
        <v>0.86</v>
      </c>
      <c r="D1261" s="13">
        <f t="shared" si="19"/>
        <v>0.86</v>
      </c>
    </row>
    <row r="1262" spans="1:4" x14ac:dyDescent="0.25">
      <c r="A1262" s="15">
        <f>Sheet2!A1262</f>
        <v>0</v>
      </c>
      <c r="B1262" s="8">
        <v>0</v>
      </c>
      <c r="C1262" s="9">
        <v>0.31</v>
      </c>
      <c r="D1262" s="13">
        <f t="shared" si="19"/>
        <v>0.31</v>
      </c>
    </row>
    <row r="1263" spans="1:4" x14ac:dyDescent="0.25">
      <c r="A1263" s="15">
        <f>Sheet2!A1263</f>
        <v>0</v>
      </c>
      <c r="B1263" s="8">
        <v>1.3</v>
      </c>
      <c r="C1263" s="9">
        <v>0</v>
      </c>
      <c r="D1263" s="13">
        <f t="shared" si="19"/>
        <v>1.3</v>
      </c>
    </row>
    <row r="1264" spans="1:4" x14ac:dyDescent="0.25">
      <c r="A1264" s="15">
        <f>Sheet2!A1264</f>
        <v>0</v>
      </c>
      <c r="B1264" s="8">
        <v>0</v>
      </c>
      <c r="C1264" s="9">
        <v>0.36</v>
      </c>
      <c r="D1264" s="13">
        <f t="shared" si="19"/>
        <v>0.36</v>
      </c>
    </row>
    <row r="1265" spans="1:4" x14ac:dyDescent="0.25">
      <c r="A1265" s="15">
        <f>Sheet2!A1265</f>
        <v>0</v>
      </c>
      <c r="B1265" s="8">
        <v>0</v>
      </c>
      <c r="C1265" s="9">
        <v>1.5</v>
      </c>
      <c r="D1265" s="13">
        <f t="shared" si="19"/>
        <v>1.5</v>
      </c>
    </row>
    <row r="1266" spans="1:4" x14ac:dyDescent="0.25">
      <c r="A1266" s="15">
        <f>Sheet2!A1266</f>
        <v>0</v>
      </c>
      <c r="B1266" s="8">
        <v>0</v>
      </c>
      <c r="C1266" s="9">
        <v>0.37</v>
      </c>
      <c r="D1266" s="13">
        <f t="shared" si="19"/>
        <v>0.37</v>
      </c>
    </row>
    <row r="1267" spans="1:4" x14ac:dyDescent="0.25">
      <c r="A1267" s="15">
        <f>Sheet2!A1267</f>
        <v>0</v>
      </c>
      <c r="B1267" s="8">
        <v>3.16</v>
      </c>
      <c r="C1267" s="9">
        <v>0</v>
      </c>
      <c r="D1267" s="13">
        <f t="shared" si="19"/>
        <v>3.16</v>
      </c>
    </row>
    <row r="1268" spans="1:4" x14ac:dyDescent="0.25">
      <c r="A1268" s="15">
        <f>Sheet2!A1268</f>
        <v>0</v>
      </c>
      <c r="B1268" s="8">
        <v>0</v>
      </c>
      <c r="C1268" s="9">
        <v>0.51</v>
      </c>
      <c r="D1268" s="13">
        <f t="shared" si="19"/>
        <v>0.51</v>
      </c>
    </row>
    <row r="1269" spans="1:4" x14ac:dyDescent="0.25">
      <c r="A1269" s="15">
        <f>Sheet2!A1269</f>
        <v>0</v>
      </c>
      <c r="B1269" s="8">
        <v>0</v>
      </c>
      <c r="C1269" s="9">
        <v>0.87</v>
      </c>
      <c r="D1269" s="13">
        <f t="shared" si="19"/>
        <v>0.87</v>
      </c>
    </row>
    <row r="1270" spans="1:4" x14ac:dyDescent="0.25">
      <c r="A1270" s="15">
        <f>Sheet2!A1270</f>
        <v>0</v>
      </c>
      <c r="B1270" s="8">
        <v>0</v>
      </c>
      <c r="C1270" s="9">
        <v>0.46</v>
      </c>
      <c r="D1270" s="13">
        <f t="shared" si="19"/>
        <v>0.46</v>
      </c>
    </row>
    <row r="1271" spans="1:4" x14ac:dyDescent="0.25">
      <c r="A1271" s="15">
        <f>Sheet2!A1271</f>
        <v>0</v>
      </c>
      <c r="B1271" s="8">
        <v>1.55</v>
      </c>
      <c r="C1271" s="9">
        <v>0</v>
      </c>
      <c r="D1271" s="13">
        <f t="shared" si="19"/>
        <v>1.55</v>
      </c>
    </row>
    <row r="1272" spans="1:4" x14ac:dyDescent="0.25">
      <c r="A1272" s="15">
        <f>Sheet2!A1272</f>
        <v>0</v>
      </c>
      <c r="B1272" s="8">
        <v>0.77</v>
      </c>
      <c r="C1272" s="9">
        <v>0</v>
      </c>
      <c r="D1272" s="13">
        <f t="shared" si="19"/>
        <v>0.77</v>
      </c>
    </row>
    <row r="1273" spans="1:4" x14ac:dyDescent="0.25">
      <c r="A1273" s="15">
        <f>Sheet2!A1273</f>
        <v>0</v>
      </c>
      <c r="B1273" s="8">
        <v>1.03</v>
      </c>
      <c r="C1273" s="9">
        <v>0</v>
      </c>
      <c r="D1273" s="13">
        <f t="shared" si="19"/>
        <v>1.03</v>
      </c>
    </row>
    <row r="1274" spans="1:4" x14ac:dyDescent="0.25">
      <c r="A1274" s="15">
        <f>Sheet2!A1274</f>
        <v>0</v>
      </c>
      <c r="B1274" s="8">
        <v>1.05</v>
      </c>
      <c r="C1274" s="9">
        <v>0</v>
      </c>
      <c r="D1274" s="13">
        <f t="shared" si="19"/>
        <v>1.05</v>
      </c>
    </row>
    <row r="1275" spans="1:4" x14ac:dyDescent="0.25">
      <c r="A1275" s="15">
        <f>Sheet2!A1275</f>
        <v>0</v>
      </c>
      <c r="B1275" s="8">
        <v>1.01</v>
      </c>
      <c r="C1275" s="9">
        <v>0</v>
      </c>
      <c r="D1275" s="13">
        <f t="shared" si="19"/>
        <v>1.01</v>
      </c>
    </row>
    <row r="1276" spans="1:4" x14ac:dyDescent="0.25">
      <c r="A1276" s="15">
        <f>Sheet2!A1276</f>
        <v>0</v>
      </c>
      <c r="B1276" s="8">
        <v>0.89</v>
      </c>
      <c r="C1276" s="9">
        <v>0</v>
      </c>
      <c r="D1276" s="13">
        <f t="shared" si="19"/>
        <v>0.89</v>
      </c>
    </row>
    <row r="1277" spans="1:4" x14ac:dyDescent="0.25">
      <c r="A1277" s="15">
        <f>Sheet2!A1277</f>
        <v>0</v>
      </c>
      <c r="B1277" s="8">
        <v>0.87</v>
      </c>
      <c r="C1277" s="9">
        <v>0</v>
      </c>
      <c r="D1277" s="13">
        <f t="shared" si="19"/>
        <v>0.87</v>
      </c>
    </row>
    <row r="1278" spans="1:4" x14ac:dyDescent="0.25">
      <c r="A1278" s="15">
        <f>Sheet2!A1278</f>
        <v>0</v>
      </c>
      <c r="B1278" s="8">
        <v>0.74</v>
      </c>
      <c r="C1278" s="9">
        <v>0</v>
      </c>
      <c r="D1278" s="13">
        <f t="shared" si="19"/>
        <v>0.74</v>
      </c>
    </row>
    <row r="1279" spans="1:4" x14ac:dyDescent="0.25">
      <c r="A1279" s="15">
        <f>Sheet2!A1279</f>
        <v>0</v>
      </c>
      <c r="B1279" s="8">
        <v>1.2</v>
      </c>
      <c r="C1279" s="9">
        <v>0</v>
      </c>
      <c r="D1279" s="13">
        <f t="shared" si="19"/>
        <v>1.2</v>
      </c>
    </row>
    <row r="1280" spans="1:4" x14ac:dyDescent="0.25">
      <c r="A1280" s="15">
        <f>Sheet2!A1280</f>
        <v>0</v>
      </c>
      <c r="B1280" s="8">
        <v>0.54</v>
      </c>
      <c r="C1280" s="9">
        <v>0</v>
      </c>
      <c r="D1280" s="13">
        <f t="shared" si="19"/>
        <v>0.54</v>
      </c>
    </row>
    <row r="1281" spans="1:4" x14ac:dyDescent="0.25">
      <c r="A1281" s="15">
        <f>Sheet2!A1281</f>
        <v>0</v>
      </c>
      <c r="B1281" s="8">
        <v>0.82</v>
      </c>
      <c r="C1281" s="9">
        <v>0</v>
      </c>
      <c r="D1281" s="13">
        <f t="shared" si="19"/>
        <v>0.82</v>
      </c>
    </row>
    <row r="1282" spans="1:4" x14ac:dyDescent="0.25">
      <c r="A1282" s="15">
        <f>Sheet2!A1282</f>
        <v>0</v>
      </c>
      <c r="B1282" s="8">
        <v>0</v>
      </c>
      <c r="C1282" s="9">
        <v>0.66</v>
      </c>
      <c r="D1282" s="13">
        <f t="shared" si="19"/>
        <v>0.66</v>
      </c>
    </row>
    <row r="1283" spans="1:4" x14ac:dyDescent="0.25">
      <c r="A1283" s="15">
        <f>Sheet2!A1283</f>
        <v>0</v>
      </c>
      <c r="B1283" s="8">
        <v>0</v>
      </c>
      <c r="C1283" s="9">
        <v>0.63</v>
      </c>
      <c r="D1283" s="13">
        <f t="shared" ref="D1283:D1346" si="20">B1283+C1283</f>
        <v>0.63</v>
      </c>
    </row>
    <row r="1284" spans="1:4" x14ac:dyDescent="0.25">
      <c r="A1284" s="15">
        <f>Sheet2!A1284</f>
        <v>0</v>
      </c>
      <c r="B1284" s="8">
        <v>0</v>
      </c>
      <c r="C1284" s="9">
        <v>0.33</v>
      </c>
      <c r="D1284" s="13">
        <f t="shared" si="20"/>
        <v>0.33</v>
      </c>
    </row>
    <row r="1285" spans="1:4" x14ac:dyDescent="0.25">
      <c r="A1285" s="15">
        <f>Sheet2!A1285</f>
        <v>0</v>
      </c>
      <c r="B1285" s="8">
        <v>0.83</v>
      </c>
      <c r="C1285" s="9">
        <v>0</v>
      </c>
      <c r="D1285" s="13">
        <f t="shared" si="20"/>
        <v>0.83</v>
      </c>
    </row>
    <row r="1286" spans="1:4" x14ac:dyDescent="0.25">
      <c r="A1286" s="15">
        <f>Sheet2!A1286</f>
        <v>0</v>
      </c>
      <c r="B1286" s="8">
        <v>0.38</v>
      </c>
      <c r="C1286" s="9">
        <v>0</v>
      </c>
      <c r="D1286" s="13">
        <f t="shared" si="20"/>
        <v>0.38</v>
      </c>
    </row>
    <row r="1287" spans="1:4" x14ac:dyDescent="0.25">
      <c r="A1287" s="15">
        <f>Sheet2!A1287</f>
        <v>0</v>
      </c>
      <c r="B1287" s="8">
        <v>0</v>
      </c>
      <c r="C1287" s="9">
        <v>0.72</v>
      </c>
      <c r="D1287" s="13">
        <f t="shared" si="20"/>
        <v>0.72</v>
      </c>
    </row>
    <row r="1288" spans="1:4" x14ac:dyDescent="0.25">
      <c r="A1288" s="15">
        <f>Sheet2!A1288</f>
        <v>0</v>
      </c>
      <c r="B1288" s="8">
        <v>0</v>
      </c>
      <c r="C1288" s="9">
        <v>0.69</v>
      </c>
      <c r="D1288" s="13">
        <f t="shared" si="20"/>
        <v>0.69</v>
      </c>
    </row>
    <row r="1289" spans="1:4" x14ac:dyDescent="0.25">
      <c r="A1289" s="15">
        <f>Sheet2!A1289</f>
        <v>0</v>
      </c>
      <c r="B1289" s="8">
        <v>0</v>
      </c>
      <c r="C1289" s="9">
        <v>1.39</v>
      </c>
      <c r="D1289" s="13">
        <f t="shared" si="20"/>
        <v>1.39</v>
      </c>
    </row>
    <row r="1290" spans="1:4" x14ac:dyDescent="0.25">
      <c r="A1290" s="15">
        <f>Sheet2!A1290</f>
        <v>0</v>
      </c>
      <c r="B1290" s="8">
        <v>0</v>
      </c>
      <c r="C1290" s="9">
        <v>0.45</v>
      </c>
      <c r="D1290" s="13">
        <f t="shared" si="20"/>
        <v>0.45</v>
      </c>
    </row>
    <row r="1291" spans="1:4" x14ac:dyDescent="0.25">
      <c r="A1291" s="15">
        <f>Sheet2!A1291</f>
        <v>0</v>
      </c>
      <c r="B1291" s="8">
        <v>1.8</v>
      </c>
      <c r="C1291" s="9">
        <v>0</v>
      </c>
      <c r="D1291" s="13">
        <f t="shared" si="20"/>
        <v>1.8</v>
      </c>
    </row>
    <row r="1292" spans="1:4" x14ac:dyDescent="0.25">
      <c r="A1292" s="15">
        <f>Sheet2!A1292</f>
        <v>0</v>
      </c>
      <c r="B1292" s="8">
        <v>0</v>
      </c>
      <c r="C1292" s="9">
        <v>0.46</v>
      </c>
      <c r="D1292" s="13">
        <f t="shared" si="20"/>
        <v>0.46</v>
      </c>
    </row>
    <row r="1293" spans="1:4" x14ac:dyDescent="0.25">
      <c r="A1293" s="15">
        <f>Sheet2!A1293</f>
        <v>0</v>
      </c>
      <c r="B1293" s="8">
        <v>0</v>
      </c>
      <c r="C1293" s="9">
        <v>0.7</v>
      </c>
      <c r="D1293" s="13">
        <f t="shared" si="20"/>
        <v>0.7</v>
      </c>
    </row>
    <row r="1294" spans="1:4" x14ac:dyDescent="0.25">
      <c r="A1294" s="15">
        <f>Sheet2!A1294</f>
        <v>0</v>
      </c>
      <c r="B1294" s="8">
        <v>0.78</v>
      </c>
      <c r="C1294" s="9">
        <v>0</v>
      </c>
      <c r="D1294" s="13">
        <f t="shared" si="20"/>
        <v>0.78</v>
      </c>
    </row>
    <row r="1295" spans="1:4" x14ac:dyDescent="0.25">
      <c r="A1295" s="15">
        <f>Sheet2!A1295</f>
        <v>0</v>
      </c>
      <c r="B1295" s="8">
        <v>0.87</v>
      </c>
      <c r="C1295" s="9">
        <v>0</v>
      </c>
      <c r="D1295" s="13">
        <f t="shared" si="20"/>
        <v>0.87</v>
      </c>
    </row>
    <row r="1296" spans="1:4" x14ac:dyDescent="0.25">
      <c r="A1296" s="15">
        <f>Sheet2!A1296</f>
        <v>0</v>
      </c>
      <c r="B1296" s="8">
        <v>0.63</v>
      </c>
      <c r="C1296" s="9">
        <v>0</v>
      </c>
      <c r="D1296" s="13">
        <f t="shared" si="20"/>
        <v>0.63</v>
      </c>
    </row>
    <row r="1297" spans="1:4" x14ac:dyDescent="0.25">
      <c r="A1297" s="15">
        <f>Sheet2!A1297</f>
        <v>0</v>
      </c>
      <c r="B1297" s="8">
        <v>0.85</v>
      </c>
      <c r="C1297" s="9">
        <v>0</v>
      </c>
      <c r="D1297" s="13">
        <f t="shared" si="20"/>
        <v>0.85</v>
      </c>
    </row>
    <row r="1298" spans="1:4" x14ac:dyDescent="0.25">
      <c r="A1298" s="15">
        <f>Sheet2!A1298</f>
        <v>0</v>
      </c>
      <c r="B1298" s="8">
        <v>0.99</v>
      </c>
      <c r="C1298" s="9">
        <v>0</v>
      </c>
      <c r="D1298" s="13">
        <f t="shared" si="20"/>
        <v>0.99</v>
      </c>
    </row>
    <row r="1299" spans="1:4" x14ac:dyDescent="0.25">
      <c r="A1299" s="15">
        <f>Sheet2!A1299</f>
        <v>0</v>
      </c>
      <c r="B1299" s="8">
        <v>0.87</v>
      </c>
      <c r="C1299" s="9">
        <v>0</v>
      </c>
      <c r="D1299" s="13">
        <f t="shared" si="20"/>
        <v>0.87</v>
      </c>
    </row>
    <row r="1300" spans="1:4" x14ac:dyDescent="0.25">
      <c r="A1300" s="15">
        <f>Sheet2!A1300</f>
        <v>0</v>
      </c>
      <c r="B1300" s="8">
        <v>0.94</v>
      </c>
      <c r="C1300" s="9">
        <v>0</v>
      </c>
      <c r="D1300" s="13">
        <f t="shared" si="20"/>
        <v>0.94</v>
      </c>
    </row>
    <row r="1301" spans="1:4" x14ac:dyDescent="0.25">
      <c r="A1301" s="15">
        <f>Sheet2!A1301</f>
        <v>0</v>
      </c>
      <c r="B1301" s="8">
        <v>1.21</v>
      </c>
      <c r="C1301" s="9">
        <v>0</v>
      </c>
      <c r="D1301" s="13">
        <f t="shared" si="20"/>
        <v>1.21</v>
      </c>
    </row>
    <row r="1302" spans="1:4" x14ac:dyDescent="0.25">
      <c r="A1302" s="15">
        <f>Sheet2!A1302</f>
        <v>0</v>
      </c>
      <c r="B1302" s="8">
        <v>0.76</v>
      </c>
      <c r="C1302" s="9">
        <v>0</v>
      </c>
      <c r="D1302" s="13">
        <f t="shared" si="20"/>
        <v>0.76</v>
      </c>
    </row>
    <row r="1303" spans="1:4" x14ac:dyDescent="0.25">
      <c r="A1303" s="15">
        <f>Sheet2!A1303</f>
        <v>0</v>
      </c>
      <c r="B1303" s="8">
        <v>1.35</v>
      </c>
      <c r="C1303" s="9">
        <v>0</v>
      </c>
      <c r="D1303" s="13">
        <f t="shared" si="20"/>
        <v>1.35</v>
      </c>
    </row>
    <row r="1304" spans="1:4" x14ac:dyDescent="0.25">
      <c r="A1304" s="15">
        <f>Sheet2!A1304</f>
        <v>0</v>
      </c>
      <c r="B1304" s="8">
        <v>0.47</v>
      </c>
      <c r="C1304" s="9">
        <v>0</v>
      </c>
      <c r="D1304" s="13">
        <f t="shared" si="20"/>
        <v>0.47</v>
      </c>
    </row>
    <row r="1305" spans="1:4" x14ac:dyDescent="0.25">
      <c r="A1305" s="15">
        <f>Sheet2!A1305</f>
        <v>0</v>
      </c>
      <c r="B1305" s="8">
        <v>1.44</v>
      </c>
      <c r="C1305" s="9">
        <v>0</v>
      </c>
      <c r="D1305" s="13">
        <f t="shared" si="20"/>
        <v>1.44</v>
      </c>
    </row>
    <row r="1306" spans="1:4" x14ac:dyDescent="0.25">
      <c r="A1306" s="15">
        <f>Sheet2!A1306</f>
        <v>0</v>
      </c>
      <c r="B1306" s="8">
        <v>0.99</v>
      </c>
      <c r="C1306" s="9">
        <v>0</v>
      </c>
      <c r="D1306" s="13">
        <f t="shared" si="20"/>
        <v>0.99</v>
      </c>
    </row>
    <row r="1307" spans="1:4" x14ac:dyDescent="0.25">
      <c r="A1307" s="15">
        <f>Sheet2!A1307</f>
        <v>0</v>
      </c>
      <c r="B1307" s="8">
        <v>1.5</v>
      </c>
      <c r="C1307" s="9">
        <v>0</v>
      </c>
      <c r="D1307" s="13">
        <f t="shared" si="20"/>
        <v>1.5</v>
      </c>
    </row>
    <row r="1308" spans="1:4" x14ac:dyDescent="0.25">
      <c r="A1308" s="15">
        <f>Sheet2!A1308</f>
        <v>0</v>
      </c>
      <c r="B1308" s="8">
        <v>0</v>
      </c>
      <c r="C1308" s="9">
        <v>1.0900000000000001</v>
      </c>
      <c r="D1308" s="13">
        <f t="shared" si="20"/>
        <v>1.0900000000000001</v>
      </c>
    </row>
    <row r="1309" spans="1:4" x14ac:dyDescent="0.25">
      <c r="A1309" s="15">
        <f>Sheet2!A1309</f>
        <v>0</v>
      </c>
      <c r="B1309" s="8">
        <v>0</v>
      </c>
      <c r="C1309" s="9">
        <v>1.19</v>
      </c>
      <c r="D1309" s="13">
        <f t="shared" si="20"/>
        <v>1.19</v>
      </c>
    </row>
    <row r="1310" spans="1:4" x14ac:dyDescent="0.25">
      <c r="A1310" s="15">
        <f>Sheet2!A1310</f>
        <v>0</v>
      </c>
      <c r="B1310" s="8">
        <v>0</v>
      </c>
      <c r="C1310" s="9">
        <v>0.2</v>
      </c>
      <c r="D1310" s="13">
        <f t="shared" si="20"/>
        <v>0.2</v>
      </c>
    </row>
    <row r="1311" spans="1:4" x14ac:dyDescent="0.25">
      <c r="A1311" s="15">
        <f>Sheet2!A1311</f>
        <v>0</v>
      </c>
      <c r="B1311" s="8">
        <v>1.36</v>
      </c>
      <c r="C1311" s="9">
        <v>0</v>
      </c>
      <c r="D1311" s="13">
        <f t="shared" si="20"/>
        <v>1.36</v>
      </c>
    </row>
    <row r="1312" spans="1:4" x14ac:dyDescent="0.25">
      <c r="A1312" s="15">
        <f>Sheet2!A1312</f>
        <v>0</v>
      </c>
      <c r="B1312" s="8">
        <v>0</v>
      </c>
      <c r="C1312" s="9">
        <v>0.79</v>
      </c>
      <c r="D1312" s="13">
        <f t="shared" si="20"/>
        <v>0.79</v>
      </c>
    </row>
    <row r="1313" spans="1:4" x14ac:dyDescent="0.25">
      <c r="A1313" s="15">
        <f>Sheet2!A1313</f>
        <v>0</v>
      </c>
      <c r="B1313" s="8">
        <v>0</v>
      </c>
      <c r="C1313" s="9">
        <v>1.18</v>
      </c>
      <c r="D1313" s="13">
        <f t="shared" si="20"/>
        <v>1.18</v>
      </c>
    </row>
    <row r="1314" spans="1:4" x14ac:dyDescent="0.25">
      <c r="A1314" s="15">
        <f>Sheet2!A1314</f>
        <v>0</v>
      </c>
      <c r="B1314" s="8">
        <v>0</v>
      </c>
      <c r="C1314" s="9">
        <v>0.28000000000000003</v>
      </c>
      <c r="D1314" s="13">
        <f t="shared" si="20"/>
        <v>0.28000000000000003</v>
      </c>
    </row>
    <row r="1315" spans="1:4" x14ac:dyDescent="0.25">
      <c r="A1315" s="15">
        <f>Sheet2!A1315</f>
        <v>0</v>
      </c>
      <c r="B1315" s="8">
        <v>0.9</v>
      </c>
      <c r="C1315" s="9">
        <v>0</v>
      </c>
      <c r="D1315" s="13">
        <f t="shared" si="20"/>
        <v>0.9</v>
      </c>
    </row>
    <row r="1316" spans="1:4" x14ac:dyDescent="0.25">
      <c r="A1316" s="15">
        <f>Sheet2!A1316</f>
        <v>0</v>
      </c>
      <c r="B1316" s="8">
        <v>0</v>
      </c>
      <c r="C1316" s="9">
        <v>0.64</v>
      </c>
      <c r="D1316" s="13">
        <f t="shared" si="20"/>
        <v>0.64</v>
      </c>
    </row>
    <row r="1317" spans="1:4" x14ac:dyDescent="0.25">
      <c r="A1317" s="15">
        <f>Sheet2!A1317</f>
        <v>0</v>
      </c>
      <c r="B1317" s="8">
        <v>0</v>
      </c>
      <c r="C1317" s="9">
        <v>0.84</v>
      </c>
      <c r="D1317" s="13">
        <f t="shared" si="20"/>
        <v>0.84</v>
      </c>
    </row>
    <row r="1318" spans="1:4" x14ac:dyDescent="0.25">
      <c r="A1318" s="15">
        <f>Sheet2!A1318</f>
        <v>0</v>
      </c>
      <c r="B1318" s="8">
        <v>1.17</v>
      </c>
      <c r="C1318" s="9">
        <v>0</v>
      </c>
      <c r="D1318" s="13">
        <f t="shared" si="20"/>
        <v>1.17</v>
      </c>
    </row>
    <row r="1319" spans="1:4" x14ac:dyDescent="0.25">
      <c r="A1319" s="15">
        <f>Sheet2!A1319</f>
        <v>0</v>
      </c>
      <c r="B1319" s="8">
        <v>0.84</v>
      </c>
      <c r="C1319" s="9">
        <v>0</v>
      </c>
      <c r="D1319" s="13">
        <f t="shared" si="20"/>
        <v>0.84</v>
      </c>
    </row>
    <row r="1320" spans="1:4" x14ac:dyDescent="0.25">
      <c r="A1320" s="15">
        <f>Sheet2!A1320</f>
        <v>0</v>
      </c>
      <c r="B1320" s="8">
        <v>1.6</v>
      </c>
      <c r="C1320" s="9">
        <v>0</v>
      </c>
      <c r="D1320" s="13">
        <f t="shared" si="20"/>
        <v>1.6</v>
      </c>
    </row>
    <row r="1321" spans="1:4" x14ac:dyDescent="0.25">
      <c r="A1321" s="15">
        <f>Sheet2!A1321</f>
        <v>0</v>
      </c>
      <c r="B1321" s="8">
        <v>0.84</v>
      </c>
      <c r="C1321" s="9">
        <v>0</v>
      </c>
      <c r="D1321" s="13">
        <f t="shared" si="20"/>
        <v>0.84</v>
      </c>
    </row>
    <row r="1322" spans="1:4" x14ac:dyDescent="0.25">
      <c r="A1322" s="15">
        <f>Sheet2!A1322</f>
        <v>0</v>
      </c>
      <c r="B1322" s="8">
        <v>1.03</v>
      </c>
      <c r="C1322" s="9">
        <v>0</v>
      </c>
      <c r="D1322" s="13">
        <f t="shared" si="20"/>
        <v>1.03</v>
      </c>
    </row>
    <row r="1323" spans="1:4" x14ac:dyDescent="0.25">
      <c r="A1323" s="15">
        <f>Sheet2!A1323</f>
        <v>0</v>
      </c>
      <c r="B1323" s="8">
        <v>0.89</v>
      </c>
      <c r="C1323" s="9">
        <v>0</v>
      </c>
      <c r="D1323" s="13">
        <f t="shared" si="20"/>
        <v>0.89</v>
      </c>
    </row>
    <row r="1324" spans="1:4" x14ac:dyDescent="0.25">
      <c r="A1324" s="15">
        <f>Sheet2!A1324</f>
        <v>0</v>
      </c>
      <c r="B1324" s="8">
        <v>0.69</v>
      </c>
      <c r="C1324" s="9">
        <v>0</v>
      </c>
      <c r="D1324" s="13">
        <f t="shared" si="20"/>
        <v>0.69</v>
      </c>
    </row>
    <row r="1325" spans="1:4" x14ac:dyDescent="0.25">
      <c r="A1325" s="15">
        <f>Sheet2!A1325</f>
        <v>0</v>
      </c>
      <c r="B1325" s="8">
        <v>1.42</v>
      </c>
      <c r="C1325" s="9">
        <v>0</v>
      </c>
      <c r="D1325" s="13">
        <f t="shared" si="20"/>
        <v>1.42</v>
      </c>
    </row>
    <row r="1326" spans="1:4" x14ac:dyDescent="0.25">
      <c r="A1326" s="15">
        <f>Sheet2!A1326</f>
        <v>0</v>
      </c>
      <c r="B1326" s="8">
        <v>0</v>
      </c>
      <c r="C1326" s="9">
        <v>0.32</v>
      </c>
      <c r="D1326" s="13">
        <f t="shared" si="20"/>
        <v>0.32</v>
      </c>
    </row>
    <row r="1327" spans="1:4" x14ac:dyDescent="0.25">
      <c r="A1327" s="15">
        <f>Sheet2!A1327</f>
        <v>0</v>
      </c>
      <c r="B1327" s="8">
        <v>0</v>
      </c>
      <c r="C1327" s="9">
        <v>0.74</v>
      </c>
      <c r="D1327" s="13">
        <f t="shared" si="20"/>
        <v>0.74</v>
      </c>
    </row>
    <row r="1328" spans="1:4" x14ac:dyDescent="0.25">
      <c r="A1328" s="15">
        <f>Sheet2!A1328</f>
        <v>0</v>
      </c>
      <c r="B1328" s="8">
        <v>0.68</v>
      </c>
      <c r="C1328" s="9">
        <v>0</v>
      </c>
      <c r="D1328" s="13">
        <f t="shared" si="20"/>
        <v>0.68</v>
      </c>
    </row>
    <row r="1329" spans="1:4" x14ac:dyDescent="0.25">
      <c r="A1329" s="15">
        <f>Sheet2!A1329</f>
        <v>0</v>
      </c>
      <c r="B1329" s="8">
        <v>0.68</v>
      </c>
      <c r="C1329" s="9">
        <v>0</v>
      </c>
      <c r="D1329" s="13">
        <f t="shared" si="20"/>
        <v>0.68</v>
      </c>
    </row>
    <row r="1330" spans="1:4" x14ac:dyDescent="0.25">
      <c r="A1330" s="15">
        <f>Sheet2!A1330</f>
        <v>0</v>
      </c>
      <c r="B1330" s="8">
        <v>1.42</v>
      </c>
      <c r="C1330" s="9">
        <v>0</v>
      </c>
      <c r="D1330" s="13">
        <f t="shared" si="20"/>
        <v>1.42</v>
      </c>
    </row>
    <row r="1331" spans="1:4" x14ac:dyDescent="0.25">
      <c r="A1331" s="15">
        <f>Sheet2!A1331</f>
        <v>0</v>
      </c>
      <c r="B1331" s="8">
        <v>1.04</v>
      </c>
      <c r="C1331" s="9">
        <v>0</v>
      </c>
      <c r="D1331" s="13">
        <f t="shared" si="20"/>
        <v>1.04</v>
      </c>
    </row>
    <row r="1332" spans="1:4" x14ac:dyDescent="0.25">
      <c r="A1332" s="15">
        <f>Sheet2!A1332</f>
        <v>0</v>
      </c>
      <c r="B1332" s="8">
        <v>0</v>
      </c>
      <c r="C1332" s="9">
        <v>0.45</v>
      </c>
      <c r="D1332" s="13">
        <f t="shared" si="20"/>
        <v>0.45</v>
      </c>
    </row>
    <row r="1333" spans="1:4" x14ac:dyDescent="0.25">
      <c r="A1333" s="15">
        <f>Sheet2!A1333</f>
        <v>0</v>
      </c>
      <c r="B1333" s="8">
        <v>0</v>
      </c>
      <c r="C1333" s="9">
        <v>0.86</v>
      </c>
      <c r="D1333" s="13">
        <f t="shared" si="20"/>
        <v>0.86</v>
      </c>
    </row>
    <row r="1334" spans="1:4" x14ac:dyDescent="0.25">
      <c r="A1334" s="15">
        <f>Sheet2!A1334</f>
        <v>0</v>
      </c>
      <c r="B1334" s="8">
        <v>0</v>
      </c>
      <c r="C1334" s="9">
        <v>0.5</v>
      </c>
      <c r="D1334" s="13">
        <f t="shared" si="20"/>
        <v>0.5</v>
      </c>
    </row>
    <row r="1335" spans="1:4" x14ac:dyDescent="0.25">
      <c r="A1335" s="15">
        <f>Sheet2!A1335</f>
        <v>0</v>
      </c>
      <c r="B1335" s="8">
        <v>1.77</v>
      </c>
      <c r="C1335" s="9">
        <v>0</v>
      </c>
      <c r="D1335" s="13">
        <f t="shared" si="20"/>
        <v>1.77</v>
      </c>
    </row>
    <row r="1336" spans="1:4" x14ac:dyDescent="0.25">
      <c r="A1336" s="15">
        <f>Sheet2!A1336</f>
        <v>0</v>
      </c>
      <c r="B1336" s="8">
        <v>0</v>
      </c>
      <c r="C1336" s="9">
        <v>0.38</v>
      </c>
      <c r="D1336" s="13">
        <f t="shared" si="20"/>
        <v>0.38</v>
      </c>
    </row>
    <row r="1337" spans="1:4" x14ac:dyDescent="0.25">
      <c r="A1337" s="15">
        <f>Sheet2!A1337</f>
        <v>0</v>
      </c>
      <c r="B1337" s="8">
        <v>0</v>
      </c>
      <c r="C1337" s="9">
        <v>0.92</v>
      </c>
      <c r="D1337" s="13">
        <f t="shared" si="20"/>
        <v>0.92</v>
      </c>
    </row>
    <row r="1338" spans="1:4" x14ac:dyDescent="0.25">
      <c r="A1338" s="15">
        <f>Sheet2!A1338</f>
        <v>0</v>
      </c>
      <c r="B1338" s="8">
        <v>0</v>
      </c>
      <c r="C1338" s="9">
        <v>0.35</v>
      </c>
      <c r="D1338" s="13">
        <f t="shared" si="20"/>
        <v>0.35</v>
      </c>
    </row>
    <row r="1339" spans="1:4" x14ac:dyDescent="0.25">
      <c r="A1339" s="15">
        <f>Sheet2!A1339</f>
        <v>0</v>
      </c>
      <c r="B1339" s="8">
        <v>1.3</v>
      </c>
      <c r="C1339" s="9">
        <v>0</v>
      </c>
      <c r="D1339" s="13">
        <f t="shared" si="20"/>
        <v>1.3</v>
      </c>
    </row>
    <row r="1340" spans="1:4" x14ac:dyDescent="0.25">
      <c r="A1340" s="15">
        <f>Sheet2!A1340</f>
        <v>0</v>
      </c>
      <c r="B1340" s="8">
        <v>1.24</v>
      </c>
      <c r="C1340" s="9">
        <v>0</v>
      </c>
      <c r="D1340" s="13">
        <f t="shared" si="20"/>
        <v>1.24</v>
      </c>
    </row>
    <row r="1341" spans="1:4" x14ac:dyDescent="0.25">
      <c r="A1341" s="15">
        <f>Sheet2!A1341</f>
        <v>0</v>
      </c>
      <c r="B1341" s="8">
        <v>1.28</v>
      </c>
      <c r="C1341" s="9">
        <v>0</v>
      </c>
      <c r="D1341" s="13">
        <f t="shared" si="20"/>
        <v>1.28</v>
      </c>
    </row>
    <row r="1342" spans="1:4" x14ac:dyDescent="0.25">
      <c r="A1342" s="15">
        <f>Sheet2!A1342</f>
        <v>0</v>
      </c>
      <c r="B1342" s="8">
        <v>0</v>
      </c>
      <c r="C1342" s="9">
        <v>0.59</v>
      </c>
      <c r="D1342" s="13">
        <f t="shared" si="20"/>
        <v>0.59</v>
      </c>
    </row>
    <row r="1343" spans="1:4" x14ac:dyDescent="0.25">
      <c r="A1343" s="15">
        <f>Sheet2!A1343</f>
        <v>0</v>
      </c>
      <c r="B1343" s="8">
        <v>0.92</v>
      </c>
      <c r="C1343" s="9">
        <v>0</v>
      </c>
      <c r="D1343" s="13">
        <f t="shared" si="20"/>
        <v>0.92</v>
      </c>
    </row>
    <row r="1344" spans="1:4" x14ac:dyDescent="0.25">
      <c r="A1344" s="15">
        <f>Sheet2!A1344</f>
        <v>0</v>
      </c>
      <c r="B1344" s="8">
        <v>1</v>
      </c>
      <c r="C1344" s="9">
        <v>0</v>
      </c>
      <c r="D1344" s="13">
        <f t="shared" si="20"/>
        <v>1</v>
      </c>
    </row>
    <row r="1345" spans="1:4" x14ac:dyDescent="0.25">
      <c r="A1345" s="15">
        <f>Sheet2!A1345</f>
        <v>0</v>
      </c>
      <c r="B1345" s="8">
        <v>0.32</v>
      </c>
      <c r="C1345" s="9">
        <v>0</v>
      </c>
      <c r="D1345" s="13">
        <f t="shared" si="20"/>
        <v>0.32</v>
      </c>
    </row>
    <row r="1346" spans="1:4" x14ac:dyDescent="0.25">
      <c r="A1346" s="15">
        <f>Sheet2!A1346</f>
        <v>0</v>
      </c>
      <c r="B1346" s="8">
        <v>0.57999999999999996</v>
      </c>
      <c r="C1346" s="9">
        <v>0</v>
      </c>
      <c r="D1346" s="13">
        <f t="shared" si="20"/>
        <v>0.57999999999999996</v>
      </c>
    </row>
    <row r="1347" spans="1:4" x14ac:dyDescent="0.25">
      <c r="A1347" s="15">
        <f>Sheet2!A1347</f>
        <v>0</v>
      </c>
      <c r="B1347" s="8">
        <v>0.59</v>
      </c>
      <c r="C1347" s="9">
        <v>0</v>
      </c>
      <c r="D1347" s="13">
        <f t="shared" ref="D1347:D1410" si="21">B1347+C1347</f>
        <v>0.59</v>
      </c>
    </row>
    <row r="1348" spans="1:4" x14ac:dyDescent="0.25">
      <c r="A1348" s="15">
        <f>Sheet2!A1348</f>
        <v>0</v>
      </c>
      <c r="B1348" s="8">
        <v>0.32</v>
      </c>
      <c r="C1348" s="9">
        <v>0</v>
      </c>
      <c r="D1348" s="13">
        <f t="shared" si="21"/>
        <v>0.32</v>
      </c>
    </row>
    <row r="1349" spans="1:4" x14ac:dyDescent="0.25">
      <c r="A1349" s="15">
        <f>Sheet2!A1349</f>
        <v>0</v>
      </c>
      <c r="B1349" s="8">
        <v>0.94</v>
      </c>
      <c r="C1349" s="9">
        <v>0</v>
      </c>
      <c r="D1349" s="13">
        <f t="shared" si="21"/>
        <v>0.94</v>
      </c>
    </row>
    <row r="1350" spans="1:4" x14ac:dyDescent="0.25">
      <c r="A1350" s="15">
        <f>Sheet2!A1350</f>
        <v>0</v>
      </c>
      <c r="B1350" s="8">
        <v>1.03</v>
      </c>
      <c r="C1350" s="9">
        <v>0</v>
      </c>
      <c r="D1350" s="13">
        <f t="shared" si="21"/>
        <v>1.03</v>
      </c>
    </row>
    <row r="1351" spans="1:4" x14ac:dyDescent="0.25">
      <c r="A1351" s="15">
        <f>Sheet2!A1351</f>
        <v>0</v>
      </c>
      <c r="B1351" s="8">
        <v>0.59</v>
      </c>
      <c r="C1351" s="9">
        <v>0</v>
      </c>
      <c r="D1351" s="13">
        <f t="shared" si="21"/>
        <v>0.59</v>
      </c>
    </row>
    <row r="1352" spans="1:4" x14ac:dyDescent="0.25">
      <c r="A1352" s="15">
        <f>Sheet2!A1352</f>
        <v>0</v>
      </c>
      <c r="B1352" s="8">
        <v>0.32</v>
      </c>
      <c r="C1352" s="9">
        <v>0</v>
      </c>
      <c r="D1352" s="13">
        <f t="shared" si="21"/>
        <v>0.32</v>
      </c>
    </row>
    <row r="1353" spans="1:4" x14ac:dyDescent="0.25">
      <c r="A1353" s="15">
        <f>Sheet2!A1353</f>
        <v>0</v>
      </c>
      <c r="B1353" s="8">
        <v>0.67</v>
      </c>
      <c r="C1353" s="9">
        <v>0</v>
      </c>
      <c r="D1353" s="13">
        <f t="shared" si="21"/>
        <v>0.67</v>
      </c>
    </row>
    <row r="1354" spans="1:4" x14ac:dyDescent="0.25">
      <c r="A1354" s="15">
        <f>Sheet2!A1354</f>
        <v>0</v>
      </c>
      <c r="B1354" s="8">
        <v>0</v>
      </c>
      <c r="C1354" s="9">
        <v>0.25</v>
      </c>
      <c r="D1354" s="13">
        <f t="shared" si="21"/>
        <v>0.25</v>
      </c>
    </row>
    <row r="1355" spans="1:4" x14ac:dyDescent="0.25">
      <c r="A1355" s="15">
        <f>Sheet2!A1355</f>
        <v>0</v>
      </c>
      <c r="B1355" s="8">
        <v>0</v>
      </c>
      <c r="C1355" s="9">
        <v>0.32</v>
      </c>
      <c r="D1355" s="13">
        <f t="shared" si="21"/>
        <v>0.32</v>
      </c>
    </row>
    <row r="1356" spans="1:4" x14ac:dyDescent="0.25">
      <c r="A1356" s="15">
        <f>Sheet2!A1356</f>
        <v>0</v>
      </c>
      <c r="B1356" s="8">
        <v>0.31</v>
      </c>
      <c r="C1356" s="9">
        <v>0</v>
      </c>
      <c r="D1356" s="13">
        <f t="shared" si="21"/>
        <v>0.31</v>
      </c>
    </row>
    <row r="1357" spans="1:4" x14ac:dyDescent="0.25">
      <c r="A1357" s="15">
        <f>Sheet2!A1357</f>
        <v>0</v>
      </c>
      <c r="B1357" s="8">
        <v>0.47</v>
      </c>
      <c r="C1357" s="9">
        <v>0</v>
      </c>
      <c r="D1357" s="13">
        <f t="shared" si="21"/>
        <v>0.47</v>
      </c>
    </row>
    <row r="1358" spans="1:4" x14ac:dyDescent="0.25">
      <c r="A1358" s="15">
        <f>Sheet2!A1358</f>
        <v>0</v>
      </c>
      <c r="B1358" s="8">
        <v>0</v>
      </c>
      <c r="C1358" s="9">
        <v>0.22</v>
      </c>
      <c r="D1358" s="13">
        <f t="shared" si="21"/>
        <v>0.22</v>
      </c>
    </row>
    <row r="1359" spans="1:4" x14ac:dyDescent="0.25">
      <c r="A1359" s="15">
        <f>Sheet2!A1359</f>
        <v>0</v>
      </c>
      <c r="B1359" s="8">
        <v>0</v>
      </c>
      <c r="C1359" s="9">
        <v>0.67</v>
      </c>
      <c r="D1359" s="13">
        <f t="shared" si="21"/>
        <v>0.67</v>
      </c>
    </row>
    <row r="1360" spans="1:4" x14ac:dyDescent="0.25">
      <c r="A1360" s="15">
        <f>Sheet2!A1360</f>
        <v>0</v>
      </c>
      <c r="B1360" s="8">
        <v>0</v>
      </c>
      <c r="C1360" s="9">
        <v>0.84</v>
      </c>
      <c r="D1360" s="13">
        <f t="shared" si="21"/>
        <v>0.84</v>
      </c>
    </row>
    <row r="1361" spans="1:4" x14ac:dyDescent="0.25">
      <c r="A1361" s="15">
        <f>Sheet2!A1361</f>
        <v>0</v>
      </c>
      <c r="B1361" s="8">
        <v>1.77</v>
      </c>
      <c r="C1361" s="9">
        <v>0</v>
      </c>
      <c r="D1361" s="13">
        <f t="shared" si="21"/>
        <v>1.77</v>
      </c>
    </row>
    <row r="1362" spans="1:4" x14ac:dyDescent="0.25">
      <c r="A1362" s="15">
        <f>Sheet2!A1362</f>
        <v>0</v>
      </c>
      <c r="B1362" s="8">
        <v>0</v>
      </c>
      <c r="C1362" s="9">
        <v>1.01</v>
      </c>
      <c r="D1362" s="13">
        <f t="shared" si="21"/>
        <v>1.01</v>
      </c>
    </row>
    <row r="1363" spans="1:4" x14ac:dyDescent="0.25">
      <c r="A1363" s="15">
        <f>Sheet2!A1363</f>
        <v>0</v>
      </c>
      <c r="B1363" s="8">
        <v>0</v>
      </c>
      <c r="C1363" s="9">
        <v>0.9</v>
      </c>
      <c r="D1363" s="13">
        <f t="shared" si="21"/>
        <v>0.9</v>
      </c>
    </row>
    <row r="1364" spans="1:4" x14ac:dyDescent="0.25">
      <c r="A1364" s="15">
        <f>Sheet2!A1364</f>
        <v>0</v>
      </c>
      <c r="B1364" s="8">
        <v>0</v>
      </c>
      <c r="C1364" s="9">
        <v>0.41</v>
      </c>
      <c r="D1364" s="13">
        <f t="shared" si="21"/>
        <v>0.41</v>
      </c>
    </row>
    <row r="1365" spans="1:4" x14ac:dyDescent="0.25">
      <c r="A1365" s="15">
        <f>Sheet2!A1365</f>
        <v>0</v>
      </c>
      <c r="B1365" s="8">
        <v>1.31</v>
      </c>
      <c r="C1365" s="9">
        <v>0</v>
      </c>
      <c r="D1365" s="13">
        <f t="shared" si="21"/>
        <v>1.31</v>
      </c>
    </row>
    <row r="1366" spans="1:4" x14ac:dyDescent="0.25">
      <c r="A1366" s="15">
        <f>Sheet2!A1366</f>
        <v>0</v>
      </c>
      <c r="B1366" s="8">
        <v>0</v>
      </c>
      <c r="C1366" s="9">
        <v>0.24</v>
      </c>
      <c r="D1366" s="13">
        <f t="shared" si="21"/>
        <v>0.24</v>
      </c>
    </row>
    <row r="1367" spans="1:4" x14ac:dyDescent="0.25">
      <c r="A1367" s="15">
        <f>Sheet2!A1367</f>
        <v>0</v>
      </c>
      <c r="B1367" s="8">
        <v>0</v>
      </c>
      <c r="C1367" s="9">
        <v>0.31</v>
      </c>
      <c r="D1367" s="13">
        <f t="shared" si="21"/>
        <v>0.31</v>
      </c>
    </row>
    <row r="1368" spans="1:4" x14ac:dyDescent="0.25">
      <c r="A1368" s="15">
        <f>Sheet2!A1368</f>
        <v>0</v>
      </c>
      <c r="B1368" s="8">
        <v>0.98</v>
      </c>
      <c r="C1368" s="9">
        <v>0</v>
      </c>
      <c r="D1368" s="13">
        <f t="shared" si="21"/>
        <v>0.98</v>
      </c>
    </row>
    <row r="1369" spans="1:4" x14ac:dyDescent="0.25">
      <c r="A1369" s="15">
        <f>Sheet2!A1369</f>
        <v>0</v>
      </c>
      <c r="B1369" s="8">
        <v>1.17</v>
      </c>
      <c r="C1369" s="9">
        <v>0</v>
      </c>
      <c r="D1369" s="13">
        <f t="shared" si="21"/>
        <v>1.17</v>
      </c>
    </row>
    <row r="1370" spans="1:4" x14ac:dyDescent="0.25">
      <c r="A1370" s="15">
        <f>Sheet2!A1370</f>
        <v>0</v>
      </c>
      <c r="B1370" s="8">
        <v>0.82</v>
      </c>
      <c r="C1370" s="9">
        <v>0</v>
      </c>
      <c r="D1370" s="13">
        <f t="shared" si="21"/>
        <v>0.82</v>
      </c>
    </row>
    <row r="1371" spans="1:4" x14ac:dyDescent="0.25">
      <c r="A1371" s="15">
        <f>Sheet2!A1371</f>
        <v>0</v>
      </c>
      <c r="B1371" s="8">
        <v>1.1399999999999999</v>
      </c>
      <c r="C1371" s="9">
        <v>0</v>
      </c>
      <c r="D1371" s="13">
        <f t="shared" si="21"/>
        <v>1.1399999999999999</v>
      </c>
    </row>
    <row r="1372" spans="1:4" x14ac:dyDescent="0.25">
      <c r="A1372" s="15">
        <f>Sheet2!A1372</f>
        <v>0</v>
      </c>
      <c r="B1372" s="8">
        <v>0.91</v>
      </c>
      <c r="C1372" s="9">
        <v>0</v>
      </c>
      <c r="D1372" s="13">
        <f t="shared" si="21"/>
        <v>0.91</v>
      </c>
    </row>
    <row r="1373" spans="1:4" x14ac:dyDescent="0.25">
      <c r="A1373" s="15">
        <f>Sheet2!A1373</f>
        <v>0</v>
      </c>
      <c r="B1373" s="8">
        <v>1.2</v>
      </c>
      <c r="C1373" s="9">
        <v>0</v>
      </c>
      <c r="D1373" s="13">
        <f t="shared" si="21"/>
        <v>1.2</v>
      </c>
    </row>
    <row r="1374" spans="1:4" x14ac:dyDescent="0.25">
      <c r="A1374" s="15">
        <f>Sheet2!A1374</f>
        <v>0</v>
      </c>
      <c r="B1374" s="8">
        <v>1.55</v>
      </c>
      <c r="C1374" s="9">
        <v>0</v>
      </c>
      <c r="D1374" s="13">
        <f t="shared" si="21"/>
        <v>1.55</v>
      </c>
    </row>
    <row r="1375" spans="1:4" x14ac:dyDescent="0.25">
      <c r="A1375" s="15">
        <f>Sheet2!A1375</f>
        <v>0</v>
      </c>
      <c r="B1375" s="8">
        <v>0.6</v>
      </c>
      <c r="C1375" s="9">
        <v>0</v>
      </c>
      <c r="D1375" s="13">
        <f t="shared" si="21"/>
        <v>0.6</v>
      </c>
    </row>
    <row r="1376" spans="1:4" x14ac:dyDescent="0.25">
      <c r="A1376" s="15">
        <f>Sheet2!A1376</f>
        <v>0</v>
      </c>
      <c r="B1376" s="8">
        <v>0.43</v>
      </c>
      <c r="C1376" s="9">
        <v>0</v>
      </c>
      <c r="D1376" s="13">
        <f t="shared" si="21"/>
        <v>0.43</v>
      </c>
    </row>
    <row r="1377" spans="1:4" x14ac:dyDescent="0.25">
      <c r="A1377" s="15">
        <f>Sheet2!A1377</f>
        <v>0</v>
      </c>
      <c r="B1377" s="8">
        <v>0.72</v>
      </c>
      <c r="C1377" s="9">
        <v>0</v>
      </c>
      <c r="D1377" s="13">
        <f t="shared" si="21"/>
        <v>0.72</v>
      </c>
    </row>
    <row r="1378" spans="1:4" x14ac:dyDescent="0.25">
      <c r="A1378" s="15">
        <f>Sheet2!A1378</f>
        <v>0</v>
      </c>
      <c r="B1378" s="8">
        <v>0.41</v>
      </c>
      <c r="C1378" s="9">
        <v>0</v>
      </c>
      <c r="D1378" s="13">
        <f t="shared" si="21"/>
        <v>0.41</v>
      </c>
    </row>
    <row r="1379" spans="1:4" x14ac:dyDescent="0.25">
      <c r="A1379" s="15">
        <f>Sheet2!A1379</f>
        <v>0</v>
      </c>
      <c r="B1379" s="8">
        <v>0.3</v>
      </c>
      <c r="C1379" s="9">
        <v>0</v>
      </c>
      <c r="D1379" s="13">
        <f t="shared" si="21"/>
        <v>0.3</v>
      </c>
    </row>
    <row r="1380" spans="1:4" x14ac:dyDescent="0.25">
      <c r="A1380" s="15">
        <f>Sheet2!A1380</f>
        <v>0</v>
      </c>
      <c r="B1380" s="8">
        <v>0.41</v>
      </c>
      <c r="C1380" s="9">
        <v>0</v>
      </c>
      <c r="D1380" s="13">
        <f t="shared" si="21"/>
        <v>0.41</v>
      </c>
    </row>
    <row r="1381" spans="1:4" x14ac:dyDescent="0.25">
      <c r="A1381" s="15">
        <f>Sheet2!A1381</f>
        <v>0</v>
      </c>
      <c r="B1381" s="8">
        <v>0</v>
      </c>
      <c r="C1381" s="9">
        <v>0.41</v>
      </c>
      <c r="D1381" s="13">
        <f t="shared" si="21"/>
        <v>0.41</v>
      </c>
    </row>
    <row r="1382" spans="1:4" x14ac:dyDescent="0.25">
      <c r="A1382" s="15">
        <f>Sheet2!A1382</f>
        <v>0</v>
      </c>
      <c r="B1382" s="8">
        <v>0</v>
      </c>
      <c r="C1382" s="9">
        <v>0.2</v>
      </c>
      <c r="D1382" s="13">
        <f t="shared" si="21"/>
        <v>0.2</v>
      </c>
    </row>
    <row r="1383" spans="1:4" x14ac:dyDescent="0.25">
      <c r="A1383" s="15">
        <f>Sheet2!A1383</f>
        <v>0</v>
      </c>
      <c r="B1383" s="8">
        <v>1.47</v>
      </c>
      <c r="C1383" s="9">
        <v>0</v>
      </c>
      <c r="D1383" s="13">
        <f t="shared" si="21"/>
        <v>1.47</v>
      </c>
    </row>
    <row r="1384" spans="1:4" x14ac:dyDescent="0.25">
      <c r="A1384" s="15">
        <f>Sheet2!A1384</f>
        <v>0</v>
      </c>
      <c r="B1384" s="8">
        <v>1.89</v>
      </c>
      <c r="C1384" s="9">
        <v>0</v>
      </c>
      <c r="D1384" s="13">
        <f t="shared" si="21"/>
        <v>1.89</v>
      </c>
    </row>
    <row r="1385" spans="1:4" x14ac:dyDescent="0.25">
      <c r="A1385" s="15">
        <f>Sheet2!A1385</f>
        <v>0</v>
      </c>
      <c r="B1385" s="8">
        <v>1.05</v>
      </c>
      <c r="C1385" s="9">
        <v>0</v>
      </c>
      <c r="D1385" s="13">
        <f t="shared" si="21"/>
        <v>1.05</v>
      </c>
    </row>
    <row r="1386" spans="1:4" x14ac:dyDescent="0.25">
      <c r="A1386" s="15">
        <f>Sheet2!A1386</f>
        <v>0</v>
      </c>
      <c r="B1386" s="8">
        <v>0</v>
      </c>
      <c r="C1386" s="9">
        <v>0.61</v>
      </c>
      <c r="D1386" s="13">
        <f t="shared" si="21"/>
        <v>0.61</v>
      </c>
    </row>
    <row r="1387" spans="1:4" x14ac:dyDescent="0.25">
      <c r="A1387" s="15">
        <f>Sheet2!A1387</f>
        <v>0</v>
      </c>
      <c r="B1387" s="8">
        <v>0</v>
      </c>
      <c r="C1387" s="9">
        <v>1</v>
      </c>
      <c r="D1387" s="13">
        <f t="shared" si="21"/>
        <v>1</v>
      </c>
    </row>
    <row r="1388" spans="1:4" x14ac:dyDescent="0.25">
      <c r="A1388" s="15">
        <f>Sheet2!A1388</f>
        <v>0</v>
      </c>
      <c r="B1388" s="8">
        <v>0</v>
      </c>
      <c r="C1388" s="9">
        <v>0.52</v>
      </c>
      <c r="D1388" s="13">
        <f t="shared" si="21"/>
        <v>0.52</v>
      </c>
    </row>
    <row r="1389" spans="1:4" x14ac:dyDescent="0.25">
      <c r="A1389" s="15">
        <f>Sheet2!A1389</f>
        <v>0</v>
      </c>
      <c r="B1389" s="8">
        <v>0.99</v>
      </c>
      <c r="C1389" s="9">
        <v>0</v>
      </c>
      <c r="D1389" s="13">
        <f t="shared" si="21"/>
        <v>0.99</v>
      </c>
    </row>
    <row r="1390" spans="1:4" x14ac:dyDescent="0.25">
      <c r="A1390" s="15">
        <f>Sheet2!A1390</f>
        <v>0</v>
      </c>
      <c r="B1390" s="8">
        <v>0</v>
      </c>
      <c r="C1390" s="9">
        <v>0.27</v>
      </c>
      <c r="D1390" s="13">
        <f t="shared" si="21"/>
        <v>0.27</v>
      </c>
    </row>
    <row r="1391" spans="1:4" x14ac:dyDescent="0.25">
      <c r="A1391" s="15">
        <f>Sheet2!A1391</f>
        <v>0</v>
      </c>
      <c r="B1391" s="8">
        <v>0.84</v>
      </c>
      <c r="C1391" s="9">
        <v>0</v>
      </c>
      <c r="D1391" s="13">
        <f t="shared" si="21"/>
        <v>0.84</v>
      </c>
    </row>
    <row r="1392" spans="1:4" x14ac:dyDescent="0.25">
      <c r="A1392" s="15">
        <f>Sheet2!A1392</f>
        <v>0</v>
      </c>
      <c r="B1392" s="8">
        <v>0.88</v>
      </c>
      <c r="C1392" s="9">
        <v>0</v>
      </c>
      <c r="D1392" s="13">
        <f t="shared" si="21"/>
        <v>0.88</v>
      </c>
    </row>
    <row r="1393" spans="1:4" x14ac:dyDescent="0.25">
      <c r="A1393" s="15">
        <f>Sheet2!A1393</f>
        <v>0</v>
      </c>
      <c r="B1393" s="8">
        <v>1.3</v>
      </c>
      <c r="C1393" s="9">
        <v>0</v>
      </c>
      <c r="D1393" s="13">
        <f t="shared" si="21"/>
        <v>1.3</v>
      </c>
    </row>
    <row r="1394" spans="1:4" x14ac:dyDescent="0.25">
      <c r="A1394" s="15">
        <f>Sheet2!A1394</f>
        <v>0</v>
      </c>
      <c r="B1394" s="8">
        <v>0.83</v>
      </c>
      <c r="C1394" s="9">
        <v>0</v>
      </c>
      <c r="D1394" s="13">
        <f t="shared" si="21"/>
        <v>0.83</v>
      </c>
    </row>
    <row r="1395" spans="1:4" x14ac:dyDescent="0.25">
      <c r="A1395" s="15">
        <f>Sheet2!A1395</f>
        <v>0</v>
      </c>
      <c r="B1395" s="8">
        <v>1.25</v>
      </c>
      <c r="C1395" s="9">
        <v>0</v>
      </c>
      <c r="D1395" s="13">
        <f t="shared" si="21"/>
        <v>1.25</v>
      </c>
    </row>
    <row r="1396" spans="1:4" x14ac:dyDescent="0.25">
      <c r="A1396" s="15">
        <f>Sheet2!A1396</f>
        <v>0</v>
      </c>
      <c r="B1396" s="8">
        <v>0.93</v>
      </c>
      <c r="C1396" s="9">
        <v>0</v>
      </c>
      <c r="D1396" s="13">
        <f t="shared" si="21"/>
        <v>0.93</v>
      </c>
    </row>
    <row r="1397" spans="1:4" x14ac:dyDescent="0.25">
      <c r="A1397" s="15">
        <f>Sheet2!A1397</f>
        <v>0</v>
      </c>
      <c r="B1397" s="8">
        <v>1.1499999999999999</v>
      </c>
      <c r="C1397" s="9">
        <v>0</v>
      </c>
      <c r="D1397" s="13">
        <f t="shared" si="21"/>
        <v>1.1499999999999999</v>
      </c>
    </row>
    <row r="1398" spans="1:4" x14ac:dyDescent="0.25">
      <c r="A1398" s="15">
        <f>Sheet2!A1398</f>
        <v>0</v>
      </c>
      <c r="B1398" s="8">
        <v>1.37</v>
      </c>
      <c r="C1398" s="9">
        <v>0</v>
      </c>
      <c r="D1398" s="13">
        <f t="shared" si="21"/>
        <v>1.37</v>
      </c>
    </row>
    <row r="1399" spans="1:4" x14ac:dyDescent="0.25">
      <c r="A1399" s="15">
        <f>Sheet2!A1399</f>
        <v>0</v>
      </c>
      <c r="B1399" s="8">
        <v>1.04</v>
      </c>
      <c r="C1399" s="9">
        <v>0</v>
      </c>
      <c r="D1399" s="13">
        <f t="shared" si="21"/>
        <v>1.04</v>
      </c>
    </row>
    <row r="1400" spans="1:4" x14ac:dyDescent="0.25">
      <c r="A1400" s="15">
        <f>Sheet2!A1400</f>
        <v>0</v>
      </c>
      <c r="B1400" s="8">
        <v>0.65</v>
      </c>
      <c r="C1400" s="9">
        <v>0</v>
      </c>
      <c r="D1400" s="13">
        <f t="shared" si="21"/>
        <v>0.65</v>
      </c>
    </row>
    <row r="1401" spans="1:4" x14ac:dyDescent="0.25">
      <c r="A1401" s="15">
        <f>Sheet2!A1401</f>
        <v>0</v>
      </c>
      <c r="B1401" s="8">
        <v>0.65</v>
      </c>
      <c r="C1401" s="9">
        <v>0</v>
      </c>
      <c r="D1401" s="13">
        <f t="shared" si="21"/>
        <v>0.65</v>
      </c>
    </row>
    <row r="1402" spans="1:4" x14ac:dyDescent="0.25">
      <c r="A1402" s="15">
        <f>Sheet2!A1402</f>
        <v>0</v>
      </c>
      <c r="B1402" s="8">
        <v>0</v>
      </c>
      <c r="C1402" s="9">
        <v>0.5</v>
      </c>
      <c r="D1402" s="13">
        <f t="shared" si="21"/>
        <v>0.5</v>
      </c>
    </row>
    <row r="1403" spans="1:4" x14ac:dyDescent="0.25">
      <c r="A1403" s="15">
        <f>Sheet2!A1403</f>
        <v>0</v>
      </c>
      <c r="B1403" s="8">
        <v>0</v>
      </c>
      <c r="C1403" s="9">
        <v>0.63</v>
      </c>
      <c r="D1403" s="13">
        <f t="shared" si="21"/>
        <v>0.63</v>
      </c>
    </row>
    <row r="1404" spans="1:4" x14ac:dyDescent="0.25">
      <c r="A1404" s="15">
        <f>Sheet2!A1404</f>
        <v>0</v>
      </c>
      <c r="B1404" s="8">
        <v>0.67</v>
      </c>
      <c r="C1404" s="9">
        <v>0</v>
      </c>
      <c r="D1404" s="13">
        <f t="shared" si="21"/>
        <v>0.67</v>
      </c>
    </row>
    <row r="1405" spans="1:4" x14ac:dyDescent="0.25">
      <c r="A1405" s="15">
        <f>Sheet2!A1405</f>
        <v>0</v>
      </c>
      <c r="B1405" s="8">
        <v>0.75</v>
      </c>
      <c r="C1405" s="9">
        <v>0</v>
      </c>
      <c r="D1405" s="13">
        <f t="shared" si="21"/>
        <v>0.75</v>
      </c>
    </row>
    <row r="1406" spans="1:4" x14ac:dyDescent="0.25">
      <c r="A1406" s="15">
        <f>Sheet2!A1406</f>
        <v>0</v>
      </c>
      <c r="B1406" s="8">
        <v>0.9</v>
      </c>
      <c r="C1406" s="9">
        <v>0</v>
      </c>
      <c r="D1406" s="13">
        <f t="shared" si="21"/>
        <v>0.9</v>
      </c>
    </row>
    <row r="1407" spans="1:4" x14ac:dyDescent="0.25">
      <c r="A1407" s="15">
        <f>Sheet2!A1407</f>
        <v>0</v>
      </c>
      <c r="B1407" s="8">
        <v>0.68</v>
      </c>
      <c r="C1407" s="9">
        <v>0</v>
      </c>
      <c r="D1407" s="13">
        <f t="shared" si="21"/>
        <v>0.68</v>
      </c>
    </row>
    <row r="1408" spans="1:4" x14ac:dyDescent="0.25">
      <c r="A1408" s="15">
        <f>Sheet2!A1408</f>
        <v>0</v>
      </c>
      <c r="B1408" s="8">
        <v>1.58</v>
      </c>
      <c r="C1408" s="9">
        <v>0</v>
      </c>
      <c r="D1408" s="13">
        <f t="shared" si="21"/>
        <v>1.58</v>
      </c>
    </row>
    <row r="1409" spans="1:4" x14ac:dyDescent="0.25">
      <c r="A1409" s="15">
        <f>Sheet2!A1409</f>
        <v>0</v>
      </c>
      <c r="B1409" s="8">
        <v>0.95</v>
      </c>
      <c r="C1409" s="9">
        <v>0</v>
      </c>
      <c r="D1409" s="13">
        <f t="shared" si="21"/>
        <v>0.95</v>
      </c>
    </row>
    <row r="1410" spans="1:4" x14ac:dyDescent="0.25">
      <c r="A1410" s="15">
        <f>Sheet2!A1410</f>
        <v>0</v>
      </c>
      <c r="B1410" s="8">
        <v>0</v>
      </c>
      <c r="C1410" s="9">
        <v>0.68</v>
      </c>
      <c r="D1410" s="13">
        <f t="shared" si="21"/>
        <v>0.68</v>
      </c>
    </row>
    <row r="1411" spans="1:4" x14ac:dyDescent="0.25">
      <c r="A1411" s="15">
        <f>Sheet2!A1411</f>
        <v>0</v>
      </c>
      <c r="B1411" s="8">
        <v>0</v>
      </c>
      <c r="C1411" s="9">
        <v>0.77</v>
      </c>
      <c r="D1411" s="13">
        <f t="shared" ref="D1411:D1474" si="22">B1411+C1411</f>
        <v>0.77</v>
      </c>
    </row>
    <row r="1412" spans="1:4" x14ac:dyDescent="0.25">
      <c r="A1412" s="15">
        <f>Sheet2!A1412</f>
        <v>0</v>
      </c>
      <c r="B1412" s="8">
        <v>0</v>
      </c>
      <c r="C1412" s="9">
        <v>0.4</v>
      </c>
      <c r="D1412" s="13">
        <f t="shared" si="22"/>
        <v>0.4</v>
      </c>
    </row>
    <row r="1413" spans="1:4" x14ac:dyDescent="0.25">
      <c r="A1413" s="15">
        <f>Sheet2!A1413</f>
        <v>0</v>
      </c>
      <c r="B1413" s="8">
        <v>1.33</v>
      </c>
      <c r="C1413" s="9">
        <v>0</v>
      </c>
      <c r="D1413" s="13">
        <f t="shared" si="22"/>
        <v>1.33</v>
      </c>
    </row>
    <row r="1414" spans="1:4" x14ac:dyDescent="0.25">
      <c r="A1414" s="15">
        <f>Sheet2!A1414</f>
        <v>0</v>
      </c>
      <c r="B1414" s="8">
        <v>1.1499999999999999</v>
      </c>
      <c r="C1414" s="9">
        <v>0</v>
      </c>
      <c r="D1414" s="13">
        <f t="shared" si="22"/>
        <v>1.1499999999999999</v>
      </c>
    </row>
    <row r="1415" spans="1:4" x14ac:dyDescent="0.25">
      <c r="A1415" s="15">
        <f>Sheet2!A1415</f>
        <v>0</v>
      </c>
      <c r="B1415" s="8">
        <v>1.02</v>
      </c>
      <c r="C1415" s="9">
        <v>0</v>
      </c>
      <c r="D1415" s="13">
        <f t="shared" si="22"/>
        <v>1.02</v>
      </c>
    </row>
    <row r="1416" spans="1:4" x14ac:dyDescent="0.25">
      <c r="A1416" s="15">
        <f>Sheet2!A1416</f>
        <v>0</v>
      </c>
      <c r="B1416" s="8">
        <v>0.63</v>
      </c>
      <c r="C1416" s="9">
        <v>0</v>
      </c>
      <c r="D1416" s="13">
        <f t="shared" si="22"/>
        <v>0.63</v>
      </c>
    </row>
    <row r="1417" spans="1:4" x14ac:dyDescent="0.25">
      <c r="A1417" s="15">
        <f>Sheet2!A1417</f>
        <v>0</v>
      </c>
      <c r="B1417" s="8">
        <v>1.07</v>
      </c>
      <c r="C1417" s="9">
        <v>0</v>
      </c>
      <c r="D1417" s="13">
        <f t="shared" si="22"/>
        <v>1.07</v>
      </c>
    </row>
    <row r="1418" spans="1:4" x14ac:dyDescent="0.25">
      <c r="A1418" s="15">
        <f>Sheet2!A1418</f>
        <v>0</v>
      </c>
      <c r="B1418" s="8">
        <v>1.07</v>
      </c>
      <c r="C1418" s="9">
        <v>0</v>
      </c>
      <c r="D1418" s="13">
        <f t="shared" si="22"/>
        <v>1.07</v>
      </c>
    </row>
    <row r="1419" spans="1:4" x14ac:dyDescent="0.25">
      <c r="A1419" s="15">
        <f>Sheet2!A1419</f>
        <v>0</v>
      </c>
      <c r="B1419" s="8">
        <v>0.86</v>
      </c>
      <c r="C1419" s="9">
        <v>0</v>
      </c>
      <c r="D1419" s="13">
        <f t="shared" si="22"/>
        <v>0.86</v>
      </c>
    </row>
    <row r="1420" spans="1:4" x14ac:dyDescent="0.25">
      <c r="A1420" s="15">
        <f>Sheet2!A1420</f>
        <v>0</v>
      </c>
      <c r="B1420" s="8">
        <v>0.96</v>
      </c>
      <c r="C1420" s="9">
        <v>0</v>
      </c>
      <c r="D1420" s="13">
        <f t="shared" si="22"/>
        <v>0.96</v>
      </c>
    </row>
    <row r="1421" spans="1:4" x14ac:dyDescent="0.25">
      <c r="A1421" s="15">
        <f>Sheet2!A1421</f>
        <v>0</v>
      </c>
      <c r="B1421" s="8">
        <v>1.05</v>
      </c>
      <c r="C1421" s="9">
        <v>0</v>
      </c>
      <c r="D1421" s="13">
        <f t="shared" si="22"/>
        <v>1.05</v>
      </c>
    </row>
    <row r="1422" spans="1:4" x14ac:dyDescent="0.25">
      <c r="A1422" s="15">
        <f>Sheet2!A1422</f>
        <v>0</v>
      </c>
      <c r="B1422" s="8">
        <v>1.22</v>
      </c>
      <c r="C1422" s="9">
        <v>0</v>
      </c>
      <c r="D1422" s="13">
        <f t="shared" si="22"/>
        <v>1.22</v>
      </c>
    </row>
    <row r="1423" spans="1:4" x14ac:dyDescent="0.25">
      <c r="A1423" s="15">
        <f>Sheet2!A1423</f>
        <v>0</v>
      </c>
      <c r="B1423" s="8">
        <v>0.8</v>
      </c>
      <c r="C1423" s="9">
        <v>0</v>
      </c>
      <c r="D1423" s="13">
        <f t="shared" si="22"/>
        <v>0.8</v>
      </c>
    </row>
    <row r="1424" spans="1:4" x14ac:dyDescent="0.25">
      <c r="A1424" s="15">
        <f>Sheet2!A1424</f>
        <v>0</v>
      </c>
      <c r="B1424" s="8">
        <v>0.28999999999999998</v>
      </c>
      <c r="C1424" s="9">
        <v>0</v>
      </c>
      <c r="D1424" s="13">
        <f t="shared" si="22"/>
        <v>0.28999999999999998</v>
      </c>
    </row>
    <row r="1425" spans="1:4" x14ac:dyDescent="0.25">
      <c r="A1425" s="15">
        <f>Sheet2!A1425</f>
        <v>0</v>
      </c>
      <c r="B1425" s="8">
        <v>0.66</v>
      </c>
      <c r="C1425" s="9">
        <v>0</v>
      </c>
      <c r="D1425" s="13">
        <f t="shared" si="22"/>
        <v>0.66</v>
      </c>
    </row>
    <row r="1426" spans="1:4" x14ac:dyDescent="0.25">
      <c r="A1426" s="15">
        <f>Sheet2!A1426</f>
        <v>0</v>
      </c>
      <c r="B1426" s="8">
        <v>0.34</v>
      </c>
      <c r="C1426" s="9">
        <v>0</v>
      </c>
      <c r="D1426" s="13">
        <f t="shared" si="22"/>
        <v>0.34</v>
      </c>
    </row>
    <row r="1427" spans="1:4" x14ac:dyDescent="0.25">
      <c r="A1427" s="15">
        <f>Sheet2!A1427</f>
        <v>0</v>
      </c>
      <c r="B1427" s="8">
        <v>0.86</v>
      </c>
      <c r="C1427" s="9">
        <v>0</v>
      </c>
      <c r="D1427" s="13">
        <f t="shared" si="22"/>
        <v>0.86</v>
      </c>
    </row>
    <row r="1428" spans="1:4" x14ac:dyDescent="0.25">
      <c r="A1428" s="15">
        <f>Sheet2!A1428</f>
        <v>0</v>
      </c>
      <c r="B1428" s="8">
        <v>0.6</v>
      </c>
      <c r="C1428" s="9">
        <v>0</v>
      </c>
      <c r="D1428" s="13">
        <f t="shared" si="22"/>
        <v>0.6</v>
      </c>
    </row>
    <row r="1429" spans="1:4" x14ac:dyDescent="0.25">
      <c r="A1429" s="15">
        <f>Sheet2!A1429</f>
        <v>0</v>
      </c>
      <c r="B1429" s="8">
        <v>0.57999999999999996</v>
      </c>
      <c r="C1429" s="9">
        <v>0</v>
      </c>
      <c r="D1429" s="13">
        <f t="shared" si="22"/>
        <v>0.57999999999999996</v>
      </c>
    </row>
    <row r="1430" spans="1:4" x14ac:dyDescent="0.25">
      <c r="A1430" s="15">
        <f>Sheet2!A1430</f>
        <v>0</v>
      </c>
      <c r="B1430" s="8">
        <v>0.53</v>
      </c>
      <c r="C1430" s="9">
        <v>0</v>
      </c>
      <c r="D1430" s="13">
        <f t="shared" si="22"/>
        <v>0.53</v>
      </c>
    </row>
    <row r="1431" spans="1:4" x14ac:dyDescent="0.25">
      <c r="A1431" s="15">
        <f>Sheet2!A1431</f>
        <v>0</v>
      </c>
      <c r="B1431" s="8">
        <v>1.0900000000000001</v>
      </c>
      <c r="C1431" s="9">
        <v>0</v>
      </c>
      <c r="D1431" s="13">
        <f t="shared" si="22"/>
        <v>1.0900000000000001</v>
      </c>
    </row>
    <row r="1432" spans="1:4" x14ac:dyDescent="0.25">
      <c r="A1432" s="15">
        <f>Sheet2!A1432</f>
        <v>0</v>
      </c>
      <c r="B1432" s="8">
        <v>0.88</v>
      </c>
      <c r="C1432" s="9">
        <v>0</v>
      </c>
      <c r="D1432" s="13">
        <f t="shared" si="22"/>
        <v>0.88</v>
      </c>
    </row>
    <row r="1433" spans="1:4" x14ac:dyDescent="0.25">
      <c r="A1433" s="15">
        <f>Sheet2!A1433</f>
        <v>0</v>
      </c>
      <c r="B1433" s="8">
        <v>1.02</v>
      </c>
      <c r="C1433" s="9">
        <v>0</v>
      </c>
      <c r="D1433" s="13">
        <f t="shared" si="22"/>
        <v>1.02</v>
      </c>
    </row>
    <row r="1434" spans="1:4" x14ac:dyDescent="0.25">
      <c r="A1434" s="15">
        <f>Sheet2!A1434</f>
        <v>0</v>
      </c>
      <c r="B1434" s="8">
        <v>0.77</v>
      </c>
      <c r="C1434" s="9">
        <v>0</v>
      </c>
      <c r="D1434" s="13">
        <f t="shared" si="22"/>
        <v>0.77</v>
      </c>
    </row>
    <row r="1435" spans="1:4" x14ac:dyDescent="0.25">
      <c r="A1435" s="15">
        <f>Sheet2!A1435</f>
        <v>0</v>
      </c>
      <c r="B1435" s="8">
        <v>0.85</v>
      </c>
      <c r="C1435" s="9">
        <v>0</v>
      </c>
      <c r="D1435" s="13">
        <f t="shared" si="22"/>
        <v>0.85</v>
      </c>
    </row>
    <row r="1436" spans="1:4" x14ac:dyDescent="0.25">
      <c r="A1436" s="15">
        <f>Sheet2!A1436</f>
        <v>0</v>
      </c>
      <c r="B1436" s="8">
        <v>0.82</v>
      </c>
      <c r="C1436" s="9">
        <v>0</v>
      </c>
      <c r="D1436" s="13">
        <f t="shared" si="22"/>
        <v>0.82</v>
      </c>
    </row>
    <row r="1437" spans="1:4" x14ac:dyDescent="0.25">
      <c r="A1437" s="15">
        <f>Sheet2!A1437</f>
        <v>0</v>
      </c>
      <c r="B1437" s="8">
        <v>0</v>
      </c>
      <c r="C1437" s="9">
        <v>0.32</v>
      </c>
      <c r="D1437" s="13">
        <f t="shared" si="22"/>
        <v>0.32</v>
      </c>
    </row>
    <row r="1438" spans="1:4" x14ac:dyDescent="0.25">
      <c r="A1438" s="15">
        <f>Sheet2!A1438</f>
        <v>0</v>
      </c>
      <c r="B1438" s="8">
        <v>3.83</v>
      </c>
      <c r="C1438" s="9">
        <v>0</v>
      </c>
      <c r="D1438" s="13">
        <f t="shared" si="22"/>
        <v>3.83</v>
      </c>
    </row>
    <row r="1439" spans="1:4" x14ac:dyDescent="0.25">
      <c r="A1439" s="15">
        <f>Sheet2!A1439</f>
        <v>0</v>
      </c>
      <c r="B1439" s="8">
        <v>1.6</v>
      </c>
      <c r="C1439" s="9">
        <v>0</v>
      </c>
      <c r="D1439" s="13">
        <f t="shared" si="22"/>
        <v>1.6</v>
      </c>
    </row>
    <row r="1440" spans="1:4" x14ac:dyDescent="0.25">
      <c r="A1440" s="15">
        <f>Sheet2!A1440</f>
        <v>0</v>
      </c>
      <c r="B1440" s="8">
        <v>1.39</v>
      </c>
      <c r="C1440" s="9">
        <v>0</v>
      </c>
      <c r="D1440" s="13">
        <f t="shared" si="22"/>
        <v>1.39</v>
      </c>
    </row>
    <row r="1441" spans="1:4" x14ac:dyDescent="0.25">
      <c r="A1441" s="15">
        <f>Sheet2!A1441</f>
        <v>0</v>
      </c>
      <c r="B1441" s="8">
        <v>2.2200000000000002</v>
      </c>
      <c r="C1441" s="9">
        <v>0</v>
      </c>
      <c r="D1441" s="13">
        <f t="shared" si="22"/>
        <v>2.2200000000000002</v>
      </c>
    </row>
    <row r="1442" spans="1:4" x14ac:dyDescent="0.25">
      <c r="A1442" s="15">
        <f>Sheet2!A1442</f>
        <v>0</v>
      </c>
      <c r="B1442" s="8">
        <v>1</v>
      </c>
      <c r="C1442" s="9">
        <v>0</v>
      </c>
      <c r="D1442" s="13">
        <f t="shared" si="22"/>
        <v>1</v>
      </c>
    </row>
    <row r="1443" spans="1:4" x14ac:dyDescent="0.25">
      <c r="A1443" s="15">
        <f>Sheet2!A1443</f>
        <v>0</v>
      </c>
      <c r="B1443" s="8">
        <v>1.18</v>
      </c>
      <c r="C1443" s="9">
        <v>0</v>
      </c>
      <c r="D1443" s="13">
        <f t="shared" si="22"/>
        <v>1.18</v>
      </c>
    </row>
    <row r="1444" spans="1:4" x14ac:dyDescent="0.25">
      <c r="A1444" s="15">
        <f>Sheet2!A1444</f>
        <v>0</v>
      </c>
      <c r="B1444" s="8">
        <v>0.65</v>
      </c>
      <c r="C1444" s="9">
        <v>0</v>
      </c>
      <c r="D1444" s="13">
        <f t="shared" si="22"/>
        <v>0.65</v>
      </c>
    </row>
    <row r="1445" spans="1:4" x14ac:dyDescent="0.25">
      <c r="A1445" s="15">
        <f>Sheet2!A1445</f>
        <v>0</v>
      </c>
      <c r="B1445" s="8">
        <v>0.76</v>
      </c>
      <c r="C1445" s="9">
        <v>0</v>
      </c>
      <c r="D1445" s="13">
        <f t="shared" si="22"/>
        <v>0.76</v>
      </c>
    </row>
    <row r="1446" spans="1:4" x14ac:dyDescent="0.25">
      <c r="A1446" s="15">
        <f>Sheet2!A1446</f>
        <v>0</v>
      </c>
      <c r="B1446" s="8">
        <v>0.6</v>
      </c>
      <c r="C1446" s="9">
        <v>0</v>
      </c>
      <c r="D1446" s="13">
        <f t="shared" si="22"/>
        <v>0.6</v>
      </c>
    </row>
    <row r="1447" spans="1:4" x14ac:dyDescent="0.25">
      <c r="A1447" s="15">
        <f>Sheet2!A1447</f>
        <v>0</v>
      </c>
      <c r="B1447" s="8">
        <v>1.0900000000000001</v>
      </c>
      <c r="C1447" s="9">
        <v>0</v>
      </c>
      <c r="D1447" s="13">
        <f t="shared" si="22"/>
        <v>1.0900000000000001</v>
      </c>
    </row>
    <row r="1448" spans="1:4" x14ac:dyDescent="0.25">
      <c r="A1448" s="15">
        <f>Sheet2!A1448</f>
        <v>0</v>
      </c>
      <c r="B1448" s="8">
        <v>0.98</v>
      </c>
      <c r="C1448" s="9">
        <v>0</v>
      </c>
      <c r="D1448" s="13">
        <f t="shared" si="22"/>
        <v>0.98</v>
      </c>
    </row>
    <row r="1449" spans="1:4" x14ac:dyDescent="0.25">
      <c r="A1449" s="15">
        <f>Sheet2!A1449</f>
        <v>0</v>
      </c>
      <c r="B1449" s="8">
        <v>0.97</v>
      </c>
      <c r="C1449" s="9">
        <v>0</v>
      </c>
      <c r="D1449" s="13">
        <f t="shared" si="22"/>
        <v>0.97</v>
      </c>
    </row>
    <row r="1450" spans="1:4" x14ac:dyDescent="0.25">
      <c r="A1450" s="15">
        <f>Sheet2!A1450</f>
        <v>0</v>
      </c>
      <c r="B1450" s="8">
        <v>1.08</v>
      </c>
      <c r="C1450" s="9">
        <v>0</v>
      </c>
      <c r="D1450" s="13">
        <f t="shared" si="22"/>
        <v>1.08</v>
      </c>
    </row>
    <row r="1451" spans="1:4" x14ac:dyDescent="0.25">
      <c r="A1451" s="15">
        <f>Sheet2!A1451</f>
        <v>0</v>
      </c>
      <c r="B1451" s="8">
        <v>0</v>
      </c>
      <c r="C1451" s="9">
        <v>0.59</v>
      </c>
      <c r="D1451" s="13">
        <f t="shared" si="22"/>
        <v>0.59</v>
      </c>
    </row>
    <row r="1452" spans="1:4" x14ac:dyDescent="0.25">
      <c r="A1452" s="15">
        <f>Sheet2!A1452</f>
        <v>0</v>
      </c>
      <c r="B1452" s="8">
        <v>0</v>
      </c>
      <c r="C1452" s="9">
        <v>0.83</v>
      </c>
      <c r="D1452" s="13">
        <f t="shared" si="22"/>
        <v>0.83</v>
      </c>
    </row>
    <row r="1453" spans="1:4" x14ac:dyDescent="0.25">
      <c r="A1453" s="15">
        <f>Sheet2!A1453</f>
        <v>0</v>
      </c>
      <c r="B1453" s="8">
        <v>0.74</v>
      </c>
      <c r="C1453" s="9">
        <v>0</v>
      </c>
      <c r="D1453" s="13">
        <f t="shared" si="22"/>
        <v>0.74</v>
      </c>
    </row>
    <row r="1454" spans="1:4" x14ac:dyDescent="0.25">
      <c r="A1454" s="15">
        <f>Sheet2!A1454</f>
        <v>0</v>
      </c>
      <c r="B1454" s="8">
        <v>0.81</v>
      </c>
      <c r="C1454" s="9">
        <v>0</v>
      </c>
      <c r="D1454" s="13">
        <f t="shared" si="22"/>
        <v>0.81</v>
      </c>
    </row>
    <row r="1455" spans="1:4" x14ac:dyDescent="0.25">
      <c r="A1455" s="15">
        <f>Sheet2!A1455</f>
        <v>0</v>
      </c>
      <c r="B1455" s="8">
        <v>0.73</v>
      </c>
      <c r="C1455" s="9">
        <v>0</v>
      </c>
      <c r="D1455" s="13">
        <f t="shared" si="22"/>
        <v>0.73</v>
      </c>
    </row>
    <row r="1456" spans="1:4" x14ac:dyDescent="0.25">
      <c r="A1456" s="15">
        <f>Sheet2!A1456</f>
        <v>0</v>
      </c>
      <c r="B1456" s="8">
        <v>1.22</v>
      </c>
      <c r="C1456" s="9">
        <v>0</v>
      </c>
      <c r="D1456" s="13">
        <f t="shared" si="22"/>
        <v>1.22</v>
      </c>
    </row>
    <row r="1457" spans="1:4" x14ac:dyDescent="0.25">
      <c r="A1457" s="15">
        <f>Sheet2!A1457</f>
        <v>0</v>
      </c>
      <c r="B1457" s="8">
        <v>1.1000000000000001</v>
      </c>
      <c r="C1457" s="9">
        <v>0</v>
      </c>
      <c r="D1457" s="13">
        <f t="shared" si="22"/>
        <v>1.1000000000000001</v>
      </c>
    </row>
    <row r="1458" spans="1:4" x14ac:dyDescent="0.25">
      <c r="A1458" s="15">
        <f>Sheet2!A1458</f>
        <v>0</v>
      </c>
      <c r="B1458" s="8">
        <v>0</v>
      </c>
      <c r="C1458" s="9">
        <v>0.67</v>
      </c>
      <c r="D1458" s="13">
        <f t="shared" si="22"/>
        <v>0.67</v>
      </c>
    </row>
    <row r="1459" spans="1:4" x14ac:dyDescent="0.25">
      <c r="A1459" s="15">
        <f>Sheet2!A1459</f>
        <v>0</v>
      </c>
      <c r="B1459" s="8">
        <v>0.82</v>
      </c>
      <c r="C1459" s="9">
        <v>0</v>
      </c>
      <c r="D1459" s="13">
        <f t="shared" si="22"/>
        <v>0.82</v>
      </c>
    </row>
    <row r="1460" spans="1:4" x14ac:dyDescent="0.25">
      <c r="A1460" s="15">
        <f>Sheet2!A1460</f>
        <v>0</v>
      </c>
      <c r="B1460" s="8">
        <v>1.39</v>
      </c>
      <c r="C1460" s="9">
        <v>0</v>
      </c>
      <c r="D1460" s="13">
        <f t="shared" si="22"/>
        <v>1.39</v>
      </c>
    </row>
    <row r="1461" spans="1:4" x14ac:dyDescent="0.25">
      <c r="A1461" s="15">
        <f>Sheet2!A1461</f>
        <v>0</v>
      </c>
      <c r="B1461" s="8">
        <v>1.25</v>
      </c>
      <c r="C1461" s="9">
        <v>0</v>
      </c>
      <c r="D1461" s="13">
        <f t="shared" si="22"/>
        <v>1.25</v>
      </c>
    </row>
    <row r="1462" spans="1:4" x14ac:dyDescent="0.25">
      <c r="A1462" s="15">
        <f>Sheet2!A1462</f>
        <v>0</v>
      </c>
      <c r="B1462" s="8">
        <v>0.89</v>
      </c>
      <c r="C1462" s="9">
        <v>0</v>
      </c>
      <c r="D1462" s="13">
        <f t="shared" si="22"/>
        <v>0.89</v>
      </c>
    </row>
    <row r="1463" spans="1:4" x14ac:dyDescent="0.25">
      <c r="A1463" s="15">
        <f>Sheet2!A1463</f>
        <v>0</v>
      </c>
      <c r="B1463" s="8">
        <v>1.81</v>
      </c>
      <c r="C1463" s="9">
        <v>0</v>
      </c>
      <c r="D1463" s="13">
        <f t="shared" si="22"/>
        <v>1.81</v>
      </c>
    </row>
    <row r="1464" spans="1:4" x14ac:dyDescent="0.25">
      <c r="A1464" s="15">
        <f>Sheet2!A1464</f>
        <v>0</v>
      </c>
      <c r="B1464" s="8">
        <v>0.45</v>
      </c>
      <c r="C1464" s="9">
        <v>0</v>
      </c>
      <c r="D1464" s="13">
        <f t="shared" si="22"/>
        <v>0.45</v>
      </c>
    </row>
    <row r="1465" spans="1:4" x14ac:dyDescent="0.25">
      <c r="A1465" s="15">
        <f>Sheet2!A1465</f>
        <v>0</v>
      </c>
      <c r="B1465" s="8">
        <v>0.54</v>
      </c>
      <c r="C1465" s="9">
        <v>0</v>
      </c>
      <c r="D1465" s="13">
        <f t="shared" si="22"/>
        <v>0.54</v>
      </c>
    </row>
    <row r="1466" spans="1:4" x14ac:dyDescent="0.25">
      <c r="A1466" s="15">
        <f>Sheet2!A1466</f>
        <v>0</v>
      </c>
      <c r="B1466" s="8">
        <v>0.48</v>
      </c>
      <c r="C1466" s="9">
        <v>0</v>
      </c>
      <c r="D1466" s="13">
        <f t="shared" si="22"/>
        <v>0.48</v>
      </c>
    </row>
    <row r="1467" spans="1:4" x14ac:dyDescent="0.25">
      <c r="A1467" s="15">
        <f>Sheet2!A1467</f>
        <v>0</v>
      </c>
      <c r="B1467" s="8">
        <v>0.8</v>
      </c>
      <c r="C1467" s="9">
        <v>0</v>
      </c>
      <c r="D1467" s="13">
        <f t="shared" si="22"/>
        <v>0.8</v>
      </c>
    </row>
    <row r="1468" spans="1:4" x14ac:dyDescent="0.25">
      <c r="A1468" s="15">
        <f>Sheet2!A1468</f>
        <v>0</v>
      </c>
      <c r="B1468" s="8">
        <v>0.36</v>
      </c>
      <c r="C1468" s="9">
        <v>0</v>
      </c>
      <c r="D1468" s="13">
        <f t="shared" si="22"/>
        <v>0.36</v>
      </c>
    </row>
    <row r="1469" spans="1:4" x14ac:dyDescent="0.25">
      <c r="A1469" s="15">
        <f>Sheet2!A1469</f>
        <v>0</v>
      </c>
      <c r="B1469" s="8">
        <v>0.4</v>
      </c>
      <c r="C1469" s="9">
        <v>0</v>
      </c>
      <c r="D1469" s="13">
        <f t="shared" si="22"/>
        <v>0.4</v>
      </c>
    </row>
    <row r="1470" spans="1:4" x14ac:dyDescent="0.25">
      <c r="A1470" s="15">
        <f>Sheet2!A1470</f>
        <v>0</v>
      </c>
      <c r="B1470" s="8">
        <v>0.53</v>
      </c>
      <c r="C1470" s="9">
        <v>0</v>
      </c>
      <c r="D1470" s="13">
        <f t="shared" si="22"/>
        <v>0.53</v>
      </c>
    </row>
    <row r="1471" spans="1:4" x14ac:dyDescent="0.25">
      <c r="A1471" s="15">
        <f>Sheet2!A1471</f>
        <v>0</v>
      </c>
      <c r="B1471" s="8">
        <v>0.4</v>
      </c>
      <c r="C1471" s="9">
        <v>0</v>
      </c>
      <c r="D1471" s="13">
        <f t="shared" si="22"/>
        <v>0.4</v>
      </c>
    </row>
    <row r="1472" spans="1:4" x14ac:dyDescent="0.25">
      <c r="A1472" s="15">
        <f>Sheet2!A1472</f>
        <v>0</v>
      </c>
      <c r="B1472" s="8">
        <v>1.37</v>
      </c>
      <c r="C1472" s="9">
        <v>0</v>
      </c>
      <c r="D1472" s="13">
        <f t="shared" si="22"/>
        <v>1.37</v>
      </c>
    </row>
    <row r="1473" spans="1:4" x14ac:dyDescent="0.25">
      <c r="A1473" s="15">
        <f>Sheet2!A1473</f>
        <v>0</v>
      </c>
      <c r="B1473" s="8">
        <v>0.39</v>
      </c>
      <c r="C1473" s="9">
        <v>0</v>
      </c>
      <c r="D1473" s="13">
        <f t="shared" si="22"/>
        <v>0.39</v>
      </c>
    </row>
    <row r="1474" spans="1:4" x14ac:dyDescent="0.25">
      <c r="A1474" s="15">
        <f>Sheet2!A1474</f>
        <v>0</v>
      </c>
      <c r="B1474" s="8">
        <v>0.61</v>
      </c>
      <c r="C1474" s="9">
        <v>0</v>
      </c>
      <c r="D1474" s="13">
        <f t="shared" si="22"/>
        <v>0.61</v>
      </c>
    </row>
    <row r="1475" spans="1:4" x14ac:dyDescent="0.25">
      <c r="A1475" s="15">
        <f>Sheet2!A1475</f>
        <v>0</v>
      </c>
      <c r="B1475" s="8">
        <v>1.41</v>
      </c>
      <c r="C1475" s="9">
        <v>0</v>
      </c>
      <c r="D1475" s="13">
        <f t="shared" ref="D1475:D1538" si="23">B1475+C1475</f>
        <v>1.41</v>
      </c>
    </row>
    <row r="1476" spans="1:4" x14ac:dyDescent="0.25">
      <c r="A1476" s="15">
        <f>Sheet2!A1476</f>
        <v>0</v>
      </c>
      <c r="B1476" s="8">
        <v>0.76</v>
      </c>
      <c r="C1476" s="9">
        <v>0</v>
      </c>
      <c r="D1476" s="13">
        <f t="shared" si="23"/>
        <v>0.76</v>
      </c>
    </row>
    <row r="1477" spans="1:4" x14ac:dyDescent="0.25">
      <c r="A1477" s="15">
        <f>Sheet2!A1477</f>
        <v>0</v>
      </c>
      <c r="B1477" s="8">
        <v>1.1200000000000001</v>
      </c>
      <c r="C1477" s="9">
        <v>0</v>
      </c>
      <c r="D1477" s="13">
        <f t="shared" si="23"/>
        <v>1.1200000000000001</v>
      </c>
    </row>
    <row r="1478" spans="1:4" x14ac:dyDescent="0.25">
      <c r="A1478" s="15">
        <f>Sheet2!A1478</f>
        <v>0</v>
      </c>
      <c r="B1478" s="8">
        <v>1.36</v>
      </c>
      <c r="C1478" s="9">
        <v>0</v>
      </c>
      <c r="D1478" s="13">
        <f t="shared" si="23"/>
        <v>1.36</v>
      </c>
    </row>
    <row r="1479" spans="1:4" x14ac:dyDescent="0.25">
      <c r="A1479" s="15">
        <f>Sheet2!A1479</f>
        <v>0</v>
      </c>
      <c r="B1479" s="8">
        <v>0.88</v>
      </c>
      <c r="C1479" s="9">
        <v>0</v>
      </c>
      <c r="D1479" s="13">
        <f t="shared" si="23"/>
        <v>0.88</v>
      </c>
    </row>
    <row r="1480" spans="1:4" x14ac:dyDescent="0.25">
      <c r="A1480" s="15">
        <f>Sheet2!A1480</f>
        <v>0</v>
      </c>
      <c r="B1480" s="8">
        <v>1.08</v>
      </c>
      <c r="C1480" s="9">
        <v>0</v>
      </c>
      <c r="D1480" s="13">
        <f t="shared" si="23"/>
        <v>1.08</v>
      </c>
    </row>
    <row r="1481" spans="1:4" x14ac:dyDescent="0.25">
      <c r="A1481" s="15">
        <f>Sheet2!A1481</f>
        <v>0</v>
      </c>
      <c r="B1481" s="8">
        <v>1.18</v>
      </c>
      <c r="C1481" s="9">
        <v>0</v>
      </c>
      <c r="D1481" s="13">
        <f t="shared" si="23"/>
        <v>1.18</v>
      </c>
    </row>
    <row r="1482" spans="1:4" x14ac:dyDescent="0.25">
      <c r="A1482" s="15">
        <f>Sheet2!A1482</f>
        <v>0</v>
      </c>
      <c r="B1482" s="8">
        <v>1.02</v>
      </c>
      <c r="C1482" s="9">
        <v>0</v>
      </c>
      <c r="D1482" s="13">
        <f t="shared" si="23"/>
        <v>1.02</v>
      </c>
    </row>
    <row r="1483" spans="1:4" x14ac:dyDescent="0.25">
      <c r="A1483" s="15">
        <f>Sheet2!A1483</f>
        <v>0</v>
      </c>
      <c r="B1483" s="8">
        <v>0.74</v>
      </c>
      <c r="C1483" s="9">
        <v>0</v>
      </c>
      <c r="D1483" s="13">
        <f t="shared" si="23"/>
        <v>0.74</v>
      </c>
    </row>
    <row r="1484" spans="1:4" x14ac:dyDescent="0.25">
      <c r="A1484" s="15">
        <f>Sheet2!A1484</f>
        <v>0</v>
      </c>
      <c r="B1484" s="8">
        <v>2.1</v>
      </c>
      <c r="C1484" s="9">
        <v>0</v>
      </c>
      <c r="D1484" s="13">
        <f t="shared" si="23"/>
        <v>2.1</v>
      </c>
    </row>
    <row r="1485" spans="1:4" x14ac:dyDescent="0.25">
      <c r="A1485" s="15">
        <f>Sheet2!A1485</f>
        <v>0</v>
      </c>
      <c r="B1485" s="8">
        <v>3.47</v>
      </c>
      <c r="C1485" s="9">
        <v>0</v>
      </c>
      <c r="D1485" s="13">
        <f t="shared" si="23"/>
        <v>3.47</v>
      </c>
    </row>
    <row r="1486" spans="1:4" x14ac:dyDescent="0.25">
      <c r="A1486" s="15">
        <f>Sheet2!A1486</f>
        <v>0</v>
      </c>
      <c r="B1486" s="8">
        <v>2.64</v>
      </c>
      <c r="C1486" s="9">
        <v>0</v>
      </c>
      <c r="D1486" s="13">
        <f t="shared" si="23"/>
        <v>2.64</v>
      </c>
    </row>
    <row r="1487" spans="1:4" x14ac:dyDescent="0.25">
      <c r="A1487" s="15">
        <f>Sheet2!A1487</f>
        <v>0</v>
      </c>
      <c r="B1487" s="8">
        <v>1.32</v>
      </c>
      <c r="C1487" s="9">
        <v>0</v>
      </c>
      <c r="D1487" s="13">
        <f t="shared" si="23"/>
        <v>1.32</v>
      </c>
    </row>
    <row r="1488" spans="1:4" x14ac:dyDescent="0.25">
      <c r="A1488" s="15">
        <f>Sheet2!A1488</f>
        <v>0</v>
      </c>
      <c r="B1488" s="8">
        <v>1.53</v>
      </c>
      <c r="C1488" s="9">
        <v>0</v>
      </c>
      <c r="D1488" s="13">
        <f t="shared" si="23"/>
        <v>1.53</v>
      </c>
    </row>
    <row r="1489" spans="1:4" x14ac:dyDescent="0.25">
      <c r="A1489" s="15">
        <f>Sheet2!A1489</f>
        <v>0</v>
      </c>
      <c r="B1489" s="8">
        <v>0.88</v>
      </c>
      <c r="C1489" s="9">
        <v>0</v>
      </c>
      <c r="D1489" s="13">
        <f t="shared" si="23"/>
        <v>0.88</v>
      </c>
    </row>
    <row r="1490" spans="1:4" x14ac:dyDescent="0.25">
      <c r="A1490" s="15">
        <f>Sheet2!A1490</f>
        <v>0</v>
      </c>
      <c r="B1490" s="8">
        <v>0.48</v>
      </c>
      <c r="C1490" s="9">
        <v>0</v>
      </c>
      <c r="D1490" s="13">
        <f t="shared" si="23"/>
        <v>0.48</v>
      </c>
    </row>
    <row r="1491" spans="1:4" x14ac:dyDescent="0.25">
      <c r="A1491" s="15">
        <f>Sheet2!A1491</f>
        <v>0</v>
      </c>
      <c r="B1491" s="8">
        <v>0.6</v>
      </c>
      <c r="C1491" s="9">
        <v>0</v>
      </c>
      <c r="D1491" s="13">
        <f t="shared" si="23"/>
        <v>0.6</v>
      </c>
    </row>
    <row r="1492" spans="1:4" x14ac:dyDescent="0.25">
      <c r="A1492" s="15">
        <f>Sheet2!A1492</f>
        <v>0</v>
      </c>
      <c r="B1492" s="8">
        <v>0.4</v>
      </c>
      <c r="C1492" s="9">
        <v>0</v>
      </c>
      <c r="D1492" s="13">
        <f t="shared" si="23"/>
        <v>0.4</v>
      </c>
    </row>
    <row r="1493" spans="1:4" x14ac:dyDescent="0.25">
      <c r="A1493" s="15">
        <f>Sheet2!A1493</f>
        <v>0</v>
      </c>
      <c r="B1493" s="8">
        <v>0.46</v>
      </c>
      <c r="C1493" s="9">
        <v>0</v>
      </c>
      <c r="D1493" s="13">
        <f t="shared" si="23"/>
        <v>0.46</v>
      </c>
    </row>
    <row r="1494" spans="1:4" x14ac:dyDescent="0.25">
      <c r="A1494" s="15">
        <f>Sheet2!A1494</f>
        <v>0</v>
      </c>
      <c r="B1494" s="8">
        <v>0.73</v>
      </c>
      <c r="C1494" s="9">
        <v>0</v>
      </c>
      <c r="D1494" s="13">
        <f t="shared" si="23"/>
        <v>0.73</v>
      </c>
    </row>
    <row r="1495" spans="1:4" x14ac:dyDescent="0.25">
      <c r="A1495" s="15">
        <f>Sheet2!A1495</f>
        <v>0</v>
      </c>
      <c r="B1495" s="8">
        <v>0.93</v>
      </c>
      <c r="C1495" s="9">
        <v>0</v>
      </c>
      <c r="D1495" s="13">
        <f t="shared" si="23"/>
        <v>0.93</v>
      </c>
    </row>
    <row r="1496" spans="1:4" x14ac:dyDescent="0.25">
      <c r="A1496" s="15">
        <f>Sheet2!A1496</f>
        <v>0</v>
      </c>
      <c r="B1496" s="8">
        <v>0.3</v>
      </c>
      <c r="C1496" s="9">
        <v>0</v>
      </c>
      <c r="D1496" s="13">
        <f t="shared" si="23"/>
        <v>0.3</v>
      </c>
    </row>
    <row r="1497" spans="1:4" x14ac:dyDescent="0.25">
      <c r="A1497" s="15">
        <f>Sheet2!A1497</f>
        <v>0</v>
      </c>
      <c r="B1497" s="8">
        <v>0.42</v>
      </c>
      <c r="C1497" s="9">
        <v>0</v>
      </c>
      <c r="D1497" s="13">
        <f t="shared" si="23"/>
        <v>0.42</v>
      </c>
    </row>
    <row r="1498" spans="1:4" x14ac:dyDescent="0.25">
      <c r="A1498" s="15">
        <f>Sheet2!A1498</f>
        <v>0</v>
      </c>
      <c r="B1498" s="8">
        <v>0.3</v>
      </c>
      <c r="C1498" s="9">
        <v>0</v>
      </c>
      <c r="D1498" s="13">
        <f t="shared" si="23"/>
        <v>0.3</v>
      </c>
    </row>
    <row r="1499" spans="1:4" x14ac:dyDescent="0.25">
      <c r="A1499" s="15">
        <f>Sheet2!A1499</f>
        <v>0</v>
      </c>
      <c r="B1499" s="8">
        <v>0.4</v>
      </c>
      <c r="C1499" s="9">
        <v>0</v>
      </c>
      <c r="D1499" s="13">
        <f t="shared" si="23"/>
        <v>0.4</v>
      </c>
    </row>
    <row r="1500" spans="1:4" x14ac:dyDescent="0.25">
      <c r="A1500" s="15">
        <f>Sheet2!A1500</f>
        <v>0</v>
      </c>
      <c r="B1500" s="8">
        <v>0.54</v>
      </c>
      <c r="C1500" s="9">
        <v>0</v>
      </c>
      <c r="D1500" s="13">
        <f t="shared" si="23"/>
        <v>0.54</v>
      </c>
    </row>
    <row r="1501" spans="1:4" x14ac:dyDescent="0.25">
      <c r="A1501" s="15">
        <f>Sheet2!A1501</f>
        <v>0</v>
      </c>
      <c r="B1501" s="8">
        <v>0.6</v>
      </c>
      <c r="C1501" s="9">
        <v>0</v>
      </c>
      <c r="D1501" s="13">
        <f t="shared" si="23"/>
        <v>0.6</v>
      </c>
    </row>
    <row r="1502" spans="1:4" x14ac:dyDescent="0.25">
      <c r="A1502" s="15">
        <f>Sheet2!A1502</f>
        <v>0</v>
      </c>
      <c r="B1502" s="8">
        <v>0.47</v>
      </c>
      <c r="C1502" s="9">
        <v>0</v>
      </c>
      <c r="D1502" s="13">
        <f t="shared" si="23"/>
        <v>0.47</v>
      </c>
    </row>
    <row r="1503" spans="1:4" x14ac:dyDescent="0.25">
      <c r="A1503" s="15">
        <f>Sheet2!A1503</f>
        <v>0</v>
      </c>
      <c r="B1503" s="8">
        <v>0.84</v>
      </c>
      <c r="C1503" s="9">
        <v>0</v>
      </c>
      <c r="D1503" s="13">
        <f t="shared" si="23"/>
        <v>0.84</v>
      </c>
    </row>
    <row r="1504" spans="1:4" x14ac:dyDescent="0.25">
      <c r="A1504" s="15">
        <f>Sheet2!A1504</f>
        <v>0</v>
      </c>
      <c r="B1504" s="8">
        <v>0.4</v>
      </c>
      <c r="C1504" s="9">
        <v>0</v>
      </c>
      <c r="D1504" s="13">
        <f t="shared" si="23"/>
        <v>0.4</v>
      </c>
    </row>
    <row r="1505" spans="1:4" x14ac:dyDescent="0.25">
      <c r="A1505" s="15">
        <f>Sheet2!A1505</f>
        <v>0</v>
      </c>
      <c r="B1505" s="8">
        <v>0.59</v>
      </c>
      <c r="C1505" s="9">
        <v>0</v>
      </c>
      <c r="D1505" s="13">
        <f t="shared" si="23"/>
        <v>0.59</v>
      </c>
    </row>
    <row r="1506" spans="1:4" x14ac:dyDescent="0.25">
      <c r="A1506" s="15">
        <f>Sheet2!A1506</f>
        <v>0</v>
      </c>
      <c r="B1506" s="8">
        <v>1.23</v>
      </c>
      <c r="C1506" s="9">
        <v>0</v>
      </c>
      <c r="D1506" s="13">
        <f t="shared" si="23"/>
        <v>1.23</v>
      </c>
    </row>
    <row r="1507" spans="1:4" x14ac:dyDescent="0.25">
      <c r="A1507" s="15">
        <f>Sheet2!A1507</f>
        <v>0</v>
      </c>
      <c r="B1507" s="8">
        <v>1.02</v>
      </c>
      <c r="C1507" s="9">
        <v>0</v>
      </c>
      <c r="D1507" s="13">
        <f t="shared" si="23"/>
        <v>1.02</v>
      </c>
    </row>
    <row r="1508" spans="1:4" x14ac:dyDescent="0.25">
      <c r="A1508" s="15">
        <f>Sheet2!A1508</f>
        <v>0</v>
      </c>
      <c r="B1508" s="8">
        <v>0.95</v>
      </c>
      <c r="C1508" s="9">
        <v>0</v>
      </c>
      <c r="D1508" s="13">
        <f t="shared" si="23"/>
        <v>0.95</v>
      </c>
    </row>
    <row r="1509" spans="1:4" x14ac:dyDescent="0.25">
      <c r="A1509" s="15">
        <f>Sheet2!A1509</f>
        <v>0</v>
      </c>
      <c r="B1509" s="8">
        <v>1.49</v>
      </c>
      <c r="C1509" s="9">
        <v>0</v>
      </c>
      <c r="D1509" s="13">
        <f t="shared" si="23"/>
        <v>1.49</v>
      </c>
    </row>
    <row r="1510" spans="1:4" x14ac:dyDescent="0.25">
      <c r="A1510" s="15">
        <f>Sheet2!A1510</f>
        <v>0</v>
      </c>
      <c r="B1510" s="8">
        <v>1.19</v>
      </c>
      <c r="C1510" s="9">
        <v>0</v>
      </c>
      <c r="D1510" s="13">
        <f t="shared" si="23"/>
        <v>1.19</v>
      </c>
    </row>
    <row r="1511" spans="1:4" x14ac:dyDescent="0.25">
      <c r="A1511" s="15">
        <f>Sheet2!A1511</f>
        <v>0</v>
      </c>
      <c r="B1511" s="8">
        <v>1.73</v>
      </c>
      <c r="C1511" s="9">
        <v>0</v>
      </c>
      <c r="D1511" s="13">
        <f t="shared" si="23"/>
        <v>1.73</v>
      </c>
    </row>
    <row r="1512" spans="1:4" x14ac:dyDescent="0.25">
      <c r="A1512" s="15">
        <f>Sheet2!A1512</f>
        <v>0</v>
      </c>
      <c r="B1512" s="8">
        <v>1.05</v>
      </c>
      <c r="C1512" s="9">
        <v>0</v>
      </c>
      <c r="D1512" s="13">
        <f t="shared" si="23"/>
        <v>1.05</v>
      </c>
    </row>
    <row r="1513" spans="1:4" x14ac:dyDescent="0.25">
      <c r="A1513" s="15">
        <f>Sheet2!A1513</f>
        <v>0</v>
      </c>
      <c r="B1513" s="8">
        <v>0.79</v>
      </c>
      <c r="C1513" s="9">
        <v>0</v>
      </c>
      <c r="D1513" s="13">
        <f t="shared" si="23"/>
        <v>0.79</v>
      </c>
    </row>
    <row r="1514" spans="1:4" x14ac:dyDescent="0.25">
      <c r="A1514" s="15">
        <f>Sheet2!A1514</f>
        <v>0</v>
      </c>
      <c r="B1514" s="8">
        <v>0.54</v>
      </c>
      <c r="C1514" s="9">
        <v>0</v>
      </c>
      <c r="D1514" s="13">
        <f t="shared" si="23"/>
        <v>0.54</v>
      </c>
    </row>
    <row r="1515" spans="1:4" x14ac:dyDescent="0.25">
      <c r="A1515" s="15">
        <f>Sheet2!A1515</f>
        <v>0</v>
      </c>
      <c r="B1515" s="8">
        <v>0.38</v>
      </c>
      <c r="C1515" s="9">
        <v>0</v>
      </c>
      <c r="D1515" s="13">
        <f t="shared" si="23"/>
        <v>0.38</v>
      </c>
    </row>
    <row r="1516" spans="1:4" x14ac:dyDescent="0.25">
      <c r="A1516" s="15">
        <f>Sheet2!A1516</f>
        <v>0</v>
      </c>
      <c r="B1516" s="8">
        <v>0.8</v>
      </c>
      <c r="C1516" s="9">
        <v>0</v>
      </c>
      <c r="D1516" s="13">
        <f t="shared" si="23"/>
        <v>0.8</v>
      </c>
    </row>
    <row r="1517" spans="1:4" x14ac:dyDescent="0.25">
      <c r="A1517" s="15">
        <f>Sheet2!A1517</f>
        <v>0</v>
      </c>
      <c r="B1517" s="8">
        <v>0.57999999999999996</v>
      </c>
      <c r="C1517" s="9">
        <v>0</v>
      </c>
      <c r="D1517" s="13">
        <f t="shared" si="23"/>
        <v>0.57999999999999996</v>
      </c>
    </row>
    <row r="1518" spans="1:4" x14ac:dyDescent="0.25">
      <c r="A1518" s="15">
        <f>Sheet2!A1518</f>
        <v>0</v>
      </c>
      <c r="B1518" s="8">
        <v>0.65</v>
      </c>
      <c r="C1518" s="9">
        <v>0</v>
      </c>
      <c r="D1518" s="13">
        <f t="shared" si="23"/>
        <v>0.65</v>
      </c>
    </row>
    <row r="1519" spans="1:4" x14ac:dyDescent="0.25">
      <c r="A1519" s="15">
        <f>Sheet2!A1519</f>
        <v>0</v>
      </c>
      <c r="B1519" s="8">
        <v>0.85</v>
      </c>
      <c r="C1519" s="9">
        <v>0</v>
      </c>
      <c r="D1519" s="13">
        <f t="shared" si="23"/>
        <v>0.85</v>
      </c>
    </row>
    <row r="1520" spans="1:4" x14ac:dyDescent="0.25">
      <c r="A1520" s="15">
        <f>Sheet2!A1520</f>
        <v>0</v>
      </c>
      <c r="B1520" s="8">
        <v>0.59</v>
      </c>
      <c r="C1520" s="9">
        <v>0</v>
      </c>
      <c r="D1520" s="13">
        <f t="shared" si="23"/>
        <v>0.59</v>
      </c>
    </row>
    <row r="1521" spans="1:4" x14ac:dyDescent="0.25">
      <c r="A1521" s="15">
        <f>Sheet2!A1521</f>
        <v>0</v>
      </c>
      <c r="B1521" s="8">
        <v>0.32</v>
      </c>
      <c r="C1521" s="9">
        <v>0</v>
      </c>
      <c r="D1521" s="13">
        <f t="shared" si="23"/>
        <v>0.32</v>
      </c>
    </row>
    <row r="1522" spans="1:4" x14ac:dyDescent="0.25">
      <c r="A1522" s="15">
        <f>Sheet2!A1522</f>
        <v>0</v>
      </c>
      <c r="B1522" s="8">
        <v>0.56999999999999995</v>
      </c>
      <c r="C1522" s="9">
        <v>0</v>
      </c>
      <c r="D1522" s="13">
        <f t="shared" si="23"/>
        <v>0.56999999999999995</v>
      </c>
    </row>
    <row r="1523" spans="1:4" x14ac:dyDescent="0.25">
      <c r="A1523" s="15">
        <f>Sheet2!A1523</f>
        <v>0</v>
      </c>
      <c r="B1523" s="8">
        <v>0.33</v>
      </c>
      <c r="C1523" s="9">
        <v>0</v>
      </c>
      <c r="D1523" s="13">
        <f t="shared" si="23"/>
        <v>0.33</v>
      </c>
    </row>
    <row r="1524" spans="1:4" x14ac:dyDescent="0.25">
      <c r="A1524" s="15">
        <f>Sheet2!A1524</f>
        <v>0</v>
      </c>
      <c r="B1524" s="8">
        <v>0.64</v>
      </c>
      <c r="C1524" s="9">
        <v>0</v>
      </c>
      <c r="D1524" s="13">
        <f t="shared" si="23"/>
        <v>0.64</v>
      </c>
    </row>
    <row r="1525" spans="1:4" x14ac:dyDescent="0.25">
      <c r="A1525" s="15">
        <f>Sheet2!A1525</f>
        <v>0</v>
      </c>
      <c r="B1525" s="8">
        <v>0.52</v>
      </c>
      <c r="C1525" s="9">
        <v>0</v>
      </c>
      <c r="D1525" s="13">
        <f t="shared" si="23"/>
        <v>0.52</v>
      </c>
    </row>
    <row r="1526" spans="1:4" x14ac:dyDescent="0.25">
      <c r="A1526" s="15">
        <f>Sheet2!A1526</f>
        <v>0</v>
      </c>
      <c r="B1526" s="8">
        <v>0.52</v>
      </c>
      <c r="C1526" s="9">
        <v>0</v>
      </c>
      <c r="D1526" s="13">
        <f t="shared" si="23"/>
        <v>0.52</v>
      </c>
    </row>
    <row r="1527" spans="1:4" x14ac:dyDescent="0.25">
      <c r="A1527" s="15">
        <f>Sheet2!A1527</f>
        <v>0</v>
      </c>
      <c r="B1527" s="8">
        <v>0.57999999999999996</v>
      </c>
      <c r="C1527" s="9">
        <v>0</v>
      </c>
      <c r="D1527" s="13">
        <f t="shared" si="23"/>
        <v>0.57999999999999996</v>
      </c>
    </row>
    <row r="1528" spans="1:4" x14ac:dyDescent="0.25">
      <c r="A1528" s="15">
        <f>Sheet2!A1528</f>
        <v>0</v>
      </c>
      <c r="B1528" s="8">
        <v>1.48</v>
      </c>
      <c r="C1528" s="9">
        <v>0</v>
      </c>
      <c r="D1528" s="13">
        <f t="shared" si="23"/>
        <v>1.48</v>
      </c>
    </row>
    <row r="1529" spans="1:4" x14ac:dyDescent="0.25">
      <c r="A1529" s="15">
        <f>Sheet2!A1529</f>
        <v>0</v>
      </c>
      <c r="B1529" s="8">
        <v>1.33</v>
      </c>
      <c r="C1529" s="9">
        <v>0</v>
      </c>
      <c r="D1529" s="13">
        <f t="shared" si="23"/>
        <v>1.33</v>
      </c>
    </row>
    <row r="1530" spans="1:4" x14ac:dyDescent="0.25">
      <c r="A1530" s="15">
        <f>Sheet2!A1530</f>
        <v>0</v>
      </c>
      <c r="B1530" s="8">
        <v>1.21</v>
      </c>
      <c r="C1530" s="9">
        <v>0</v>
      </c>
      <c r="D1530" s="13">
        <f t="shared" si="23"/>
        <v>1.21</v>
      </c>
    </row>
    <row r="1531" spans="1:4" x14ac:dyDescent="0.25">
      <c r="A1531" s="15">
        <f>Sheet2!A1531</f>
        <v>0</v>
      </c>
      <c r="B1531" s="8">
        <v>1.79</v>
      </c>
      <c r="C1531" s="9">
        <v>0</v>
      </c>
      <c r="D1531" s="13">
        <f t="shared" si="23"/>
        <v>1.79</v>
      </c>
    </row>
    <row r="1532" spans="1:4" x14ac:dyDescent="0.25">
      <c r="A1532" s="15">
        <f>Sheet2!A1532</f>
        <v>0</v>
      </c>
      <c r="B1532" s="8">
        <v>1</v>
      </c>
      <c r="C1532" s="9">
        <v>0</v>
      </c>
      <c r="D1532" s="13">
        <f t="shared" si="23"/>
        <v>1</v>
      </c>
    </row>
    <row r="1533" spans="1:4" x14ac:dyDescent="0.25">
      <c r="A1533" s="15">
        <f>Sheet2!A1533</f>
        <v>0</v>
      </c>
      <c r="B1533" s="8">
        <v>1.28</v>
      </c>
      <c r="C1533" s="9">
        <v>0</v>
      </c>
      <c r="D1533" s="13">
        <f t="shared" si="23"/>
        <v>1.28</v>
      </c>
    </row>
    <row r="1534" spans="1:4" x14ac:dyDescent="0.25">
      <c r="A1534" s="15">
        <f>Sheet2!A1534</f>
        <v>0</v>
      </c>
      <c r="B1534" s="8">
        <v>1.02</v>
      </c>
      <c r="C1534" s="9">
        <v>0</v>
      </c>
      <c r="D1534" s="13">
        <f t="shared" si="23"/>
        <v>1.02</v>
      </c>
    </row>
    <row r="1535" spans="1:4" x14ac:dyDescent="0.25">
      <c r="A1535" s="15">
        <f>Sheet2!A1535</f>
        <v>0</v>
      </c>
      <c r="B1535" s="8">
        <v>1.73</v>
      </c>
      <c r="C1535" s="9">
        <v>0</v>
      </c>
      <c r="D1535" s="13">
        <f t="shared" si="23"/>
        <v>1.73</v>
      </c>
    </row>
    <row r="1536" spans="1:4" x14ac:dyDescent="0.25">
      <c r="A1536" s="15">
        <f>Sheet2!A1536</f>
        <v>0</v>
      </c>
      <c r="B1536" s="8">
        <v>0.9</v>
      </c>
      <c r="C1536" s="9">
        <v>0</v>
      </c>
      <c r="D1536" s="13">
        <f t="shared" si="23"/>
        <v>0.9</v>
      </c>
    </row>
    <row r="1537" spans="1:4" x14ac:dyDescent="0.25">
      <c r="A1537" s="15">
        <f>Sheet2!A1537</f>
        <v>0</v>
      </c>
      <c r="B1537" s="8">
        <v>0.49</v>
      </c>
      <c r="C1537" s="9">
        <v>0</v>
      </c>
      <c r="D1537" s="13">
        <f t="shared" si="23"/>
        <v>0.49</v>
      </c>
    </row>
    <row r="1538" spans="1:4" x14ac:dyDescent="0.25">
      <c r="A1538" s="15">
        <f>Sheet2!A1538</f>
        <v>0</v>
      </c>
      <c r="B1538" s="8">
        <v>0.69</v>
      </c>
      <c r="C1538" s="9">
        <v>0</v>
      </c>
      <c r="D1538" s="13">
        <f t="shared" si="23"/>
        <v>0.69</v>
      </c>
    </row>
    <row r="1539" spans="1:4" x14ac:dyDescent="0.25">
      <c r="A1539" s="15">
        <f>Sheet2!A1539</f>
        <v>0</v>
      </c>
      <c r="B1539" s="8">
        <v>0.52</v>
      </c>
      <c r="C1539" s="9">
        <v>0</v>
      </c>
      <c r="D1539" s="13">
        <f t="shared" ref="D1539:D1602" si="24">B1539+C1539</f>
        <v>0.52</v>
      </c>
    </row>
    <row r="1540" spans="1:4" x14ac:dyDescent="0.25">
      <c r="A1540" s="15">
        <f>Sheet2!A1540</f>
        <v>0</v>
      </c>
      <c r="B1540" s="8">
        <v>0.54</v>
      </c>
      <c r="C1540" s="9">
        <v>0</v>
      </c>
      <c r="D1540" s="13">
        <f t="shared" si="24"/>
        <v>0.54</v>
      </c>
    </row>
    <row r="1541" spans="1:4" x14ac:dyDescent="0.25">
      <c r="A1541" s="15">
        <f>Sheet2!A1541</f>
        <v>0</v>
      </c>
      <c r="B1541" s="8">
        <v>0.6</v>
      </c>
      <c r="C1541" s="9">
        <v>0</v>
      </c>
      <c r="D1541" s="13">
        <f t="shared" si="24"/>
        <v>0.6</v>
      </c>
    </row>
    <row r="1542" spans="1:4" x14ac:dyDescent="0.25">
      <c r="A1542" s="15">
        <f>Sheet2!A1542</f>
        <v>0</v>
      </c>
      <c r="B1542" s="8">
        <v>0.89</v>
      </c>
      <c r="C1542" s="9">
        <v>0</v>
      </c>
      <c r="D1542" s="13">
        <f t="shared" si="24"/>
        <v>0.89</v>
      </c>
    </row>
    <row r="1543" spans="1:4" x14ac:dyDescent="0.25">
      <c r="A1543" s="15">
        <f>Sheet2!A1543</f>
        <v>0</v>
      </c>
      <c r="B1543" s="8">
        <v>0</v>
      </c>
      <c r="C1543" s="9">
        <v>0.32</v>
      </c>
      <c r="D1543" s="13">
        <f t="shared" si="24"/>
        <v>0.32</v>
      </c>
    </row>
    <row r="1544" spans="1:4" x14ac:dyDescent="0.25">
      <c r="A1544" s="15">
        <f>Sheet2!A1544</f>
        <v>0</v>
      </c>
      <c r="B1544" s="8">
        <v>0.2</v>
      </c>
      <c r="C1544" s="9">
        <v>0</v>
      </c>
      <c r="D1544" s="13">
        <f t="shared" si="24"/>
        <v>0.2</v>
      </c>
    </row>
    <row r="1545" spans="1:4" x14ac:dyDescent="0.25">
      <c r="A1545" s="15">
        <f>Sheet2!A1545</f>
        <v>0</v>
      </c>
      <c r="B1545" s="8">
        <v>0.37</v>
      </c>
      <c r="C1545" s="9">
        <v>0</v>
      </c>
      <c r="D1545" s="13">
        <f t="shared" si="24"/>
        <v>0.37</v>
      </c>
    </row>
    <row r="1546" spans="1:4" x14ac:dyDescent="0.25">
      <c r="A1546" s="15">
        <f>Sheet2!A1546</f>
        <v>0</v>
      </c>
      <c r="B1546" s="8">
        <v>0.78</v>
      </c>
      <c r="C1546" s="9">
        <v>0</v>
      </c>
      <c r="D1546" s="13">
        <f t="shared" si="24"/>
        <v>0.78</v>
      </c>
    </row>
    <row r="1547" spans="1:4" x14ac:dyDescent="0.25">
      <c r="A1547" s="15">
        <f>Sheet2!A1547</f>
        <v>0</v>
      </c>
      <c r="B1547" s="8">
        <v>0.73</v>
      </c>
      <c r="C1547" s="9">
        <v>0</v>
      </c>
      <c r="D1547" s="13">
        <f t="shared" si="24"/>
        <v>0.73</v>
      </c>
    </row>
    <row r="1548" spans="1:4" x14ac:dyDescent="0.25">
      <c r="A1548" s="15">
        <f>Sheet2!A1548</f>
        <v>0</v>
      </c>
      <c r="B1548" s="8">
        <v>0.89</v>
      </c>
      <c r="C1548" s="9">
        <v>0</v>
      </c>
      <c r="D1548" s="13">
        <f t="shared" si="24"/>
        <v>0.89</v>
      </c>
    </row>
    <row r="1549" spans="1:4" x14ac:dyDescent="0.25">
      <c r="A1549" s="15">
        <f>Sheet2!A1549</f>
        <v>0</v>
      </c>
      <c r="B1549" s="8">
        <v>0.56000000000000005</v>
      </c>
      <c r="C1549" s="9">
        <v>0</v>
      </c>
      <c r="D1549" s="13">
        <f t="shared" si="24"/>
        <v>0.56000000000000005</v>
      </c>
    </row>
    <row r="1550" spans="1:4" x14ac:dyDescent="0.25">
      <c r="A1550" s="15">
        <f>Sheet2!A1550</f>
        <v>0</v>
      </c>
      <c r="B1550" s="8">
        <v>0.67</v>
      </c>
      <c r="C1550" s="9">
        <v>0</v>
      </c>
      <c r="D1550" s="13">
        <f t="shared" si="24"/>
        <v>0.67</v>
      </c>
    </row>
    <row r="1551" spans="1:4" x14ac:dyDescent="0.25">
      <c r="A1551" s="15">
        <f>Sheet2!A1551</f>
        <v>0</v>
      </c>
      <c r="B1551" s="8">
        <v>1.23</v>
      </c>
      <c r="C1551" s="9">
        <v>0</v>
      </c>
      <c r="D1551" s="13">
        <f t="shared" si="24"/>
        <v>1.23</v>
      </c>
    </row>
    <row r="1552" spans="1:4" x14ac:dyDescent="0.25">
      <c r="A1552" s="15">
        <f>Sheet2!A1552</f>
        <v>0</v>
      </c>
      <c r="B1552" s="8">
        <v>1.41</v>
      </c>
      <c r="C1552" s="9">
        <v>0</v>
      </c>
      <c r="D1552" s="13">
        <f t="shared" si="24"/>
        <v>1.41</v>
      </c>
    </row>
    <row r="1553" spans="1:4" x14ac:dyDescent="0.25">
      <c r="A1553" s="15">
        <f>Sheet2!A1553</f>
        <v>0</v>
      </c>
      <c r="B1553" s="8">
        <v>0.73</v>
      </c>
      <c r="C1553" s="9">
        <v>0</v>
      </c>
      <c r="D1553" s="13">
        <f t="shared" si="24"/>
        <v>0.73</v>
      </c>
    </row>
    <row r="1554" spans="1:4" x14ac:dyDescent="0.25">
      <c r="A1554" s="15">
        <f>Sheet2!A1554</f>
        <v>0</v>
      </c>
      <c r="B1554" s="8">
        <v>0.81</v>
      </c>
      <c r="C1554" s="9">
        <v>0</v>
      </c>
      <c r="D1554" s="13">
        <f t="shared" si="24"/>
        <v>0.81</v>
      </c>
    </row>
    <row r="1555" spans="1:4" x14ac:dyDescent="0.25">
      <c r="A1555" s="15">
        <f>Sheet2!A1555</f>
        <v>0</v>
      </c>
      <c r="B1555" s="8">
        <v>1.01</v>
      </c>
      <c r="C1555" s="9">
        <v>0</v>
      </c>
      <c r="D1555" s="13">
        <f t="shared" si="24"/>
        <v>1.01</v>
      </c>
    </row>
    <row r="1556" spans="1:4" x14ac:dyDescent="0.25">
      <c r="A1556" s="15">
        <f>Sheet2!A1556</f>
        <v>0</v>
      </c>
      <c r="B1556" s="8">
        <v>1.21</v>
      </c>
      <c r="C1556" s="9">
        <v>0</v>
      </c>
      <c r="D1556" s="13">
        <f t="shared" si="24"/>
        <v>1.21</v>
      </c>
    </row>
    <row r="1557" spans="1:4" x14ac:dyDescent="0.25">
      <c r="A1557" s="15">
        <f>Sheet2!A1557</f>
        <v>0</v>
      </c>
      <c r="B1557" s="8">
        <v>1</v>
      </c>
      <c r="C1557" s="9">
        <v>0</v>
      </c>
      <c r="D1557" s="13">
        <f t="shared" si="24"/>
        <v>1</v>
      </c>
    </row>
    <row r="1558" spans="1:4" x14ac:dyDescent="0.25">
      <c r="A1558" s="15">
        <f>Sheet2!A1558</f>
        <v>0</v>
      </c>
      <c r="B1558" s="8">
        <v>1.02</v>
      </c>
      <c r="C1558" s="9">
        <v>0</v>
      </c>
      <c r="D1558" s="13">
        <f t="shared" si="24"/>
        <v>1.02</v>
      </c>
    </row>
    <row r="1559" spans="1:4" x14ac:dyDescent="0.25">
      <c r="A1559" s="15">
        <f>Sheet2!A1559</f>
        <v>0</v>
      </c>
      <c r="B1559" s="8">
        <v>2.39</v>
      </c>
      <c r="C1559" s="9">
        <v>0</v>
      </c>
      <c r="D1559" s="13">
        <f t="shared" si="24"/>
        <v>2.39</v>
      </c>
    </row>
    <row r="1560" spans="1:4" x14ac:dyDescent="0.25">
      <c r="A1560" s="15">
        <f>Sheet2!A1560</f>
        <v>0</v>
      </c>
      <c r="B1560" s="8">
        <v>1.44</v>
      </c>
      <c r="C1560" s="9">
        <v>0</v>
      </c>
      <c r="D1560" s="13">
        <f t="shared" si="24"/>
        <v>1.44</v>
      </c>
    </row>
    <row r="1561" spans="1:4" x14ac:dyDescent="0.25">
      <c r="A1561" s="15">
        <f>Sheet2!A1561</f>
        <v>0</v>
      </c>
      <c r="B1561" s="8">
        <v>0.84</v>
      </c>
      <c r="C1561" s="9">
        <v>0</v>
      </c>
      <c r="D1561" s="13">
        <f t="shared" si="24"/>
        <v>0.84</v>
      </c>
    </row>
    <row r="1562" spans="1:4" x14ac:dyDescent="0.25">
      <c r="A1562" s="15">
        <f>Sheet2!A1562</f>
        <v>0</v>
      </c>
      <c r="B1562" s="8">
        <v>0.63</v>
      </c>
      <c r="C1562" s="9">
        <v>0</v>
      </c>
      <c r="D1562" s="13">
        <f t="shared" si="24"/>
        <v>0.63</v>
      </c>
    </row>
    <row r="1563" spans="1:4" x14ac:dyDescent="0.25">
      <c r="A1563" s="15">
        <f>Sheet2!A1563</f>
        <v>0</v>
      </c>
      <c r="B1563" s="8">
        <v>0.48</v>
      </c>
      <c r="C1563" s="9">
        <v>0</v>
      </c>
      <c r="D1563" s="13">
        <f t="shared" si="24"/>
        <v>0.48</v>
      </c>
    </row>
    <row r="1564" spans="1:4" x14ac:dyDescent="0.25">
      <c r="A1564" s="15">
        <f>Sheet2!A1564</f>
        <v>0</v>
      </c>
      <c r="B1564" s="8">
        <v>0.79</v>
      </c>
      <c r="C1564" s="9">
        <v>0</v>
      </c>
      <c r="D1564" s="13">
        <f t="shared" si="24"/>
        <v>0.79</v>
      </c>
    </row>
    <row r="1565" spans="1:4" x14ac:dyDescent="0.25">
      <c r="A1565" s="15">
        <f>Sheet2!A1565</f>
        <v>0</v>
      </c>
      <c r="B1565" s="8">
        <v>0.5</v>
      </c>
      <c r="C1565" s="9">
        <v>0</v>
      </c>
      <c r="D1565" s="13">
        <f t="shared" si="24"/>
        <v>0.5</v>
      </c>
    </row>
    <row r="1566" spans="1:4" x14ac:dyDescent="0.25">
      <c r="A1566" s="15">
        <f>Sheet2!A1566</f>
        <v>0</v>
      </c>
      <c r="B1566" s="8">
        <v>0.84</v>
      </c>
      <c r="C1566" s="9">
        <v>0</v>
      </c>
      <c r="D1566" s="13">
        <f t="shared" si="24"/>
        <v>0.84</v>
      </c>
    </row>
    <row r="1567" spans="1:4" x14ac:dyDescent="0.25">
      <c r="A1567" s="15">
        <f>Sheet2!A1567</f>
        <v>0</v>
      </c>
      <c r="B1567" s="8">
        <v>1.22</v>
      </c>
      <c r="C1567" s="9">
        <v>0</v>
      </c>
      <c r="D1567" s="13">
        <f t="shared" si="24"/>
        <v>1.22</v>
      </c>
    </row>
    <row r="1568" spans="1:4" x14ac:dyDescent="0.25">
      <c r="A1568" s="15">
        <f>Sheet2!A1568</f>
        <v>0</v>
      </c>
      <c r="B1568" s="8">
        <v>0.87</v>
      </c>
      <c r="C1568" s="9">
        <v>0</v>
      </c>
      <c r="D1568" s="13">
        <f t="shared" si="24"/>
        <v>0.87</v>
      </c>
    </row>
    <row r="1569" spans="1:4" x14ac:dyDescent="0.25">
      <c r="A1569" s="15">
        <f>Sheet2!A1569</f>
        <v>0</v>
      </c>
      <c r="B1569" s="8">
        <v>0</v>
      </c>
      <c r="C1569" s="9">
        <v>0.34</v>
      </c>
      <c r="D1569" s="13">
        <f t="shared" si="24"/>
        <v>0.34</v>
      </c>
    </row>
    <row r="1570" spans="1:4" x14ac:dyDescent="0.25">
      <c r="A1570" s="15">
        <f>Sheet2!A1570</f>
        <v>0</v>
      </c>
      <c r="B1570" s="8">
        <v>0</v>
      </c>
      <c r="C1570" s="9">
        <v>0.46</v>
      </c>
      <c r="D1570" s="13">
        <f t="shared" si="24"/>
        <v>0.46</v>
      </c>
    </row>
    <row r="1571" spans="1:4" x14ac:dyDescent="0.25">
      <c r="A1571" s="15">
        <f>Sheet2!A1571</f>
        <v>0</v>
      </c>
      <c r="B1571" s="8">
        <v>0.49</v>
      </c>
      <c r="C1571" s="9">
        <v>0</v>
      </c>
      <c r="D1571" s="13">
        <f t="shared" si="24"/>
        <v>0.49</v>
      </c>
    </row>
    <row r="1572" spans="1:4" x14ac:dyDescent="0.25">
      <c r="A1572" s="15">
        <f>Sheet2!A1572</f>
        <v>0</v>
      </c>
      <c r="B1572" s="8">
        <v>0.43</v>
      </c>
      <c r="C1572" s="9">
        <v>0</v>
      </c>
      <c r="D1572" s="13">
        <f t="shared" si="24"/>
        <v>0.43</v>
      </c>
    </row>
    <row r="1573" spans="1:4" x14ac:dyDescent="0.25">
      <c r="A1573" s="15">
        <f>Sheet2!A1573</f>
        <v>0</v>
      </c>
      <c r="B1573" s="8">
        <v>0.42</v>
      </c>
      <c r="C1573" s="9">
        <v>0</v>
      </c>
      <c r="D1573" s="13">
        <f t="shared" si="24"/>
        <v>0.42</v>
      </c>
    </row>
    <row r="1574" spans="1:4" x14ac:dyDescent="0.25">
      <c r="A1574" s="15">
        <f>Sheet2!A1574</f>
        <v>0</v>
      </c>
      <c r="B1574" s="8">
        <v>0.72</v>
      </c>
      <c r="C1574" s="9">
        <v>0</v>
      </c>
      <c r="D1574" s="13">
        <f t="shared" si="24"/>
        <v>0.72</v>
      </c>
    </row>
    <row r="1575" spans="1:4" x14ac:dyDescent="0.25">
      <c r="A1575" s="15">
        <f>Sheet2!A1575</f>
        <v>0</v>
      </c>
      <c r="B1575" s="8">
        <v>0.75</v>
      </c>
      <c r="C1575" s="9">
        <v>0</v>
      </c>
      <c r="D1575" s="13">
        <f t="shared" si="24"/>
        <v>0.75</v>
      </c>
    </row>
    <row r="1576" spans="1:4" x14ac:dyDescent="0.25">
      <c r="A1576" s="15">
        <f>Sheet2!A1576</f>
        <v>0</v>
      </c>
      <c r="B1576" s="8">
        <v>0.98</v>
      </c>
      <c r="C1576" s="9">
        <v>0</v>
      </c>
      <c r="D1576" s="13">
        <f t="shared" si="24"/>
        <v>0.98</v>
      </c>
    </row>
    <row r="1577" spans="1:4" x14ac:dyDescent="0.25">
      <c r="A1577" s="15">
        <f>Sheet2!A1577</f>
        <v>0</v>
      </c>
      <c r="B1577" s="8">
        <v>0.5</v>
      </c>
      <c r="C1577" s="9">
        <v>0</v>
      </c>
      <c r="D1577" s="13">
        <f t="shared" si="24"/>
        <v>0.5</v>
      </c>
    </row>
    <row r="1578" spans="1:4" x14ac:dyDescent="0.25">
      <c r="A1578" s="15">
        <f>Sheet2!A1578</f>
        <v>0</v>
      </c>
      <c r="B1578" s="8">
        <v>1.28</v>
      </c>
      <c r="C1578" s="9">
        <v>0</v>
      </c>
      <c r="D1578" s="13">
        <f t="shared" si="24"/>
        <v>1.28</v>
      </c>
    </row>
    <row r="1579" spans="1:4" x14ac:dyDescent="0.25">
      <c r="A1579" s="15">
        <f>Sheet2!A1579</f>
        <v>0</v>
      </c>
      <c r="B1579" s="8">
        <v>0.91</v>
      </c>
      <c r="C1579" s="9">
        <v>0</v>
      </c>
      <c r="D1579" s="13">
        <f t="shared" si="24"/>
        <v>0.91</v>
      </c>
    </row>
    <row r="1580" spans="1:4" x14ac:dyDescent="0.25">
      <c r="A1580" s="15">
        <f>Sheet2!A1580</f>
        <v>0</v>
      </c>
      <c r="B1580" s="8">
        <v>0</v>
      </c>
      <c r="C1580" s="9">
        <v>0.59</v>
      </c>
      <c r="D1580" s="13">
        <f t="shared" si="24"/>
        <v>0.59</v>
      </c>
    </row>
    <row r="1581" spans="1:4" x14ac:dyDescent="0.25">
      <c r="A1581" s="15">
        <f>Sheet2!A1581</f>
        <v>0</v>
      </c>
      <c r="B1581" s="8">
        <v>0</v>
      </c>
      <c r="C1581" s="9">
        <v>0.36</v>
      </c>
      <c r="D1581" s="13">
        <f t="shared" si="24"/>
        <v>0.36</v>
      </c>
    </row>
    <row r="1582" spans="1:4" x14ac:dyDescent="0.25">
      <c r="A1582" s="15">
        <f>Sheet2!A1582</f>
        <v>0</v>
      </c>
      <c r="B1582" s="8">
        <v>2.34</v>
      </c>
      <c r="C1582" s="9">
        <v>0</v>
      </c>
      <c r="D1582" s="13">
        <f t="shared" si="24"/>
        <v>2.34</v>
      </c>
    </row>
    <row r="1583" spans="1:4" x14ac:dyDescent="0.25">
      <c r="A1583" s="15">
        <f>Sheet2!A1583</f>
        <v>0</v>
      </c>
      <c r="B1583" s="8">
        <v>1.76</v>
      </c>
      <c r="C1583" s="9">
        <v>0</v>
      </c>
      <c r="D1583" s="13">
        <f t="shared" si="24"/>
        <v>1.76</v>
      </c>
    </row>
    <row r="1584" spans="1:4" x14ac:dyDescent="0.25">
      <c r="A1584" s="15">
        <f>Sheet2!A1584</f>
        <v>0</v>
      </c>
      <c r="B1584" s="8">
        <v>0.49</v>
      </c>
      <c r="C1584" s="9">
        <v>0</v>
      </c>
      <c r="D1584" s="13">
        <f t="shared" si="24"/>
        <v>0.49</v>
      </c>
    </row>
    <row r="1585" spans="1:4" x14ac:dyDescent="0.25">
      <c r="A1585" s="15">
        <f>Sheet2!A1585</f>
        <v>0</v>
      </c>
      <c r="B1585" s="8">
        <v>0.56999999999999995</v>
      </c>
      <c r="C1585" s="9">
        <v>0</v>
      </c>
      <c r="D1585" s="13">
        <f t="shared" si="24"/>
        <v>0.56999999999999995</v>
      </c>
    </row>
    <row r="1586" spans="1:4" x14ac:dyDescent="0.25">
      <c r="A1586" s="15">
        <f>Sheet2!A1586</f>
        <v>0</v>
      </c>
      <c r="B1586" s="8">
        <v>0.74</v>
      </c>
      <c r="C1586" s="9">
        <v>0</v>
      </c>
      <c r="D1586" s="13">
        <f t="shared" si="24"/>
        <v>0.74</v>
      </c>
    </row>
    <row r="1587" spans="1:4" x14ac:dyDescent="0.25">
      <c r="A1587" s="15">
        <f>Sheet2!A1587</f>
        <v>0</v>
      </c>
      <c r="B1587" s="8">
        <v>0.44</v>
      </c>
      <c r="C1587" s="9">
        <v>0</v>
      </c>
      <c r="D1587" s="13">
        <f t="shared" si="24"/>
        <v>0.44</v>
      </c>
    </row>
    <row r="1588" spans="1:4" x14ac:dyDescent="0.25">
      <c r="A1588" s="15">
        <f>Sheet2!A1588</f>
        <v>0</v>
      </c>
      <c r="B1588" s="8">
        <v>0.47</v>
      </c>
      <c r="C1588" s="9">
        <v>0</v>
      </c>
      <c r="D1588" s="13">
        <f t="shared" si="24"/>
        <v>0.47</v>
      </c>
    </row>
    <row r="1589" spans="1:4" x14ac:dyDescent="0.25">
      <c r="A1589" s="15">
        <f>Sheet2!A1589</f>
        <v>0</v>
      </c>
      <c r="B1589" s="8">
        <v>0.68</v>
      </c>
      <c r="C1589" s="9">
        <v>0</v>
      </c>
      <c r="D1589" s="13">
        <f t="shared" si="24"/>
        <v>0.68</v>
      </c>
    </row>
    <row r="1590" spans="1:4" x14ac:dyDescent="0.25">
      <c r="A1590" s="15">
        <f>Sheet2!A1590</f>
        <v>0</v>
      </c>
      <c r="B1590" s="8">
        <v>0.8</v>
      </c>
      <c r="C1590" s="9">
        <v>0</v>
      </c>
      <c r="D1590" s="13">
        <f t="shared" si="24"/>
        <v>0.8</v>
      </c>
    </row>
    <row r="1591" spans="1:4" x14ac:dyDescent="0.25">
      <c r="A1591" s="15">
        <f>Sheet2!A1591</f>
        <v>0</v>
      </c>
      <c r="B1591" s="8">
        <v>1.07</v>
      </c>
      <c r="C1591" s="9">
        <v>0</v>
      </c>
      <c r="D1591" s="13">
        <f t="shared" si="24"/>
        <v>1.07</v>
      </c>
    </row>
    <row r="1592" spans="1:4" x14ac:dyDescent="0.25">
      <c r="A1592" s="15">
        <f>Sheet2!A1592</f>
        <v>0</v>
      </c>
      <c r="B1592" s="8">
        <v>0.71</v>
      </c>
      <c r="C1592" s="9">
        <v>0</v>
      </c>
      <c r="D1592" s="13">
        <f t="shared" si="24"/>
        <v>0.71</v>
      </c>
    </row>
    <row r="1593" spans="1:4" x14ac:dyDescent="0.25">
      <c r="A1593" s="15">
        <f>Sheet2!A1593</f>
        <v>0</v>
      </c>
      <c r="B1593" s="8">
        <v>0.36</v>
      </c>
      <c r="C1593" s="9">
        <v>0</v>
      </c>
      <c r="D1593" s="13">
        <f t="shared" si="24"/>
        <v>0.36</v>
      </c>
    </row>
    <row r="1594" spans="1:4" x14ac:dyDescent="0.25">
      <c r="A1594" s="15">
        <f>Sheet2!A1594</f>
        <v>0</v>
      </c>
      <c r="B1594" s="8">
        <v>0.68</v>
      </c>
      <c r="C1594" s="9">
        <v>0</v>
      </c>
      <c r="D1594" s="13">
        <f t="shared" si="24"/>
        <v>0.68</v>
      </c>
    </row>
    <row r="1595" spans="1:4" x14ac:dyDescent="0.25">
      <c r="A1595" s="15">
        <f>Sheet2!A1595</f>
        <v>0</v>
      </c>
      <c r="B1595" s="8">
        <v>0.57999999999999996</v>
      </c>
      <c r="C1595" s="9">
        <v>0</v>
      </c>
      <c r="D1595" s="13">
        <f t="shared" si="24"/>
        <v>0.57999999999999996</v>
      </c>
    </row>
    <row r="1596" spans="1:4" x14ac:dyDescent="0.25">
      <c r="A1596" s="15">
        <f>Sheet2!A1596</f>
        <v>0</v>
      </c>
      <c r="B1596" s="8">
        <v>0.9</v>
      </c>
      <c r="C1596" s="9">
        <v>0</v>
      </c>
      <c r="D1596" s="13">
        <f t="shared" si="24"/>
        <v>0.9</v>
      </c>
    </row>
    <row r="1597" spans="1:4" x14ac:dyDescent="0.25">
      <c r="A1597" s="15">
        <f>Sheet2!A1597</f>
        <v>0</v>
      </c>
      <c r="B1597" s="8">
        <v>0.73</v>
      </c>
      <c r="C1597" s="9">
        <v>0</v>
      </c>
      <c r="D1597" s="13">
        <f t="shared" si="24"/>
        <v>0.73</v>
      </c>
    </row>
    <row r="1598" spans="1:4" x14ac:dyDescent="0.25">
      <c r="A1598" s="15">
        <f>Sheet2!A1598</f>
        <v>0</v>
      </c>
      <c r="B1598" s="8">
        <v>0.98</v>
      </c>
      <c r="C1598" s="9">
        <v>0</v>
      </c>
      <c r="D1598" s="13">
        <f t="shared" si="24"/>
        <v>0.98</v>
      </c>
    </row>
    <row r="1599" spans="1:4" x14ac:dyDescent="0.25">
      <c r="A1599" s="15">
        <f>Sheet2!A1599</f>
        <v>0</v>
      </c>
      <c r="B1599" s="8">
        <v>0.88</v>
      </c>
      <c r="C1599" s="9">
        <v>0</v>
      </c>
      <c r="D1599" s="13">
        <f t="shared" si="24"/>
        <v>0.88</v>
      </c>
    </row>
    <row r="1600" spans="1:4" x14ac:dyDescent="0.25">
      <c r="A1600" s="15">
        <f>Sheet2!A1600</f>
        <v>0</v>
      </c>
      <c r="B1600" s="8">
        <v>1.31</v>
      </c>
      <c r="C1600" s="9">
        <v>0</v>
      </c>
      <c r="D1600" s="13">
        <f t="shared" si="24"/>
        <v>1.31</v>
      </c>
    </row>
    <row r="1601" spans="1:4" x14ac:dyDescent="0.25">
      <c r="A1601" s="15">
        <f>Sheet2!A1601</f>
        <v>0</v>
      </c>
      <c r="B1601" s="8">
        <v>0.87</v>
      </c>
      <c r="C1601" s="9">
        <v>0</v>
      </c>
      <c r="D1601" s="13">
        <f t="shared" si="24"/>
        <v>0.87</v>
      </c>
    </row>
    <row r="1602" spans="1:4" x14ac:dyDescent="0.25">
      <c r="A1602" s="15">
        <f>Sheet2!A1602</f>
        <v>0</v>
      </c>
      <c r="B1602" s="8">
        <v>0.69</v>
      </c>
      <c r="C1602" s="9">
        <v>0</v>
      </c>
      <c r="D1602" s="13">
        <f t="shared" si="24"/>
        <v>0.69</v>
      </c>
    </row>
    <row r="1603" spans="1:4" x14ac:dyDescent="0.25">
      <c r="A1603" s="15">
        <f>Sheet2!A1603</f>
        <v>0</v>
      </c>
      <c r="B1603" s="8">
        <v>0.88</v>
      </c>
      <c r="C1603" s="9">
        <v>0</v>
      </c>
      <c r="D1603" s="13">
        <f t="shared" ref="D1603:D1666" si="25">B1603+C1603</f>
        <v>0.88</v>
      </c>
    </row>
    <row r="1604" spans="1:4" x14ac:dyDescent="0.25">
      <c r="A1604" s="15">
        <f>Sheet2!A1604</f>
        <v>0</v>
      </c>
      <c r="B1604" s="8">
        <v>1.1299999999999999</v>
      </c>
      <c r="C1604" s="9">
        <v>0</v>
      </c>
      <c r="D1604" s="13">
        <f t="shared" si="25"/>
        <v>1.1299999999999999</v>
      </c>
    </row>
    <row r="1605" spans="1:4" x14ac:dyDescent="0.25">
      <c r="A1605" s="15">
        <f>Sheet2!A1605</f>
        <v>0</v>
      </c>
      <c r="B1605" s="8">
        <v>0.91</v>
      </c>
      <c r="C1605" s="9">
        <v>0</v>
      </c>
      <c r="D1605" s="13">
        <f t="shared" si="25"/>
        <v>0.91</v>
      </c>
    </row>
    <row r="1606" spans="1:4" x14ac:dyDescent="0.25">
      <c r="A1606" s="15">
        <f>Sheet2!A1606</f>
        <v>0</v>
      </c>
      <c r="B1606" s="8">
        <v>1.01</v>
      </c>
      <c r="C1606" s="9">
        <v>0</v>
      </c>
      <c r="D1606" s="13">
        <f t="shared" si="25"/>
        <v>1.01</v>
      </c>
    </row>
    <row r="1607" spans="1:4" x14ac:dyDescent="0.25">
      <c r="A1607" s="15">
        <f>Sheet2!A1607</f>
        <v>0</v>
      </c>
      <c r="B1607" s="8">
        <v>1.56</v>
      </c>
      <c r="C1607" s="9">
        <v>0</v>
      </c>
      <c r="D1607" s="13">
        <f t="shared" si="25"/>
        <v>1.56</v>
      </c>
    </row>
    <row r="1608" spans="1:4" x14ac:dyDescent="0.25">
      <c r="A1608" s="15">
        <f>Sheet2!A1608</f>
        <v>0</v>
      </c>
      <c r="B1608" s="8">
        <v>0.76</v>
      </c>
      <c r="C1608" s="9">
        <v>0</v>
      </c>
      <c r="D1608" s="13">
        <f t="shared" si="25"/>
        <v>0.76</v>
      </c>
    </row>
    <row r="1609" spans="1:4" x14ac:dyDescent="0.25">
      <c r="A1609" s="15">
        <f>Sheet2!A1609</f>
        <v>0</v>
      </c>
      <c r="B1609" s="8">
        <v>0.56000000000000005</v>
      </c>
      <c r="C1609" s="9">
        <v>0</v>
      </c>
      <c r="D1609" s="13">
        <f t="shared" si="25"/>
        <v>0.56000000000000005</v>
      </c>
    </row>
    <row r="1610" spans="1:4" x14ac:dyDescent="0.25">
      <c r="A1610" s="15">
        <f>Sheet2!A1610</f>
        <v>0</v>
      </c>
      <c r="B1610" s="8">
        <v>0.41</v>
      </c>
      <c r="C1610" s="9">
        <v>0</v>
      </c>
      <c r="D1610" s="13">
        <f t="shared" si="25"/>
        <v>0.41</v>
      </c>
    </row>
    <row r="1611" spans="1:4" x14ac:dyDescent="0.25">
      <c r="A1611" s="15">
        <f>Sheet2!A1611</f>
        <v>0</v>
      </c>
      <c r="B1611" s="8">
        <v>0.72</v>
      </c>
      <c r="C1611" s="9">
        <v>0</v>
      </c>
      <c r="D1611" s="13">
        <f t="shared" si="25"/>
        <v>0.72</v>
      </c>
    </row>
    <row r="1612" spans="1:4" x14ac:dyDescent="0.25">
      <c r="A1612" s="15">
        <f>Sheet2!A1612</f>
        <v>0</v>
      </c>
      <c r="B1612" s="8">
        <v>0.41</v>
      </c>
      <c r="C1612" s="9">
        <v>0</v>
      </c>
      <c r="D1612" s="13">
        <f t="shared" si="25"/>
        <v>0.41</v>
      </c>
    </row>
    <row r="1613" spans="1:4" x14ac:dyDescent="0.25">
      <c r="A1613" s="15">
        <f>Sheet2!A1613</f>
        <v>0</v>
      </c>
      <c r="B1613" s="8">
        <v>0.51</v>
      </c>
      <c r="C1613" s="9">
        <v>0</v>
      </c>
      <c r="D1613" s="13">
        <f t="shared" si="25"/>
        <v>0.51</v>
      </c>
    </row>
    <row r="1614" spans="1:4" x14ac:dyDescent="0.25">
      <c r="A1614" s="15">
        <f>Sheet2!A1614</f>
        <v>0</v>
      </c>
      <c r="B1614" s="8">
        <v>0.88</v>
      </c>
      <c r="C1614" s="9">
        <v>0</v>
      </c>
      <c r="D1614" s="13">
        <f t="shared" si="25"/>
        <v>0.88</v>
      </c>
    </row>
    <row r="1615" spans="1:4" x14ac:dyDescent="0.25">
      <c r="A1615" s="15">
        <f>Sheet2!A1615</f>
        <v>0</v>
      </c>
      <c r="B1615" s="8">
        <v>0.49</v>
      </c>
      <c r="C1615" s="9">
        <v>0</v>
      </c>
      <c r="D1615" s="13">
        <f t="shared" si="25"/>
        <v>0.49</v>
      </c>
    </row>
    <row r="1616" spans="1:4" x14ac:dyDescent="0.25">
      <c r="A1616" s="15">
        <f>Sheet2!A1616</f>
        <v>0</v>
      </c>
      <c r="B1616" s="8">
        <v>1.1599999999999999</v>
      </c>
      <c r="C1616" s="9">
        <v>0</v>
      </c>
      <c r="D1616" s="13">
        <f t="shared" si="25"/>
        <v>1.1599999999999999</v>
      </c>
    </row>
    <row r="1617" spans="1:4" x14ac:dyDescent="0.25">
      <c r="A1617" s="15">
        <f>Sheet2!A1617</f>
        <v>0</v>
      </c>
      <c r="B1617" s="8">
        <v>0.64</v>
      </c>
      <c r="C1617" s="9">
        <v>0</v>
      </c>
      <c r="D1617" s="13">
        <f t="shared" si="25"/>
        <v>0.64</v>
      </c>
    </row>
    <row r="1618" spans="1:4" x14ac:dyDescent="0.25">
      <c r="A1618" s="15">
        <f>Sheet2!A1618</f>
        <v>0</v>
      </c>
      <c r="B1618" s="8">
        <v>1.1499999999999999</v>
      </c>
      <c r="C1618" s="9">
        <v>0</v>
      </c>
      <c r="D1618" s="13">
        <f t="shared" si="25"/>
        <v>1.1499999999999999</v>
      </c>
    </row>
    <row r="1619" spans="1:4" x14ac:dyDescent="0.25">
      <c r="A1619" s="15">
        <f>Sheet2!A1619</f>
        <v>0</v>
      </c>
      <c r="B1619" s="8">
        <v>0</v>
      </c>
      <c r="C1619" s="9">
        <v>0.8</v>
      </c>
      <c r="D1619" s="13">
        <f t="shared" si="25"/>
        <v>0.8</v>
      </c>
    </row>
    <row r="1620" spans="1:4" x14ac:dyDescent="0.25">
      <c r="A1620" s="15">
        <f>Sheet2!A1620</f>
        <v>0</v>
      </c>
      <c r="B1620" s="8">
        <v>0</v>
      </c>
      <c r="C1620" s="9">
        <v>1.31</v>
      </c>
      <c r="D1620" s="13">
        <f t="shared" si="25"/>
        <v>1.31</v>
      </c>
    </row>
    <row r="1621" spans="1:4" x14ac:dyDescent="0.25">
      <c r="A1621" s="15">
        <f>Sheet2!A1621</f>
        <v>0</v>
      </c>
      <c r="B1621" s="8">
        <v>0</v>
      </c>
      <c r="C1621" s="9">
        <v>0.23</v>
      </c>
      <c r="D1621" s="13">
        <f t="shared" si="25"/>
        <v>0.23</v>
      </c>
    </row>
    <row r="1622" spans="1:4" x14ac:dyDescent="0.25">
      <c r="A1622" s="15">
        <f>Sheet2!A1622</f>
        <v>0</v>
      </c>
      <c r="B1622" s="8">
        <v>1.3</v>
      </c>
      <c r="C1622" s="9">
        <v>0</v>
      </c>
      <c r="D1622" s="13">
        <f t="shared" si="25"/>
        <v>1.3</v>
      </c>
    </row>
    <row r="1623" spans="1:4" x14ac:dyDescent="0.25">
      <c r="A1623" s="15">
        <f>Sheet2!A1623</f>
        <v>0</v>
      </c>
      <c r="B1623" s="8">
        <v>1.18</v>
      </c>
      <c r="C1623" s="9">
        <v>0</v>
      </c>
      <c r="D1623" s="13">
        <f t="shared" si="25"/>
        <v>1.18</v>
      </c>
    </row>
    <row r="1624" spans="1:4" x14ac:dyDescent="0.25">
      <c r="A1624" s="15">
        <f>Sheet2!A1624</f>
        <v>0</v>
      </c>
      <c r="B1624" s="8">
        <v>1.26</v>
      </c>
      <c r="C1624" s="9">
        <v>0</v>
      </c>
      <c r="D1624" s="13">
        <f t="shared" si="25"/>
        <v>1.26</v>
      </c>
    </row>
    <row r="1625" spans="1:4" x14ac:dyDescent="0.25">
      <c r="A1625" s="15">
        <f>Sheet2!A1625</f>
        <v>0</v>
      </c>
      <c r="B1625" s="8">
        <v>1.63</v>
      </c>
      <c r="C1625" s="9">
        <v>0</v>
      </c>
      <c r="D1625" s="13">
        <f t="shared" si="25"/>
        <v>1.63</v>
      </c>
    </row>
    <row r="1626" spans="1:4" x14ac:dyDescent="0.25">
      <c r="A1626" s="15">
        <f>Sheet2!A1626</f>
        <v>0</v>
      </c>
      <c r="B1626" s="8">
        <v>2.27</v>
      </c>
      <c r="C1626" s="9">
        <v>0</v>
      </c>
      <c r="D1626" s="13">
        <f t="shared" si="25"/>
        <v>2.27</v>
      </c>
    </row>
    <row r="1627" spans="1:4" x14ac:dyDescent="0.25">
      <c r="A1627" s="15">
        <f>Sheet2!A1627</f>
        <v>0</v>
      </c>
      <c r="B1627" s="8">
        <v>1.17</v>
      </c>
      <c r="C1627" s="9">
        <v>0</v>
      </c>
      <c r="D1627" s="13">
        <f t="shared" si="25"/>
        <v>1.17</v>
      </c>
    </row>
    <row r="1628" spans="1:4" x14ac:dyDescent="0.25">
      <c r="A1628" s="15">
        <f>Sheet2!A1628</f>
        <v>0</v>
      </c>
      <c r="B1628" s="8">
        <v>1.56</v>
      </c>
      <c r="C1628" s="9">
        <v>0</v>
      </c>
      <c r="D1628" s="13">
        <f t="shared" si="25"/>
        <v>1.56</v>
      </c>
    </row>
    <row r="1629" spans="1:4" x14ac:dyDescent="0.25">
      <c r="A1629" s="15">
        <f>Sheet2!A1629</f>
        <v>0</v>
      </c>
      <c r="B1629" s="8">
        <v>1.54</v>
      </c>
      <c r="C1629" s="9">
        <v>0</v>
      </c>
      <c r="D1629" s="13">
        <f t="shared" si="25"/>
        <v>1.54</v>
      </c>
    </row>
    <row r="1630" spans="1:4" x14ac:dyDescent="0.25">
      <c r="A1630" s="15">
        <f>Sheet2!A1630</f>
        <v>0</v>
      </c>
      <c r="B1630" s="8">
        <v>1.1399999999999999</v>
      </c>
      <c r="C1630" s="9">
        <v>0</v>
      </c>
      <c r="D1630" s="13">
        <f t="shared" si="25"/>
        <v>1.1399999999999999</v>
      </c>
    </row>
    <row r="1631" spans="1:4" x14ac:dyDescent="0.25">
      <c r="A1631" s="15">
        <f>Sheet2!A1631</f>
        <v>0</v>
      </c>
      <c r="B1631" s="8">
        <v>1.18</v>
      </c>
      <c r="C1631" s="9">
        <v>0</v>
      </c>
      <c r="D1631" s="13">
        <f t="shared" si="25"/>
        <v>1.18</v>
      </c>
    </row>
    <row r="1632" spans="1:4" x14ac:dyDescent="0.25">
      <c r="A1632" s="15">
        <f>Sheet2!A1632</f>
        <v>0</v>
      </c>
      <c r="B1632" s="8">
        <v>0.72</v>
      </c>
      <c r="C1632" s="9">
        <v>0</v>
      </c>
      <c r="D1632" s="13">
        <f t="shared" si="25"/>
        <v>0.72</v>
      </c>
    </row>
    <row r="1633" spans="1:4" x14ac:dyDescent="0.25">
      <c r="A1633" s="15">
        <f>Sheet2!A1633</f>
        <v>0</v>
      </c>
      <c r="B1633" s="8">
        <v>0.41</v>
      </c>
      <c r="C1633" s="9">
        <v>0</v>
      </c>
      <c r="D1633" s="13">
        <f t="shared" si="25"/>
        <v>0.41</v>
      </c>
    </row>
    <row r="1634" spans="1:4" x14ac:dyDescent="0.25">
      <c r="A1634" s="15">
        <f>Sheet2!A1634</f>
        <v>0</v>
      </c>
      <c r="B1634" s="8">
        <v>0.54</v>
      </c>
      <c r="C1634" s="9">
        <v>0</v>
      </c>
      <c r="D1634" s="13">
        <f t="shared" si="25"/>
        <v>0.54</v>
      </c>
    </row>
    <row r="1635" spans="1:4" x14ac:dyDescent="0.25">
      <c r="A1635" s="15">
        <f>Sheet2!A1635</f>
        <v>0</v>
      </c>
      <c r="B1635" s="8">
        <v>0.69</v>
      </c>
      <c r="C1635" s="9">
        <v>0</v>
      </c>
      <c r="D1635" s="13">
        <f t="shared" si="25"/>
        <v>0.69</v>
      </c>
    </row>
    <row r="1636" spans="1:4" x14ac:dyDescent="0.25">
      <c r="A1636" s="15">
        <f>Sheet2!A1636</f>
        <v>0</v>
      </c>
      <c r="B1636" s="8">
        <v>0.49</v>
      </c>
      <c r="C1636" s="9">
        <v>0</v>
      </c>
      <c r="D1636" s="13">
        <f t="shared" si="25"/>
        <v>0.49</v>
      </c>
    </row>
    <row r="1637" spans="1:4" x14ac:dyDescent="0.25">
      <c r="A1637" s="15">
        <f>Sheet2!A1637</f>
        <v>0</v>
      </c>
      <c r="B1637" s="8">
        <v>0.53</v>
      </c>
      <c r="C1637" s="9">
        <v>0</v>
      </c>
      <c r="D1637" s="13">
        <f t="shared" si="25"/>
        <v>0.53</v>
      </c>
    </row>
    <row r="1638" spans="1:4" x14ac:dyDescent="0.25">
      <c r="A1638" s="15">
        <f>Sheet2!A1638</f>
        <v>0</v>
      </c>
      <c r="B1638" s="8">
        <v>0.96</v>
      </c>
      <c r="C1638" s="9">
        <v>0</v>
      </c>
      <c r="D1638" s="13">
        <f t="shared" si="25"/>
        <v>0.96</v>
      </c>
    </row>
    <row r="1639" spans="1:4" x14ac:dyDescent="0.25">
      <c r="A1639" s="15">
        <f>Sheet2!A1639</f>
        <v>0</v>
      </c>
      <c r="B1639" s="8">
        <v>0.51</v>
      </c>
      <c r="C1639" s="9">
        <v>0</v>
      </c>
      <c r="D1639" s="13">
        <f t="shared" si="25"/>
        <v>0.51</v>
      </c>
    </row>
    <row r="1640" spans="1:4" x14ac:dyDescent="0.25">
      <c r="A1640" s="15">
        <f>Sheet2!A1640</f>
        <v>0</v>
      </c>
      <c r="B1640" s="8">
        <v>1.19</v>
      </c>
      <c r="C1640" s="9">
        <v>0</v>
      </c>
      <c r="D1640" s="13">
        <f t="shared" si="25"/>
        <v>1.19</v>
      </c>
    </row>
    <row r="1641" spans="1:4" x14ac:dyDescent="0.25">
      <c r="A1641" s="15">
        <f>Sheet2!A1641</f>
        <v>0</v>
      </c>
      <c r="B1641" s="8">
        <v>0.79</v>
      </c>
      <c r="C1641" s="9">
        <v>0</v>
      </c>
      <c r="D1641" s="13">
        <f t="shared" si="25"/>
        <v>0.79</v>
      </c>
    </row>
    <row r="1642" spans="1:4" x14ac:dyDescent="0.25">
      <c r="A1642" s="15">
        <f>Sheet2!A1642</f>
        <v>0</v>
      </c>
      <c r="B1642" s="8">
        <v>0.96</v>
      </c>
      <c r="C1642" s="9">
        <v>0</v>
      </c>
      <c r="D1642" s="13">
        <f t="shared" si="25"/>
        <v>0.96</v>
      </c>
    </row>
    <row r="1643" spans="1:4" x14ac:dyDescent="0.25">
      <c r="A1643" s="15">
        <f>Sheet2!A1643</f>
        <v>0</v>
      </c>
      <c r="B1643" s="8">
        <v>0.71</v>
      </c>
      <c r="C1643" s="9">
        <v>0</v>
      </c>
      <c r="D1643" s="13">
        <f t="shared" si="25"/>
        <v>0.71</v>
      </c>
    </row>
    <row r="1644" spans="1:4" x14ac:dyDescent="0.25">
      <c r="A1644" s="15">
        <f>Sheet2!A1644</f>
        <v>0</v>
      </c>
      <c r="B1644" s="8">
        <v>0.84</v>
      </c>
      <c r="C1644" s="9">
        <v>0</v>
      </c>
      <c r="D1644" s="13">
        <f t="shared" si="25"/>
        <v>0.84</v>
      </c>
    </row>
    <row r="1645" spans="1:4" x14ac:dyDescent="0.25">
      <c r="A1645" s="15">
        <f>Sheet2!A1645</f>
        <v>0</v>
      </c>
      <c r="B1645" s="8">
        <v>0.59</v>
      </c>
      <c r="C1645" s="9">
        <v>0</v>
      </c>
      <c r="D1645" s="13">
        <f t="shared" si="25"/>
        <v>0.59</v>
      </c>
    </row>
    <row r="1646" spans="1:4" x14ac:dyDescent="0.25">
      <c r="A1646" s="15">
        <f>Sheet2!A1646</f>
        <v>0</v>
      </c>
      <c r="B1646" s="8">
        <v>0.79</v>
      </c>
      <c r="C1646" s="9">
        <v>0</v>
      </c>
      <c r="D1646" s="13">
        <f t="shared" si="25"/>
        <v>0.79</v>
      </c>
    </row>
    <row r="1647" spans="1:4" x14ac:dyDescent="0.25">
      <c r="A1647" s="15">
        <f>Sheet2!A1647</f>
        <v>0</v>
      </c>
      <c r="B1647" s="8">
        <v>0.77</v>
      </c>
      <c r="C1647" s="9">
        <v>0</v>
      </c>
      <c r="D1647" s="13">
        <f t="shared" si="25"/>
        <v>0.77</v>
      </c>
    </row>
    <row r="1648" spans="1:4" x14ac:dyDescent="0.25">
      <c r="A1648" s="15">
        <f>Sheet2!A1648</f>
        <v>0</v>
      </c>
      <c r="B1648" s="8">
        <v>0.97</v>
      </c>
      <c r="C1648" s="9">
        <v>0</v>
      </c>
      <c r="D1648" s="13">
        <f t="shared" si="25"/>
        <v>0.97</v>
      </c>
    </row>
    <row r="1649" spans="1:4" x14ac:dyDescent="0.25">
      <c r="A1649" s="15">
        <f>Sheet2!A1649</f>
        <v>0</v>
      </c>
      <c r="B1649" s="8">
        <v>0.81</v>
      </c>
      <c r="C1649" s="9">
        <v>0</v>
      </c>
      <c r="D1649" s="13">
        <f t="shared" si="25"/>
        <v>0.81</v>
      </c>
    </row>
    <row r="1650" spans="1:4" x14ac:dyDescent="0.25">
      <c r="A1650" s="15">
        <f>Sheet2!A1650</f>
        <v>0</v>
      </c>
      <c r="B1650" s="8">
        <v>0</v>
      </c>
      <c r="C1650" s="9">
        <v>0.68</v>
      </c>
      <c r="D1650" s="13">
        <f t="shared" si="25"/>
        <v>0.68</v>
      </c>
    </row>
    <row r="1651" spans="1:4" x14ac:dyDescent="0.25">
      <c r="A1651" s="15">
        <f>Sheet2!A1651</f>
        <v>0</v>
      </c>
      <c r="B1651" s="8">
        <v>0</v>
      </c>
      <c r="C1651" s="9">
        <v>0.21</v>
      </c>
      <c r="D1651" s="13">
        <f t="shared" si="25"/>
        <v>0.21</v>
      </c>
    </row>
    <row r="1652" spans="1:4" x14ac:dyDescent="0.25">
      <c r="A1652" s="15">
        <f>Sheet2!A1652</f>
        <v>0</v>
      </c>
      <c r="B1652" s="8">
        <v>1.39</v>
      </c>
      <c r="C1652" s="9">
        <v>0</v>
      </c>
      <c r="D1652" s="13">
        <f t="shared" si="25"/>
        <v>1.39</v>
      </c>
    </row>
    <row r="1653" spans="1:4" x14ac:dyDescent="0.25">
      <c r="A1653" s="15">
        <f>Sheet2!A1653</f>
        <v>0</v>
      </c>
      <c r="B1653" s="8">
        <v>0.96</v>
      </c>
      <c r="C1653" s="9">
        <v>0</v>
      </c>
      <c r="D1653" s="13">
        <f t="shared" si="25"/>
        <v>0.96</v>
      </c>
    </row>
    <row r="1654" spans="1:4" x14ac:dyDescent="0.25">
      <c r="A1654" s="15">
        <f>Sheet2!A1654</f>
        <v>0</v>
      </c>
      <c r="B1654" s="8">
        <v>1.1200000000000001</v>
      </c>
      <c r="C1654" s="9">
        <v>0</v>
      </c>
      <c r="D1654" s="13">
        <f t="shared" si="25"/>
        <v>1.1200000000000001</v>
      </c>
    </row>
    <row r="1655" spans="1:4" x14ac:dyDescent="0.25">
      <c r="A1655" s="15">
        <f>Sheet2!A1655</f>
        <v>0</v>
      </c>
      <c r="B1655" s="8">
        <v>2.2599999999999998</v>
      </c>
      <c r="C1655" s="9">
        <v>0</v>
      </c>
      <c r="D1655" s="13">
        <f t="shared" si="25"/>
        <v>2.2599999999999998</v>
      </c>
    </row>
    <row r="1656" spans="1:4" x14ac:dyDescent="0.25">
      <c r="A1656" s="15">
        <f>Sheet2!A1656</f>
        <v>0</v>
      </c>
      <c r="B1656" s="8">
        <v>1.45</v>
      </c>
      <c r="C1656" s="9">
        <v>0</v>
      </c>
      <c r="D1656" s="13">
        <f t="shared" si="25"/>
        <v>1.45</v>
      </c>
    </row>
    <row r="1657" spans="1:4" x14ac:dyDescent="0.25">
      <c r="A1657" s="15">
        <f>Sheet2!A1657</f>
        <v>0</v>
      </c>
      <c r="B1657" s="8">
        <v>0.48</v>
      </c>
      <c r="C1657" s="9">
        <v>0</v>
      </c>
      <c r="D1657" s="13">
        <f t="shared" si="25"/>
        <v>0.48</v>
      </c>
    </row>
    <row r="1658" spans="1:4" x14ac:dyDescent="0.25">
      <c r="A1658" s="15">
        <f>Sheet2!A1658</f>
        <v>0</v>
      </c>
      <c r="B1658" s="8">
        <v>0.72</v>
      </c>
      <c r="C1658" s="9">
        <v>0</v>
      </c>
      <c r="D1658" s="13">
        <f t="shared" si="25"/>
        <v>0.72</v>
      </c>
    </row>
    <row r="1659" spans="1:4" x14ac:dyDescent="0.25">
      <c r="A1659" s="15">
        <f>Sheet2!A1659</f>
        <v>0</v>
      </c>
      <c r="B1659" s="8">
        <v>0.41</v>
      </c>
      <c r="C1659" s="9">
        <v>0</v>
      </c>
      <c r="D1659" s="13">
        <f t="shared" si="25"/>
        <v>0.41</v>
      </c>
    </row>
    <row r="1660" spans="1:4" x14ac:dyDescent="0.25">
      <c r="A1660" s="15">
        <f>Sheet2!A1660</f>
        <v>0</v>
      </c>
      <c r="B1660" s="8">
        <v>0.76</v>
      </c>
      <c r="C1660" s="9">
        <v>0</v>
      </c>
      <c r="D1660" s="13">
        <f t="shared" si="25"/>
        <v>0.76</v>
      </c>
    </row>
    <row r="1661" spans="1:4" x14ac:dyDescent="0.25">
      <c r="A1661" s="15">
        <f>Sheet2!A1661</f>
        <v>0</v>
      </c>
      <c r="B1661" s="8">
        <v>0.39</v>
      </c>
      <c r="C1661" s="9">
        <v>0</v>
      </c>
      <c r="D1661" s="13">
        <f t="shared" si="25"/>
        <v>0.39</v>
      </c>
    </row>
    <row r="1662" spans="1:4" x14ac:dyDescent="0.25">
      <c r="A1662" s="15">
        <f>Sheet2!A1662</f>
        <v>0</v>
      </c>
      <c r="B1662" s="8">
        <v>0.86</v>
      </c>
      <c r="C1662" s="9">
        <v>0</v>
      </c>
      <c r="D1662" s="13">
        <f t="shared" si="25"/>
        <v>0.86</v>
      </c>
    </row>
    <row r="1663" spans="1:4" x14ac:dyDescent="0.25">
      <c r="A1663" s="15">
        <f>Sheet2!A1663</f>
        <v>0</v>
      </c>
      <c r="B1663" s="8">
        <v>1.22</v>
      </c>
      <c r="C1663" s="9">
        <v>0</v>
      </c>
      <c r="D1663" s="13">
        <f t="shared" si="25"/>
        <v>1.22</v>
      </c>
    </row>
    <row r="1664" spans="1:4" x14ac:dyDescent="0.25">
      <c r="A1664" s="15">
        <f>Sheet2!A1664</f>
        <v>0</v>
      </c>
      <c r="B1664" s="8">
        <v>0.59</v>
      </c>
      <c r="C1664" s="9">
        <v>0</v>
      </c>
      <c r="D1664" s="13">
        <f t="shared" si="25"/>
        <v>0.59</v>
      </c>
    </row>
    <row r="1665" spans="1:4" x14ac:dyDescent="0.25">
      <c r="A1665" s="15">
        <f>Sheet2!A1665</f>
        <v>0</v>
      </c>
      <c r="B1665" s="8">
        <v>0.48</v>
      </c>
      <c r="C1665" s="9">
        <v>0</v>
      </c>
      <c r="D1665" s="13">
        <f t="shared" si="25"/>
        <v>0.48</v>
      </c>
    </row>
    <row r="1666" spans="1:4" x14ac:dyDescent="0.25">
      <c r="A1666" s="15">
        <f>Sheet2!A1666</f>
        <v>0</v>
      </c>
      <c r="B1666" s="8">
        <v>0.39</v>
      </c>
      <c r="C1666" s="9">
        <v>0</v>
      </c>
      <c r="D1666" s="13">
        <f t="shared" si="25"/>
        <v>0.39</v>
      </c>
    </row>
    <row r="1667" spans="1:4" x14ac:dyDescent="0.25">
      <c r="A1667" s="15">
        <f>Sheet2!A1667</f>
        <v>0</v>
      </c>
      <c r="B1667" s="8">
        <v>0.46</v>
      </c>
      <c r="C1667" s="9">
        <v>0</v>
      </c>
      <c r="D1667" s="13">
        <f t="shared" ref="D1667:D1730" si="26">B1667+C1667</f>
        <v>0.46</v>
      </c>
    </row>
    <row r="1668" spans="1:4" x14ac:dyDescent="0.25">
      <c r="A1668" s="15">
        <f>Sheet2!A1668</f>
        <v>0</v>
      </c>
      <c r="B1668" s="8">
        <v>0.57999999999999996</v>
      </c>
      <c r="C1668" s="9">
        <v>0</v>
      </c>
      <c r="D1668" s="13">
        <f t="shared" si="26"/>
        <v>0.57999999999999996</v>
      </c>
    </row>
    <row r="1669" spans="1:4" x14ac:dyDescent="0.25">
      <c r="A1669" s="15">
        <f>Sheet2!A1669</f>
        <v>0</v>
      </c>
      <c r="B1669" s="8">
        <v>0.33</v>
      </c>
      <c r="C1669" s="9">
        <v>0</v>
      </c>
      <c r="D1669" s="13">
        <f t="shared" si="26"/>
        <v>0.33</v>
      </c>
    </row>
    <row r="1670" spans="1:4" x14ac:dyDescent="0.25">
      <c r="A1670" s="15">
        <f>Sheet2!A1670</f>
        <v>0</v>
      </c>
      <c r="B1670" s="8">
        <v>0.88</v>
      </c>
      <c r="C1670" s="9">
        <v>0</v>
      </c>
      <c r="D1670" s="13">
        <f t="shared" si="26"/>
        <v>0.88</v>
      </c>
    </row>
    <row r="1671" spans="1:4" x14ac:dyDescent="0.25">
      <c r="A1671" s="15">
        <f>Sheet2!A1671</f>
        <v>0</v>
      </c>
      <c r="B1671" s="8">
        <v>0.83</v>
      </c>
      <c r="C1671" s="9">
        <v>0</v>
      </c>
      <c r="D1671" s="13">
        <f t="shared" si="26"/>
        <v>0.83</v>
      </c>
    </row>
    <row r="1672" spans="1:4" x14ac:dyDescent="0.25">
      <c r="A1672" s="15">
        <f>Sheet2!A1672</f>
        <v>0</v>
      </c>
      <c r="B1672" s="8">
        <v>0.99</v>
      </c>
      <c r="C1672" s="9">
        <v>0</v>
      </c>
      <c r="D1672" s="13">
        <f t="shared" si="26"/>
        <v>0.99</v>
      </c>
    </row>
    <row r="1673" spans="1:4" x14ac:dyDescent="0.25">
      <c r="A1673" s="15">
        <f>Sheet2!A1673</f>
        <v>0</v>
      </c>
      <c r="B1673" s="8">
        <v>1.1599999999999999</v>
      </c>
      <c r="C1673" s="9">
        <v>0</v>
      </c>
      <c r="D1673" s="13">
        <f t="shared" si="26"/>
        <v>1.1599999999999999</v>
      </c>
    </row>
    <row r="1674" spans="1:4" x14ac:dyDescent="0.25">
      <c r="A1674" s="15">
        <f>Sheet2!A1674</f>
        <v>0</v>
      </c>
      <c r="B1674" s="8">
        <v>0.97</v>
      </c>
      <c r="C1674" s="9">
        <v>0</v>
      </c>
      <c r="D1674" s="13">
        <f t="shared" si="26"/>
        <v>0.97</v>
      </c>
    </row>
    <row r="1675" spans="1:4" x14ac:dyDescent="0.25">
      <c r="A1675" s="15">
        <f>Sheet2!A1675</f>
        <v>0</v>
      </c>
      <c r="B1675" s="8">
        <v>0</v>
      </c>
      <c r="C1675" s="9">
        <v>0.76</v>
      </c>
      <c r="D1675" s="13">
        <f t="shared" si="26"/>
        <v>0.76</v>
      </c>
    </row>
    <row r="1676" spans="1:4" x14ac:dyDescent="0.25">
      <c r="A1676" s="15">
        <f>Sheet2!A1676</f>
        <v>0</v>
      </c>
      <c r="B1676" s="8">
        <v>0</v>
      </c>
      <c r="C1676" s="9">
        <v>0.28000000000000003</v>
      </c>
      <c r="D1676" s="13">
        <f t="shared" si="26"/>
        <v>0.28000000000000003</v>
      </c>
    </row>
    <row r="1677" spans="1:4" x14ac:dyDescent="0.25">
      <c r="A1677" s="15">
        <f>Sheet2!A1677</f>
        <v>0</v>
      </c>
      <c r="B1677" s="8">
        <v>1.25</v>
      </c>
      <c r="C1677" s="9">
        <v>0</v>
      </c>
      <c r="D1677" s="13">
        <f t="shared" si="26"/>
        <v>1.25</v>
      </c>
    </row>
    <row r="1678" spans="1:4" x14ac:dyDescent="0.25">
      <c r="A1678" s="15">
        <f>Sheet2!A1678</f>
        <v>0</v>
      </c>
      <c r="B1678" s="8">
        <v>1.44</v>
      </c>
      <c r="C1678" s="9">
        <v>0</v>
      </c>
      <c r="D1678" s="13">
        <f t="shared" si="26"/>
        <v>1.44</v>
      </c>
    </row>
    <row r="1679" spans="1:4" x14ac:dyDescent="0.25">
      <c r="A1679" s="15">
        <f>Sheet2!A1679</f>
        <v>0</v>
      </c>
      <c r="B1679" s="8">
        <v>1.02</v>
      </c>
      <c r="C1679" s="9">
        <v>0</v>
      </c>
      <c r="D1679" s="13">
        <f t="shared" si="26"/>
        <v>1.02</v>
      </c>
    </row>
    <row r="1680" spans="1:4" x14ac:dyDescent="0.25">
      <c r="A1680" s="15">
        <f>Sheet2!A1680</f>
        <v>0</v>
      </c>
      <c r="B1680" s="8">
        <v>0.96</v>
      </c>
      <c r="C1680" s="9">
        <v>0</v>
      </c>
      <c r="D1680" s="13">
        <f t="shared" si="26"/>
        <v>0.96</v>
      </c>
    </row>
    <row r="1681" spans="1:4" x14ac:dyDescent="0.25">
      <c r="A1681" s="15">
        <f>Sheet2!A1681</f>
        <v>0</v>
      </c>
      <c r="B1681" s="8">
        <v>0.75</v>
      </c>
      <c r="C1681" s="9">
        <v>0</v>
      </c>
      <c r="D1681" s="13">
        <f t="shared" si="26"/>
        <v>0.75</v>
      </c>
    </row>
    <row r="1682" spans="1:4" x14ac:dyDescent="0.25">
      <c r="A1682" s="15">
        <f>Sheet2!A1682</f>
        <v>0</v>
      </c>
      <c r="B1682" s="8">
        <v>0.4</v>
      </c>
      <c r="C1682" s="9">
        <v>0</v>
      </c>
      <c r="D1682" s="13">
        <f t="shared" si="26"/>
        <v>0.4</v>
      </c>
    </row>
    <row r="1683" spans="1:4" x14ac:dyDescent="0.25">
      <c r="A1683" s="15">
        <f>Sheet2!A1683</f>
        <v>0</v>
      </c>
      <c r="B1683" s="8">
        <v>0.48</v>
      </c>
      <c r="C1683" s="9">
        <v>0</v>
      </c>
      <c r="D1683" s="13">
        <f t="shared" si="26"/>
        <v>0.48</v>
      </c>
    </row>
    <row r="1684" spans="1:4" x14ac:dyDescent="0.25">
      <c r="A1684" s="15">
        <f>Sheet2!A1684</f>
        <v>0</v>
      </c>
      <c r="B1684" s="8">
        <v>0.6</v>
      </c>
      <c r="C1684" s="9">
        <v>0</v>
      </c>
      <c r="D1684" s="13">
        <f t="shared" si="26"/>
        <v>0.6</v>
      </c>
    </row>
    <row r="1685" spans="1:4" x14ac:dyDescent="0.25">
      <c r="A1685" s="15">
        <f>Sheet2!A1685</f>
        <v>0</v>
      </c>
      <c r="B1685" s="8">
        <v>0.48</v>
      </c>
      <c r="C1685" s="9">
        <v>0</v>
      </c>
      <c r="D1685" s="13">
        <f t="shared" si="26"/>
        <v>0.48</v>
      </c>
    </row>
    <row r="1686" spans="1:4" x14ac:dyDescent="0.25">
      <c r="A1686" s="15">
        <f>Sheet2!A1686</f>
        <v>0</v>
      </c>
      <c r="B1686" s="8">
        <v>0.68</v>
      </c>
      <c r="C1686" s="9">
        <v>0</v>
      </c>
      <c r="D1686" s="13">
        <f t="shared" si="26"/>
        <v>0.68</v>
      </c>
    </row>
    <row r="1687" spans="1:4" x14ac:dyDescent="0.25">
      <c r="A1687" s="15">
        <f>Sheet2!A1687</f>
        <v>0</v>
      </c>
      <c r="B1687" s="8">
        <v>1.46</v>
      </c>
      <c r="C1687" s="9">
        <v>0</v>
      </c>
      <c r="D1687" s="13">
        <f t="shared" si="26"/>
        <v>1.46</v>
      </c>
    </row>
    <row r="1688" spans="1:4" x14ac:dyDescent="0.25">
      <c r="A1688" s="15">
        <f>Sheet2!A1688</f>
        <v>0</v>
      </c>
      <c r="B1688" s="8">
        <v>0.16</v>
      </c>
      <c r="C1688" s="9">
        <v>0</v>
      </c>
      <c r="D1688" s="13">
        <f t="shared" si="26"/>
        <v>0.16</v>
      </c>
    </row>
    <row r="1689" spans="1:4" x14ac:dyDescent="0.25">
      <c r="A1689" s="15">
        <f>Sheet2!A1689</f>
        <v>0</v>
      </c>
      <c r="B1689" s="8">
        <v>0.38</v>
      </c>
      <c r="C1689" s="9">
        <v>0</v>
      </c>
      <c r="D1689" s="13">
        <f t="shared" si="26"/>
        <v>0.38</v>
      </c>
    </row>
    <row r="1690" spans="1:4" x14ac:dyDescent="0.25">
      <c r="A1690" s="15">
        <f>Sheet2!A1690</f>
        <v>0</v>
      </c>
      <c r="B1690" s="8">
        <v>0.16</v>
      </c>
      <c r="C1690" s="9">
        <v>0</v>
      </c>
      <c r="D1690" s="13">
        <f t="shared" si="26"/>
        <v>0.16</v>
      </c>
    </row>
    <row r="1691" spans="1:4" x14ac:dyDescent="0.25">
      <c r="A1691" s="15">
        <f>Sheet2!A1691</f>
        <v>0</v>
      </c>
      <c r="B1691" s="8">
        <v>0.62</v>
      </c>
      <c r="C1691" s="9">
        <v>0</v>
      </c>
      <c r="D1691" s="13">
        <f t="shared" si="26"/>
        <v>0.62</v>
      </c>
    </row>
    <row r="1692" spans="1:4" x14ac:dyDescent="0.25">
      <c r="A1692" s="15">
        <f>Sheet2!A1692</f>
        <v>0</v>
      </c>
      <c r="B1692" s="8">
        <v>0.36</v>
      </c>
      <c r="C1692" s="9">
        <v>0</v>
      </c>
      <c r="D1692" s="13">
        <f t="shared" si="26"/>
        <v>0.36</v>
      </c>
    </row>
    <row r="1693" spans="1:4" x14ac:dyDescent="0.25">
      <c r="A1693" s="15">
        <f>Sheet2!A1693</f>
        <v>0</v>
      </c>
      <c r="B1693" s="8">
        <v>0</v>
      </c>
      <c r="C1693" s="9">
        <v>0.3</v>
      </c>
      <c r="D1693" s="13">
        <f t="shared" si="26"/>
        <v>0.3</v>
      </c>
    </row>
    <row r="1694" spans="1:4" x14ac:dyDescent="0.25">
      <c r="A1694" s="15">
        <f>Sheet2!A1694</f>
        <v>0</v>
      </c>
      <c r="B1694" s="8">
        <v>0</v>
      </c>
      <c r="C1694" s="9">
        <v>0.54</v>
      </c>
      <c r="D1694" s="13">
        <f t="shared" si="26"/>
        <v>0.54</v>
      </c>
    </row>
    <row r="1695" spans="1:4" x14ac:dyDescent="0.25">
      <c r="A1695" s="15">
        <f>Sheet2!A1695</f>
        <v>0</v>
      </c>
      <c r="B1695" s="8">
        <v>0.6</v>
      </c>
      <c r="C1695" s="9">
        <v>0</v>
      </c>
      <c r="D1695" s="13">
        <f t="shared" si="26"/>
        <v>0.6</v>
      </c>
    </row>
    <row r="1696" spans="1:4" x14ac:dyDescent="0.25">
      <c r="A1696" s="15">
        <f>Sheet2!A1696</f>
        <v>0</v>
      </c>
      <c r="B1696" s="8">
        <v>0.66</v>
      </c>
      <c r="C1696" s="9">
        <v>0</v>
      </c>
      <c r="D1696" s="13">
        <f t="shared" si="26"/>
        <v>0.66</v>
      </c>
    </row>
    <row r="1697" spans="1:4" x14ac:dyDescent="0.25">
      <c r="A1697" s="15">
        <f>Sheet2!A1697</f>
        <v>0</v>
      </c>
      <c r="B1697" s="8">
        <v>0</v>
      </c>
      <c r="C1697" s="9">
        <v>0.34</v>
      </c>
      <c r="D1697" s="13">
        <f t="shared" si="26"/>
        <v>0.34</v>
      </c>
    </row>
    <row r="1698" spans="1:4" x14ac:dyDescent="0.25">
      <c r="A1698" s="15">
        <f>Sheet2!A1698</f>
        <v>0</v>
      </c>
      <c r="B1698" s="8">
        <v>0</v>
      </c>
      <c r="C1698" s="9">
        <v>1.26</v>
      </c>
      <c r="D1698" s="13">
        <f t="shared" si="26"/>
        <v>1.26</v>
      </c>
    </row>
    <row r="1699" spans="1:4" x14ac:dyDescent="0.25">
      <c r="A1699" s="15">
        <f>Sheet2!A1699</f>
        <v>0</v>
      </c>
      <c r="B1699" s="8">
        <v>0</v>
      </c>
      <c r="C1699" s="9">
        <v>0.62</v>
      </c>
      <c r="D1699" s="13">
        <f t="shared" si="26"/>
        <v>0.62</v>
      </c>
    </row>
    <row r="1700" spans="1:4" x14ac:dyDescent="0.25">
      <c r="A1700" s="15">
        <f>Sheet2!A1700</f>
        <v>0</v>
      </c>
      <c r="B1700" s="8">
        <v>1.19</v>
      </c>
      <c r="C1700" s="9">
        <v>0</v>
      </c>
      <c r="D1700" s="13">
        <f t="shared" si="26"/>
        <v>1.19</v>
      </c>
    </row>
    <row r="1701" spans="1:4" x14ac:dyDescent="0.25">
      <c r="A1701" s="15">
        <f>Sheet2!A1701</f>
        <v>0</v>
      </c>
      <c r="B1701" s="8">
        <v>0</v>
      </c>
      <c r="C1701" s="9">
        <v>0.84</v>
      </c>
      <c r="D1701" s="13">
        <f t="shared" si="26"/>
        <v>0.84</v>
      </c>
    </row>
    <row r="1702" spans="1:4" x14ac:dyDescent="0.25">
      <c r="A1702" s="15">
        <f>Sheet2!A1702</f>
        <v>0</v>
      </c>
      <c r="B1702" s="8">
        <v>0</v>
      </c>
      <c r="C1702" s="9">
        <v>1.0900000000000001</v>
      </c>
      <c r="D1702" s="13">
        <f t="shared" si="26"/>
        <v>1.0900000000000001</v>
      </c>
    </row>
    <row r="1703" spans="1:4" x14ac:dyDescent="0.25">
      <c r="A1703" s="15">
        <f>Sheet2!A1703</f>
        <v>0</v>
      </c>
      <c r="B1703" s="8">
        <v>0.81</v>
      </c>
      <c r="C1703" s="9">
        <v>0</v>
      </c>
      <c r="D1703" s="13">
        <f t="shared" si="26"/>
        <v>0.81</v>
      </c>
    </row>
    <row r="1704" spans="1:4" x14ac:dyDescent="0.25">
      <c r="A1704" s="15">
        <f>Sheet2!A1704</f>
        <v>0</v>
      </c>
      <c r="B1704" s="8">
        <v>0.73</v>
      </c>
      <c r="C1704" s="9">
        <v>0</v>
      </c>
      <c r="D1704" s="13">
        <f t="shared" si="26"/>
        <v>0.73</v>
      </c>
    </row>
    <row r="1705" spans="1:4" x14ac:dyDescent="0.25">
      <c r="A1705" s="15">
        <f>Sheet2!A1705</f>
        <v>0</v>
      </c>
      <c r="B1705" s="8">
        <v>0.5</v>
      </c>
      <c r="C1705" s="9">
        <v>0</v>
      </c>
      <c r="D1705" s="13">
        <f t="shared" si="26"/>
        <v>0.5</v>
      </c>
    </row>
    <row r="1706" spans="1:4" x14ac:dyDescent="0.25">
      <c r="A1706" s="15">
        <f>Sheet2!A1706</f>
        <v>0</v>
      </c>
      <c r="B1706" s="8">
        <v>0.55000000000000004</v>
      </c>
      <c r="C1706" s="9">
        <v>0</v>
      </c>
      <c r="D1706" s="13">
        <f t="shared" si="26"/>
        <v>0.55000000000000004</v>
      </c>
    </row>
    <row r="1707" spans="1:4" x14ac:dyDescent="0.25">
      <c r="A1707" s="15">
        <f>Sheet2!A1707</f>
        <v>0</v>
      </c>
      <c r="B1707" s="8">
        <v>0.71</v>
      </c>
      <c r="C1707" s="9">
        <v>0</v>
      </c>
      <c r="D1707" s="13">
        <f t="shared" si="26"/>
        <v>0.71</v>
      </c>
    </row>
    <row r="1708" spans="1:4" x14ac:dyDescent="0.25">
      <c r="A1708" s="15">
        <f>Sheet2!A1708</f>
        <v>0</v>
      </c>
      <c r="B1708" s="8">
        <v>0.52</v>
      </c>
      <c r="C1708" s="9">
        <v>0</v>
      </c>
      <c r="D1708" s="13">
        <f t="shared" si="26"/>
        <v>0.52</v>
      </c>
    </row>
    <row r="1709" spans="1:4" x14ac:dyDescent="0.25">
      <c r="A1709" s="15">
        <f>Sheet2!A1709</f>
        <v>0</v>
      </c>
      <c r="B1709" s="8">
        <v>0.47</v>
      </c>
      <c r="C1709" s="9">
        <v>0</v>
      </c>
      <c r="D1709" s="13">
        <f t="shared" si="26"/>
        <v>0.47</v>
      </c>
    </row>
    <row r="1710" spans="1:4" x14ac:dyDescent="0.25">
      <c r="A1710" s="15">
        <f>Sheet2!A1710</f>
        <v>0</v>
      </c>
      <c r="B1710" s="8">
        <v>1.1200000000000001</v>
      </c>
      <c r="C1710" s="9">
        <v>0</v>
      </c>
      <c r="D1710" s="13">
        <f t="shared" si="26"/>
        <v>1.1200000000000001</v>
      </c>
    </row>
    <row r="1711" spans="1:4" x14ac:dyDescent="0.25">
      <c r="A1711" s="15">
        <f>Sheet2!A1711</f>
        <v>0</v>
      </c>
      <c r="B1711" s="8">
        <v>2.56</v>
      </c>
      <c r="C1711" s="9">
        <v>0</v>
      </c>
      <c r="D1711" s="13">
        <f t="shared" si="26"/>
        <v>2.56</v>
      </c>
    </row>
    <row r="1712" spans="1:4" x14ac:dyDescent="0.25">
      <c r="A1712" s="15">
        <f>Sheet2!A1712</f>
        <v>0</v>
      </c>
      <c r="B1712" s="8">
        <v>1.01</v>
      </c>
      <c r="C1712" s="9">
        <v>0</v>
      </c>
      <c r="D1712" s="13">
        <f t="shared" si="26"/>
        <v>1.01</v>
      </c>
    </row>
    <row r="1713" spans="1:4" x14ac:dyDescent="0.25">
      <c r="A1713" s="15">
        <f>Sheet2!A1713</f>
        <v>0</v>
      </c>
      <c r="B1713" s="8">
        <v>0.52</v>
      </c>
      <c r="C1713" s="9">
        <v>0</v>
      </c>
      <c r="D1713" s="13">
        <f t="shared" si="26"/>
        <v>0.52</v>
      </c>
    </row>
    <row r="1714" spans="1:4" x14ac:dyDescent="0.25">
      <c r="A1714" s="15">
        <f>Sheet2!A1714</f>
        <v>0</v>
      </c>
      <c r="B1714" s="8">
        <v>0.35</v>
      </c>
      <c r="C1714" s="9">
        <v>0</v>
      </c>
      <c r="D1714" s="13">
        <f t="shared" si="26"/>
        <v>0.35</v>
      </c>
    </row>
    <row r="1715" spans="1:4" x14ac:dyDescent="0.25">
      <c r="A1715" s="15">
        <f>Sheet2!A1715</f>
        <v>0</v>
      </c>
      <c r="B1715" s="8">
        <v>0.51</v>
      </c>
      <c r="C1715" s="9">
        <v>0</v>
      </c>
      <c r="D1715" s="13">
        <f t="shared" si="26"/>
        <v>0.51</v>
      </c>
    </row>
    <row r="1716" spans="1:4" x14ac:dyDescent="0.25">
      <c r="A1716" s="15">
        <f>Sheet2!A1716</f>
        <v>0</v>
      </c>
      <c r="B1716" s="8">
        <v>0.9</v>
      </c>
      <c r="C1716" s="9">
        <v>0</v>
      </c>
      <c r="D1716" s="13">
        <f t="shared" si="26"/>
        <v>0.9</v>
      </c>
    </row>
    <row r="1717" spans="1:4" x14ac:dyDescent="0.25">
      <c r="A1717" s="15">
        <f>Sheet2!A1717</f>
        <v>0</v>
      </c>
      <c r="B1717" s="8">
        <v>0.69</v>
      </c>
      <c r="C1717" s="9">
        <v>0</v>
      </c>
      <c r="D1717" s="13">
        <f t="shared" si="26"/>
        <v>0.69</v>
      </c>
    </row>
    <row r="1718" spans="1:4" x14ac:dyDescent="0.25">
      <c r="A1718" s="15">
        <f>Sheet2!A1718</f>
        <v>0</v>
      </c>
      <c r="B1718" s="8">
        <v>0.57999999999999996</v>
      </c>
      <c r="C1718" s="9">
        <v>0</v>
      </c>
      <c r="D1718" s="13">
        <f t="shared" si="26"/>
        <v>0.57999999999999996</v>
      </c>
    </row>
    <row r="1719" spans="1:4" x14ac:dyDescent="0.25">
      <c r="A1719" s="15">
        <f>Sheet2!A1719</f>
        <v>0</v>
      </c>
      <c r="B1719" s="8">
        <v>0</v>
      </c>
      <c r="C1719" s="9">
        <v>0.5</v>
      </c>
      <c r="D1719" s="13">
        <f t="shared" si="26"/>
        <v>0.5</v>
      </c>
    </row>
    <row r="1720" spans="1:4" x14ac:dyDescent="0.25">
      <c r="A1720" s="15">
        <f>Sheet2!A1720</f>
        <v>0</v>
      </c>
      <c r="B1720" s="8">
        <v>0</v>
      </c>
      <c r="C1720" s="9">
        <v>0.33</v>
      </c>
      <c r="D1720" s="13">
        <f t="shared" si="26"/>
        <v>0.33</v>
      </c>
    </row>
    <row r="1721" spans="1:4" x14ac:dyDescent="0.25">
      <c r="A1721" s="15">
        <f>Sheet2!A1721</f>
        <v>0</v>
      </c>
      <c r="B1721" s="8">
        <v>0.77</v>
      </c>
      <c r="C1721" s="9">
        <v>0</v>
      </c>
      <c r="D1721" s="13">
        <f t="shared" si="26"/>
        <v>0.77</v>
      </c>
    </row>
    <row r="1722" spans="1:4" x14ac:dyDescent="0.25">
      <c r="A1722" s="15">
        <f>Sheet2!A1722</f>
        <v>0</v>
      </c>
      <c r="B1722" s="8">
        <v>1.75</v>
      </c>
      <c r="C1722" s="9">
        <v>0</v>
      </c>
      <c r="D1722" s="13">
        <f t="shared" si="26"/>
        <v>1.75</v>
      </c>
    </row>
    <row r="1723" spans="1:4" x14ac:dyDescent="0.25">
      <c r="A1723" s="15">
        <f>Sheet2!A1723</f>
        <v>0</v>
      </c>
      <c r="B1723" s="8">
        <v>1.76</v>
      </c>
      <c r="C1723" s="9">
        <v>0</v>
      </c>
      <c r="D1723" s="13">
        <f t="shared" si="26"/>
        <v>1.76</v>
      </c>
    </row>
    <row r="1724" spans="1:4" x14ac:dyDescent="0.25">
      <c r="A1724" s="15">
        <f>Sheet2!A1724</f>
        <v>0</v>
      </c>
      <c r="B1724" s="8">
        <v>4.09</v>
      </c>
      <c r="C1724" s="9">
        <v>0</v>
      </c>
      <c r="D1724" s="13">
        <f t="shared" si="26"/>
        <v>4.09</v>
      </c>
    </row>
    <row r="1725" spans="1:4" x14ac:dyDescent="0.25">
      <c r="A1725" s="15">
        <f>Sheet2!A1725</f>
        <v>0</v>
      </c>
      <c r="B1725" s="8">
        <v>1.57</v>
      </c>
      <c r="C1725" s="9">
        <v>0</v>
      </c>
      <c r="D1725" s="13">
        <f t="shared" si="26"/>
        <v>1.57</v>
      </c>
    </row>
    <row r="1726" spans="1:4" x14ac:dyDescent="0.25">
      <c r="A1726" s="15">
        <f>Sheet2!A1726</f>
        <v>0</v>
      </c>
      <c r="B1726" s="8">
        <v>1.46</v>
      </c>
      <c r="C1726" s="9">
        <v>0</v>
      </c>
      <c r="D1726" s="13">
        <f t="shared" si="26"/>
        <v>1.46</v>
      </c>
    </row>
    <row r="1727" spans="1:4" x14ac:dyDescent="0.25">
      <c r="A1727" s="15">
        <f>Sheet2!A1727</f>
        <v>0</v>
      </c>
      <c r="B1727" s="8">
        <v>1.06</v>
      </c>
      <c r="C1727" s="9">
        <v>0</v>
      </c>
      <c r="D1727" s="13">
        <f t="shared" si="26"/>
        <v>1.06</v>
      </c>
    </row>
    <row r="1728" spans="1:4" x14ac:dyDescent="0.25">
      <c r="A1728" s="15">
        <f>Sheet2!A1728</f>
        <v>0</v>
      </c>
      <c r="B1728" s="8">
        <v>0.82</v>
      </c>
      <c r="C1728" s="9">
        <v>0</v>
      </c>
      <c r="D1728" s="13">
        <f t="shared" si="26"/>
        <v>0.82</v>
      </c>
    </row>
    <row r="1729" spans="1:4" x14ac:dyDescent="0.25">
      <c r="A1729" s="15">
        <f>Sheet2!A1729</f>
        <v>0</v>
      </c>
      <c r="B1729" s="8">
        <v>0.45</v>
      </c>
      <c r="C1729" s="9">
        <v>0</v>
      </c>
      <c r="D1729" s="13">
        <f t="shared" si="26"/>
        <v>0.45</v>
      </c>
    </row>
    <row r="1730" spans="1:4" x14ac:dyDescent="0.25">
      <c r="A1730" s="15">
        <f>Sheet2!A1730</f>
        <v>0</v>
      </c>
      <c r="B1730" s="8">
        <v>0.65</v>
      </c>
      <c r="C1730" s="9">
        <v>0</v>
      </c>
      <c r="D1730" s="13">
        <f t="shared" si="26"/>
        <v>0.65</v>
      </c>
    </row>
    <row r="1731" spans="1:4" x14ac:dyDescent="0.25">
      <c r="A1731" s="15">
        <f>Sheet2!A1731</f>
        <v>0</v>
      </c>
      <c r="B1731" s="8">
        <v>0.66</v>
      </c>
      <c r="C1731" s="9">
        <v>0</v>
      </c>
      <c r="D1731" s="13">
        <f t="shared" ref="D1731:D1794" si="27">B1731+C1731</f>
        <v>0.66</v>
      </c>
    </row>
    <row r="1732" spans="1:4" x14ac:dyDescent="0.25">
      <c r="A1732" s="15">
        <f>Sheet2!A1732</f>
        <v>0</v>
      </c>
      <c r="B1732" s="8">
        <v>0.56000000000000005</v>
      </c>
      <c r="C1732" s="9">
        <v>0</v>
      </c>
      <c r="D1732" s="13">
        <f t="shared" si="27"/>
        <v>0.56000000000000005</v>
      </c>
    </row>
    <row r="1733" spans="1:4" x14ac:dyDescent="0.25">
      <c r="A1733" s="15">
        <f>Sheet2!A1733</f>
        <v>0</v>
      </c>
      <c r="B1733" s="8">
        <v>0.52</v>
      </c>
      <c r="C1733" s="9">
        <v>0</v>
      </c>
      <c r="D1733" s="13">
        <f t="shared" si="27"/>
        <v>0.52</v>
      </c>
    </row>
    <row r="1734" spans="1:4" x14ac:dyDescent="0.25">
      <c r="A1734" s="15">
        <f>Sheet2!A1734</f>
        <v>0</v>
      </c>
      <c r="B1734" s="8">
        <v>1.28</v>
      </c>
      <c r="C1734" s="9">
        <v>0</v>
      </c>
      <c r="D1734" s="13">
        <f t="shared" si="27"/>
        <v>1.28</v>
      </c>
    </row>
    <row r="1735" spans="1:4" x14ac:dyDescent="0.25">
      <c r="A1735" s="15">
        <f>Sheet2!A1735</f>
        <v>0</v>
      </c>
      <c r="B1735" s="8">
        <v>1.07</v>
      </c>
      <c r="C1735" s="9">
        <v>0</v>
      </c>
      <c r="D1735" s="13">
        <f t="shared" si="27"/>
        <v>1.07</v>
      </c>
    </row>
    <row r="1736" spans="1:4" x14ac:dyDescent="0.25">
      <c r="A1736" s="15">
        <f>Sheet2!A1736</f>
        <v>0</v>
      </c>
      <c r="B1736" s="8">
        <v>0.75</v>
      </c>
      <c r="C1736" s="9">
        <v>0</v>
      </c>
      <c r="D1736" s="13">
        <f t="shared" si="27"/>
        <v>0.75</v>
      </c>
    </row>
    <row r="1737" spans="1:4" x14ac:dyDescent="0.25">
      <c r="A1737" s="15">
        <f>Sheet2!A1737</f>
        <v>0</v>
      </c>
      <c r="B1737" s="8">
        <v>0.83</v>
      </c>
      <c r="C1737" s="9">
        <v>0</v>
      </c>
      <c r="D1737" s="13">
        <f t="shared" si="27"/>
        <v>0.83</v>
      </c>
    </row>
    <row r="1738" spans="1:4" x14ac:dyDescent="0.25">
      <c r="A1738" s="15">
        <f>Sheet2!A1738</f>
        <v>0</v>
      </c>
      <c r="B1738" s="8">
        <v>0.67</v>
      </c>
      <c r="C1738" s="9">
        <v>0</v>
      </c>
      <c r="D1738" s="13">
        <f t="shared" si="27"/>
        <v>0.67</v>
      </c>
    </row>
    <row r="1739" spans="1:4" x14ac:dyDescent="0.25">
      <c r="A1739" s="15">
        <f>Sheet2!A1739</f>
        <v>0</v>
      </c>
      <c r="B1739" s="8">
        <v>0.56999999999999995</v>
      </c>
      <c r="C1739" s="9">
        <v>0</v>
      </c>
      <c r="D1739" s="13">
        <f t="shared" si="27"/>
        <v>0.56999999999999995</v>
      </c>
    </row>
    <row r="1740" spans="1:4" x14ac:dyDescent="0.25">
      <c r="A1740" s="15">
        <f>Sheet2!A1740</f>
        <v>0</v>
      </c>
      <c r="B1740" s="8">
        <v>0.68</v>
      </c>
      <c r="C1740" s="9">
        <v>0</v>
      </c>
      <c r="D1740" s="13">
        <f t="shared" si="27"/>
        <v>0.68</v>
      </c>
    </row>
    <row r="1741" spans="1:4" x14ac:dyDescent="0.25">
      <c r="A1741" s="15">
        <f>Sheet2!A1741</f>
        <v>0</v>
      </c>
      <c r="B1741" s="8">
        <v>1.05</v>
      </c>
      <c r="C1741" s="9">
        <v>0</v>
      </c>
      <c r="D1741" s="13">
        <f t="shared" si="27"/>
        <v>1.05</v>
      </c>
    </row>
    <row r="1742" spans="1:4" x14ac:dyDescent="0.25">
      <c r="A1742" s="15">
        <f>Sheet2!A1742</f>
        <v>0</v>
      </c>
      <c r="B1742" s="8">
        <v>0.75</v>
      </c>
      <c r="C1742" s="9">
        <v>0</v>
      </c>
      <c r="D1742" s="13">
        <f t="shared" si="27"/>
        <v>0.75</v>
      </c>
    </row>
    <row r="1743" spans="1:4" x14ac:dyDescent="0.25">
      <c r="A1743" s="15">
        <f>Sheet2!A1743</f>
        <v>0</v>
      </c>
      <c r="B1743" s="8">
        <v>0.66</v>
      </c>
      <c r="C1743" s="9">
        <v>0</v>
      </c>
      <c r="D1743" s="13">
        <f t="shared" si="27"/>
        <v>0.66</v>
      </c>
    </row>
    <row r="1744" spans="1:4" x14ac:dyDescent="0.25">
      <c r="A1744" s="15">
        <f>Sheet2!A1744</f>
        <v>0</v>
      </c>
      <c r="B1744" s="8">
        <v>1.02</v>
      </c>
      <c r="C1744" s="9">
        <v>0</v>
      </c>
      <c r="D1744" s="13">
        <f t="shared" si="27"/>
        <v>1.02</v>
      </c>
    </row>
    <row r="1745" spans="1:4" x14ac:dyDescent="0.25">
      <c r="A1745" s="15">
        <f>Sheet2!A1745</f>
        <v>0</v>
      </c>
      <c r="B1745" s="8">
        <v>0.83</v>
      </c>
      <c r="C1745" s="9">
        <v>0</v>
      </c>
      <c r="D1745" s="13">
        <f t="shared" si="27"/>
        <v>0.83</v>
      </c>
    </row>
    <row r="1746" spans="1:4" x14ac:dyDescent="0.25">
      <c r="A1746" s="15">
        <f>Sheet2!A1746</f>
        <v>0</v>
      </c>
      <c r="B1746" s="8">
        <v>0</v>
      </c>
      <c r="C1746" s="9">
        <v>0.53</v>
      </c>
      <c r="D1746" s="13">
        <f t="shared" si="27"/>
        <v>0.53</v>
      </c>
    </row>
    <row r="1747" spans="1:4" x14ac:dyDescent="0.25">
      <c r="A1747" s="15">
        <f>Sheet2!A1747</f>
        <v>0</v>
      </c>
      <c r="B1747" s="8">
        <v>0</v>
      </c>
      <c r="C1747" s="9">
        <v>0.28000000000000003</v>
      </c>
      <c r="D1747" s="13">
        <f t="shared" si="27"/>
        <v>0.28000000000000003</v>
      </c>
    </row>
    <row r="1748" spans="1:4" x14ac:dyDescent="0.25">
      <c r="A1748" s="15">
        <f>Sheet2!A1748</f>
        <v>0</v>
      </c>
      <c r="B1748" s="8">
        <v>1.62</v>
      </c>
      <c r="C1748" s="9">
        <v>0</v>
      </c>
      <c r="D1748" s="13">
        <f t="shared" si="27"/>
        <v>1.62</v>
      </c>
    </row>
    <row r="1749" spans="1:4" x14ac:dyDescent="0.25">
      <c r="A1749" s="15">
        <f>Sheet2!A1749</f>
        <v>0</v>
      </c>
      <c r="B1749" s="8">
        <v>2.16</v>
      </c>
      <c r="C1749" s="9">
        <v>0</v>
      </c>
      <c r="D1749" s="13">
        <f t="shared" si="27"/>
        <v>2.16</v>
      </c>
    </row>
    <row r="1750" spans="1:4" x14ac:dyDescent="0.25">
      <c r="A1750" s="15">
        <f>Sheet2!A1750</f>
        <v>0</v>
      </c>
      <c r="B1750" s="8">
        <v>2.08</v>
      </c>
      <c r="C1750" s="9">
        <v>0</v>
      </c>
      <c r="D1750" s="13">
        <f t="shared" si="27"/>
        <v>2.08</v>
      </c>
    </row>
    <row r="1751" spans="1:4" x14ac:dyDescent="0.25">
      <c r="A1751" s="15">
        <f>Sheet2!A1751</f>
        <v>0</v>
      </c>
      <c r="B1751" s="8">
        <v>1.93</v>
      </c>
      <c r="C1751" s="9">
        <v>0</v>
      </c>
      <c r="D1751" s="13">
        <f t="shared" si="27"/>
        <v>1.93</v>
      </c>
    </row>
    <row r="1752" spans="1:4" x14ac:dyDescent="0.25">
      <c r="A1752" s="15">
        <f>Sheet2!A1752</f>
        <v>0</v>
      </c>
      <c r="B1752" s="8">
        <v>0.74</v>
      </c>
      <c r="C1752" s="9">
        <v>0</v>
      </c>
      <c r="D1752" s="13">
        <f t="shared" si="27"/>
        <v>0.74</v>
      </c>
    </row>
    <row r="1753" spans="1:4" x14ac:dyDescent="0.25">
      <c r="A1753" s="15">
        <f>Sheet2!A1753</f>
        <v>0</v>
      </c>
      <c r="B1753" s="8">
        <v>0.7</v>
      </c>
      <c r="C1753" s="9">
        <v>0</v>
      </c>
      <c r="D1753" s="13">
        <f t="shared" si="27"/>
        <v>0.7</v>
      </c>
    </row>
    <row r="1754" spans="1:4" x14ac:dyDescent="0.25">
      <c r="A1754" s="15">
        <f>Sheet2!A1754</f>
        <v>0</v>
      </c>
      <c r="B1754" s="8">
        <v>0.8</v>
      </c>
      <c r="C1754" s="9">
        <v>0</v>
      </c>
      <c r="D1754" s="13">
        <f t="shared" si="27"/>
        <v>0.8</v>
      </c>
    </row>
    <row r="1755" spans="1:4" x14ac:dyDescent="0.25">
      <c r="A1755" s="15">
        <f>Sheet2!A1755</f>
        <v>0</v>
      </c>
      <c r="B1755" s="8">
        <v>0.46</v>
      </c>
      <c r="C1755" s="9">
        <v>0</v>
      </c>
      <c r="D1755" s="13">
        <f t="shared" si="27"/>
        <v>0.46</v>
      </c>
    </row>
    <row r="1756" spans="1:4" x14ac:dyDescent="0.25">
      <c r="A1756" s="15">
        <f>Sheet2!A1756</f>
        <v>0</v>
      </c>
      <c r="B1756" s="8">
        <v>0.59</v>
      </c>
      <c r="C1756" s="9">
        <v>0</v>
      </c>
      <c r="D1756" s="13">
        <f t="shared" si="27"/>
        <v>0.59</v>
      </c>
    </row>
    <row r="1757" spans="1:4" x14ac:dyDescent="0.25">
      <c r="A1757" s="15">
        <f>Sheet2!A1757</f>
        <v>0</v>
      </c>
      <c r="B1757" s="8">
        <v>0.72</v>
      </c>
      <c r="C1757" s="9">
        <v>0</v>
      </c>
      <c r="D1757" s="13">
        <f t="shared" si="27"/>
        <v>0.72</v>
      </c>
    </row>
    <row r="1758" spans="1:4" x14ac:dyDescent="0.25">
      <c r="A1758" s="15">
        <f>Sheet2!A1758</f>
        <v>0</v>
      </c>
      <c r="B1758" s="8">
        <v>1.02</v>
      </c>
      <c r="C1758" s="9">
        <v>0</v>
      </c>
      <c r="D1758" s="13">
        <f t="shared" si="27"/>
        <v>1.02</v>
      </c>
    </row>
    <row r="1759" spans="1:4" x14ac:dyDescent="0.25">
      <c r="A1759" s="15">
        <f>Sheet2!A1759</f>
        <v>0</v>
      </c>
      <c r="B1759" s="8">
        <v>1.06</v>
      </c>
      <c r="C1759" s="9">
        <v>0</v>
      </c>
      <c r="D1759" s="13">
        <f t="shared" si="27"/>
        <v>1.06</v>
      </c>
    </row>
    <row r="1760" spans="1:4" x14ac:dyDescent="0.25">
      <c r="A1760" s="15">
        <f>Sheet2!A1760</f>
        <v>0</v>
      </c>
      <c r="B1760" s="8">
        <v>0.73</v>
      </c>
      <c r="C1760" s="9">
        <v>0</v>
      </c>
      <c r="D1760" s="13">
        <f t="shared" si="27"/>
        <v>0.73</v>
      </c>
    </row>
    <row r="1761" spans="1:4" x14ac:dyDescent="0.25">
      <c r="A1761" s="15">
        <f>Sheet2!A1761</f>
        <v>0</v>
      </c>
      <c r="B1761" s="8">
        <v>0.49</v>
      </c>
      <c r="C1761" s="9">
        <v>0</v>
      </c>
      <c r="D1761" s="13">
        <f t="shared" si="27"/>
        <v>0.49</v>
      </c>
    </row>
    <row r="1762" spans="1:4" x14ac:dyDescent="0.25">
      <c r="A1762" s="15">
        <f>Sheet2!A1762</f>
        <v>0</v>
      </c>
      <c r="B1762" s="8">
        <v>0.92</v>
      </c>
      <c r="C1762" s="9">
        <v>0</v>
      </c>
      <c r="D1762" s="13">
        <f t="shared" si="27"/>
        <v>0.92</v>
      </c>
    </row>
    <row r="1763" spans="1:4" x14ac:dyDescent="0.25">
      <c r="A1763" s="15">
        <f>Sheet2!A1763</f>
        <v>0</v>
      </c>
      <c r="B1763" s="8">
        <v>0.56999999999999995</v>
      </c>
      <c r="C1763" s="9">
        <v>0</v>
      </c>
      <c r="D1763" s="13">
        <f t="shared" si="27"/>
        <v>0.56999999999999995</v>
      </c>
    </row>
    <row r="1764" spans="1:4" x14ac:dyDescent="0.25">
      <c r="A1764" s="15">
        <f>Sheet2!A1764</f>
        <v>0</v>
      </c>
      <c r="B1764" s="8">
        <v>0.84</v>
      </c>
      <c r="C1764" s="9">
        <v>0</v>
      </c>
      <c r="D1764" s="13">
        <f t="shared" si="27"/>
        <v>0.84</v>
      </c>
    </row>
    <row r="1765" spans="1:4" x14ac:dyDescent="0.25">
      <c r="A1765" s="15">
        <f>Sheet2!A1765</f>
        <v>0</v>
      </c>
      <c r="B1765" s="8">
        <v>0.64</v>
      </c>
      <c r="C1765" s="9">
        <v>0</v>
      </c>
      <c r="D1765" s="13">
        <f t="shared" si="27"/>
        <v>0.64</v>
      </c>
    </row>
    <row r="1766" spans="1:4" x14ac:dyDescent="0.25">
      <c r="A1766" s="15">
        <f>Sheet2!A1766</f>
        <v>0</v>
      </c>
      <c r="B1766" s="8">
        <v>0.7</v>
      </c>
      <c r="C1766" s="9">
        <v>0</v>
      </c>
      <c r="D1766" s="13">
        <f t="shared" si="27"/>
        <v>0.7</v>
      </c>
    </row>
    <row r="1767" spans="1:4" x14ac:dyDescent="0.25">
      <c r="A1767" s="15">
        <f>Sheet2!A1767</f>
        <v>0</v>
      </c>
      <c r="B1767" s="8">
        <v>0.84</v>
      </c>
      <c r="C1767" s="9">
        <v>0</v>
      </c>
      <c r="D1767" s="13">
        <f t="shared" si="27"/>
        <v>0.84</v>
      </c>
    </row>
    <row r="1768" spans="1:4" x14ac:dyDescent="0.25">
      <c r="A1768" s="15">
        <f>Sheet2!A1768</f>
        <v>0</v>
      </c>
      <c r="B1768" s="8">
        <v>0.93</v>
      </c>
      <c r="C1768" s="9">
        <v>0</v>
      </c>
      <c r="D1768" s="13">
        <f t="shared" si="27"/>
        <v>0.93</v>
      </c>
    </row>
    <row r="1769" spans="1:4" x14ac:dyDescent="0.25">
      <c r="A1769" s="15">
        <f>Sheet2!A1769</f>
        <v>0</v>
      </c>
      <c r="B1769" s="8">
        <v>0.86</v>
      </c>
      <c r="C1769" s="9">
        <v>0</v>
      </c>
      <c r="D1769" s="13">
        <f t="shared" si="27"/>
        <v>0.86</v>
      </c>
    </row>
    <row r="1770" spans="1:4" x14ac:dyDescent="0.25">
      <c r="A1770" s="15">
        <f>Sheet2!A1770</f>
        <v>0</v>
      </c>
      <c r="B1770" s="8">
        <v>2.08</v>
      </c>
      <c r="C1770" s="9">
        <v>0</v>
      </c>
      <c r="D1770" s="13">
        <f t="shared" si="27"/>
        <v>2.08</v>
      </c>
    </row>
    <row r="1771" spans="1:4" x14ac:dyDescent="0.25">
      <c r="A1771" s="15">
        <f>Sheet2!A1771</f>
        <v>0</v>
      </c>
      <c r="B1771" s="8">
        <v>0.81</v>
      </c>
      <c r="C1771" s="9">
        <v>0</v>
      </c>
      <c r="D1771" s="13">
        <f t="shared" si="27"/>
        <v>0.81</v>
      </c>
    </row>
    <row r="1772" spans="1:4" x14ac:dyDescent="0.25">
      <c r="A1772" s="15">
        <f>Sheet2!A1772</f>
        <v>0</v>
      </c>
      <c r="B1772" s="8">
        <v>0.9</v>
      </c>
      <c r="C1772" s="9">
        <v>0</v>
      </c>
      <c r="D1772" s="13">
        <f t="shared" si="27"/>
        <v>0.9</v>
      </c>
    </row>
    <row r="1773" spans="1:4" x14ac:dyDescent="0.25">
      <c r="A1773" s="15">
        <f>Sheet2!A1773</f>
        <v>0</v>
      </c>
      <c r="B1773" s="8">
        <v>0.8</v>
      </c>
      <c r="C1773" s="9">
        <v>0</v>
      </c>
      <c r="D1773" s="13">
        <f t="shared" si="27"/>
        <v>0.8</v>
      </c>
    </row>
    <row r="1774" spans="1:4" x14ac:dyDescent="0.25">
      <c r="A1774" s="15">
        <f>Sheet2!A1774</f>
        <v>0</v>
      </c>
      <c r="B1774" s="8">
        <v>1.1100000000000001</v>
      </c>
      <c r="C1774" s="9">
        <v>0</v>
      </c>
      <c r="D1774" s="13">
        <f t="shared" si="27"/>
        <v>1.1100000000000001</v>
      </c>
    </row>
    <row r="1775" spans="1:4" x14ac:dyDescent="0.25">
      <c r="A1775" s="15">
        <f>Sheet2!A1775</f>
        <v>0</v>
      </c>
      <c r="B1775" s="8">
        <v>1.22</v>
      </c>
      <c r="C1775" s="9">
        <v>0</v>
      </c>
      <c r="D1775" s="13">
        <f t="shared" si="27"/>
        <v>1.22</v>
      </c>
    </row>
    <row r="1776" spans="1:4" x14ac:dyDescent="0.25">
      <c r="A1776" s="15">
        <f>Sheet2!A1776</f>
        <v>0</v>
      </c>
      <c r="B1776" s="8">
        <v>0.81</v>
      </c>
      <c r="C1776" s="9">
        <v>0</v>
      </c>
      <c r="D1776" s="13">
        <f t="shared" si="27"/>
        <v>0.81</v>
      </c>
    </row>
    <row r="1777" spans="1:4" x14ac:dyDescent="0.25">
      <c r="A1777" s="15">
        <f>Sheet2!A1777</f>
        <v>0</v>
      </c>
      <c r="B1777" s="8">
        <v>0.81</v>
      </c>
      <c r="C1777" s="9">
        <v>0</v>
      </c>
      <c r="D1777" s="13">
        <f t="shared" si="27"/>
        <v>0.81</v>
      </c>
    </row>
    <row r="1778" spans="1:4" x14ac:dyDescent="0.25">
      <c r="A1778" s="15">
        <f>Sheet2!A1778</f>
        <v>0</v>
      </c>
      <c r="B1778" s="8">
        <v>0.63</v>
      </c>
      <c r="C1778" s="9">
        <v>0</v>
      </c>
      <c r="D1778" s="13">
        <f t="shared" si="27"/>
        <v>0.63</v>
      </c>
    </row>
    <row r="1779" spans="1:4" x14ac:dyDescent="0.25">
      <c r="A1779" s="15">
        <f>Sheet2!A1779</f>
        <v>0</v>
      </c>
      <c r="B1779" s="8">
        <v>0.6</v>
      </c>
      <c r="C1779" s="9">
        <v>0</v>
      </c>
      <c r="D1779" s="13">
        <f t="shared" si="27"/>
        <v>0.6</v>
      </c>
    </row>
    <row r="1780" spans="1:4" x14ac:dyDescent="0.25">
      <c r="A1780" s="15">
        <f>Sheet2!A1780</f>
        <v>0</v>
      </c>
      <c r="B1780" s="8">
        <v>0.62</v>
      </c>
      <c r="C1780" s="9">
        <v>0</v>
      </c>
      <c r="D1780" s="13">
        <f t="shared" si="27"/>
        <v>0.62</v>
      </c>
    </row>
    <row r="1781" spans="1:4" x14ac:dyDescent="0.25">
      <c r="A1781" s="15">
        <f>Sheet2!A1781</f>
        <v>0</v>
      </c>
      <c r="B1781" s="8">
        <v>0.81</v>
      </c>
      <c r="C1781" s="9">
        <v>0</v>
      </c>
      <c r="D1781" s="13">
        <f t="shared" si="27"/>
        <v>0.81</v>
      </c>
    </row>
    <row r="1782" spans="1:4" x14ac:dyDescent="0.25">
      <c r="A1782" s="15">
        <f>Sheet2!A1782</f>
        <v>0</v>
      </c>
      <c r="B1782" s="8">
        <v>0.47</v>
      </c>
      <c r="C1782" s="9">
        <v>0</v>
      </c>
      <c r="D1782" s="13">
        <f t="shared" si="27"/>
        <v>0.47</v>
      </c>
    </row>
    <row r="1783" spans="1:4" x14ac:dyDescent="0.25">
      <c r="A1783" s="15">
        <f>Sheet2!A1783</f>
        <v>0</v>
      </c>
      <c r="B1783" s="8">
        <v>0.59</v>
      </c>
      <c r="C1783" s="9">
        <v>0</v>
      </c>
      <c r="D1783" s="13">
        <f t="shared" si="27"/>
        <v>0.59</v>
      </c>
    </row>
    <row r="1784" spans="1:4" x14ac:dyDescent="0.25">
      <c r="A1784" s="15">
        <f>Sheet2!A1784</f>
        <v>0</v>
      </c>
      <c r="B1784" s="8">
        <v>1.34</v>
      </c>
      <c r="C1784" s="9">
        <v>0</v>
      </c>
      <c r="D1784" s="13">
        <f t="shared" si="27"/>
        <v>1.34</v>
      </c>
    </row>
    <row r="1785" spans="1:4" x14ac:dyDescent="0.25">
      <c r="A1785" s="15">
        <f>Sheet2!A1785</f>
        <v>0</v>
      </c>
      <c r="B1785" s="8">
        <v>0.67</v>
      </c>
      <c r="C1785" s="9">
        <v>0</v>
      </c>
      <c r="D1785" s="13">
        <f t="shared" si="27"/>
        <v>0.67</v>
      </c>
    </row>
    <row r="1786" spans="1:4" x14ac:dyDescent="0.25">
      <c r="A1786" s="15">
        <f>Sheet2!A1786</f>
        <v>0</v>
      </c>
      <c r="B1786" s="8">
        <v>0.54</v>
      </c>
      <c r="C1786" s="9">
        <v>0</v>
      </c>
      <c r="D1786" s="13">
        <f t="shared" si="27"/>
        <v>0.54</v>
      </c>
    </row>
    <row r="1787" spans="1:4" x14ac:dyDescent="0.25">
      <c r="A1787" s="15">
        <f>Sheet2!A1787</f>
        <v>0</v>
      </c>
      <c r="B1787" s="8">
        <v>0</v>
      </c>
      <c r="C1787" s="9">
        <v>0.81</v>
      </c>
      <c r="D1787" s="13">
        <f t="shared" si="27"/>
        <v>0.81</v>
      </c>
    </row>
    <row r="1788" spans="1:4" x14ac:dyDescent="0.25">
      <c r="A1788" s="15">
        <f>Sheet2!A1788</f>
        <v>0</v>
      </c>
      <c r="B1788" s="8">
        <v>0</v>
      </c>
      <c r="C1788" s="9">
        <v>1.24</v>
      </c>
      <c r="D1788" s="13">
        <f t="shared" si="27"/>
        <v>1.24</v>
      </c>
    </row>
    <row r="1789" spans="1:4" x14ac:dyDescent="0.25">
      <c r="A1789" s="15">
        <f>Sheet2!A1789</f>
        <v>0</v>
      </c>
      <c r="B1789" s="8">
        <v>0</v>
      </c>
      <c r="C1789" s="9">
        <v>0.3</v>
      </c>
      <c r="D1789" s="13">
        <f t="shared" si="27"/>
        <v>0.3</v>
      </c>
    </row>
    <row r="1790" spans="1:4" x14ac:dyDescent="0.25">
      <c r="A1790" s="15">
        <f>Sheet2!A1790</f>
        <v>0</v>
      </c>
      <c r="B1790" s="8">
        <v>1.21</v>
      </c>
      <c r="C1790" s="9">
        <v>0</v>
      </c>
      <c r="D1790" s="13">
        <f t="shared" si="27"/>
        <v>1.21</v>
      </c>
    </row>
    <row r="1791" spans="1:4" x14ac:dyDescent="0.25">
      <c r="A1791" s="15">
        <f>Sheet2!A1791</f>
        <v>0</v>
      </c>
      <c r="B1791" s="8">
        <v>1.49</v>
      </c>
      <c r="C1791" s="9">
        <v>0</v>
      </c>
      <c r="D1791" s="13">
        <f t="shared" si="27"/>
        <v>1.49</v>
      </c>
    </row>
    <row r="1792" spans="1:4" x14ac:dyDescent="0.25">
      <c r="A1792" s="15">
        <f>Sheet2!A1792</f>
        <v>0</v>
      </c>
      <c r="B1792" s="8">
        <v>1.24</v>
      </c>
      <c r="C1792" s="9">
        <v>0</v>
      </c>
      <c r="D1792" s="13">
        <f t="shared" si="27"/>
        <v>1.24</v>
      </c>
    </row>
    <row r="1793" spans="1:4" x14ac:dyDescent="0.25">
      <c r="A1793" s="15">
        <f>Sheet2!A1793</f>
        <v>0</v>
      </c>
      <c r="B1793" s="8">
        <v>0.8</v>
      </c>
      <c r="C1793" s="9">
        <v>0</v>
      </c>
      <c r="D1793" s="13">
        <f t="shared" si="27"/>
        <v>0.8</v>
      </c>
    </row>
    <row r="1794" spans="1:4" x14ac:dyDescent="0.25">
      <c r="A1794" s="15">
        <f>Sheet2!A1794</f>
        <v>0</v>
      </c>
      <c r="B1794" s="8">
        <v>1.34</v>
      </c>
      <c r="C1794" s="9">
        <v>0</v>
      </c>
      <c r="D1794" s="13">
        <f t="shared" si="27"/>
        <v>1.34</v>
      </c>
    </row>
    <row r="1795" spans="1:4" x14ac:dyDescent="0.25">
      <c r="A1795" s="15">
        <f>Sheet2!A1795</f>
        <v>0</v>
      </c>
      <c r="B1795" s="8">
        <v>0.99</v>
      </c>
      <c r="C1795" s="9">
        <v>0</v>
      </c>
      <c r="D1795" s="13">
        <f t="shared" ref="D1795:D1858" si="28">B1795+C1795</f>
        <v>0.99</v>
      </c>
    </row>
    <row r="1796" spans="1:4" x14ac:dyDescent="0.25">
      <c r="A1796" s="15">
        <f>Sheet2!A1796</f>
        <v>0</v>
      </c>
      <c r="B1796" s="8">
        <v>1.58</v>
      </c>
      <c r="C1796" s="9">
        <v>0</v>
      </c>
      <c r="D1796" s="13">
        <f t="shared" si="28"/>
        <v>1.58</v>
      </c>
    </row>
    <row r="1797" spans="1:4" x14ac:dyDescent="0.25">
      <c r="A1797" s="15">
        <f>Sheet2!A1797</f>
        <v>0</v>
      </c>
      <c r="B1797" s="8">
        <v>1.38</v>
      </c>
      <c r="C1797" s="9">
        <v>0</v>
      </c>
      <c r="D1797" s="13">
        <f t="shared" si="28"/>
        <v>1.38</v>
      </c>
    </row>
    <row r="1798" spans="1:4" x14ac:dyDescent="0.25">
      <c r="A1798" s="15">
        <f>Sheet2!A1798</f>
        <v>0</v>
      </c>
      <c r="B1798" s="8">
        <v>1.71</v>
      </c>
      <c r="C1798" s="9">
        <v>0</v>
      </c>
      <c r="D1798" s="13">
        <f t="shared" si="28"/>
        <v>1.71</v>
      </c>
    </row>
    <row r="1799" spans="1:4" x14ac:dyDescent="0.25">
      <c r="A1799" s="15">
        <f>Sheet2!A1799</f>
        <v>0</v>
      </c>
      <c r="B1799" s="8">
        <v>0.86</v>
      </c>
      <c r="C1799" s="9">
        <v>0</v>
      </c>
      <c r="D1799" s="13">
        <f t="shared" si="28"/>
        <v>0.86</v>
      </c>
    </row>
    <row r="1800" spans="1:4" x14ac:dyDescent="0.25">
      <c r="A1800" s="15">
        <f>Sheet2!A1800</f>
        <v>0</v>
      </c>
      <c r="B1800" s="8">
        <v>0.56999999999999995</v>
      </c>
      <c r="C1800" s="9">
        <v>0</v>
      </c>
      <c r="D1800" s="13">
        <f t="shared" si="28"/>
        <v>0.56999999999999995</v>
      </c>
    </row>
    <row r="1801" spans="1:4" x14ac:dyDescent="0.25">
      <c r="A1801" s="15">
        <f>Sheet2!A1801</f>
        <v>0</v>
      </c>
      <c r="B1801" s="8">
        <v>0.8</v>
      </c>
      <c r="C1801" s="9">
        <v>0</v>
      </c>
      <c r="D1801" s="13">
        <f t="shared" si="28"/>
        <v>0.8</v>
      </c>
    </row>
    <row r="1802" spans="1:4" x14ac:dyDescent="0.25">
      <c r="A1802" s="15">
        <f>Sheet2!A1802</f>
        <v>0</v>
      </c>
      <c r="B1802" s="8">
        <v>0.47</v>
      </c>
      <c r="C1802" s="9">
        <v>0</v>
      </c>
      <c r="D1802" s="13">
        <f t="shared" si="28"/>
        <v>0.47</v>
      </c>
    </row>
    <row r="1803" spans="1:4" x14ac:dyDescent="0.25">
      <c r="A1803" s="15">
        <f>Sheet2!A1803</f>
        <v>0</v>
      </c>
      <c r="B1803" s="8">
        <v>0.55000000000000004</v>
      </c>
      <c r="C1803" s="9">
        <v>0</v>
      </c>
      <c r="D1803" s="13">
        <f t="shared" si="28"/>
        <v>0.55000000000000004</v>
      </c>
    </row>
    <row r="1804" spans="1:4" x14ac:dyDescent="0.25">
      <c r="A1804" s="15">
        <f>Sheet2!A1804</f>
        <v>0</v>
      </c>
      <c r="B1804" s="8">
        <v>0.64</v>
      </c>
      <c r="C1804" s="9">
        <v>0</v>
      </c>
      <c r="D1804" s="13">
        <f t="shared" si="28"/>
        <v>0.64</v>
      </c>
    </row>
    <row r="1805" spans="1:4" x14ac:dyDescent="0.25">
      <c r="A1805" s="15">
        <f>Sheet2!A1805</f>
        <v>0</v>
      </c>
      <c r="B1805" s="8">
        <v>0.89</v>
      </c>
      <c r="C1805" s="9">
        <v>0</v>
      </c>
      <c r="D1805" s="13">
        <f t="shared" si="28"/>
        <v>0.89</v>
      </c>
    </row>
    <row r="1806" spans="1:4" x14ac:dyDescent="0.25">
      <c r="A1806" s="15">
        <f>Sheet2!A1806</f>
        <v>0</v>
      </c>
      <c r="B1806" s="8">
        <v>1.08</v>
      </c>
      <c r="C1806" s="9">
        <v>0</v>
      </c>
      <c r="D1806" s="13">
        <f t="shared" si="28"/>
        <v>1.08</v>
      </c>
    </row>
    <row r="1807" spans="1:4" x14ac:dyDescent="0.25">
      <c r="A1807" s="15">
        <f>Sheet2!A1807</f>
        <v>0</v>
      </c>
      <c r="B1807" s="8">
        <v>0.57999999999999996</v>
      </c>
      <c r="C1807" s="9">
        <v>0</v>
      </c>
      <c r="D1807" s="13">
        <f t="shared" si="28"/>
        <v>0.57999999999999996</v>
      </c>
    </row>
    <row r="1808" spans="1:4" x14ac:dyDescent="0.25">
      <c r="A1808" s="15">
        <f>Sheet2!A1808</f>
        <v>0</v>
      </c>
      <c r="B1808" s="8">
        <v>1.23</v>
      </c>
      <c r="C1808" s="9">
        <v>0</v>
      </c>
      <c r="D1808" s="13">
        <f t="shared" si="28"/>
        <v>1.23</v>
      </c>
    </row>
    <row r="1809" spans="1:4" x14ac:dyDescent="0.25">
      <c r="A1809" s="15">
        <f>Sheet2!A1809</f>
        <v>0</v>
      </c>
      <c r="B1809" s="8">
        <v>0.83</v>
      </c>
      <c r="C1809" s="9">
        <v>0</v>
      </c>
      <c r="D1809" s="13">
        <f t="shared" si="28"/>
        <v>0.83</v>
      </c>
    </row>
    <row r="1810" spans="1:4" x14ac:dyDescent="0.25">
      <c r="A1810" s="15">
        <f>Sheet2!A1810</f>
        <v>0</v>
      </c>
      <c r="B1810" s="8">
        <v>0.97</v>
      </c>
      <c r="C1810" s="9">
        <v>0</v>
      </c>
      <c r="D1810" s="13">
        <f t="shared" si="28"/>
        <v>0.97</v>
      </c>
    </row>
    <row r="1811" spans="1:4" x14ac:dyDescent="0.25">
      <c r="A1811" s="15">
        <f>Sheet2!A1811</f>
        <v>0</v>
      </c>
      <c r="B1811" s="8">
        <v>1.72</v>
      </c>
      <c r="C1811" s="9">
        <v>0</v>
      </c>
      <c r="D1811" s="13">
        <f t="shared" si="28"/>
        <v>1.72</v>
      </c>
    </row>
    <row r="1812" spans="1:4" x14ac:dyDescent="0.25">
      <c r="A1812" s="15">
        <f>Sheet2!A1812</f>
        <v>0</v>
      </c>
      <c r="B1812" s="8">
        <v>1.34</v>
      </c>
      <c r="C1812" s="9">
        <v>0</v>
      </c>
      <c r="D1812" s="13">
        <f t="shared" si="28"/>
        <v>1.34</v>
      </c>
    </row>
    <row r="1813" spans="1:4" x14ac:dyDescent="0.25">
      <c r="A1813" s="15">
        <f>Sheet2!A1813</f>
        <v>0</v>
      </c>
      <c r="B1813" s="8">
        <v>1.03</v>
      </c>
      <c r="C1813" s="9">
        <v>0</v>
      </c>
      <c r="D1813" s="13">
        <f t="shared" si="28"/>
        <v>1.03</v>
      </c>
    </row>
    <row r="1814" spans="1:4" x14ac:dyDescent="0.25">
      <c r="A1814" s="15">
        <f>Sheet2!A1814</f>
        <v>0</v>
      </c>
      <c r="B1814" s="8">
        <v>1.42</v>
      </c>
      <c r="C1814" s="9">
        <v>0</v>
      </c>
      <c r="D1814" s="13">
        <f t="shared" si="28"/>
        <v>1.42</v>
      </c>
    </row>
    <row r="1815" spans="1:4" x14ac:dyDescent="0.25">
      <c r="A1815" s="15">
        <f>Sheet2!A1815</f>
        <v>0</v>
      </c>
      <c r="B1815" s="8">
        <v>0.95</v>
      </c>
      <c r="C1815" s="9">
        <v>0</v>
      </c>
      <c r="D1815" s="13">
        <f t="shared" si="28"/>
        <v>0.95</v>
      </c>
    </row>
    <row r="1816" spans="1:4" x14ac:dyDescent="0.25">
      <c r="A1816" s="15">
        <f>Sheet2!A1816</f>
        <v>0</v>
      </c>
      <c r="B1816" s="8">
        <v>1.19</v>
      </c>
      <c r="C1816" s="9">
        <v>0</v>
      </c>
      <c r="D1816" s="13">
        <f t="shared" si="28"/>
        <v>1.19</v>
      </c>
    </row>
    <row r="1817" spans="1:4" x14ac:dyDescent="0.25">
      <c r="A1817" s="15">
        <f>Sheet2!A1817</f>
        <v>0</v>
      </c>
      <c r="B1817" s="8">
        <v>1.1299999999999999</v>
      </c>
      <c r="C1817" s="9">
        <v>0</v>
      </c>
      <c r="D1817" s="13">
        <f t="shared" si="28"/>
        <v>1.1299999999999999</v>
      </c>
    </row>
    <row r="1818" spans="1:4" x14ac:dyDescent="0.25">
      <c r="A1818" s="15">
        <f>Sheet2!A1818</f>
        <v>0</v>
      </c>
      <c r="B1818" s="8">
        <v>1.85</v>
      </c>
      <c r="C1818" s="9">
        <v>0</v>
      </c>
      <c r="D1818" s="13">
        <f t="shared" si="28"/>
        <v>1.85</v>
      </c>
    </row>
    <row r="1819" spans="1:4" x14ac:dyDescent="0.25">
      <c r="A1819" s="15">
        <f>Sheet2!A1819</f>
        <v>0</v>
      </c>
      <c r="B1819" s="8">
        <v>1.31</v>
      </c>
      <c r="C1819" s="9">
        <v>0</v>
      </c>
      <c r="D1819" s="13">
        <f t="shared" si="28"/>
        <v>1.31</v>
      </c>
    </row>
    <row r="1820" spans="1:4" x14ac:dyDescent="0.25">
      <c r="A1820" s="15">
        <f>Sheet2!A1820</f>
        <v>0</v>
      </c>
      <c r="B1820" s="8">
        <v>1.85</v>
      </c>
      <c r="C1820" s="9">
        <v>0</v>
      </c>
      <c r="D1820" s="13">
        <f t="shared" si="28"/>
        <v>1.85</v>
      </c>
    </row>
    <row r="1821" spans="1:4" x14ac:dyDescent="0.25">
      <c r="A1821" s="15">
        <f>Sheet2!A1821</f>
        <v>0</v>
      </c>
      <c r="B1821" s="8">
        <v>1.41</v>
      </c>
      <c r="C1821" s="9">
        <v>0</v>
      </c>
      <c r="D1821" s="13">
        <f t="shared" si="28"/>
        <v>1.41</v>
      </c>
    </row>
    <row r="1822" spans="1:4" x14ac:dyDescent="0.25">
      <c r="A1822" s="15">
        <f>Sheet2!A1822</f>
        <v>0</v>
      </c>
      <c r="B1822" s="8">
        <v>0.82</v>
      </c>
      <c r="C1822" s="9">
        <v>0</v>
      </c>
      <c r="D1822" s="13">
        <f t="shared" si="28"/>
        <v>0.82</v>
      </c>
    </row>
    <row r="1823" spans="1:4" x14ac:dyDescent="0.25">
      <c r="A1823" s="15">
        <f>Sheet2!A1823</f>
        <v>0</v>
      </c>
      <c r="B1823" s="8">
        <v>0.88</v>
      </c>
      <c r="C1823" s="9">
        <v>0</v>
      </c>
      <c r="D1823" s="13">
        <f t="shared" si="28"/>
        <v>0.88</v>
      </c>
    </row>
    <row r="1824" spans="1:4" x14ac:dyDescent="0.25">
      <c r="A1824" s="15">
        <f>Sheet2!A1824</f>
        <v>0</v>
      </c>
      <c r="B1824" s="8">
        <v>0.76</v>
      </c>
      <c r="C1824" s="9">
        <v>0</v>
      </c>
      <c r="D1824" s="13">
        <f t="shared" si="28"/>
        <v>0.76</v>
      </c>
    </row>
    <row r="1825" spans="1:4" x14ac:dyDescent="0.25">
      <c r="A1825" s="15">
        <f>Sheet2!A1825</f>
        <v>0</v>
      </c>
      <c r="B1825" s="8">
        <v>0.55000000000000004</v>
      </c>
      <c r="C1825" s="9">
        <v>0</v>
      </c>
      <c r="D1825" s="13">
        <f t="shared" si="28"/>
        <v>0.55000000000000004</v>
      </c>
    </row>
    <row r="1826" spans="1:4" x14ac:dyDescent="0.25">
      <c r="A1826" s="15">
        <f>Sheet2!A1826</f>
        <v>0</v>
      </c>
      <c r="B1826" s="8">
        <v>0.74</v>
      </c>
      <c r="C1826" s="9">
        <v>0</v>
      </c>
      <c r="D1826" s="13">
        <f t="shared" si="28"/>
        <v>0.74</v>
      </c>
    </row>
    <row r="1827" spans="1:4" x14ac:dyDescent="0.25">
      <c r="A1827" s="15">
        <f>Sheet2!A1827</f>
        <v>0</v>
      </c>
      <c r="B1827" s="8">
        <v>0.45</v>
      </c>
      <c r="C1827" s="9">
        <v>0</v>
      </c>
      <c r="D1827" s="13">
        <f t="shared" si="28"/>
        <v>0.45</v>
      </c>
    </row>
    <row r="1828" spans="1:4" x14ac:dyDescent="0.25">
      <c r="A1828" s="15">
        <f>Sheet2!A1828</f>
        <v>0</v>
      </c>
      <c r="B1828" s="8">
        <v>0.7</v>
      </c>
      <c r="C1828" s="9">
        <v>0</v>
      </c>
      <c r="D1828" s="13">
        <f t="shared" si="28"/>
        <v>0.7</v>
      </c>
    </row>
    <row r="1829" spans="1:4" x14ac:dyDescent="0.25">
      <c r="A1829" s="15">
        <f>Sheet2!A1829</f>
        <v>0</v>
      </c>
      <c r="B1829" s="8">
        <v>0.71</v>
      </c>
      <c r="C1829" s="9">
        <v>0</v>
      </c>
      <c r="D1829" s="13">
        <f t="shared" si="28"/>
        <v>0.71</v>
      </c>
    </row>
    <row r="1830" spans="1:4" x14ac:dyDescent="0.25">
      <c r="A1830" s="15">
        <f>Sheet2!A1830</f>
        <v>0</v>
      </c>
      <c r="B1830" s="8">
        <v>0.61</v>
      </c>
      <c r="C1830" s="9">
        <v>0</v>
      </c>
      <c r="D1830" s="13">
        <f t="shared" si="28"/>
        <v>0.61</v>
      </c>
    </row>
    <row r="1831" spans="1:4" x14ac:dyDescent="0.25">
      <c r="A1831" s="15">
        <f>Sheet2!A1831</f>
        <v>0</v>
      </c>
      <c r="B1831" s="8">
        <v>1.31</v>
      </c>
      <c r="C1831" s="9">
        <v>0</v>
      </c>
      <c r="D1831" s="13">
        <f t="shared" si="28"/>
        <v>1.31</v>
      </c>
    </row>
    <row r="1832" spans="1:4" x14ac:dyDescent="0.25">
      <c r="A1832" s="15">
        <f>Sheet2!A1832</f>
        <v>0</v>
      </c>
      <c r="B1832" s="8">
        <v>0.94</v>
      </c>
      <c r="C1832" s="9">
        <v>0</v>
      </c>
      <c r="D1832" s="13">
        <f t="shared" si="28"/>
        <v>0.94</v>
      </c>
    </row>
    <row r="1833" spans="1:4" x14ac:dyDescent="0.25">
      <c r="A1833" s="15">
        <f>Sheet2!A1833</f>
        <v>0</v>
      </c>
      <c r="B1833" s="8">
        <v>0.61</v>
      </c>
      <c r="C1833" s="9">
        <v>0</v>
      </c>
      <c r="D1833" s="13">
        <f t="shared" si="28"/>
        <v>0.61</v>
      </c>
    </row>
    <row r="1834" spans="1:4" x14ac:dyDescent="0.25">
      <c r="A1834" s="15">
        <f>Sheet2!A1834</f>
        <v>0</v>
      </c>
      <c r="B1834" s="8">
        <v>0.52</v>
      </c>
      <c r="C1834" s="9">
        <v>0</v>
      </c>
      <c r="D1834" s="13">
        <f t="shared" si="28"/>
        <v>0.52</v>
      </c>
    </row>
    <row r="1835" spans="1:4" x14ac:dyDescent="0.25">
      <c r="A1835" s="15">
        <f>Sheet2!A1835</f>
        <v>0</v>
      </c>
      <c r="B1835" s="8">
        <v>0.66</v>
      </c>
      <c r="C1835" s="9">
        <v>0</v>
      </c>
      <c r="D1835" s="13">
        <f t="shared" si="28"/>
        <v>0.66</v>
      </c>
    </row>
    <row r="1836" spans="1:4" x14ac:dyDescent="0.25">
      <c r="A1836" s="15">
        <f>Sheet2!A1836</f>
        <v>0</v>
      </c>
      <c r="B1836" s="8">
        <v>0.79</v>
      </c>
      <c r="C1836" s="9">
        <v>0</v>
      </c>
      <c r="D1836" s="13">
        <f t="shared" si="28"/>
        <v>0.79</v>
      </c>
    </row>
    <row r="1837" spans="1:4" x14ac:dyDescent="0.25">
      <c r="A1837" s="15">
        <f>Sheet2!A1837</f>
        <v>0</v>
      </c>
      <c r="B1837" s="8">
        <v>1.07</v>
      </c>
      <c r="C1837" s="9">
        <v>0</v>
      </c>
      <c r="D1837" s="13">
        <f t="shared" si="28"/>
        <v>1.07</v>
      </c>
    </row>
    <row r="1838" spans="1:4" x14ac:dyDescent="0.25">
      <c r="A1838" s="15">
        <f>Sheet2!A1838</f>
        <v>0</v>
      </c>
      <c r="B1838" s="8">
        <v>0.68</v>
      </c>
      <c r="C1838" s="9">
        <v>0</v>
      </c>
      <c r="D1838" s="13">
        <f t="shared" si="28"/>
        <v>0.68</v>
      </c>
    </row>
    <row r="1839" spans="1:4" x14ac:dyDescent="0.25">
      <c r="A1839" s="15">
        <f>Sheet2!A1839</f>
        <v>0</v>
      </c>
      <c r="B1839" s="8">
        <v>0.65</v>
      </c>
      <c r="C1839" s="9">
        <v>0</v>
      </c>
      <c r="D1839" s="13">
        <f t="shared" si="28"/>
        <v>0.65</v>
      </c>
    </row>
    <row r="1840" spans="1:4" x14ac:dyDescent="0.25">
      <c r="A1840" s="15">
        <f>Sheet2!A1840</f>
        <v>0</v>
      </c>
      <c r="B1840" s="8">
        <v>1.32</v>
      </c>
      <c r="C1840" s="9">
        <v>0</v>
      </c>
      <c r="D1840" s="13">
        <f t="shared" si="28"/>
        <v>1.32</v>
      </c>
    </row>
    <row r="1841" spans="1:4" x14ac:dyDescent="0.25">
      <c r="A1841" s="15">
        <f>Sheet2!A1841</f>
        <v>0</v>
      </c>
      <c r="B1841" s="8">
        <v>0.82</v>
      </c>
      <c r="C1841" s="9">
        <v>0</v>
      </c>
      <c r="D1841" s="13">
        <f t="shared" si="28"/>
        <v>0.82</v>
      </c>
    </row>
    <row r="1842" spans="1:4" x14ac:dyDescent="0.25">
      <c r="A1842" s="15">
        <f>Sheet2!A1842</f>
        <v>0</v>
      </c>
      <c r="B1842" s="8">
        <v>1.17</v>
      </c>
      <c r="C1842" s="9">
        <v>0</v>
      </c>
      <c r="D1842" s="13">
        <f t="shared" si="28"/>
        <v>1.17</v>
      </c>
    </row>
    <row r="1843" spans="1:4" x14ac:dyDescent="0.25">
      <c r="A1843" s="15">
        <f>Sheet2!A1843</f>
        <v>0</v>
      </c>
      <c r="B1843" s="8">
        <v>1.07</v>
      </c>
      <c r="C1843" s="9">
        <v>0</v>
      </c>
      <c r="D1843" s="13">
        <f t="shared" si="28"/>
        <v>1.07</v>
      </c>
    </row>
    <row r="1844" spans="1:4" x14ac:dyDescent="0.25">
      <c r="A1844" s="15">
        <f>Sheet2!A1844</f>
        <v>0</v>
      </c>
      <c r="B1844" s="8">
        <v>1.23</v>
      </c>
      <c r="C1844" s="9">
        <v>0</v>
      </c>
      <c r="D1844" s="13">
        <f t="shared" si="28"/>
        <v>1.23</v>
      </c>
    </row>
    <row r="1845" spans="1:4" x14ac:dyDescent="0.25">
      <c r="A1845" s="15">
        <f>Sheet2!A1845</f>
        <v>0</v>
      </c>
      <c r="B1845" s="8">
        <v>1.06</v>
      </c>
      <c r="C1845" s="9">
        <v>0</v>
      </c>
      <c r="D1845" s="13">
        <f t="shared" si="28"/>
        <v>1.06</v>
      </c>
    </row>
    <row r="1846" spans="1:4" x14ac:dyDescent="0.25">
      <c r="A1846" s="15">
        <f>Sheet2!A1846</f>
        <v>0</v>
      </c>
      <c r="B1846" s="8">
        <v>1.36</v>
      </c>
      <c r="C1846" s="9">
        <v>0</v>
      </c>
      <c r="D1846" s="13">
        <f t="shared" si="28"/>
        <v>1.36</v>
      </c>
    </row>
    <row r="1847" spans="1:4" x14ac:dyDescent="0.25">
      <c r="A1847" s="15">
        <f>Sheet2!A1847</f>
        <v>0</v>
      </c>
      <c r="B1847" s="8">
        <v>1.06</v>
      </c>
      <c r="C1847" s="9">
        <v>0</v>
      </c>
      <c r="D1847" s="13">
        <f t="shared" si="28"/>
        <v>1.06</v>
      </c>
    </row>
    <row r="1848" spans="1:4" x14ac:dyDescent="0.25">
      <c r="A1848" s="15">
        <f>Sheet2!A1848</f>
        <v>0</v>
      </c>
      <c r="B1848" s="8">
        <v>0.56999999999999995</v>
      </c>
      <c r="C1848" s="9">
        <v>0</v>
      </c>
      <c r="D1848" s="13">
        <f t="shared" si="28"/>
        <v>0.56999999999999995</v>
      </c>
    </row>
    <row r="1849" spans="1:4" x14ac:dyDescent="0.25">
      <c r="A1849" s="15">
        <f>Sheet2!A1849</f>
        <v>0</v>
      </c>
      <c r="B1849" s="8">
        <v>0.39</v>
      </c>
      <c r="C1849" s="9">
        <v>0</v>
      </c>
      <c r="D1849" s="13">
        <f t="shared" si="28"/>
        <v>0.39</v>
      </c>
    </row>
    <row r="1850" spans="1:4" x14ac:dyDescent="0.25">
      <c r="A1850" s="15">
        <f>Sheet2!A1850</f>
        <v>0</v>
      </c>
      <c r="B1850" s="8">
        <v>0.78</v>
      </c>
      <c r="C1850" s="9">
        <v>0</v>
      </c>
      <c r="D1850" s="13">
        <f t="shared" si="28"/>
        <v>0.78</v>
      </c>
    </row>
    <row r="1851" spans="1:4" x14ac:dyDescent="0.25">
      <c r="A1851" s="15">
        <f>Sheet2!A1851</f>
        <v>0</v>
      </c>
      <c r="B1851" s="8">
        <v>0.42</v>
      </c>
      <c r="C1851" s="9">
        <v>0</v>
      </c>
      <c r="D1851" s="13">
        <f t="shared" si="28"/>
        <v>0.42</v>
      </c>
    </row>
    <row r="1852" spans="1:4" x14ac:dyDescent="0.25">
      <c r="A1852" s="15">
        <f>Sheet2!A1852</f>
        <v>0</v>
      </c>
      <c r="B1852" s="8">
        <v>0.46</v>
      </c>
      <c r="C1852" s="9">
        <v>0</v>
      </c>
      <c r="D1852" s="13">
        <f t="shared" si="28"/>
        <v>0.46</v>
      </c>
    </row>
    <row r="1853" spans="1:4" x14ac:dyDescent="0.25">
      <c r="A1853" s="15">
        <f>Sheet2!A1853</f>
        <v>0</v>
      </c>
      <c r="B1853" s="8">
        <v>0.4</v>
      </c>
      <c r="C1853" s="9">
        <v>0</v>
      </c>
      <c r="D1853" s="13">
        <f t="shared" si="28"/>
        <v>0.4</v>
      </c>
    </row>
    <row r="1854" spans="1:4" x14ac:dyDescent="0.25">
      <c r="A1854" s="15">
        <f>Sheet2!A1854</f>
        <v>0</v>
      </c>
      <c r="B1854" s="8">
        <v>1.07</v>
      </c>
      <c r="C1854" s="9">
        <v>0</v>
      </c>
      <c r="D1854" s="13">
        <f t="shared" si="28"/>
        <v>1.07</v>
      </c>
    </row>
    <row r="1855" spans="1:4" x14ac:dyDescent="0.25">
      <c r="A1855" s="15">
        <f>Sheet2!A1855</f>
        <v>0</v>
      </c>
      <c r="B1855" s="8">
        <v>1.25</v>
      </c>
      <c r="C1855" s="9">
        <v>0</v>
      </c>
      <c r="D1855" s="13">
        <f t="shared" si="28"/>
        <v>1.25</v>
      </c>
    </row>
    <row r="1856" spans="1:4" x14ac:dyDescent="0.25">
      <c r="A1856" s="15">
        <f>Sheet2!A1856</f>
        <v>0</v>
      </c>
      <c r="B1856" s="8">
        <v>0.61</v>
      </c>
      <c r="C1856" s="9">
        <v>0</v>
      </c>
      <c r="D1856" s="13">
        <f t="shared" si="28"/>
        <v>0.61</v>
      </c>
    </row>
    <row r="1857" spans="1:4" x14ac:dyDescent="0.25">
      <c r="A1857" s="15">
        <f>Sheet2!A1857</f>
        <v>0</v>
      </c>
      <c r="B1857" s="8">
        <v>0.74</v>
      </c>
      <c r="C1857" s="9">
        <v>0</v>
      </c>
      <c r="D1857" s="13">
        <f t="shared" si="28"/>
        <v>0.74</v>
      </c>
    </row>
    <row r="1858" spans="1:4" x14ac:dyDescent="0.25">
      <c r="A1858" s="15">
        <f>Sheet2!A1858</f>
        <v>0</v>
      </c>
      <c r="B1858" s="8">
        <v>0.66</v>
      </c>
      <c r="C1858" s="9">
        <v>0</v>
      </c>
      <c r="D1858" s="13">
        <f t="shared" si="28"/>
        <v>0.66</v>
      </c>
    </row>
    <row r="1859" spans="1:4" x14ac:dyDescent="0.25">
      <c r="A1859" s="15">
        <f>Sheet2!A1859</f>
        <v>0</v>
      </c>
      <c r="B1859" s="8">
        <v>0.56000000000000005</v>
      </c>
      <c r="C1859" s="9">
        <v>0</v>
      </c>
      <c r="D1859" s="13">
        <f t="shared" ref="D1859:D1922" si="29">B1859+C1859</f>
        <v>0.56000000000000005</v>
      </c>
    </row>
    <row r="1860" spans="1:4" x14ac:dyDescent="0.25">
      <c r="A1860" s="15">
        <f>Sheet2!A1860</f>
        <v>0</v>
      </c>
      <c r="B1860" s="8">
        <v>0.79</v>
      </c>
      <c r="C1860" s="9">
        <v>0</v>
      </c>
      <c r="D1860" s="13">
        <f t="shared" si="29"/>
        <v>0.79</v>
      </c>
    </row>
    <row r="1861" spans="1:4" x14ac:dyDescent="0.25">
      <c r="A1861" s="15">
        <f>Sheet2!A1861</f>
        <v>0</v>
      </c>
      <c r="B1861" s="8">
        <v>1.07</v>
      </c>
      <c r="C1861" s="9">
        <v>0</v>
      </c>
      <c r="D1861" s="13">
        <f t="shared" si="29"/>
        <v>1.07</v>
      </c>
    </row>
    <row r="1862" spans="1:4" x14ac:dyDescent="0.25">
      <c r="A1862" s="15">
        <f>Sheet2!A1862</f>
        <v>0</v>
      </c>
      <c r="B1862" s="8">
        <v>0.68</v>
      </c>
      <c r="C1862" s="9">
        <v>0</v>
      </c>
      <c r="D1862" s="13">
        <f t="shared" si="29"/>
        <v>0.68</v>
      </c>
    </row>
    <row r="1863" spans="1:4" x14ac:dyDescent="0.25">
      <c r="A1863" s="15">
        <f>Sheet2!A1863</f>
        <v>0</v>
      </c>
      <c r="B1863" s="8">
        <v>0.65</v>
      </c>
      <c r="C1863" s="9">
        <v>0</v>
      </c>
      <c r="D1863" s="13">
        <f t="shared" si="29"/>
        <v>0.65</v>
      </c>
    </row>
    <row r="1864" spans="1:4" x14ac:dyDescent="0.25">
      <c r="A1864" s="15">
        <f>Sheet2!A1864</f>
        <v>0</v>
      </c>
      <c r="B1864" s="8">
        <v>1.32</v>
      </c>
      <c r="C1864" s="9">
        <v>0</v>
      </c>
      <c r="D1864" s="13">
        <f t="shared" si="29"/>
        <v>1.32</v>
      </c>
    </row>
    <row r="1865" spans="1:4" x14ac:dyDescent="0.25">
      <c r="A1865" s="15">
        <f>Sheet2!A1865</f>
        <v>0</v>
      </c>
      <c r="B1865" s="8">
        <v>0.82</v>
      </c>
      <c r="C1865" s="9">
        <v>0</v>
      </c>
      <c r="D1865" s="13">
        <f t="shared" si="29"/>
        <v>0.82</v>
      </c>
    </row>
    <row r="1866" spans="1:4" x14ac:dyDescent="0.25">
      <c r="A1866" s="15">
        <f>Sheet2!A1866</f>
        <v>0</v>
      </c>
      <c r="B1866" s="8">
        <v>1.17</v>
      </c>
      <c r="C1866" s="9">
        <v>0</v>
      </c>
      <c r="D1866" s="13">
        <f t="shared" si="29"/>
        <v>1.17</v>
      </c>
    </row>
    <row r="1867" spans="1:4" x14ac:dyDescent="0.25">
      <c r="A1867" s="15">
        <f>Sheet2!A1867</f>
        <v>0</v>
      </c>
      <c r="B1867" s="8">
        <v>1.53</v>
      </c>
      <c r="C1867" s="9">
        <v>0</v>
      </c>
      <c r="D1867" s="13">
        <f t="shared" si="29"/>
        <v>1.53</v>
      </c>
    </row>
    <row r="1868" spans="1:4" x14ac:dyDescent="0.25">
      <c r="A1868" s="15">
        <f>Sheet2!A1868</f>
        <v>0</v>
      </c>
      <c r="B1868" s="8">
        <v>1.25</v>
      </c>
      <c r="C1868" s="9">
        <v>0</v>
      </c>
      <c r="D1868" s="13">
        <f t="shared" si="29"/>
        <v>1.25</v>
      </c>
    </row>
    <row r="1869" spans="1:4" x14ac:dyDescent="0.25">
      <c r="A1869" s="15">
        <f>Sheet2!A1869</f>
        <v>0</v>
      </c>
      <c r="B1869" s="8">
        <v>0.93</v>
      </c>
      <c r="C1869" s="9">
        <v>0</v>
      </c>
      <c r="D1869" s="13">
        <f t="shared" si="29"/>
        <v>0.93</v>
      </c>
    </row>
    <row r="1870" spans="1:4" x14ac:dyDescent="0.25">
      <c r="A1870" s="15">
        <f>Sheet2!A1870</f>
        <v>0</v>
      </c>
      <c r="B1870" s="8">
        <v>1.31</v>
      </c>
      <c r="C1870" s="9">
        <v>0</v>
      </c>
      <c r="D1870" s="13">
        <f t="shared" si="29"/>
        <v>1.31</v>
      </c>
    </row>
    <row r="1871" spans="1:4" x14ac:dyDescent="0.25">
      <c r="A1871" s="15">
        <f>Sheet2!A1871</f>
        <v>0</v>
      </c>
      <c r="B1871" s="8">
        <v>1.42</v>
      </c>
      <c r="C1871" s="9">
        <v>0</v>
      </c>
      <c r="D1871" s="13">
        <f t="shared" si="29"/>
        <v>1.42</v>
      </c>
    </row>
    <row r="1872" spans="1:4" x14ac:dyDescent="0.25">
      <c r="A1872" s="15">
        <f>Sheet2!A1872</f>
        <v>0</v>
      </c>
      <c r="B1872" s="8">
        <v>0.38</v>
      </c>
      <c r="C1872" s="9">
        <v>0</v>
      </c>
      <c r="D1872" s="13">
        <f t="shared" si="29"/>
        <v>0.38</v>
      </c>
    </row>
    <row r="1873" spans="1:4" x14ac:dyDescent="0.25">
      <c r="A1873" s="15">
        <f>Sheet2!A1873</f>
        <v>0</v>
      </c>
      <c r="B1873" s="8">
        <v>0.79</v>
      </c>
      <c r="C1873" s="9">
        <v>0</v>
      </c>
      <c r="D1873" s="13">
        <f t="shared" si="29"/>
        <v>0.79</v>
      </c>
    </row>
    <row r="1874" spans="1:4" x14ac:dyDescent="0.25">
      <c r="A1874" s="15">
        <f>Sheet2!A1874</f>
        <v>0</v>
      </c>
      <c r="B1874" s="8">
        <v>0.4</v>
      </c>
      <c r="C1874" s="9">
        <v>0</v>
      </c>
      <c r="D1874" s="13">
        <f t="shared" si="29"/>
        <v>0.4</v>
      </c>
    </row>
    <row r="1875" spans="1:4" x14ac:dyDescent="0.25">
      <c r="A1875" s="15">
        <f>Sheet2!A1875</f>
        <v>0</v>
      </c>
      <c r="B1875" s="8">
        <v>0.45</v>
      </c>
      <c r="C1875" s="9">
        <v>0</v>
      </c>
      <c r="D1875" s="13">
        <f t="shared" si="29"/>
        <v>0.45</v>
      </c>
    </row>
    <row r="1876" spans="1:4" x14ac:dyDescent="0.25">
      <c r="A1876" s="15">
        <f>Sheet2!A1876</f>
        <v>0</v>
      </c>
      <c r="B1876" s="8">
        <v>0.44</v>
      </c>
      <c r="C1876" s="9">
        <v>0</v>
      </c>
      <c r="D1876" s="13">
        <f t="shared" si="29"/>
        <v>0.44</v>
      </c>
    </row>
    <row r="1877" spans="1:4" x14ac:dyDescent="0.25">
      <c r="A1877" s="15">
        <f>Sheet2!A1877</f>
        <v>0</v>
      </c>
      <c r="B1877" s="8">
        <v>0.78</v>
      </c>
      <c r="C1877" s="9">
        <v>0</v>
      </c>
      <c r="D1877" s="13">
        <f t="shared" si="29"/>
        <v>0.78</v>
      </c>
    </row>
    <row r="1878" spans="1:4" x14ac:dyDescent="0.25">
      <c r="A1878" s="15">
        <f>Sheet2!A1878</f>
        <v>0</v>
      </c>
      <c r="B1878" s="8">
        <v>0.94</v>
      </c>
      <c r="C1878" s="9">
        <v>0</v>
      </c>
      <c r="D1878" s="13">
        <f t="shared" si="29"/>
        <v>0.94</v>
      </c>
    </row>
    <row r="1879" spans="1:4" x14ac:dyDescent="0.25">
      <c r="A1879" s="15">
        <f>Sheet2!A1879</f>
        <v>0</v>
      </c>
      <c r="B1879" s="8">
        <v>1.01</v>
      </c>
      <c r="C1879" s="9">
        <v>0</v>
      </c>
      <c r="D1879" s="13">
        <f t="shared" si="29"/>
        <v>1.01</v>
      </c>
    </row>
    <row r="1880" spans="1:4" x14ac:dyDescent="0.25">
      <c r="A1880" s="15">
        <f>Sheet2!A1880</f>
        <v>0</v>
      </c>
      <c r="B1880" s="8">
        <v>0.67</v>
      </c>
      <c r="C1880" s="9">
        <v>0</v>
      </c>
      <c r="D1880" s="13">
        <f t="shared" si="29"/>
        <v>0.67</v>
      </c>
    </row>
    <row r="1881" spans="1:4" x14ac:dyDescent="0.25">
      <c r="A1881" s="15">
        <f>Sheet2!A1881</f>
        <v>0</v>
      </c>
      <c r="B1881" s="8">
        <v>0.7</v>
      </c>
      <c r="C1881" s="9">
        <v>0</v>
      </c>
      <c r="D1881" s="13">
        <f t="shared" si="29"/>
        <v>0.7</v>
      </c>
    </row>
    <row r="1882" spans="1:4" x14ac:dyDescent="0.25">
      <c r="A1882" s="15">
        <f>Sheet2!A1882</f>
        <v>0</v>
      </c>
      <c r="B1882" s="8">
        <v>0.81</v>
      </c>
      <c r="C1882" s="9">
        <v>0</v>
      </c>
      <c r="D1882" s="13">
        <f t="shared" si="29"/>
        <v>0.81</v>
      </c>
    </row>
    <row r="1883" spans="1:4" x14ac:dyDescent="0.25">
      <c r="A1883" s="15">
        <f>Sheet2!A1883</f>
        <v>0</v>
      </c>
      <c r="B1883" s="8">
        <v>0.8</v>
      </c>
      <c r="C1883" s="9">
        <v>0</v>
      </c>
      <c r="D1883" s="13">
        <f t="shared" si="29"/>
        <v>0.8</v>
      </c>
    </row>
    <row r="1884" spans="1:4" x14ac:dyDescent="0.25">
      <c r="A1884" s="15">
        <f>Sheet2!A1884</f>
        <v>0</v>
      </c>
      <c r="B1884" s="8">
        <v>0.61</v>
      </c>
      <c r="C1884" s="9">
        <v>0</v>
      </c>
      <c r="D1884" s="13">
        <f t="shared" si="29"/>
        <v>0.61</v>
      </c>
    </row>
    <row r="1885" spans="1:4" x14ac:dyDescent="0.25">
      <c r="A1885" s="15">
        <f>Sheet2!A1885</f>
        <v>0</v>
      </c>
      <c r="B1885" s="8">
        <v>1.1100000000000001</v>
      </c>
      <c r="C1885" s="9">
        <v>0</v>
      </c>
      <c r="D1885" s="13">
        <f t="shared" si="29"/>
        <v>1.1100000000000001</v>
      </c>
    </row>
    <row r="1886" spans="1:4" x14ac:dyDescent="0.25">
      <c r="A1886" s="15">
        <f>Sheet2!A1886</f>
        <v>0</v>
      </c>
      <c r="B1886" s="8">
        <v>0.71</v>
      </c>
      <c r="C1886" s="9">
        <v>0</v>
      </c>
      <c r="D1886" s="13">
        <f t="shared" si="29"/>
        <v>0.71</v>
      </c>
    </row>
    <row r="1887" spans="1:4" x14ac:dyDescent="0.25">
      <c r="A1887" s="15">
        <f>Sheet2!A1887</f>
        <v>0</v>
      </c>
      <c r="B1887" s="8">
        <v>0.83</v>
      </c>
      <c r="C1887" s="9">
        <v>0</v>
      </c>
      <c r="D1887" s="13">
        <f t="shared" si="29"/>
        <v>0.83</v>
      </c>
    </row>
    <row r="1888" spans="1:4" x14ac:dyDescent="0.25">
      <c r="A1888" s="15">
        <f>Sheet2!A1888</f>
        <v>0</v>
      </c>
      <c r="B1888" s="8">
        <v>1.0900000000000001</v>
      </c>
      <c r="C1888" s="9">
        <v>0</v>
      </c>
      <c r="D1888" s="13">
        <f t="shared" si="29"/>
        <v>1.0900000000000001</v>
      </c>
    </row>
    <row r="1889" spans="1:4" x14ac:dyDescent="0.25">
      <c r="A1889" s="15">
        <f>Sheet2!A1889</f>
        <v>0</v>
      </c>
      <c r="B1889" s="8">
        <v>1.25</v>
      </c>
      <c r="C1889" s="9">
        <v>0</v>
      </c>
      <c r="D1889" s="13">
        <f t="shared" si="29"/>
        <v>1.25</v>
      </c>
    </row>
    <row r="1890" spans="1:4" x14ac:dyDescent="0.25">
      <c r="A1890" s="15">
        <f>Sheet2!A1890</f>
        <v>0</v>
      </c>
      <c r="B1890" s="8">
        <v>1.18</v>
      </c>
      <c r="C1890" s="9">
        <v>0</v>
      </c>
      <c r="D1890" s="13">
        <f t="shared" si="29"/>
        <v>1.18</v>
      </c>
    </row>
    <row r="1891" spans="1:4" x14ac:dyDescent="0.25">
      <c r="A1891" s="15">
        <f>Sheet2!A1891</f>
        <v>0</v>
      </c>
      <c r="B1891" s="8">
        <v>0</v>
      </c>
      <c r="C1891" s="9">
        <v>1.1100000000000001</v>
      </c>
      <c r="D1891" s="13">
        <f t="shared" si="29"/>
        <v>1.1100000000000001</v>
      </c>
    </row>
    <row r="1892" spans="1:4" x14ac:dyDescent="0.25">
      <c r="A1892" s="15">
        <f>Sheet2!A1892</f>
        <v>0</v>
      </c>
      <c r="B1892" s="8">
        <v>0</v>
      </c>
      <c r="C1892" s="9">
        <v>0.31</v>
      </c>
      <c r="D1892" s="13">
        <f t="shared" si="29"/>
        <v>0.31</v>
      </c>
    </row>
    <row r="1893" spans="1:4" x14ac:dyDescent="0.25">
      <c r="A1893" s="15">
        <f>Sheet2!A1893</f>
        <v>0</v>
      </c>
      <c r="B1893" s="8">
        <v>1.39</v>
      </c>
      <c r="C1893" s="9">
        <v>0</v>
      </c>
      <c r="D1893" s="13">
        <f t="shared" si="29"/>
        <v>1.39</v>
      </c>
    </row>
    <row r="1894" spans="1:4" x14ac:dyDescent="0.25">
      <c r="A1894" s="15">
        <f>Sheet2!A1894</f>
        <v>0</v>
      </c>
      <c r="B1894" s="8">
        <v>1.1299999999999999</v>
      </c>
      <c r="C1894" s="9">
        <v>0</v>
      </c>
      <c r="D1894" s="13">
        <f t="shared" si="29"/>
        <v>1.1299999999999999</v>
      </c>
    </row>
    <row r="1895" spans="1:4" x14ac:dyDescent="0.25">
      <c r="A1895" s="15">
        <f>Sheet2!A1895</f>
        <v>0</v>
      </c>
      <c r="B1895" s="8">
        <v>0.87</v>
      </c>
      <c r="C1895" s="9">
        <v>0</v>
      </c>
      <c r="D1895" s="13">
        <f t="shared" si="29"/>
        <v>0.87</v>
      </c>
    </row>
    <row r="1896" spans="1:4" x14ac:dyDescent="0.25">
      <c r="A1896" s="15">
        <f>Sheet2!A1896</f>
        <v>0</v>
      </c>
      <c r="B1896" s="8">
        <v>0.54</v>
      </c>
      <c r="C1896" s="9">
        <v>0</v>
      </c>
      <c r="D1896" s="13">
        <f t="shared" si="29"/>
        <v>0.54</v>
      </c>
    </row>
    <row r="1897" spans="1:4" x14ac:dyDescent="0.25">
      <c r="A1897" s="15">
        <f>Sheet2!A1897</f>
        <v>0</v>
      </c>
      <c r="B1897" s="8">
        <v>0.56000000000000005</v>
      </c>
      <c r="C1897" s="9">
        <v>0</v>
      </c>
      <c r="D1897" s="13">
        <f t="shared" si="29"/>
        <v>0.56000000000000005</v>
      </c>
    </row>
    <row r="1898" spans="1:4" x14ac:dyDescent="0.25">
      <c r="A1898" s="15">
        <f>Sheet2!A1898</f>
        <v>0</v>
      </c>
      <c r="B1898" s="8">
        <v>0.64</v>
      </c>
      <c r="C1898" s="9">
        <v>0</v>
      </c>
      <c r="D1898" s="13">
        <f t="shared" si="29"/>
        <v>0.64</v>
      </c>
    </row>
    <row r="1899" spans="1:4" x14ac:dyDescent="0.25">
      <c r="A1899" s="15">
        <f>Sheet2!A1899</f>
        <v>0</v>
      </c>
      <c r="B1899" s="8">
        <v>0.6</v>
      </c>
      <c r="C1899" s="9">
        <v>0</v>
      </c>
      <c r="D1899" s="13">
        <f t="shared" si="29"/>
        <v>0.6</v>
      </c>
    </row>
    <row r="1900" spans="1:4" x14ac:dyDescent="0.25">
      <c r="A1900" s="15">
        <f>Sheet2!A1900</f>
        <v>0</v>
      </c>
      <c r="B1900" s="8">
        <v>0.71</v>
      </c>
      <c r="C1900" s="9">
        <v>0</v>
      </c>
      <c r="D1900" s="13">
        <f t="shared" si="29"/>
        <v>0.71</v>
      </c>
    </row>
    <row r="1901" spans="1:4" x14ac:dyDescent="0.25">
      <c r="A1901" s="15">
        <f>Sheet2!A1901</f>
        <v>0</v>
      </c>
      <c r="B1901" s="8">
        <v>0.71</v>
      </c>
      <c r="C1901" s="9">
        <v>0</v>
      </c>
      <c r="D1901" s="13">
        <f t="shared" si="29"/>
        <v>0.71</v>
      </c>
    </row>
    <row r="1902" spans="1:4" x14ac:dyDescent="0.25">
      <c r="A1902" s="15">
        <f>Sheet2!A1902</f>
        <v>0</v>
      </c>
      <c r="B1902" s="8">
        <v>0.52</v>
      </c>
      <c r="C1902" s="9">
        <v>0</v>
      </c>
      <c r="D1902" s="13">
        <f t="shared" si="29"/>
        <v>0.52</v>
      </c>
    </row>
    <row r="1903" spans="1:4" x14ac:dyDescent="0.25">
      <c r="A1903" s="15">
        <f>Sheet2!A1903</f>
        <v>0</v>
      </c>
      <c r="B1903" s="8">
        <v>0.74</v>
      </c>
      <c r="C1903" s="9">
        <v>0</v>
      </c>
      <c r="D1903" s="13">
        <f t="shared" si="29"/>
        <v>0.74</v>
      </c>
    </row>
    <row r="1904" spans="1:4" x14ac:dyDescent="0.25">
      <c r="A1904" s="15">
        <f>Sheet2!A1904</f>
        <v>0</v>
      </c>
      <c r="B1904" s="8">
        <v>1.59</v>
      </c>
      <c r="C1904" s="9">
        <v>0</v>
      </c>
      <c r="D1904" s="13">
        <f t="shared" si="29"/>
        <v>1.59</v>
      </c>
    </row>
    <row r="1905" spans="1:4" x14ac:dyDescent="0.25">
      <c r="A1905" s="15">
        <f>Sheet2!A1905</f>
        <v>0</v>
      </c>
      <c r="B1905" s="8">
        <v>0.96</v>
      </c>
      <c r="C1905" s="9">
        <v>0</v>
      </c>
      <c r="D1905" s="13">
        <f t="shared" si="29"/>
        <v>0.96</v>
      </c>
    </row>
    <row r="1906" spans="1:4" x14ac:dyDescent="0.25">
      <c r="A1906" s="15">
        <f>Sheet2!A1906</f>
        <v>0</v>
      </c>
      <c r="B1906" s="8">
        <v>1.26</v>
      </c>
      <c r="C1906" s="9">
        <v>0</v>
      </c>
      <c r="D1906" s="13">
        <f t="shared" si="29"/>
        <v>1.26</v>
      </c>
    </row>
    <row r="1907" spans="1:4" x14ac:dyDescent="0.25">
      <c r="A1907" s="15">
        <f>Sheet2!A1907</f>
        <v>0</v>
      </c>
      <c r="B1907" s="8">
        <v>1.1200000000000001</v>
      </c>
      <c r="C1907" s="9">
        <v>0</v>
      </c>
      <c r="D1907" s="13">
        <f t="shared" si="29"/>
        <v>1.1200000000000001</v>
      </c>
    </row>
    <row r="1908" spans="1:4" x14ac:dyDescent="0.25">
      <c r="A1908" s="15">
        <f>Sheet2!A1908</f>
        <v>0</v>
      </c>
      <c r="B1908" s="8">
        <v>1.38</v>
      </c>
      <c r="C1908" s="9">
        <v>0</v>
      </c>
      <c r="D1908" s="13">
        <f t="shared" si="29"/>
        <v>1.38</v>
      </c>
    </row>
    <row r="1909" spans="1:4" x14ac:dyDescent="0.25">
      <c r="A1909" s="15">
        <f>Sheet2!A1909</f>
        <v>0</v>
      </c>
      <c r="B1909" s="8">
        <v>2.4500000000000002</v>
      </c>
      <c r="C1909" s="9">
        <v>0</v>
      </c>
      <c r="D1909" s="13">
        <f t="shared" si="29"/>
        <v>2.4500000000000002</v>
      </c>
    </row>
    <row r="1910" spans="1:4" x14ac:dyDescent="0.25">
      <c r="A1910" s="15">
        <f>Sheet2!A1910</f>
        <v>0</v>
      </c>
      <c r="B1910" s="8">
        <v>3.88</v>
      </c>
      <c r="C1910" s="9">
        <v>0</v>
      </c>
      <c r="D1910" s="13">
        <f t="shared" si="29"/>
        <v>3.88</v>
      </c>
    </row>
    <row r="1911" spans="1:4" x14ac:dyDescent="0.25">
      <c r="A1911" s="15">
        <f>Sheet2!A1911</f>
        <v>0</v>
      </c>
      <c r="B1911" s="8">
        <v>1.1100000000000001</v>
      </c>
      <c r="C1911" s="9">
        <v>0</v>
      </c>
      <c r="D1911" s="13">
        <f t="shared" si="29"/>
        <v>1.1100000000000001</v>
      </c>
    </row>
    <row r="1912" spans="1:4" x14ac:dyDescent="0.25">
      <c r="A1912" s="15">
        <f>Sheet2!A1912</f>
        <v>0</v>
      </c>
      <c r="B1912" s="8">
        <v>0.95</v>
      </c>
      <c r="C1912" s="9">
        <v>0</v>
      </c>
      <c r="D1912" s="13">
        <f t="shared" si="29"/>
        <v>0.95</v>
      </c>
    </row>
    <row r="1913" spans="1:4" x14ac:dyDescent="0.25">
      <c r="A1913" s="15">
        <f>Sheet2!A1913</f>
        <v>0</v>
      </c>
      <c r="B1913" s="8">
        <v>0.72</v>
      </c>
      <c r="C1913" s="9">
        <v>0</v>
      </c>
      <c r="D1913" s="13">
        <f t="shared" si="29"/>
        <v>0.72</v>
      </c>
    </row>
    <row r="1914" spans="1:4" x14ac:dyDescent="0.25">
      <c r="A1914" s="15">
        <f>Sheet2!A1914</f>
        <v>0</v>
      </c>
      <c r="B1914" s="8">
        <v>1.25</v>
      </c>
      <c r="C1914" s="9">
        <v>0</v>
      </c>
      <c r="D1914" s="13">
        <f t="shared" si="29"/>
        <v>1.25</v>
      </c>
    </row>
    <row r="1915" spans="1:4" x14ac:dyDescent="0.25">
      <c r="A1915" s="15">
        <f>Sheet2!A1915</f>
        <v>0</v>
      </c>
      <c r="B1915" s="8">
        <v>0.81</v>
      </c>
      <c r="C1915" s="9">
        <v>0</v>
      </c>
      <c r="D1915" s="13">
        <f t="shared" si="29"/>
        <v>0.81</v>
      </c>
    </row>
    <row r="1916" spans="1:4" x14ac:dyDescent="0.25">
      <c r="A1916" s="15">
        <f>Sheet2!A1916</f>
        <v>0</v>
      </c>
      <c r="B1916" s="8">
        <v>1.54</v>
      </c>
      <c r="C1916" s="9">
        <v>0</v>
      </c>
      <c r="D1916" s="13">
        <f t="shared" si="29"/>
        <v>1.54</v>
      </c>
    </row>
    <row r="1917" spans="1:4" x14ac:dyDescent="0.25">
      <c r="A1917" s="15">
        <f>Sheet2!A1917</f>
        <v>0</v>
      </c>
      <c r="B1917" s="8">
        <v>1.18</v>
      </c>
      <c r="C1917" s="9">
        <v>0</v>
      </c>
      <c r="D1917" s="13">
        <f t="shared" si="29"/>
        <v>1.18</v>
      </c>
    </row>
    <row r="1918" spans="1:4" x14ac:dyDescent="0.25">
      <c r="A1918" s="15">
        <f>Sheet2!A1918</f>
        <v>0</v>
      </c>
      <c r="B1918" s="8">
        <v>0.92</v>
      </c>
      <c r="C1918" s="9">
        <v>0</v>
      </c>
      <c r="D1918" s="13">
        <f t="shared" si="29"/>
        <v>0.92</v>
      </c>
    </row>
    <row r="1919" spans="1:4" x14ac:dyDescent="0.25">
      <c r="A1919" s="15">
        <f>Sheet2!A1919</f>
        <v>0</v>
      </c>
      <c r="B1919" s="8">
        <v>1.24</v>
      </c>
      <c r="C1919" s="9">
        <v>0</v>
      </c>
      <c r="D1919" s="13">
        <f t="shared" si="29"/>
        <v>1.24</v>
      </c>
    </row>
    <row r="1920" spans="1:4" x14ac:dyDescent="0.25">
      <c r="A1920" s="15">
        <f>Sheet2!A1920</f>
        <v>0</v>
      </c>
      <c r="B1920" s="8">
        <v>1.34</v>
      </c>
      <c r="C1920" s="9">
        <v>0</v>
      </c>
      <c r="D1920" s="13">
        <f t="shared" si="29"/>
        <v>1.34</v>
      </c>
    </row>
    <row r="1921" spans="1:4" x14ac:dyDescent="0.25">
      <c r="A1921" s="15">
        <f>Sheet2!A1921</f>
        <v>0</v>
      </c>
      <c r="B1921" s="8">
        <v>0.56000000000000005</v>
      </c>
      <c r="C1921" s="9">
        <v>0</v>
      </c>
      <c r="D1921" s="13">
        <f t="shared" si="29"/>
        <v>0.56000000000000005</v>
      </c>
    </row>
    <row r="1922" spans="1:4" x14ac:dyDescent="0.25">
      <c r="A1922" s="15">
        <f>Sheet2!A1922</f>
        <v>0</v>
      </c>
      <c r="B1922" s="8">
        <v>0.72</v>
      </c>
      <c r="C1922" s="9">
        <v>0</v>
      </c>
      <c r="D1922" s="13">
        <f t="shared" si="29"/>
        <v>0.72</v>
      </c>
    </row>
    <row r="1923" spans="1:4" x14ac:dyDescent="0.25">
      <c r="A1923" s="15">
        <f>Sheet2!A1923</f>
        <v>0</v>
      </c>
      <c r="B1923" s="8">
        <v>0.51</v>
      </c>
      <c r="C1923" s="9">
        <v>0</v>
      </c>
      <c r="D1923" s="13">
        <f t="shared" ref="D1923:D1986" si="30">B1923+C1923</f>
        <v>0.51</v>
      </c>
    </row>
    <row r="1924" spans="1:4" x14ac:dyDescent="0.25">
      <c r="A1924" s="15">
        <f>Sheet2!A1924</f>
        <v>0</v>
      </c>
      <c r="B1924" s="8">
        <v>0.52</v>
      </c>
      <c r="C1924" s="9">
        <v>0</v>
      </c>
      <c r="D1924" s="13">
        <f t="shared" si="30"/>
        <v>0.52</v>
      </c>
    </row>
    <row r="1925" spans="1:4" x14ac:dyDescent="0.25">
      <c r="A1925" s="15">
        <f>Sheet2!A1925</f>
        <v>0</v>
      </c>
      <c r="B1925" s="8">
        <v>0.64</v>
      </c>
      <c r="C1925" s="9">
        <v>0</v>
      </c>
      <c r="D1925" s="13">
        <f t="shared" si="30"/>
        <v>0.64</v>
      </c>
    </row>
    <row r="1926" spans="1:4" x14ac:dyDescent="0.25">
      <c r="A1926" s="15">
        <f>Sheet2!A1926</f>
        <v>0</v>
      </c>
      <c r="B1926" s="8">
        <v>0.53</v>
      </c>
      <c r="C1926" s="9">
        <v>0</v>
      </c>
      <c r="D1926" s="13">
        <f t="shared" si="30"/>
        <v>0.53</v>
      </c>
    </row>
    <row r="1927" spans="1:4" x14ac:dyDescent="0.25">
      <c r="A1927" s="15">
        <f>Sheet2!A1927</f>
        <v>0</v>
      </c>
      <c r="B1927" s="8">
        <v>0.43</v>
      </c>
      <c r="C1927" s="9">
        <v>0</v>
      </c>
      <c r="D1927" s="13">
        <f t="shared" si="30"/>
        <v>0.43</v>
      </c>
    </row>
    <row r="1928" spans="1:4" x14ac:dyDescent="0.25">
      <c r="A1928" s="15">
        <f>Sheet2!A1928</f>
        <v>0</v>
      </c>
      <c r="B1928" s="8">
        <v>1.49</v>
      </c>
      <c r="C1928" s="9">
        <v>0</v>
      </c>
      <c r="D1928" s="13">
        <f t="shared" si="30"/>
        <v>1.49</v>
      </c>
    </row>
    <row r="1929" spans="1:4" x14ac:dyDescent="0.25">
      <c r="A1929" s="15">
        <f>Sheet2!A1929</f>
        <v>0</v>
      </c>
      <c r="B1929" s="8">
        <v>1.02</v>
      </c>
      <c r="C1929" s="9">
        <v>0</v>
      </c>
      <c r="D1929" s="13">
        <f t="shared" si="30"/>
        <v>1.02</v>
      </c>
    </row>
    <row r="1930" spans="1:4" x14ac:dyDescent="0.25">
      <c r="A1930" s="15">
        <f>Sheet2!A1930</f>
        <v>0</v>
      </c>
      <c r="B1930" s="8">
        <v>1.45</v>
      </c>
      <c r="C1930" s="9">
        <v>0</v>
      </c>
      <c r="D1930" s="13">
        <f t="shared" si="30"/>
        <v>1.45</v>
      </c>
    </row>
    <row r="1931" spans="1:4" x14ac:dyDescent="0.25">
      <c r="A1931" s="15">
        <f>Sheet2!A1931</f>
        <v>0</v>
      </c>
      <c r="B1931" s="8">
        <v>1</v>
      </c>
      <c r="C1931" s="9">
        <v>0</v>
      </c>
      <c r="D1931" s="13">
        <f t="shared" si="30"/>
        <v>1</v>
      </c>
    </row>
    <row r="1932" spans="1:4" x14ac:dyDescent="0.25">
      <c r="A1932" s="15">
        <f>Sheet2!A1932</f>
        <v>0</v>
      </c>
      <c r="B1932" s="8">
        <v>1.26</v>
      </c>
      <c r="C1932" s="9">
        <v>0</v>
      </c>
      <c r="D1932" s="13">
        <f t="shared" si="30"/>
        <v>1.26</v>
      </c>
    </row>
    <row r="1933" spans="1:4" x14ac:dyDescent="0.25">
      <c r="A1933" s="15">
        <f>Sheet2!A1933</f>
        <v>0</v>
      </c>
      <c r="B1933" s="8">
        <v>1.33</v>
      </c>
      <c r="C1933" s="9">
        <v>0</v>
      </c>
      <c r="D1933" s="13">
        <f t="shared" si="30"/>
        <v>1.33</v>
      </c>
    </row>
    <row r="1934" spans="1:4" x14ac:dyDescent="0.25">
      <c r="A1934" s="15">
        <f>Sheet2!A1934</f>
        <v>0</v>
      </c>
      <c r="B1934" s="8">
        <v>1.35</v>
      </c>
      <c r="C1934" s="9">
        <v>0</v>
      </c>
      <c r="D1934" s="13">
        <f t="shared" si="30"/>
        <v>1.35</v>
      </c>
    </row>
    <row r="1935" spans="1:4" x14ac:dyDescent="0.25">
      <c r="A1935" s="15">
        <f>Sheet2!A1935</f>
        <v>0</v>
      </c>
      <c r="B1935" s="8">
        <v>1.36</v>
      </c>
      <c r="C1935" s="9">
        <v>0</v>
      </c>
      <c r="D1935" s="13">
        <f t="shared" si="30"/>
        <v>1.36</v>
      </c>
    </row>
    <row r="1936" spans="1:4" x14ac:dyDescent="0.25">
      <c r="A1936" s="15">
        <f>Sheet2!A1936</f>
        <v>0</v>
      </c>
      <c r="B1936" s="8">
        <v>1.2</v>
      </c>
      <c r="C1936" s="9">
        <v>0</v>
      </c>
      <c r="D1936" s="13">
        <f t="shared" si="30"/>
        <v>1.2</v>
      </c>
    </row>
    <row r="1937" spans="1:4" x14ac:dyDescent="0.25">
      <c r="A1937" s="15">
        <f>Sheet2!A1937</f>
        <v>0</v>
      </c>
      <c r="B1937" s="8">
        <v>1.29</v>
      </c>
      <c r="C1937" s="9">
        <v>0</v>
      </c>
      <c r="D1937" s="13">
        <f t="shared" si="30"/>
        <v>1.29</v>
      </c>
    </row>
    <row r="1938" spans="1:4" x14ac:dyDescent="0.25">
      <c r="A1938" s="15">
        <f>Sheet2!A1938</f>
        <v>0</v>
      </c>
      <c r="B1938" s="8">
        <v>1.21</v>
      </c>
      <c r="C1938" s="9">
        <v>0</v>
      </c>
      <c r="D1938" s="13">
        <f t="shared" si="30"/>
        <v>1.21</v>
      </c>
    </row>
    <row r="1939" spans="1:4" x14ac:dyDescent="0.25">
      <c r="A1939" s="15">
        <f>Sheet2!A1939</f>
        <v>0</v>
      </c>
      <c r="B1939" s="8">
        <v>1.06</v>
      </c>
      <c r="C1939" s="9">
        <v>0</v>
      </c>
      <c r="D1939" s="13">
        <f t="shared" si="30"/>
        <v>1.06</v>
      </c>
    </row>
    <row r="1940" spans="1:4" x14ac:dyDescent="0.25">
      <c r="A1940" s="15">
        <f>Sheet2!A1940</f>
        <v>0</v>
      </c>
      <c r="B1940" s="8">
        <v>1.1499999999999999</v>
      </c>
      <c r="C1940" s="9">
        <v>0</v>
      </c>
      <c r="D1940" s="13">
        <f t="shared" si="30"/>
        <v>1.1499999999999999</v>
      </c>
    </row>
    <row r="1941" spans="1:4" x14ac:dyDescent="0.25">
      <c r="A1941" s="15">
        <f>Sheet2!A1941</f>
        <v>0</v>
      </c>
      <c r="B1941" s="8">
        <v>1.91</v>
      </c>
      <c r="C1941" s="9">
        <v>0</v>
      </c>
      <c r="D1941" s="13">
        <f t="shared" si="30"/>
        <v>1.91</v>
      </c>
    </row>
    <row r="1942" spans="1:4" x14ac:dyDescent="0.25">
      <c r="A1942" s="15">
        <f>Sheet2!A1942</f>
        <v>0</v>
      </c>
      <c r="B1942" s="8">
        <v>1.1000000000000001</v>
      </c>
      <c r="C1942" s="9">
        <v>0</v>
      </c>
      <c r="D1942" s="13">
        <f t="shared" si="30"/>
        <v>1.1000000000000001</v>
      </c>
    </row>
    <row r="1943" spans="1:4" x14ac:dyDescent="0.25">
      <c r="A1943" s="15">
        <f>Sheet2!A1943</f>
        <v>0</v>
      </c>
      <c r="B1943" s="8">
        <v>0.84</v>
      </c>
      <c r="C1943" s="9">
        <v>0</v>
      </c>
      <c r="D1943" s="13">
        <f t="shared" si="30"/>
        <v>0.84</v>
      </c>
    </row>
    <row r="1944" spans="1:4" x14ac:dyDescent="0.25">
      <c r="A1944" s="15">
        <f>Sheet2!A1944</f>
        <v>0</v>
      </c>
      <c r="B1944" s="8">
        <v>0.75</v>
      </c>
      <c r="C1944" s="9">
        <v>0</v>
      </c>
      <c r="D1944" s="13">
        <f t="shared" si="30"/>
        <v>0.75</v>
      </c>
    </row>
    <row r="1945" spans="1:4" x14ac:dyDescent="0.25">
      <c r="A1945" s="15">
        <f>Sheet2!A1945</f>
        <v>0</v>
      </c>
      <c r="B1945" s="8">
        <v>0.78</v>
      </c>
      <c r="C1945" s="9">
        <v>0</v>
      </c>
      <c r="D1945" s="13">
        <f t="shared" si="30"/>
        <v>0.78</v>
      </c>
    </row>
    <row r="1946" spans="1:4" x14ac:dyDescent="0.25">
      <c r="A1946" s="15">
        <f>Sheet2!A1946</f>
        <v>0</v>
      </c>
      <c r="B1946" s="8">
        <v>0.62</v>
      </c>
      <c r="C1946" s="9">
        <v>0</v>
      </c>
      <c r="D1946" s="13">
        <f t="shared" si="30"/>
        <v>0.62</v>
      </c>
    </row>
    <row r="1947" spans="1:4" x14ac:dyDescent="0.25">
      <c r="A1947" s="15">
        <f>Sheet2!A1947</f>
        <v>0</v>
      </c>
      <c r="B1947" s="8">
        <v>0.86</v>
      </c>
      <c r="C1947" s="9">
        <v>0</v>
      </c>
      <c r="D1947" s="13">
        <f t="shared" si="30"/>
        <v>0.86</v>
      </c>
    </row>
    <row r="1948" spans="1:4" x14ac:dyDescent="0.25">
      <c r="A1948" s="15">
        <f>Sheet2!A1948</f>
        <v>0</v>
      </c>
      <c r="B1948" s="8">
        <v>0.62</v>
      </c>
      <c r="C1948" s="9">
        <v>0</v>
      </c>
      <c r="D1948" s="13">
        <f t="shared" si="30"/>
        <v>0.62</v>
      </c>
    </row>
    <row r="1949" spans="1:4" x14ac:dyDescent="0.25">
      <c r="A1949" s="15">
        <f>Sheet2!A1949</f>
        <v>0</v>
      </c>
      <c r="B1949" s="8">
        <v>0.92</v>
      </c>
      <c r="C1949" s="9">
        <v>0</v>
      </c>
      <c r="D1949" s="13">
        <f t="shared" si="30"/>
        <v>0.92</v>
      </c>
    </row>
    <row r="1950" spans="1:4" x14ac:dyDescent="0.25">
      <c r="A1950" s="15">
        <f>Sheet2!A1950</f>
        <v>0</v>
      </c>
      <c r="B1950" s="8">
        <v>0.64</v>
      </c>
      <c r="C1950" s="9">
        <v>0</v>
      </c>
      <c r="D1950" s="13">
        <f t="shared" si="30"/>
        <v>0.64</v>
      </c>
    </row>
    <row r="1951" spans="1:4" x14ac:dyDescent="0.25">
      <c r="A1951" s="15">
        <f>Sheet2!A1951</f>
        <v>0</v>
      </c>
      <c r="B1951" s="8">
        <v>0.62</v>
      </c>
      <c r="C1951" s="9">
        <v>0</v>
      </c>
      <c r="D1951" s="13">
        <f t="shared" si="30"/>
        <v>0.62</v>
      </c>
    </row>
    <row r="1952" spans="1:4" x14ac:dyDescent="0.25">
      <c r="A1952" s="15">
        <f>Sheet2!A1952</f>
        <v>0</v>
      </c>
      <c r="B1952" s="8">
        <v>1.53</v>
      </c>
      <c r="C1952" s="9">
        <v>0</v>
      </c>
      <c r="D1952" s="13">
        <f t="shared" si="30"/>
        <v>1.53</v>
      </c>
    </row>
    <row r="1953" spans="1:4" x14ac:dyDescent="0.25">
      <c r="A1953" s="15">
        <f>Sheet2!A1953</f>
        <v>0</v>
      </c>
      <c r="B1953" s="8">
        <v>0.92</v>
      </c>
      <c r="C1953" s="9">
        <v>0</v>
      </c>
      <c r="D1953" s="13">
        <f t="shared" si="30"/>
        <v>0.92</v>
      </c>
    </row>
    <row r="1954" spans="1:4" x14ac:dyDescent="0.25">
      <c r="A1954" s="15">
        <f>Sheet2!A1954</f>
        <v>0</v>
      </c>
      <c r="B1954" s="8">
        <v>0.69</v>
      </c>
      <c r="C1954" s="9">
        <v>0</v>
      </c>
      <c r="D1954" s="13">
        <f t="shared" si="30"/>
        <v>0.69</v>
      </c>
    </row>
    <row r="1955" spans="1:4" x14ac:dyDescent="0.25">
      <c r="A1955" s="15">
        <f>Sheet2!A1955</f>
        <v>0</v>
      </c>
      <c r="B1955" s="8">
        <v>0</v>
      </c>
      <c r="C1955" s="9">
        <v>0.86</v>
      </c>
      <c r="D1955" s="13">
        <f t="shared" si="30"/>
        <v>0.86</v>
      </c>
    </row>
    <row r="1956" spans="1:4" x14ac:dyDescent="0.25">
      <c r="A1956" s="15">
        <f>Sheet2!A1956</f>
        <v>0</v>
      </c>
      <c r="B1956" s="8">
        <v>0</v>
      </c>
      <c r="C1956" s="9">
        <v>0.24</v>
      </c>
      <c r="D1956" s="13">
        <f t="shared" si="30"/>
        <v>0.24</v>
      </c>
    </row>
    <row r="1957" spans="1:4" x14ac:dyDescent="0.25">
      <c r="A1957" s="15">
        <f>Sheet2!A1957</f>
        <v>0</v>
      </c>
      <c r="B1957" s="8">
        <v>1.21</v>
      </c>
      <c r="C1957" s="9">
        <v>0</v>
      </c>
      <c r="D1957" s="13">
        <f t="shared" si="30"/>
        <v>1.21</v>
      </c>
    </row>
    <row r="1958" spans="1:4" x14ac:dyDescent="0.25">
      <c r="A1958" s="15">
        <f>Sheet2!A1958</f>
        <v>0</v>
      </c>
      <c r="B1958" s="8">
        <v>1.52</v>
      </c>
      <c r="C1958" s="9">
        <v>0</v>
      </c>
      <c r="D1958" s="13">
        <f t="shared" si="30"/>
        <v>1.52</v>
      </c>
    </row>
    <row r="1959" spans="1:4" x14ac:dyDescent="0.25">
      <c r="A1959" s="15">
        <f>Sheet2!A1959</f>
        <v>0</v>
      </c>
      <c r="B1959" s="8">
        <v>1.28</v>
      </c>
      <c r="C1959" s="9">
        <v>0</v>
      </c>
      <c r="D1959" s="13">
        <f t="shared" si="30"/>
        <v>1.28</v>
      </c>
    </row>
    <row r="1960" spans="1:4" x14ac:dyDescent="0.25">
      <c r="A1960" s="15">
        <f>Sheet2!A1960</f>
        <v>0</v>
      </c>
      <c r="B1960" s="8">
        <v>0.9</v>
      </c>
      <c r="C1960" s="9">
        <v>0</v>
      </c>
      <c r="D1960" s="13">
        <f t="shared" si="30"/>
        <v>0.9</v>
      </c>
    </row>
    <row r="1961" spans="1:4" x14ac:dyDescent="0.25">
      <c r="A1961" s="15">
        <f>Sheet2!A1961</f>
        <v>0</v>
      </c>
      <c r="B1961" s="8">
        <v>2.2400000000000002</v>
      </c>
      <c r="C1961" s="9">
        <v>0</v>
      </c>
      <c r="D1961" s="13">
        <f t="shared" si="30"/>
        <v>2.2400000000000002</v>
      </c>
    </row>
    <row r="1962" spans="1:4" x14ac:dyDescent="0.25">
      <c r="A1962" s="15">
        <f>Sheet2!A1962</f>
        <v>0</v>
      </c>
      <c r="B1962" s="8">
        <v>4.24</v>
      </c>
      <c r="C1962" s="9">
        <v>0</v>
      </c>
      <c r="D1962" s="13">
        <f t="shared" si="30"/>
        <v>4.24</v>
      </c>
    </row>
    <row r="1963" spans="1:4" x14ac:dyDescent="0.25">
      <c r="A1963" s="15">
        <f>Sheet2!A1963</f>
        <v>0</v>
      </c>
      <c r="B1963" s="8">
        <v>1.83</v>
      </c>
      <c r="C1963" s="9">
        <v>0</v>
      </c>
      <c r="D1963" s="13">
        <f t="shared" si="30"/>
        <v>1.83</v>
      </c>
    </row>
    <row r="1964" spans="1:4" x14ac:dyDescent="0.25">
      <c r="A1964" s="15">
        <f>Sheet2!A1964</f>
        <v>0</v>
      </c>
      <c r="B1964" s="8">
        <v>0</v>
      </c>
      <c r="C1964" s="9">
        <v>0.53</v>
      </c>
      <c r="D1964" s="13">
        <f t="shared" si="30"/>
        <v>0.53</v>
      </c>
    </row>
    <row r="1965" spans="1:4" x14ac:dyDescent="0.25">
      <c r="A1965" s="15">
        <f>Sheet2!A1965</f>
        <v>0</v>
      </c>
      <c r="B1965" s="8">
        <v>1.33</v>
      </c>
      <c r="C1965" s="9">
        <v>0</v>
      </c>
      <c r="D1965" s="13">
        <f t="shared" si="30"/>
        <v>1.33</v>
      </c>
    </row>
    <row r="1966" spans="1:4" x14ac:dyDescent="0.25">
      <c r="A1966" s="15">
        <f>Sheet2!A1966</f>
        <v>0</v>
      </c>
      <c r="B1966" s="8">
        <v>1.1599999999999999</v>
      </c>
      <c r="C1966" s="9">
        <v>0</v>
      </c>
      <c r="D1966" s="13">
        <f t="shared" si="30"/>
        <v>1.1599999999999999</v>
      </c>
    </row>
    <row r="1967" spans="1:4" x14ac:dyDescent="0.25">
      <c r="A1967" s="15">
        <f>Sheet2!A1967</f>
        <v>0</v>
      </c>
      <c r="B1967" s="8">
        <v>1.58</v>
      </c>
      <c r="C1967" s="9">
        <v>0</v>
      </c>
      <c r="D1967" s="13">
        <f t="shared" si="30"/>
        <v>1.58</v>
      </c>
    </row>
    <row r="1968" spans="1:4" x14ac:dyDescent="0.25">
      <c r="A1968" s="15">
        <f>Sheet2!A1968</f>
        <v>0</v>
      </c>
      <c r="B1968" s="8">
        <v>0.97</v>
      </c>
      <c r="C1968" s="9">
        <v>0</v>
      </c>
      <c r="D1968" s="13">
        <f t="shared" si="30"/>
        <v>0.97</v>
      </c>
    </row>
    <row r="1969" spans="1:4" x14ac:dyDescent="0.25">
      <c r="A1969" s="15">
        <f>Sheet2!A1969</f>
        <v>0</v>
      </c>
      <c r="B1969" s="8">
        <v>0.67</v>
      </c>
      <c r="C1969" s="9">
        <v>0</v>
      </c>
      <c r="D1969" s="13">
        <f t="shared" si="30"/>
        <v>0.67</v>
      </c>
    </row>
    <row r="1970" spans="1:4" x14ac:dyDescent="0.25">
      <c r="A1970" s="15">
        <f>Sheet2!A1970</f>
        <v>0</v>
      </c>
      <c r="B1970" s="8">
        <v>0.57999999999999996</v>
      </c>
      <c r="C1970" s="9">
        <v>0</v>
      </c>
      <c r="D1970" s="13">
        <f t="shared" si="30"/>
        <v>0.57999999999999996</v>
      </c>
    </row>
    <row r="1971" spans="1:4" x14ac:dyDescent="0.25">
      <c r="A1971" s="15">
        <f>Sheet2!A1971</f>
        <v>0</v>
      </c>
      <c r="B1971" s="8">
        <v>0.68</v>
      </c>
      <c r="C1971" s="9">
        <v>0</v>
      </c>
      <c r="D1971" s="13">
        <f t="shared" si="30"/>
        <v>0.68</v>
      </c>
    </row>
    <row r="1972" spans="1:4" x14ac:dyDescent="0.25">
      <c r="A1972" s="15">
        <f>Sheet2!A1972</f>
        <v>0</v>
      </c>
      <c r="B1972" s="8">
        <v>0.8</v>
      </c>
      <c r="C1972" s="9">
        <v>0</v>
      </c>
      <c r="D1972" s="13">
        <f t="shared" si="30"/>
        <v>0.8</v>
      </c>
    </row>
    <row r="1973" spans="1:4" x14ac:dyDescent="0.25">
      <c r="A1973" s="15">
        <f>Sheet2!A1973</f>
        <v>0</v>
      </c>
      <c r="B1973" s="8">
        <v>0.95</v>
      </c>
      <c r="C1973" s="9">
        <v>0</v>
      </c>
      <c r="D1973" s="13">
        <f t="shared" si="30"/>
        <v>0.95</v>
      </c>
    </row>
    <row r="1974" spans="1:4" x14ac:dyDescent="0.25">
      <c r="A1974" s="15">
        <f>Sheet2!A1974</f>
        <v>0</v>
      </c>
      <c r="B1974" s="8">
        <v>0.57999999999999996</v>
      </c>
      <c r="C1974" s="9">
        <v>0</v>
      </c>
      <c r="D1974" s="13">
        <f t="shared" si="30"/>
        <v>0.57999999999999996</v>
      </c>
    </row>
    <row r="1975" spans="1:4" x14ac:dyDescent="0.25">
      <c r="A1975" s="15">
        <f>Sheet2!A1975</f>
        <v>0</v>
      </c>
      <c r="B1975" s="8">
        <v>0.59</v>
      </c>
      <c r="C1975" s="9">
        <v>0</v>
      </c>
      <c r="D1975" s="13">
        <f t="shared" si="30"/>
        <v>0.59</v>
      </c>
    </row>
    <row r="1976" spans="1:4" x14ac:dyDescent="0.25">
      <c r="A1976" s="15">
        <f>Sheet2!A1976</f>
        <v>0</v>
      </c>
      <c r="B1976" s="8">
        <v>1.85</v>
      </c>
      <c r="C1976" s="9">
        <v>0</v>
      </c>
      <c r="D1976" s="13">
        <f t="shared" si="30"/>
        <v>1.85</v>
      </c>
    </row>
    <row r="1977" spans="1:4" x14ac:dyDescent="0.25">
      <c r="A1977" s="15">
        <f>Sheet2!A1977</f>
        <v>0</v>
      </c>
      <c r="B1977" s="8">
        <v>1.51</v>
      </c>
      <c r="C1977" s="9">
        <v>0</v>
      </c>
      <c r="D1977" s="13">
        <f t="shared" si="30"/>
        <v>1.51</v>
      </c>
    </row>
    <row r="1978" spans="1:4" x14ac:dyDescent="0.25">
      <c r="A1978" s="15">
        <f>Sheet2!A1978</f>
        <v>0</v>
      </c>
      <c r="B1978" s="8">
        <v>2.4</v>
      </c>
      <c r="C1978" s="9">
        <v>0</v>
      </c>
      <c r="D1978" s="13">
        <f t="shared" si="30"/>
        <v>2.4</v>
      </c>
    </row>
    <row r="1979" spans="1:4" x14ac:dyDescent="0.25">
      <c r="A1979" s="15">
        <f>Sheet2!A1979</f>
        <v>0</v>
      </c>
      <c r="B1979" s="8">
        <v>0</v>
      </c>
      <c r="C1979" s="9">
        <v>1.25</v>
      </c>
      <c r="D1979" s="13">
        <f t="shared" si="30"/>
        <v>1.25</v>
      </c>
    </row>
    <row r="1980" spans="1:4" x14ac:dyDescent="0.25">
      <c r="A1980" s="15">
        <f>Sheet2!A1980</f>
        <v>0</v>
      </c>
      <c r="B1980" s="8">
        <v>0</v>
      </c>
      <c r="C1980" s="9">
        <v>2.35</v>
      </c>
      <c r="D1980" s="13">
        <f t="shared" si="30"/>
        <v>2.35</v>
      </c>
    </row>
    <row r="1981" spans="1:4" x14ac:dyDescent="0.25">
      <c r="A1981" s="15">
        <f>Sheet2!A1981</f>
        <v>0</v>
      </c>
      <c r="B1981" s="8">
        <v>0</v>
      </c>
      <c r="C1981" s="9">
        <v>0.76</v>
      </c>
      <c r="D1981" s="13">
        <f t="shared" si="30"/>
        <v>0.76</v>
      </c>
    </row>
    <row r="1982" spans="1:4" x14ac:dyDescent="0.25">
      <c r="A1982" s="15">
        <f>Sheet2!A1982</f>
        <v>0</v>
      </c>
      <c r="B1982" s="8">
        <v>1.82</v>
      </c>
      <c r="C1982" s="9">
        <v>0</v>
      </c>
      <c r="D1982" s="13">
        <f t="shared" si="30"/>
        <v>1.82</v>
      </c>
    </row>
    <row r="1983" spans="1:4" x14ac:dyDescent="0.25">
      <c r="A1983" s="15">
        <f>Sheet2!A1983</f>
        <v>0</v>
      </c>
      <c r="B1983" s="8">
        <v>1.31</v>
      </c>
      <c r="C1983" s="9">
        <v>0</v>
      </c>
      <c r="D1983" s="13">
        <f t="shared" si="30"/>
        <v>1.31</v>
      </c>
    </row>
    <row r="1984" spans="1:4" x14ac:dyDescent="0.25">
      <c r="A1984" s="15">
        <f>Sheet2!A1984</f>
        <v>0</v>
      </c>
      <c r="B1984" s="8">
        <v>1.31</v>
      </c>
      <c r="C1984" s="9">
        <v>0</v>
      </c>
      <c r="D1984" s="13">
        <f t="shared" si="30"/>
        <v>1.31</v>
      </c>
    </row>
    <row r="1985" spans="1:4" x14ac:dyDescent="0.25">
      <c r="A1985" s="15">
        <f>Sheet2!A1985</f>
        <v>0</v>
      </c>
      <c r="B1985" s="8">
        <v>1.1200000000000001</v>
      </c>
      <c r="C1985" s="9">
        <v>0</v>
      </c>
      <c r="D1985" s="13">
        <f t="shared" si="30"/>
        <v>1.1200000000000001</v>
      </c>
    </row>
    <row r="1986" spans="1:4" x14ac:dyDescent="0.25">
      <c r="A1986" s="15">
        <f>Sheet2!A1986</f>
        <v>0</v>
      </c>
      <c r="B1986" s="8">
        <v>1.57</v>
      </c>
      <c r="C1986" s="9">
        <v>0</v>
      </c>
      <c r="D1986" s="13">
        <f t="shared" si="30"/>
        <v>1.57</v>
      </c>
    </row>
    <row r="1987" spans="1:4" x14ac:dyDescent="0.25">
      <c r="A1987" s="15">
        <f>Sheet2!A1987</f>
        <v>0</v>
      </c>
      <c r="B1987" s="8">
        <v>1.54</v>
      </c>
      <c r="C1987" s="9">
        <v>0</v>
      </c>
      <c r="D1987" s="13">
        <f t="shared" ref="D1987:D2050" si="31">B1987+C1987</f>
        <v>1.54</v>
      </c>
    </row>
    <row r="1988" spans="1:4" x14ac:dyDescent="0.25">
      <c r="A1988" s="15">
        <f>Sheet2!A1988</f>
        <v>0</v>
      </c>
      <c r="B1988" s="8">
        <v>1.27</v>
      </c>
      <c r="C1988" s="9">
        <v>0</v>
      </c>
      <c r="D1988" s="13">
        <f t="shared" si="31"/>
        <v>1.27</v>
      </c>
    </row>
    <row r="1989" spans="1:4" x14ac:dyDescent="0.25">
      <c r="A1989" s="15">
        <f>Sheet2!A1989</f>
        <v>0</v>
      </c>
      <c r="B1989" s="8">
        <v>1.1499999999999999</v>
      </c>
      <c r="C1989" s="9">
        <v>0</v>
      </c>
      <c r="D1989" s="13">
        <f t="shared" si="31"/>
        <v>1.1499999999999999</v>
      </c>
    </row>
    <row r="1990" spans="1:4" x14ac:dyDescent="0.25">
      <c r="A1990" s="15">
        <f>Sheet2!A1990</f>
        <v>0</v>
      </c>
      <c r="B1990" s="8">
        <v>0.97</v>
      </c>
      <c r="C1990" s="9">
        <v>0</v>
      </c>
      <c r="D1990" s="13">
        <f t="shared" si="31"/>
        <v>0.97</v>
      </c>
    </row>
    <row r="1991" spans="1:4" x14ac:dyDescent="0.25">
      <c r="A1991" s="15">
        <f>Sheet2!A1991</f>
        <v>0</v>
      </c>
      <c r="B1991" s="8">
        <v>1.35</v>
      </c>
      <c r="C1991" s="9">
        <v>0</v>
      </c>
      <c r="D1991" s="13">
        <f t="shared" si="31"/>
        <v>1.35</v>
      </c>
    </row>
    <row r="1992" spans="1:4" x14ac:dyDescent="0.25">
      <c r="A1992" s="15">
        <f>Sheet2!A1992</f>
        <v>0</v>
      </c>
      <c r="B1992" s="8">
        <v>0.45</v>
      </c>
      <c r="C1992" s="9">
        <v>0</v>
      </c>
      <c r="D1992" s="13">
        <f t="shared" si="31"/>
        <v>0.45</v>
      </c>
    </row>
    <row r="1993" spans="1:4" x14ac:dyDescent="0.25">
      <c r="A1993" s="15">
        <f>Sheet2!A1993</f>
        <v>0</v>
      </c>
      <c r="B1993" s="8">
        <v>0.46</v>
      </c>
      <c r="C1993" s="9">
        <v>0</v>
      </c>
      <c r="D1993" s="13">
        <f t="shared" si="31"/>
        <v>0.46</v>
      </c>
    </row>
    <row r="1994" spans="1:4" x14ac:dyDescent="0.25">
      <c r="A1994" s="15">
        <f>Sheet2!A1994</f>
        <v>0</v>
      </c>
      <c r="B1994" s="8">
        <v>0.51</v>
      </c>
      <c r="C1994" s="9">
        <v>0</v>
      </c>
      <c r="D1994" s="13">
        <f t="shared" si="31"/>
        <v>0.51</v>
      </c>
    </row>
    <row r="1995" spans="1:4" x14ac:dyDescent="0.25">
      <c r="A1995" s="15">
        <f>Sheet2!A1995</f>
        <v>0</v>
      </c>
      <c r="B1995" s="8">
        <v>0.83</v>
      </c>
      <c r="C1995" s="9">
        <v>0</v>
      </c>
      <c r="D1995" s="13">
        <f t="shared" si="31"/>
        <v>0.83</v>
      </c>
    </row>
    <row r="1996" spans="1:4" x14ac:dyDescent="0.25">
      <c r="A1996" s="15">
        <f>Sheet2!A1996</f>
        <v>0</v>
      </c>
      <c r="B1996" s="8">
        <v>0.69</v>
      </c>
      <c r="C1996" s="9">
        <v>0</v>
      </c>
      <c r="D1996" s="13">
        <f t="shared" si="31"/>
        <v>0.69</v>
      </c>
    </row>
    <row r="1997" spans="1:4" x14ac:dyDescent="0.25">
      <c r="A1997" s="15">
        <f>Sheet2!A1997</f>
        <v>0</v>
      </c>
      <c r="B1997" s="8">
        <v>0.61</v>
      </c>
      <c r="C1997" s="9">
        <v>0</v>
      </c>
      <c r="D1997" s="13">
        <f t="shared" si="31"/>
        <v>0.61</v>
      </c>
    </row>
    <row r="1998" spans="1:4" x14ac:dyDescent="0.25">
      <c r="A1998" s="15">
        <f>Sheet2!A1998</f>
        <v>0</v>
      </c>
      <c r="B1998" s="8">
        <v>0.74</v>
      </c>
      <c r="C1998" s="9">
        <v>0</v>
      </c>
      <c r="D1998" s="13">
        <f t="shared" si="31"/>
        <v>0.74</v>
      </c>
    </row>
    <row r="1999" spans="1:4" x14ac:dyDescent="0.25">
      <c r="A1999" s="15">
        <f>Sheet2!A1999</f>
        <v>0</v>
      </c>
      <c r="B1999" s="8">
        <v>1.27</v>
      </c>
      <c r="C1999" s="9">
        <v>0</v>
      </c>
      <c r="D1999" s="13">
        <f t="shared" si="31"/>
        <v>1.27</v>
      </c>
    </row>
    <row r="2000" spans="1:4" x14ac:dyDescent="0.25">
      <c r="A2000" s="15">
        <f>Sheet2!A2000</f>
        <v>0</v>
      </c>
      <c r="B2000" s="8">
        <v>0.78</v>
      </c>
      <c r="C2000" s="9">
        <v>0</v>
      </c>
      <c r="D2000" s="13">
        <f t="shared" si="31"/>
        <v>0.78</v>
      </c>
    </row>
    <row r="2001" spans="1:4" x14ac:dyDescent="0.25">
      <c r="A2001" s="15">
        <f>Sheet2!A2001</f>
        <v>0</v>
      </c>
      <c r="B2001" s="8">
        <v>1.1100000000000001</v>
      </c>
      <c r="C2001" s="9">
        <v>0</v>
      </c>
      <c r="D2001" s="13">
        <f t="shared" si="31"/>
        <v>1.1100000000000001</v>
      </c>
    </row>
    <row r="2002" spans="1:4" x14ac:dyDescent="0.25">
      <c r="A2002" s="15">
        <f>Sheet2!A2002</f>
        <v>0</v>
      </c>
      <c r="B2002" s="8">
        <v>0</v>
      </c>
      <c r="C2002" s="9">
        <v>0.31</v>
      </c>
      <c r="D2002" s="13">
        <f t="shared" si="31"/>
        <v>0.31</v>
      </c>
    </row>
    <row r="2003" spans="1:4" x14ac:dyDescent="0.25">
      <c r="A2003" s="15">
        <f>Sheet2!A2003</f>
        <v>0</v>
      </c>
      <c r="B2003" s="8">
        <v>0</v>
      </c>
      <c r="C2003" s="9">
        <v>0.2</v>
      </c>
      <c r="D2003" s="13">
        <f t="shared" si="31"/>
        <v>0.2</v>
      </c>
    </row>
    <row r="2004" spans="1:4" x14ac:dyDescent="0.25">
      <c r="A2004" s="15">
        <f>Sheet2!A2004</f>
        <v>0</v>
      </c>
      <c r="B2004" s="8">
        <v>0.9</v>
      </c>
      <c r="C2004" s="9">
        <v>0</v>
      </c>
      <c r="D2004" s="13">
        <f t="shared" si="31"/>
        <v>0.9</v>
      </c>
    </row>
    <row r="2005" spans="1:4" x14ac:dyDescent="0.25">
      <c r="A2005" s="15">
        <f>Sheet2!A2005</f>
        <v>0</v>
      </c>
      <c r="B2005" s="8">
        <v>1.22</v>
      </c>
      <c r="C2005" s="9">
        <v>0</v>
      </c>
      <c r="D2005" s="13">
        <f t="shared" si="31"/>
        <v>1.22</v>
      </c>
    </row>
    <row r="2006" spans="1:4" x14ac:dyDescent="0.25">
      <c r="A2006" s="15">
        <f>Sheet2!A2006</f>
        <v>0</v>
      </c>
      <c r="B2006" s="8">
        <v>0.88</v>
      </c>
      <c r="C2006" s="9">
        <v>0</v>
      </c>
      <c r="D2006" s="13">
        <f t="shared" si="31"/>
        <v>0.88</v>
      </c>
    </row>
    <row r="2007" spans="1:4" x14ac:dyDescent="0.25">
      <c r="A2007" s="15">
        <f>Sheet2!A2007</f>
        <v>0</v>
      </c>
      <c r="B2007" s="8">
        <v>0.9</v>
      </c>
      <c r="C2007" s="9">
        <v>0</v>
      </c>
      <c r="D2007" s="13">
        <f t="shared" si="31"/>
        <v>0.9</v>
      </c>
    </row>
    <row r="2008" spans="1:4" x14ac:dyDescent="0.25">
      <c r="A2008" s="15">
        <f>Sheet2!A2008</f>
        <v>0</v>
      </c>
      <c r="B2008" s="8">
        <v>0</v>
      </c>
      <c r="C2008" s="9">
        <v>0.72</v>
      </c>
      <c r="D2008" s="13">
        <f t="shared" si="31"/>
        <v>0.72</v>
      </c>
    </row>
    <row r="2009" spans="1:4" x14ac:dyDescent="0.25">
      <c r="A2009" s="15">
        <f>Sheet2!A2009</f>
        <v>0</v>
      </c>
      <c r="B2009" s="8">
        <v>0</v>
      </c>
      <c r="C2009" s="9">
        <v>0.38</v>
      </c>
      <c r="D2009" s="13">
        <f t="shared" si="31"/>
        <v>0.38</v>
      </c>
    </row>
    <row r="2010" spans="1:4" x14ac:dyDescent="0.25">
      <c r="A2010" s="15">
        <f>Sheet2!A2010</f>
        <v>0</v>
      </c>
      <c r="B2010" s="8">
        <v>3.11</v>
      </c>
      <c r="C2010" s="9">
        <v>0</v>
      </c>
      <c r="D2010" s="13">
        <f t="shared" si="31"/>
        <v>3.11</v>
      </c>
    </row>
    <row r="2011" spans="1:4" x14ac:dyDescent="0.25">
      <c r="A2011" s="15">
        <f>Sheet2!A2011</f>
        <v>0</v>
      </c>
      <c r="B2011" s="8">
        <v>1.45</v>
      </c>
      <c r="C2011" s="9">
        <v>0</v>
      </c>
      <c r="D2011" s="13">
        <f t="shared" si="31"/>
        <v>1.45</v>
      </c>
    </row>
    <row r="2012" spans="1:4" x14ac:dyDescent="0.25">
      <c r="A2012" s="15">
        <f>Sheet2!A2012</f>
        <v>0</v>
      </c>
      <c r="B2012" s="8">
        <v>1.25</v>
      </c>
      <c r="C2012" s="9">
        <v>0</v>
      </c>
      <c r="D2012" s="13">
        <f t="shared" si="31"/>
        <v>1.25</v>
      </c>
    </row>
    <row r="2013" spans="1:4" x14ac:dyDescent="0.25">
      <c r="A2013" s="15">
        <f>Sheet2!A2013</f>
        <v>0</v>
      </c>
      <c r="B2013" s="8">
        <v>1.39</v>
      </c>
      <c r="C2013" s="9">
        <v>0</v>
      </c>
      <c r="D2013" s="13">
        <f t="shared" si="31"/>
        <v>1.39</v>
      </c>
    </row>
    <row r="2014" spans="1:4" x14ac:dyDescent="0.25">
      <c r="A2014" s="15">
        <f>Sheet2!A2014</f>
        <v>0</v>
      </c>
      <c r="B2014" s="8">
        <v>1.67</v>
      </c>
      <c r="C2014" s="9">
        <v>0</v>
      </c>
      <c r="D2014" s="13">
        <f t="shared" si="31"/>
        <v>1.67</v>
      </c>
    </row>
    <row r="2015" spans="1:4" x14ac:dyDescent="0.25">
      <c r="A2015" s="15">
        <f>Sheet2!A2015</f>
        <v>0</v>
      </c>
      <c r="B2015" s="8">
        <v>1.75</v>
      </c>
      <c r="C2015" s="9">
        <v>0</v>
      </c>
      <c r="D2015" s="13">
        <f t="shared" si="31"/>
        <v>1.75</v>
      </c>
    </row>
    <row r="2016" spans="1:4" x14ac:dyDescent="0.25">
      <c r="A2016" s="15">
        <f>Sheet2!A2016</f>
        <v>0</v>
      </c>
      <c r="B2016" s="8">
        <v>0.7</v>
      </c>
      <c r="C2016" s="9">
        <v>0</v>
      </c>
      <c r="D2016" s="13">
        <f t="shared" si="31"/>
        <v>0.7</v>
      </c>
    </row>
    <row r="2017" spans="1:4" x14ac:dyDescent="0.25">
      <c r="A2017" s="15">
        <f>Sheet2!A2017</f>
        <v>0</v>
      </c>
      <c r="B2017" s="8">
        <v>0.9</v>
      </c>
      <c r="C2017" s="9">
        <v>0</v>
      </c>
      <c r="D2017" s="13">
        <f t="shared" si="31"/>
        <v>0.9</v>
      </c>
    </row>
    <row r="2018" spans="1:4" x14ac:dyDescent="0.25">
      <c r="A2018" s="15">
        <f>Sheet2!A2018</f>
        <v>0</v>
      </c>
      <c r="B2018" s="8">
        <v>0.69</v>
      </c>
      <c r="C2018" s="9">
        <v>0</v>
      </c>
      <c r="D2018" s="13">
        <f t="shared" si="31"/>
        <v>0.69</v>
      </c>
    </row>
    <row r="2019" spans="1:4" x14ac:dyDescent="0.25">
      <c r="A2019" s="15">
        <f>Sheet2!A2019</f>
        <v>0</v>
      </c>
      <c r="B2019" s="8">
        <v>0.72</v>
      </c>
      <c r="C2019" s="9">
        <v>0</v>
      </c>
      <c r="D2019" s="13">
        <f t="shared" si="31"/>
        <v>0.72</v>
      </c>
    </row>
    <row r="2020" spans="1:4" x14ac:dyDescent="0.25">
      <c r="A2020" s="15">
        <f>Sheet2!A2020</f>
        <v>0</v>
      </c>
      <c r="B2020" s="8">
        <v>0.71</v>
      </c>
      <c r="C2020" s="9">
        <v>0</v>
      </c>
      <c r="D2020" s="13">
        <f t="shared" si="31"/>
        <v>0.71</v>
      </c>
    </row>
    <row r="2021" spans="1:4" x14ac:dyDescent="0.25">
      <c r="A2021" s="15">
        <f>Sheet2!A2021</f>
        <v>0</v>
      </c>
      <c r="B2021" s="8">
        <v>0.93</v>
      </c>
      <c r="C2021" s="9">
        <v>0</v>
      </c>
      <c r="D2021" s="13">
        <f t="shared" si="31"/>
        <v>0.93</v>
      </c>
    </row>
    <row r="2022" spans="1:4" x14ac:dyDescent="0.25">
      <c r="A2022" s="15">
        <f>Sheet2!A2022</f>
        <v>0</v>
      </c>
      <c r="B2022" s="8">
        <v>1.05</v>
      </c>
      <c r="C2022" s="9">
        <v>0</v>
      </c>
      <c r="D2022" s="13">
        <f t="shared" si="31"/>
        <v>1.05</v>
      </c>
    </row>
    <row r="2023" spans="1:4" x14ac:dyDescent="0.25">
      <c r="A2023" s="15">
        <f>Sheet2!A2023</f>
        <v>0</v>
      </c>
      <c r="B2023" s="8">
        <v>1.55</v>
      </c>
      <c r="C2023" s="9">
        <v>0</v>
      </c>
      <c r="D2023" s="13">
        <f t="shared" si="31"/>
        <v>1.55</v>
      </c>
    </row>
    <row r="2024" spans="1:4" x14ac:dyDescent="0.25">
      <c r="A2024" s="15">
        <f>Sheet2!A2024</f>
        <v>0</v>
      </c>
      <c r="B2024" s="8">
        <v>0.86</v>
      </c>
      <c r="C2024" s="9">
        <v>0</v>
      </c>
      <c r="D2024" s="13">
        <f t="shared" si="31"/>
        <v>0.86</v>
      </c>
    </row>
    <row r="2025" spans="1:4" x14ac:dyDescent="0.25">
      <c r="A2025" s="15">
        <f>Sheet2!A2025</f>
        <v>0</v>
      </c>
      <c r="B2025" s="8">
        <v>1.26</v>
      </c>
      <c r="C2025" s="9">
        <v>0</v>
      </c>
      <c r="D2025" s="13">
        <f t="shared" si="31"/>
        <v>1.26</v>
      </c>
    </row>
    <row r="2026" spans="1:4" x14ac:dyDescent="0.25">
      <c r="A2026" s="15">
        <f>Sheet2!A2026</f>
        <v>0</v>
      </c>
      <c r="B2026" s="8">
        <v>0.59</v>
      </c>
      <c r="C2026" s="9">
        <v>0</v>
      </c>
      <c r="D2026" s="13">
        <f t="shared" si="31"/>
        <v>0.59</v>
      </c>
    </row>
    <row r="2027" spans="1:4" x14ac:dyDescent="0.25">
      <c r="A2027" s="15">
        <f>Sheet2!A2027</f>
        <v>0</v>
      </c>
      <c r="B2027" s="8">
        <v>0</v>
      </c>
      <c r="C2027" s="9">
        <v>0.37</v>
      </c>
      <c r="D2027" s="13">
        <f t="shared" si="31"/>
        <v>0.37</v>
      </c>
    </row>
    <row r="2028" spans="1:4" x14ac:dyDescent="0.25">
      <c r="A2028" s="15">
        <f>Sheet2!A2028</f>
        <v>0</v>
      </c>
      <c r="B2028" s="8">
        <v>0.89</v>
      </c>
      <c r="C2028" s="9">
        <v>0</v>
      </c>
      <c r="D2028" s="13">
        <f t="shared" si="31"/>
        <v>0.89</v>
      </c>
    </row>
    <row r="2029" spans="1:4" x14ac:dyDescent="0.25">
      <c r="A2029" s="15">
        <f>Sheet2!A2029</f>
        <v>0</v>
      </c>
      <c r="B2029" s="8">
        <v>1.0900000000000001</v>
      </c>
      <c r="C2029" s="9">
        <v>0</v>
      </c>
      <c r="D2029" s="13">
        <f t="shared" si="31"/>
        <v>1.0900000000000001</v>
      </c>
    </row>
    <row r="2030" spans="1:4" x14ac:dyDescent="0.25">
      <c r="A2030" s="15">
        <f>Sheet2!A2030</f>
        <v>0</v>
      </c>
      <c r="B2030" s="8">
        <v>0.87</v>
      </c>
      <c r="C2030" s="9">
        <v>0</v>
      </c>
      <c r="D2030" s="13">
        <f t="shared" si="31"/>
        <v>0.87</v>
      </c>
    </row>
    <row r="2031" spans="1:4" x14ac:dyDescent="0.25">
      <c r="A2031" s="15">
        <f>Sheet2!A2031</f>
        <v>0</v>
      </c>
      <c r="B2031" s="8">
        <v>0.93</v>
      </c>
      <c r="C2031" s="9">
        <v>0</v>
      </c>
      <c r="D2031" s="13">
        <f t="shared" si="31"/>
        <v>0.93</v>
      </c>
    </row>
    <row r="2032" spans="1:4" x14ac:dyDescent="0.25">
      <c r="A2032" s="15">
        <f>Sheet2!A2032</f>
        <v>0</v>
      </c>
      <c r="B2032" s="8">
        <v>1.39</v>
      </c>
      <c r="C2032" s="9">
        <v>0</v>
      </c>
      <c r="D2032" s="13">
        <f t="shared" si="31"/>
        <v>1.39</v>
      </c>
    </row>
    <row r="2033" spans="1:4" x14ac:dyDescent="0.25">
      <c r="A2033" s="15">
        <f>Sheet2!A2033</f>
        <v>0</v>
      </c>
      <c r="B2033" s="8">
        <v>1.62</v>
      </c>
      <c r="C2033" s="9">
        <v>0</v>
      </c>
      <c r="D2033" s="13">
        <f t="shared" si="31"/>
        <v>1.62</v>
      </c>
    </row>
    <row r="2034" spans="1:4" x14ac:dyDescent="0.25">
      <c r="A2034" s="15">
        <f>Sheet2!A2034</f>
        <v>0</v>
      </c>
      <c r="B2034" s="8">
        <v>0</v>
      </c>
      <c r="C2034" s="9">
        <v>0.63</v>
      </c>
      <c r="D2034" s="13">
        <f t="shared" si="31"/>
        <v>0.63</v>
      </c>
    </row>
    <row r="2035" spans="1:4" x14ac:dyDescent="0.25">
      <c r="A2035" s="15">
        <f>Sheet2!A2035</f>
        <v>0</v>
      </c>
      <c r="B2035" s="8">
        <v>0</v>
      </c>
      <c r="C2035" s="9">
        <v>0.53</v>
      </c>
      <c r="D2035" s="13">
        <f t="shared" si="31"/>
        <v>0.53</v>
      </c>
    </row>
    <row r="2036" spans="1:4" x14ac:dyDescent="0.25">
      <c r="A2036" s="15">
        <f>Sheet2!A2036</f>
        <v>0</v>
      </c>
      <c r="B2036" s="8">
        <v>1.46</v>
      </c>
      <c r="C2036" s="9">
        <v>0</v>
      </c>
      <c r="D2036" s="13">
        <f t="shared" si="31"/>
        <v>1.46</v>
      </c>
    </row>
    <row r="2037" spans="1:4" x14ac:dyDescent="0.25">
      <c r="A2037" s="15">
        <f>Sheet2!A2037</f>
        <v>0</v>
      </c>
      <c r="B2037" s="8">
        <v>1.26</v>
      </c>
      <c r="C2037" s="9">
        <v>0</v>
      </c>
      <c r="D2037" s="13">
        <f t="shared" si="31"/>
        <v>1.26</v>
      </c>
    </row>
    <row r="2038" spans="1:4" x14ac:dyDescent="0.25">
      <c r="A2038" s="15">
        <f>Sheet2!A2038</f>
        <v>0</v>
      </c>
      <c r="B2038" s="8">
        <v>1.21</v>
      </c>
      <c r="C2038" s="9">
        <v>0</v>
      </c>
      <c r="D2038" s="13">
        <f t="shared" si="31"/>
        <v>1.21</v>
      </c>
    </row>
    <row r="2039" spans="1:4" x14ac:dyDescent="0.25">
      <c r="A2039" s="15">
        <f>Sheet2!A2039</f>
        <v>0</v>
      </c>
      <c r="B2039" s="8">
        <v>1.77</v>
      </c>
      <c r="C2039" s="9">
        <v>0</v>
      </c>
      <c r="D2039" s="13">
        <f t="shared" si="31"/>
        <v>1.77</v>
      </c>
    </row>
    <row r="2040" spans="1:4" x14ac:dyDescent="0.25">
      <c r="A2040" s="15">
        <f>Sheet2!A2040</f>
        <v>0</v>
      </c>
      <c r="B2040" s="8">
        <v>1.44</v>
      </c>
      <c r="C2040" s="9">
        <v>0</v>
      </c>
      <c r="D2040" s="13">
        <f t="shared" si="31"/>
        <v>1.44</v>
      </c>
    </row>
    <row r="2041" spans="1:4" x14ac:dyDescent="0.25">
      <c r="A2041" s="15">
        <f>Sheet2!A2041</f>
        <v>0</v>
      </c>
      <c r="B2041" s="8">
        <v>0.74</v>
      </c>
      <c r="C2041" s="9">
        <v>0</v>
      </c>
      <c r="D2041" s="13">
        <f t="shared" si="31"/>
        <v>0.74</v>
      </c>
    </row>
    <row r="2042" spans="1:4" x14ac:dyDescent="0.25">
      <c r="A2042" s="15">
        <f>Sheet2!A2042</f>
        <v>0</v>
      </c>
      <c r="B2042" s="8">
        <v>0.92</v>
      </c>
      <c r="C2042" s="9">
        <v>0</v>
      </c>
      <c r="D2042" s="13">
        <f t="shared" si="31"/>
        <v>0.92</v>
      </c>
    </row>
    <row r="2043" spans="1:4" x14ac:dyDescent="0.25">
      <c r="A2043" s="15">
        <f>Sheet2!A2043</f>
        <v>0</v>
      </c>
      <c r="B2043" s="8">
        <v>0.73</v>
      </c>
      <c r="C2043" s="9">
        <v>0</v>
      </c>
      <c r="D2043" s="13">
        <f t="shared" si="31"/>
        <v>0.73</v>
      </c>
    </row>
    <row r="2044" spans="1:4" x14ac:dyDescent="0.25">
      <c r="A2044" s="15">
        <f>Sheet2!A2044</f>
        <v>0</v>
      </c>
      <c r="B2044" s="8">
        <v>0.64</v>
      </c>
      <c r="C2044" s="9">
        <v>0</v>
      </c>
      <c r="D2044" s="13">
        <f t="shared" si="31"/>
        <v>0.64</v>
      </c>
    </row>
    <row r="2045" spans="1:4" x14ac:dyDescent="0.25">
      <c r="A2045" s="15">
        <f>Sheet2!A2045</f>
        <v>0</v>
      </c>
      <c r="B2045" s="8">
        <v>1.1000000000000001</v>
      </c>
      <c r="C2045" s="9">
        <v>0</v>
      </c>
      <c r="D2045" s="13">
        <f t="shared" si="31"/>
        <v>1.1000000000000001</v>
      </c>
    </row>
    <row r="2046" spans="1:4" x14ac:dyDescent="0.25">
      <c r="A2046" s="15">
        <f>Sheet2!A2046</f>
        <v>0</v>
      </c>
      <c r="B2046" s="8">
        <v>0.96</v>
      </c>
      <c r="C2046" s="9">
        <v>0</v>
      </c>
      <c r="D2046" s="13">
        <f t="shared" si="31"/>
        <v>0.96</v>
      </c>
    </row>
    <row r="2047" spans="1:4" x14ac:dyDescent="0.25">
      <c r="A2047" s="15">
        <f>Sheet2!A2047</f>
        <v>0</v>
      </c>
      <c r="B2047" s="8">
        <v>1.59</v>
      </c>
      <c r="C2047" s="9">
        <v>0</v>
      </c>
      <c r="D2047" s="13">
        <f t="shared" si="31"/>
        <v>1.59</v>
      </c>
    </row>
    <row r="2048" spans="1:4" x14ac:dyDescent="0.25">
      <c r="A2048" s="15">
        <f>Sheet2!A2048</f>
        <v>0</v>
      </c>
      <c r="B2048" s="8">
        <v>0.96</v>
      </c>
      <c r="C2048" s="9">
        <v>0</v>
      </c>
      <c r="D2048" s="13">
        <f t="shared" si="31"/>
        <v>0.96</v>
      </c>
    </row>
    <row r="2049" spans="1:4" x14ac:dyDescent="0.25">
      <c r="A2049" s="15">
        <f>Sheet2!A2049</f>
        <v>0</v>
      </c>
      <c r="B2049" s="8">
        <v>1.26</v>
      </c>
      <c r="C2049" s="9">
        <v>0</v>
      </c>
      <c r="D2049" s="13">
        <f t="shared" si="31"/>
        <v>1.26</v>
      </c>
    </row>
    <row r="2050" spans="1:4" x14ac:dyDescent="0.25">
      <c r="A2050" s="15">
        <f>Sheet2!A2050</f>
        <v>0</v>
      </c>
      <c r="B2050" s="8">
        <v>0.93</v>
      </c>
      <c r="C2050" s="9">
        <v>0</v>
      </c>
      <c r="D2050" s="13">
        <f t="shared" si="31"/>
        <v>0.93</v>
      </c>
    </row>
    <row r="2051" spans="1:4" x14ac:dyDescent="0.25">
      <c r="A2051" s="15">
        <f>Sheet2!A2051</f>
        <v>0</v>
      </c>
      <c r="B2051" s="8">
        <v>1</v>
      </c>
      <c r="C2051" s="9">
        <v>0</v>
      </c>
      <c r="D2051" s="13">
        <f t="shared" ref="D2051:D2114" si="32">B2051+C2051</f>
        <v>1</v>
      </c>
    </row>
    <row r="2052" spans="1:4" x14ac:dyDescent="0.25">
      <c r="A2052" s="15">
        <f>Sheet2!A2052</f>
        <v>0</v>
      </c>
      <c r="B2052" s="8">
        <v>0</v>
      </c>
      <c r="C2052" s="9">
        <v>0.7</v>
      </c>
      <c r="D2052" s="13">
        <f t="shared" si="32"/>
        <v>0.7</v>
      </c>
    </row>
    <row r="2053" spans="1:4" x14ac:dyDescent="0.25">
      <c r="A2053" s="15">
        <f>Sheet2!A2053</f>
        <v>0</v>
      </c>
      <c r="B2053" s="8">
        <v>0</v>
      </c>
      <c r="C2053" s="9">
        <v>0.32</v>
      </c>
      <c r="D2053" s="13">
        <f t="shared" si="32"/>
        <v>0.32</v>
      </c>
    </row>
    <row r="2054" spans="1:4" x14ac:dyDescent="0.25">
      <c r="A2054" s="15">
        <f>Sheet2!A2054</f>
        <v>0</v>
      </c>
      <c r="B2054" s="8">
        <v>1</v>
      </c>
      <c r="C2054" s="9">
        <v>0</v>
      </c>
      <c r="D2054" s="13">
        <f t="shared" si="32"/>
        <v>1</v>
      </c>
    </row>
    <row r="2055" spans="1:4" x14ac:dyDescent="0.25">
      <c r="A2055" s="15">
        <f>Sheet2!A2055</f>
        <v>0</v>
      </c>
      <c r="B2055" s="8">
        <v>1.2</v>
      </c>
      <c r="C2055" s="9">
        <v>0</v>
      </c>
      <c r="D2055" s="13">
        <f t="shared" si="32"/>
        <v>1.2</v>
      </c>
    </row>
    <row r="2056" spans="1:4" x14ac:dyDescent="0.25">
      <c r="A2056" s="15">
        <f>Sheet2!A2056</f>
        <v>0</v>
      </c>
      <c r="B2056" s="8">
        <v>1.41</v>
      </c>
      <c r="C2056" s="9">
        <v>0</v>
      </c>
      <c r="D2056" s="13">
        <f t="shared" si="32"/>
        <v>1.41</v>
      </c>
    </row>
    <row r="2057" spans="1:4" x14ac:dyDescent="0.25">
      <c r="A2057" s="15">
        <f>Sheet2!A2057</f>
        <v>0</v>
      </c>
      <c r="B2057" s="8">
        <v>1.75</v>
      </c>
      <c r="C2057" s="9">
        <v>0</v>
      </c>
      <c r="D2057" s="13">
        <f t="shared" si="32"/>
        <v>1.75</v>
      </c>
    </row>
    <row r="2058" spans="1:4" x14ac:dyDescent="0.25">
      <c r="A2058" s="15">
        <f>Sheet2!A2058</f>
        <v>0</v>
      </c>
      <c r="B2058" s="8">
        <v>1.6</v>
      </c>
      <c r="C2058" s="9">
        <v>0</v>
      </c>
      <c r="D2058" s="13">
        <f t="shared" si="32"/>
        <v>1.6</v>
      </c>
    </row>
    <row r="2059" spans="1:4" x14ac:dyDescent="0.25">
      <c r="A2059" s="15">
        <f>Sheet2!A2059</f>
        <v>0</v>
      </c>
      <c r="B2059" s="8">
        <v>0</v>
      </c>
      <c r="C2059" s="9">
        <v>0.97</v>
      </c>
      <c r="D2059" s="13">
        <f t="shared" si="32"/>
        <v>0.97</v>
      </c>
    </row>
    <row r="2060" spans="1:4" x14ac:dyDescent="0.25">
      <c r="A2060" s="15">
        <f>Sheet2!A2060</f>
        <v>0</v>
      </c>
      <c r="B2060" s="8">
        <v>0</v>
      </c>
      <c r="C2060" s="9">
        <v>1.41</v>
      </c>
      <c r="D2060" s="13">
        <f t="shared" si="32"/>
        <v>1.41</v>
      </c>
    </row>
    <row r="2061" spans="1:4" x14ac:dyDescent="0.25">
      <c r="A2061" s="15">
        <f>Sheet2!A2061</f>
        <v>0</v>
      </c>
      <c r="B2061" s="8">
        <v>1.36</v>
      </c>
      <c r="C2061" s="9">
        <v>0</v>
      </c>
      <c r="D2061" s="13">
        <f t="shared" si="32"/>
        <v>1.36</v>
      </c>
    </row>
    <row r="2062" spans="1:4" x14ac:dyDescent="0.25">
      <c r="A2062" s="15">
        <f>Sheet2!A2062</f>
        <v>0</v>
      </c>
      <c r="B2062" s="8">
        <v>1.62</v>
      </c>
      <c r="C2062" s="9">
        <v>0</v>
      </c>
      <c r="D2062" s="13">
        <f t="shared" si="32"/>
        <v>1.62</v>
      </c>
    </row>
    <row r="2063" spans="1:4" x14ac:dyDescent="0.25">
      <c r="A2063" s="15">
        <f>Sheet2!A2063</f>
        <v>0</v>
      </c>
      <c r="B2063" s="8">
        <v>1.23</v>
      </c>
      <c r="C2063" s="9">
        <v>0</v>
      </c>
      <c r="D2063" s="13">
        <f t="shared" si="32"/>
        <v>1.23</v>
      </c>
    </row>
    <row r="2064" spans="1:4" x14ac:dyDescent="0.25">
      <c r="A2064" s="15">
        <f>Sheet2!A2064</f>
        <v>0</v>
      </c>
      <c r="B2064" s="8">
        <v>1.02</v>
      </c>
      <c r="C2064" s="9">
        <v>0</v>
      </c>
      <c r="D2064" s="13">
        <f t="shared" si="32"/>
        <v>1.02</v>
      </c>
    </row>
    <row r="2065" spans="1:4" x14ac:dyDescent="0.25">
      <c r="A2065" s="15">
        <f>Sheet2!A2065</f>
        <v>0</v>
      </c>
      <c r="B2065" s="8">
        <v>0.82</v>
      </c>
      <c r="C2065" s="9">
        <v>0</v>
      </c>
      <c r="D2065" s="13">
        <f t="shared" si="32"/>
        <v>0.82</v>
      </c>
    </row>
    <row r="2066" spans="1:4" x14ac:dyDescent="0.25">
      <c r="A2066" s="15">
        <f>Sheet2!A2066</f>
        <v>0</v>
      </c>
      <c r="B2066" s="8">
        <v>0.82</v>
      </c>
      <c r="C2066" s="9">
        <v>0</v>
      </c>
      <c r="D2066" s="13">
        <f t="shared" si="32"/>
        <v>0.82</v>
      </c>
    </row>
    <row r="2067" spans="1:4" x14ac:dyDescent="0.25">
      <c r="A2067" s="15">
        <f>Sheet2!A2067</f>
        <v>0</v>
      </c>
      <c r="B2067" s="8">
        <v>0.75</v>
      </c>
      <c r="C2067" s="9">
        <v>0</v>
      </c>
      <c r="D2067" s="13">
        <f t="shared" si="32"/>
        <v>0.75</v>
      </c>
    </row>
    <row r="2068" spans="1:4" x14ac:dyDescent="0.25">
      <c r="A2068" s="15">
        <f>Sheet2!A2068</f>
        <v>0</v>
      </c>
      <c r="B2068" s="8">
        <v>0.96</v>
      </c>
      <c r="C2068" s="9">
        <v>0</v>
      </c>
      <c r="D2068" s="13">
        <f t="shared" si="32"/>
        <v>0.96</v>
      </c>
    </row>
    <row r="2069" spans="1:4" x14ac:dyDescent="0.25">
      <c r="A2069" s="15">
        <f>Sheet2!A2069</f>
        <v>0</v>
      </c>
      <c r="B2069" s="8">
        <v>0.69</v>
      </c>
      <c r="C2069" s="9">
        <v>0</v>
      </c>
      <c r="D2069" s="13">
        <f t="shared" si="32"/>
        <v>0.69</v>
      </c>
    </row>
    <row r="2070" spans="1:4" x14ac:dyDescent="0.25">
      <c r="A2070" s="15">
        <f>Sheet2!A2070</f>
        <v>0</v>
      </c>
      <c r="B2070" s="8">
        <v>1.1200000000000001</v>
      </c>
      <c r="C2070" s="9">
        <v>0</v>
      </c>
      <c r="D2070" s="13">
        <f t="shared" si="32"/>
        <v>1.1200000000000001</v>
      </c>
    </row>
    <row r="2071" spans="1:4" x14ac:dyDescent="0.25">
      <c r="A2071" s="15">
        <f>Sheet2!A2071</f>
        <v>0</v>
      </c>
      <c r="B2071" s="8">
        <v>1.46</v>
      </c>
      <c r="C2071" s="9">
        <v>0</v>
      </c>
      <c r="D2071" s="13">
        <f t="shared" si="32"/>
        <v>1.46</v>
      </c>
    </row>
    <row r="2072" spans="1:4" x14ac:dyDescent="0.25">
      <c r="A2072" s="15">
        <f>Sheet2!A2072</f>
        <v>0</v>
      </c>
      <c r="B2072" s="8">
        <v>1</v>
      </c>
      <c r="C2072" s="9">
        <v>0</v>
      </c>
      <c r="D2072" s="13">
        <f t="shared" si="32"/>
        <v>1</v>
      </c>
    </row>
    <row r="2073" spans="1:4" x14ac:dyDescent="0.25">
      <c r="A2073" s="15">
        <f>Sheet2!A2073</f>
        <v>0</v>
      </c>
      <c r="B2073" s="8">
        <v>0</v>
      </c>
      <c r="C2073" s="9">
        <v>0.45</v>
      </c>
      <c r="D2073" s="13">
        <f t="shared" si="32"/>
        <v>0.45</v>
      </c>
    </row>
    <row r="2074" spans="1:4" x14ac:dyDescent="0.25">
      <c r="A2074" s="15">
        <f>Sheet2!A2074</f>
        <v>0</v>
      </c>
      <c r="B2074" s="8">
        <v>1.0900000000000001</v>
      </c>
      <c r="C2074" s="9">
        <v>0</v>
      </c>
      <c r="D2074" s="13">
        <f t="shared" si="32"/>
        <v>1.0900000000000001</v>
      </c>
    </row>
    <row r="2075" spans="1:4" x14ac:dyDescent="0.25">
      <c r="A2075" s="15">
        <f>Sheet2!A2075</f>
        <v>0</v>
      </c>
      <c r="B2075" s="8">
        <v>0.96</v>
      </c>
      <c r="C2075" s="9">
        <v>0</v>
      </c>
      <c r="D2075" s="13">
        <f t="shared" si="32"/>
        <v>0.96</v>
      </c>
    </row>
    <row r="2076" spans="1:4" x14ac:dyDescent="0.25">
      <c r="A2076" s="15">
        <f>Sheet2!A2076</f>
        <v>0</v>
      </c>
      <c r="B2076" s="8">
        <v>0</v>
      </c>
      <c r="C2076" s="9">
        <v>1.03</v>
      </c>
      <c r="D2076" s="13">
        <f t="shared" si="32"/>
        <v>1.03</v>
      </c>
    </row>
    <row r="2077" spans="1:4" x14ac:dyDescent="0.25">
      <c r="A2077" s="15">
        <f>Sheet2!A2077</f>
        <v>0</v>
      </c>
      <c r="B2077" s="8">
        <v>0</v>
      </c>
      <c r="C2077" s="9">
        <v>1.1399999999999999</v>
      </c>
      <c r="D2077" s="13">
        <f t="shared" si="32"/>
        <v>1.1399999999999999</v>
      </c>
    </row>
    <row r="2078" spans="1:4" x14ac:dyDescent="0.25">
      <c r="A2078" s="15">
        <f>Sheet2!A2078</f>
        <v>0</v>
      </c>
      <c r="B2078" s="8">
        <v>0</v>
      </c>
      <c r="C2078" s="9">
        <v>0.93</v>
      </c>
      <c r="D2078" s="13">
        <f t="shared" si="32"/>
        <v>0.93</v>
      </c>
    </row>
    <row r="2079" spans="1:4" x14ac:dyDescent="0.25">
      <c r="A2079" s="15">
        <f>Sheet2!A2079</f>
        <v>0</v>
      </c>
      <c r="B2079" s="8">
        <v>0</v>
      </c>
      <c r="C2079" s="9">
        <v>0.41</v>
      </c>
      <c r="D2079" s="13">
        <f t="shared" si="32"/>
        <v>0.41</v>
      </c>
    </row>
    <row r="2080" spans="1:4" x14ac:dyDescent="0.25">
      <c r="A2080" s="15">
        <f>Sheet2!A2080</f>
        <v>0</v>
      </c>
      <c r="B2080" s="8">
        <v>0</v>
      </c>
      <c r="C2080" s="9">
        <v>0.7</v>
      </c>
      <c r="D2080" s="13">
        <f t="shared" si="32"/>
        <v>0.7</v>
      </c>
    </row>
    <row r="2081" spans="1:4" x14ac:dyDescent="0.25">
      <c r="A2081" s="15">
        <f>Sheet2!A2081</f>
        <v>0</v>
      </c>
      <c r="B2081" s="8">
        <v>0</v>
      </c>
      <c r="C2081" s="9">
        <v>1.03</v>
      </c>
      <c r="D2081" s="13">
        <f t="shared" si="32"/>
        <v>1.03</v>
      </c>
    </row>
    <row r="2082" spans="1:4" x14ac:dyDescent="0.25">
      <c r="A2082" s="15">
        <f>Sheet2!A2082</f>
        <v>0</v>
      </c>
      <c r="B2082" s="8">
        <v>0</v>
      </c>
      <c r="C2082" s="9">
        <v>1.18</v>
      </c>
      <c r="D2082" s="13">
        <f t="shared" si="32"/>
        <v>1.18</v>
      </c>
    </row>
    <row r="2083" spans="1:4" x14ac:dyDescent="0.25">
      <c r="A2083" s="15">
        <f>Sheet2!A2083</f>
        <v>0</v>
      </c>
      <c r="B2083" s="8">
        <v>0</v>
      </c>
      <c r="C2083" s="9">
        <v>1.31</v>
      </c>
      <c r="D2083" s="13">
        <f t="shared" si="32"/>
        <v>1.31</v>
      </c>
    </row>
    <row r="2084" spans="1:4" x14ac:dyDescent="0.25">
      <c r="A2084" s="15">
        <f>Sheet2!A2084</f>
        <v>0</v>
      </c>
      <c r="B2084" s="8">
        <v>0</v>
      </c>
      <c r="C2084" s="9">
        <v>0.36</v>
      </c>
      <c r="D2084" s="13">
        <f t="shared" si="32"/>
        <v>0.36</v>
      </c>
    </row>
    <row r="2085" spans="1:4" x14ac:dyDescent="0.25">
      <c r="A2085" s="15">
        <f>Sheet2!A2085</f>
        <v>0</v>
      </c>
      <c r="B2085" s="8">
        <v>0</v>
      </c>
      <c r="C2085" s="9">
        <v>1.02</v>
      </c>
      <c r="D2085" s="13">
        <f t="shared" si="32"/>
        <v>1.02</v>
      </c>
    </row>
    <row r="2086" spans="1:4" x14ac:dyDescent="0.25">
      <c r="A2086" s="15">
        <f>Sheet2!A2086</f>
        <v>0</v>
      </c>
      <c r="B2086" s="8">
        <v>0</v>
      </c>
      <c r="C2086" s="9">
        <v>1.24</v>
      </c>
      <c r="D2086" s="13">
        <f t="shared" si="32"/>
        <v>1.24</v>
      </c>
    </row>
    <row r="2087" spans="1:4" x14ac:dyDescent="0.25">
      <c r="A2087" s="15">
        <f>Sheet2!A2087</f>
        <v>0</v>
      </c>
      <c r="B2087" s="8">
        <v>0</v>
      </c>
      <c r="C2087" s="9">
        <v>0.55000000000000004</v>
      </c>
      <c r="D2087" s="13">
        <f t="shared" si="32"/>
        <v>0.55000000000000004</v>
      </c>
    </row>
    <row r="2088" spans="1:4" x14ac:dyDescent="0.25">
      <c r="A2088" s="15">
        <f>Sheet2!A2088</f>
        <v>0</v>
      </c>
      <c r="B2088" s="8">
        <v>2.72</v>
      </c>
      <c r="C2088" s="9">
        <v>0</v>
      </c>
      <c r="D2088" s="13">
        <f t="shared" si="32"/>
        <v>2.72</v>
      </c>
    </row>
    <row r="2089" spans="1:4" x14ac:dyDescent="0.25">
      <c r="A2089" s="15">
        <f>Sheet2!A2089</f>
        <v>0</v>
      </c>
      <c r="B2089" s="8">
        <v>1.95</v>
      </c>
      <c r="C2089" s="9">
        <v>0</v>
      </c>
      <c r="D2089" s="13">
        <f t="shared" si="32"/>
        <v>1.95</v>
      </c>
    </row>
    <row r="2090" spans="1:4" x14ac:dyDescent="0.25">
      <c r="A2090" s="15">
        <f>Sheet2!A2090</f>
        <v>0</v>
      </c>
      <c r="B2090" s="8">
        <v>2.1</v>
      </c>
      <c r="C2090" s="9">
        <v>0</v>
      </c>
      <c r="D2090" s="13">
        <f t="shared" si="32"/>
        <v>2.1</v>
      </c>
    </row>
    <row r="2091" spans="1:4" x14ac:dyDescent="0.25">
      <c r="A2091" s="15">
        <f>Sheet2!A2091</f>
        <v>0</v>
      </c>
      <c r="B2091" s="8">
        <v>1.64</v>
      </c>
      <c r="C2091" s="9">
        <v>0</v>
      </c>
      <c r="D2091" s="13">
        <f t="shared" si="32"/>
        <v>1.64</v>
      </c>
    </row>
    <row r="2092" spans="1:4" x14ac:dyDescent="0.25">
      <c r="A2092" s="15">
        <f>Sheet2!A2092</f>
        <v>0</v>
      </c>
      <c r="B2092" s="8">
        <v>1.62</v>
      </c>
      <c r="C2092" s="9">
        <v>0</v>
      </c>
      <c r="D2092" s="13">
        <f t="shared" si="32"/>
        <v>1.62</v>
      </c>
    </row>
    <row r="2093" spans="1:4" x14ac:dyDescent="0.25">
      <c r="A2093" s="15">
        <f>Sheet2!A2093</f>
        <v>0</v>
      </c>
      <c r="B2093" s="8">
        <v>1.51</v>
      </c>
      <c r="C2093" s="9">
        <v>0</v>
      </c>
      <c r="D2093" s="13">
        <f t="shared" si="32"/>
        <v>1.51</v>
      </c>
    </row>
    <row r="2094" spans="1:4" x14ac:dyDescent="0.25">
      <c r="A2094" s="15">
        <f>Sheet2!A2094</f>
        <v>0</v>
      </c>
      <c r="B2094" s="8">
        <v>1.51</v>
      </c>
      <c r="C2094" s="9">
        <v>0</v>
      </c>
      <c r="D2094" s="13">
        <f t="shared" si="32"/>
        <v>1.51</v>
      </c>
    </row>
    <row r="2095" spans="1:4" x14ac:dyDescent="0.25">
      <c r="A2095" s="15">
        <f>Sheet2!A2095</f>
        <v>0</v>
      </c>
      <c r="B2095" s="8">
        <v>1.75</v>
      </c>
      <c r="C2095" s="9">
        <v>0</v>
      </c>
      <c r="D2095" s="13">
        <f t="shared" si="32"/>
        <v>1.75</v>
      </c>
    </row>
    <row r="2096" spans="1:4" x14ac:dyDescent="0.25">
      <c r="A2096" s="15">
        <f>Sheet2!A2096</f>
        <v>0</v>
      </c>
      <c r="B2096" s="8">
        <v>0.97</v>
      </c>
      <c r="C2096" s="9">
        <v>0</v>
      </c>
      <c r="D2096" s="13">
        <f t="shared" si="32"/>
        <v>0.97</v>
      </c>
    </row>
    <row r="2097" spans="1:4" x14ac:dyDescent="0.25">
      <c r="A2097" s="15">
        <f>Sheet2!A2097</f>
        <v>0</v>
      </c>
      <c r="B2097" s="8">
        <v>1.1200000000000001</v>
      </c>
      <c r="C2097" s="9">
        <v>0</v>
      </c>
      <c r="D2097" s="13">
        <f t="shared" si="32"/>
        <v>1.1200000000000001</v>
      </c>
    </row>
    <row r="2098" spans="1:4" x14ac:dyDescent="0.25">
      <c r="A2098" s="15">
        <f>Sheet2!A2098</f>
        <v>0</v>
      </c>
      <c r="B2098" s="8">
        <v>0.95</v>
      </c>
      <c r="C2098" s="9">
        <v>0</v>
      </c>
      <c r="D2098" s="13">
        <f t="shared" si="32"/>
        <v>0.95</v>
      </c>
    </row>
    <row r="2099" spans="1:4" x14ac:dyDescent="0.25">
      <c r="A2099" s="15">
        <f>Sheet2!A2099</f>
        <v>0</v>
      </c>
      <c r="B2099" s="8">
        <v>0</v>
      </c>
      <c r="C2099" s="9">
        <v>0.72</v>
      </c>
      <c r="D2099" s="13">
        <f t="shared" si="32"/>
        <v>0.72</v>
      </c>
    </row>
    <row r="2100" spans="1:4" x14ac:dyDescent="0.25">
      <c r="A2100" s="15">
        <f>Sheet2!A2100</f>
        <v>0</v>
      </c>
      <c r="B2100" s="8">
        <v>0</v>
      </c>
      <c r="C2100" s="9">
        <v>0.82</v>
      </c>
      <c r="D2100" s="13">
        <f t="shared" si="32"/>
        <v>0.82</v>
      </c>
    </row>
    <row r="2101" spans="1:4" x14ac:dyDescent="0.25">
      <c r="A2101" s="15">
        <f>Sheet2!A2101</f>
        <v>0</v>
      </c>
      <c r="B2101" s="8">
        <v>0</v>
      </c>
      <c r="C2101" s="9">
        <v>0.4</v>
      </c>
      <c r="D2101" s="13">
        <f t="shared" si="32"/>
        <v>0.4</v>
      </c>
    </row>
    <row r="2102" spans="1:4" x14ac:dyDescent="0.25">
      <c r="A2102" s="15">
        <f>Sheet2!A2102</f>
        <v>0</v>
      </c>
      <c r="B2102" s="8">
        <v>0</v>
      </c>
      <c r="C2102" s="9">
        <v>0.52</v>
      </c>
      <c r="D2102" s="13">
        <f t="shared" si="32"/>
        <v>0.52</v>
      </c>
    </row>
    <row r="2103" spans="1:4" x14ac:dyDescent="0.25">
      <c r="A2103" s="15">
        <f>Sheet2!A2103</f>
        <v>0</v>
      </c>
      <c r="B2103" s="8">
        <v>0</v>
      </c>
      <c r="C2103" s="9">
        <v>0.78</v>
      </c>
      <c r="D2103" s="13">
        <f t="shared" si="32"/>
        <v>0.78</v>
      </c>
    </row>
    <row r="2104" spans="1:4" x14ac:dyDescent="0.25">
      <c r="A2104" s="15">
        <f>Sheet2!A2104</f>
        <v>0</v>
      </c>
      <c r="B2104" s="8">
        <v>0</v>
      </c>
      <c r="C2104" s="9">
        <v>0.42</v>
      </c>
      <c r="D2104" s="13">
        <f t="shared" si="32"/>
        <v>0.42</v>
      </c>
    </row>
    <row r="2105" spans="1:4" x14ac:dyDescent="0.25">
      <c r="A2105" s="15">
        <f>Sheet2!A2105</f>
        <v>0</v>
      </c>
      <c r="B2105" s="8">
        <v>0</v>
      </c>
      <c r="C2105" s="9">
        <v>0.36</v>
      </c>
      <c r="D2105" s="13">
        <f t="shared" si="32"/>
        <v>0.36</v>
      </c>
    </row>
    <row r="2106" spans="1:4" x14ac:dyDescent="0.25">
      <c r="A2106" s="15">
        <f>Sheet2!A2106</f>
        <v>0</v>
      </c>
      <c r="B2106" s="8">
        <v>0</v>
      </c>
      <c r="C2106" s="9">
        <v>1.1200000000000001</v>
      </c>
      <c r="D2106" s="13">
        <f t="shared" si="32"/>
        <v>1.1200000000000001</v>
      </c>
    </row>
    <row r="2107" spans="1:4" x14ac:dyDescent="0.25">
      <c r="A2107" s="15">
        <f>Sheet2!A2107</f>
        <v>0</v>
      </c>
      <c r="B2107" s="8">
        <v>0</v>
      </c>
      <c r="C2107" s="9">
        <v>1.05</v>
      </c>
      <c r="D2107" s="13">
        <f t="shared" si="32"/>
        <v>1.05</v>
      </c>
    </row>
    <row r="2108" spans="1:4" x14ac:dyDescent="0.25">
      <c r="A2108" s="15">
        <f>Sheet2!A2108</f>
        <v>0</v>
      </c>
      <c r="B2108" s="8">
        <v>0</v>
      </c>
      <c r="C2108" s="9">
        <v>0.38</v>
      </c>
      <c r="D2108" s="13">
        <f t="shared" si="32"/>
        <v>0.38</v>
      </c>
    </row>
    <row r="2109" spans="1:4" x14ac:dyDescent="0.25">
      <c r="A2109" s="15">
        <f>Sheet2!A2109</f>
        <v>0</v>
      </c>
      <c r="B2109" s="8">
        <v>0</v>
      </c>
      <c r="C2109" s="9">
        <v>0.96</v>
      </c>
      <c r="D2109" s="13">
        <f t="shared" si="32"/>
        <v>0.96</v>
      </c>
    </row>
    <row r="2110" spans="1:4" x14ac:dyDescent="0.25">
      <c r="A2110" s="15">
        <f>Sheet2!A2110</f>
        <v>0</v>
      </c>
      <c r="B2110" s="8">
        <v>0</v>
      </c>
      <c r="C2110" s="9">
        <v>1.36</v>
      </c>
      <c r="D2110" s="13">
        <f t="shared" si="32"/>
        <v>1.36</v>
      </c>
    </row>
    <row r="2111" spans="1:4" x14ac:dyDescent="0.25">
      <c r="A2111" s="15">
        <f>Sheet2!A2111</f>
        <v>0</v>
      </c>
      <c r="B2111" s="8">
        <v>0</v>
      </c>
      <c r="C2111" s="9">
        <v>1.27</v>
      </c>
      <c r="D2111" s="13">
        <f t="shared" si="32"/>
        <v>1.27</v>
      </c>
    </row>
    <row r="2112" spans="1:4" x14ac:dyDescent="0.25">
      <c r="A2112" s="15">
        <f>Sheet2!A2112</f>
        <v>0</v>
      </c>
      <c r="B2112" s="8">
        <v>0</v>
      </c>
      <c r="C2112" s="9">
        <v>0.65</v>
      </c>
      <c r="D2112" s="13">
        <f t="shared" si="32"/>
        <v>0.65</v>
      </c>
    </row>
    <row r="2113" spans="1:4" x14ac:dyDescent="0.25">
      <c r="A2113" s="15">
        <f>Sheet2!A2113</f>
        <v>0</v>
      </c>
      <c r="B2113" s="8">
        <v>6.09</v>
      </c>
      <c r="C2113" s="9">
        <v>0</v>
      </c>
      <c r="D2113" s="13">
        <f t="shared" si="32"/>
        <v>6.09</v>
      </c>
    </row>
    <row r="2114" spans="1:4" x14ac:dyDescent="0.25">
      <c r="A2114" s="15">
        <f>Sheet2!A2114</f>
        <v>0</v>
      </c>
      <c r="B2114" s="8">
        <v>2.63</v>
      </c>
      <c r="C2114" s="9">
        <v>0</v>
      </c>
      <c r="D2114" s="13">
        <f t="shared" si="32"/>
        <v>2.63</v>
      </c>
    </row>
    <row r="2115" spans="1:4" x14ac:dyDescent="0.25">
      <c r="A2115" s="15">
        <f>Sheet2!A2115</f>
        <v>0</v>
      </c>
      <c r="B2115" s="8">
        <v>2.59</v>
      </c>
      <c r="C2115" s="9">
        <v>0</v>
      </c>
      <c r="D2115" s="13">
        <f t="shared" ref="D2115:D2178" si="33">B2115+C2115</f>
        <v>2.59</v>
      </c>
    </row>
    <row r="2116" spans="1:4" x14ac:dyDescent="0.25">
      <c r="A2116" s="15">
        <f>Sheet2!A2116</f>
        <v>0</v>
      </c>
      <c r="B2116" s="8">
        <v>2.4700000000000002</v>
      </c>
      <c r="C2116" s="9">
        <v>0</v>
      </c>
      <c r="D2116" s="13">
        <f t="shared" si="33"/>
        <v>2.4700000000000002</v>
      </c>
    </row>
    <row r="2117" spans="1:4" x14ac:dyDescent="0.25">
      <c r="A2117" s="15">
        <f>Sheet2!A2117</f>
        <v>0</v>
      </c>
      <c r="B2117" s="8">
        <v>2.74</v>
      </c>
      <c r="C2117" s="9">
        <v>0</v>
      </c>
      <c r="D2117" s="13">
        <f t="shared" si="33"/>
        <v>2.74</v>
      </c>
    </row>
    <row r="2118" spans="1:4" x14ac:dyDescent="0.25">
      <c r="A2118" s="15">
        <f>Sheet2!A2118</f>
        <v>0</v>
      </c>
      <c r="B2118" s="8">
        <v>2.4500000000000002</v>
      </c>
      <c r="C2118" s="9">
        <v>0</v>
      </c>
      <c r="D2118" s="13">
        <f t="shared" si="33"/>
        <v>2.4500000000000002</v>
      </c>
    </row>
    <row r="2119" spans="1:4" x14ac:dyDescent="0.25">
      <c r="A2119" s="15">
        <f>Sheet2!A2119</f>
        <v>0</v>
      </c>
      <c r="B2119" s="8">
        <v>2.44</v>
      </c>
      <c r="C2119" s="9">
        <v>0</v>
      </c>
      <c r="D2119" s="13">
        <f t="shared" si="33"/>
        <v>2.44</v>
      </c>
    </row>
    <row r="2120" spans="1:4" x14ac:dyDescent="0.25">
      <c r="A2120" s="15">
        <f>Sheet2!A2120</f>
        <v>0</v>
      </c>
      <c r="B2120" s="8">
        <v>2.2000000000000002</v>
      </c>
      <c r="C2120" s="9">
        <v>0</v>
      </c>
      <c r="D2120" s="13">
        <f t="shared" si="33"/>
        <v>2.2000000000000002</v>
      </c>
    </row>
    <row r="2121" spans="1:4" x14ac:dyDescent="0.25">
      <c r="A2121" s="15">
        <f>Sheet2!A2121</f>
        <v>0</v>
      </c>
      <c r="B2121" s="8">
        <v>1.38</v>
      </c>
      <c r="C2121" s="9">
        <v>0</v>
      </c>
      <c r="D2121" s="13">
        <f t="shared" si="33"/>
        <v>1.38</v>
      </c>
    </row>
    <row r="2122" spans="1:4" x14ac:dyDescent="0.25">
      <c r="A2122" s="15">
        <f>Sheet2!A2122</f>
        <v>0</v>
      </c>
      <c r="B2122" s="8">
        <v>1.86</v>
      </c>
      <c r="C2122" s="9">
        <v>0</v>
      </c>
      <c r="D2122" s="13">
        <f t="shared" si="33"/>
        <v>1.86</v>
      </c>
    </row>
    <row r="2123" spans="1:4" x14ac:dyDescent="0.25">
      <c r="A2123" s="15">
        <f>Sheet2!A2123</f>
        <v>0</v>
      </c>
      <c r="B2123" s="8">
        <v>1.71</v>
      </c>
      <c r="C2123" s="9">
        <v>0</v>
      </c>
      <c r="D2123" s="13">
        <f t="shared" si="33"/>
        <v>1.71</v>
      </c>
    </row>
    <row r="2124" spans="1:4" x14ac:dyDescent="0.25">
      <c r="A2124" s="15">
        <f>Sheet2!A2124</f>
        <v>0</v>
      </c>
      <c r="B2124" s="8">
        <v>1.23</v>
      </c>
      <c r="C2124" s="9">
        <v>0</v>
      </c>
      <c r="D2124" s="13">
        <f t="shared" si="33"/>
        <v>1.23</v>
      </c>
    </row>
    <row r="2125" spans="1:4" x14ac:dyDescent="0.25">
      <c r="A2125" s="15">
        <f>Sheet2!A2125</f>
        <v>0</v>
      </c>
      <c r="B2125" s="8">
        <v>2.14</v>
      </c>
      <c r="C2125" s="9">
        <v>0</v>
      </c>
      <c r="D2125" s="13">
        <f t="shared" si="33"/>
        <v>2.14</v>
      </c>
    </row>
    <row r="2126" spans="1:4" x14ac:dyDescent="0.25">
      <c r="A2126" s="15">
        <f>Sheet2!A2126</f>
        <v>0</v>
      </c>
      <c r="B2126" s="8">
        <v>1.45</v>
      </c>
      <c r="C2126" s="9">
        <v>0</v>
      </c>
      <c r="D2126" s="13">
        <f t="shared" si="33"/>
        <v>1.45</v>
      </c>
    </row>
    <row r="2127" spans="1:4" x14ac:dyDescent="0.25">
      <c r="A2127" s="15">
        <f>Sheet2!A2127</f>
        <v>0</v>
      </c>
      <c r="B2127" s="8">
        <v>0</v>
      </c>
      <c r="C2127" s="9">
        <v>0.93</v>
      </c>
      <c r="D2127" s="13">
        <f t="shared" si="33"/>
        <v>0.93</v>
      </c>
    </row>
    <row r="2128" spans="1:4" x14ac:dyDescent="0.25">
      <c r="A2128" s="15">
        <f>Sheet2!A2128</f>
        <v>0</v>
      </c>
      <c r="B2128" s="8">
        <v>0.98</v>
      </c>
      <c r="C2128" s="9">
        <v>0</v>
      </c>
      <c r="D2128" s="13">
        <f t="shared" si="33"/>
        <v>0.98</v>
      </c>
    </row>
    <row r="2129" spans="1:4" x14ac:dyDescent="0.25">
      <c r="A2129" s="15">
        <f>Sheet2!A2129</f>
        <v>0</v>
      </c>
      <c r="B2129" s="8">
        <v>1.34</v>
      </c>
      <c r="C2129" s="9">
        <v>0</v>
      </c>
      <c r="D2129" s="13">
        <f t="shared" si="33"/>
        <v>1.34</v>
      </c>
    </row>
    <row r="2130" spans="1:4" x14ac:dyDescent="0.25">
      <c r="A2130" s="15">
        <f>Sheet2!A2130</f>
        <v>0</v>
      </c>
      <c r="B2130" s="8">
        <v>2.15</v>
      </c>
      <c r="C2130" s="9">
        <v>0</v>
      </c>
      <c r="D2130" s="13">
        <f t="shared" si="33"/>
        <v>2.15</v>
      </c>
    </row>
    <row r="2131" spans="1:4" x14ac:dyDescent="0.25">
      <c r="A2131" s="15">
        <f>Sheet2!A2131</f>
        <v>0</v>
      </c>
      <c r="B2131" s="8">
        <v>0</v>
      </c>
      <c r="C2131" s="9">
        <v>1.07</v>
      </c>
      <c r="D2131" s="13">
        <f t="shared" si="33"/>
        <v>1.07</v>
      </c>
    </row>
    <row r="2132" spans="1:4" x14ac:dyDescent="0.25">
      <c r="A2132" s="15">
        <f>Sheet2!A2132</f>
        <v>0</v>
      </c>
      <c r="B2132" s="8">
        <v>0</v>
      </c>
      <c r="C2132" s="9">
        <v>1.97</v>
      </c>
      <c r="D2132" s="13">
        <f t="shared" si="33"/>
        <v>1.97</v>
      </c>
    </row>
    <row r="2133" spans="1:4" x14ac:dyDescent="0.25">
      <c r="A2133" s="15">
        <f>Sheet2!A2133</f>
        <v>0</v>
      </c>
      <c r="B2133" s="8">
        <v>0</v>
      </c>
      <c r="C2133" s="9">
        <v>0.2</v>
      </c>
      <c r="D2133" s="13">
        <f t="shared" si="33"/>
        <v>0.2</v>
      </c>
    </row>
    <row r="2134" spans="1:4" x14ac:dyDescent="0.25">
      <c r="A2134" s="15">
        <f>Sheet2!A2134</f>
        <v>0</v>
      </c>
      <c r="B2134" s="8">
        <v>2.0699999999999998</v>
      </c>
      <c r="C2134" s="9">
        <v>0</v>
      </c>
      <c r="D2134" s="13">
        <f t="shared" si="33"/>
        <v>2.0699999999999998</v>
      </c>
    </row>
    <row r="2135" spans="1:4" x14ac:dyDescent="0.25">
      <c r="A2135" s="15">
        <f>Sheet2!A2135</f>
        <v>0</v>
      </c>
      <c r="B2135" s="8">
        <v>2.57</v>
      </c>
      <c r="C2135" s="9">
        <v>0</v>
      </c>
      <c r="D2135" s="13">
        <f t="shared" si="33"/>
        <v>2.57</v>
      </c>
    </row>
    <row r="2136" spans="1:4" x14ac:dyDescent="0.25">
      <c r="A2136" s="15">
        <f>Sheet2!A2136</f>
        <v>0</v>
      </c>
      <c r="B2136" s="8">
        <v>2.5299999999999998</v>
      </c>
      <c r="C2136" s="9">
        <v>0</v>
      </c>
      <c r="D2136" s="13">
        <f t="shared" si="33"/>
        <v>2.5299999999999998</v>
      </c>
    </row>
    <row r="2137" spans="1:4" x14ac:dyDescent="0.25">
      <c r="A2137" s="15">
        <f>Sheet2!A2137</f>
        <v>0</v>
      </c>
      <c r="B2137" s="8">
        <v>2.69</v>
      </c>
      <c r="C2137" s="9">
        <v>0</v>
      </c>
      <c r="D2137" s="13">
        <f t="shared" si="33"/>
        <v>2.69</v>
      </c>
    </row>
    <row r="2138" spans="1:4" x14ac:dyDescent="0.25">
      <c r="A2138" s="15">
        <f>Sheet2!A2138</f>
        <v>0</v>
      </c>
      <c r="B2138" s="8">
        <v>2.38</v>
      </c>
      <c r="C2138" s="9">
        <v>0</v>
      </c>
      <c r="D2138" s="13">
        <f t="shared" si="33"/>
        <v>2.38</v>
      </c>
    </row>
    <row r="2139" spans="1:4" x14ac:dyDescent="0.25">
      <c r="A2139" s="15">
        <f>Sheet2!A2139</f>
        <v>0</v>
      </c>
      <c r="B2139" s="8">
        <v>2.5099999999999998</v>
      </c>
      <c r="C2139" s="9">
        <v>0</v>
      </c>
      <c r="D2139" s="13">
        <f t="shared" si="33"/>
        <v>2.5099999999999998</v>
      </c>
    </row>
    <row r="2140" spans="1:4" x14ac:dyDescent="0.25">
      <c r="A2140" s="15">
        <f>Sheet2!A2140</f>
        <v>0</v>
      </c>
      <c r="B2140" s="8">
        <v>2.0299999999999998</v>
      </c>
      <c r="C2140" s="9">
        <v>0</v>
      </c>
      <c r="D2140" s="13">
        <f t="shared" si="33"/>
        <v>2.0299999999999998</v>
      </c>
    </row>
    <row r="2141" spans="1:4" x14ac:dyDescent="0.25">
      <c r="A2141" s="15">
        <f>Sheet2!A2141</f>
        <v>0</v>
      </c>
      <c r="B2141" s="8">
        <v>1.98</v>
      </c>
      <c r="C2141" s="9">
        <v>0</v>
      </c>
      <c r="D2141" s="13">
        <f t="shared" si="33"/>
        <v>1.98</v>
      </c>
    </row>
    <row r="2142" spans="1:4" x14ac:dyDescent="0.25">
      <c r="A2142" s="15">
        <f>Sheet2!A2142</f>
        <v>0</v>
      </c>
      <c r="B2142" s="8">
        <v>2.09</v>
      </c>
      <c r="C2142" s="9">
        <v>0</v>
      </c>
      <c r="D2142" s="13">
        <f t="shared" si="33"/>
        <v>2.09</v>
      </c>
    </row>
    <row r="2143" spans="1:4" x14ac:dyDescent="0.25">
      <c r="A2143" s="15">
        <f>Sheet2!A2143</f>
        <v>0</v>
      </c>
      <c r="B2143" s="8">
        <v>1.85</v>
      </c>
      <c r="C2143" s="9">
        <v>0</v>
      </c>
      <c r="D2143" s="13">
        <f t="shared" si="33"/>
        <v>1.85</v>
      </c>
    </row>
    <row r="2144" spans="1:4" x14ac:dyDescent="0.25">
      <c r="A2144" s="15">
        <f>Sheet2!A2144</f>
        <v>0</v>
      </c>
      <c r="B2144" s="8">
        <v>2.02</v>
      </c>
      <c r="C2144" s="9">
        <v>0</v>
      </c>
      <c r="D2144" s="13">
        <f t="shared" si="33"/>
        <v>2.02</v>
      </c>
    </row>
    <row r="2145" spans="1:4" x14ac:dyDescent="0.25">
      <c r="A2145" s="15">
        <f>Sheet2!A2145</f>
        <v>0</v>
      </c>
      <c r="B2145" s="8">
        <v>1.58</v>
      </c>
      <c r="C2145" s="9">
        <v>0</v>
      </c>
      <c r="D2145" s="13">
        <f t="shared" si="33"/>
        <v>1.58</v>
      </c>
    </row>
    <row r="2146" spans="1:4" x14ac:dyDescent="0.25">
      <c r="A2146" s="15">
        <f>Sheet2!A2146</f>
        <v>0</v>
      </c>
      <c r="B2146" s="8">
        <v>1.4</v>
      </c>
      <c r="C2146" s="9">
        <v>0</v>
      </c>
      <c r="D2146" s="13">
        <f t="shared" si="33"/>
        <v>1.4</v>
      </c>
    </row>
    <row r="2147" spans="1:4" x14ac:dyDescent="0.25">
      <c r="A2147" s="15">
        <f>Sheet2!A2147</f>
        <v>0</v>
      </c>
      <c r="B2147" s="8">
        <v>0</v>
      </c>
      <c r="C2147" s="9">
        <v>1.44</v>
      </c>
      <c r="D2147" s="13">
        <f t="shared" si="33"/>
        <v>1.44</v>
      </c>
    </row>
    <row r="2148" spans="1:4" x14ac:dyDescent="0.25">
      <c r="A2148" s="15">
        <f>Sheet2!A2148</f>
        <v>0</v>
      </c>
      <c r="B2148" s="8">
        <v>0</v>
      </c>
      <c r="C2148" s="9">
        <v>2.4300000000000002</v>
      </c>
      <c r="D2148" s="13">
        <f t="shared" si="33"/>
        <v>2.4300000000000002</v>
      </c>
    </row>
    <row r="2149" spans="1:4" x14ac:dyDescent="0.25">
      <c r="A2149" s="15">
        <f>Sheet2!A2149</f>
        <v>0</v>
      </c>
      <c r="B2149" s="8">
        <v>0</v>
      </c>
      <c r="C2149" s="9">
        <v>0.68</v>
      </c>
      <c r="D2149" s="13">
        <f t="shared" si="33"/>
        <v>0.68</v>
      </c>
    </row>
    <row r="2150" spans="1:4" x14ac:dyDescent="0.25">
      <c r="A2150" s="15">
        <f>Sheet2!A2150</f>
        <v>0</v>
      </c>
      <c r="B2150" s="8">
        <v>1.95</v>
      </c>
      <c r="C2150" s="9">
        <v>0</v>
      </c>
      <c r="D2150" s="13">
        <f t="shared" si="33"/>
        <v>1.95</v>
      </c>
    </row>
    <row r="2151" spans="1:4" x14ac:dyDescent="0.25">
      <c r="A2151" s="15">
        <f>Sheet2!A2151</f>
        <v>0</v>
      </c>
      <c r="B2151" s="8">
        <v>0</v>
      </c>
      <c r="C2151" s="9">
        <v>0.74</v>
      </c>
      <c r="D2151" s="13">
        <f t="shared" si="33"/>
        <v>0.74</v>
      </c>
    </row>
    <row r="2152" spans="1:4" x14ac:dyDescent="0.25">
      <c r="A2152" s="15">
        <f>Sheet2!A2152</f>
        <v>0</v>
      </c>
      <c r="B2152" s="8">
        <v>0</v>
      </c>
      <c r="C2152" s="9">
        <v>1.1299999999999999</v>
      </c>
      <c r="D2152" s="13">
        <f t="shared" si="33"/>
        <v>1.1299999999999999</v>
      </c>
    </row>
    <row r="2153" spans="1:4" x14ac:dyDescent="0.25">
      <c r="A2153" s="15">
        <f>Sheet2!A2153</f>
        <v>0</v>
      </c>
      <c r="B2153" s="8">
        <v>0</v>
      </c>
      <c r="C2153" s="9">
        <v>0.46</v>
      </c>
      <c r="D2153" s="13">
        <f t="shared" si="33"/>
        <v>0.46</v>
      </c>
    </row>
    <row r="2154" spans="1:4" x14ac:dyDescent="0.25">
      <c r="A2154" s="15">
        <f>Sheet2!A2154</f>
        <v>0</v>
      </c>
      <c r="B2154" s="8">
        <v>2.11</v>
      </c>
      <c r="C2154" s="9">
        <v>0</v>
      </c>
      <c r="D2154" s="13">
        <f t="shared" si="33"/>
        <v>2.11</v>
      </c>
    </row>
    <row r="2155" spans="1:4" x14ac:dyDescent="0.25">
      <c r="A2155" s="15">
        <f>Sheet2!A2155</f>
        <v>0</v>
      </c>
      <c r="B2155" s="8">
        <v>0</v>
      </c>
      <c r="C2155" s="9">
        <v>1.38</v>
      </c>
      <c r="D2155" s="13">
        <f t="shared" si="33"/>
        <v>1.38</v>
      </c>
    </row>
    <row r="2156" spans="1:4" x14ac:dyDescent="0.25">
      <c r="A2156" s="15">
        <f>Sheet2!A2156</f>
        <v>0</v>
      </c>
      <c r="B2156" s="8">
        <v>0</v>
      </c>
      <c r="C2156" s="9">
        <v>2.4</v>
      </c>
      <c r="D2156" s="13">
        <f t="shared" si="33"/>
        <v>2.4</v>
      </c>
    </row>
    <row r="2157" spans="1:4" x14ac:dyDescent="0.25">
      <c r="A2157" s="15">
        <f>Sheet2!A2157</f>
        <v>0</v>
      </c>
      <c r="B2157" s="8">
        <v>0</v>
      </c>
      <c r="C2157" s="9">
        <v>1.07</v>
      </c>
      <c r="D2157" s="13">
        <f t="shared" si="33"/>
        <v>1.07</v>
      </c>
    </row>
    <row r="2158" spans="1:4" x14ac:dyDescent="0.25">
      <c r="A2158" s="15">
        <f>Sheet2!A2158</f>
        <v>0</v>
      </c>
      <c r="B2158" s="8">
        <v>2.7</v>
      </c>
      <c r="C2158" s="9">
        <v>0</v>
      </c>
      <c r="D2158" s="13">
        <f t="shared" si="33"/>
        <v>2.7</v>
      </c>
    </row>
    <row r="2159" spans="1:4" x14ac:dyDescent="0.25">
      <c r="A2159" s="15">
        <f>Sheet2!A2159</f>
        <v>0</v>
      </c>
      <c r="B2159" s="8">
        <v>2.11</v>
      </c>
      <c r="C2159" s="9">
        <v>0</v>
      </c>
      <c r="D2159" s="13">
        <f t="shared" si="33"/>
        <v>2.11</v>
      </c>
    </row>
    <row r="2160" spans="1:4" x14ac:dyDescent="0.25">
      <c r="A2160" s="15">
        <f>Sheet2!A2160</f>
        <v>0</v>
      </c>
      <c r="B2160" s="8">
        <v>2.84</v>
      </c>
      <c r="C2160" s="9">
        <v>0</v>
      </c>
      <c r="D2160" s="13">
        <f t="shared" si="33"/>
        <v>2.84</v>
      </c>
    </row>
    <row r="2161" spans="1:4" x14ac:dyDescent="0.25">
      <c r="A2161" s="15">
        <f>Sheet2!A2161</f>
        <v>0</v>
      </c>
      <c r="B2161" s="8">
        <v>2.36</v>
      </c>
      <c r="C2161" s="9">
        <v>0</v>
      </c>
      <c r="D2161" s="13">
        <f t="shared" si="33"/>
        <v>2.36</v>
      </c>
    </row>
    <row r="2162" spans="1:4" x14ac:dyDescent="0.25">
      <c r="A2162" s="15">
        <f>Sheet2!A2162</f>
        <v>0</v>
      </c>
      <c r="B2162" s="8">
        <v>2.15</v>
      </c>
      <c r="C2162" s="9">
        <v>0</v>
      </c>
      <c r="D2162" s="13">
        <f t="shared" si="33"/>
        <v>2.15</v>
      </c>
    </row>
    <row r="2163" spans="1:4" x14ac:dyDescent="0.25">
      <c r="A2163" s="15">
        <f>Sheet2!A2163</f>
        <v>0</v>
      </c>
      <c r="B2163" s="8">
        <v>1.89</v>
      </c>
      <c r="C2163" s="9">
        <v>0</v>
      </c>
      <c r="D2163" s="13">
        <f t="shared" si="33"/>
        <v>1.89</v>
      </c>
    </row>
    <row r="2164" spans="1:4" x14ac:dyDescent="0.25">
      <c r="A2164" s="15">
        <f>Sheet2!A2164</f>
        <v>0</v>
      </c>
      <c r="B2164" s="8">
        <v>1.79</v>
      </c>
      <c r="C2164" s="9">
        <v>0</v>
      </c>
      <c r="D2164" s="13">
        <f t="shared" si="33"/>
        <v>1.79</v>
      </c>
    </row>
    <row r="2165" spans="1:4" x14ac:dyDescent="0.25">
      <c r="A2165" s="15">
        <f>Sheet2!A2165</f>
        <v>0</v>
      </c>
      <c r="B2165" s="8">
        <v>1.92</v>
      </c>
      <c r="C2165" s="9">
        <v>0</v>
      </c>
      <c r="D2165" s="13">
        <f t="shared" si="33"/>
        <v>1.92</v>
      </c>
    </row>
    <row r="2166" spans="1:4" x14ac:dyDescent="0.25">
      <c r="A2166" s="15">
        <f>Sheet2!A2166</f>
        <v>0</v>
      </c>
      <c r="B2166" s="8">
        <v>2.11</v>
      </c>
      <c r="C2166" s="9">
        <v>0</v>
      </c>
      <c r="D2166" s="13">
        <f t="shared" si="33"/>
        <v>2.11</v>
      </c>
    </row>
    <row r="2167" spans="1:4" x14ac:dyDescent="0.25">
      <c r="A2167" s="15">
        <f>Sheet2!A2167</f>
        <v>0</v>
      </c>
      <c r="B2167" s="8">
        <v>1.97</v>
      </c>
      <c r="C2167" s="9">
        <v>0</v>
      </c>
      <c r="D2167" s="13">
        <f t="shared" si="33"/>
        <v>1.97</v>
      </c>
    </row>
    <row r="2168" spans="1:4" x14ac:dyDescent="0.25">
      <c r="A2168" s="15">
        <f>Sheet2!A2168</f>
        <v>0</v>
      </c>
      <c r="B2168" s="8">
        <v>0.93</v>
      </c>
      <c r="C2168" s="9">
        <v>0</v>
      </c>
      <c r="D2168" s="13">
        <f t="shared" si="33"/>
        <v>0.93</v>
      </c>
    </row>
    <row r="2169" spans="1:4" x14ac:dyDescent="0.25">
      <c r="A2169" s="15">
        <f>Sheet2!A2169</f>
        <v>0</v>
      </c>
      <c r="B2169" s="8">
        <v>1.0900000000000001</v>
      </c>
      <c r="C2169" s="9">
        <v>0</v>
      </c>
      <c r="D2169" s="13">
        <f t="shared" si="33"/>
        <v>1.0900000000000001</v>
      </c>
    </row>
    <row r="2170" spans="1:4" x14ac:dyDescent="0.25">
      <c r="A2170" s="15">
        <f>Sheet2!A2170</f>
        <v>0</v>
      </c>
      <c r="B2170" s="8">
        <v>1</v>
      </c>
      <c r="C2170" s="9">
        <v>0</v>
      </c>
      <c r="D2170" s="13">
        <f t="shared" si="33"/>
        <v>1</v>
      </c>
    </row>
    <row r="2171" spans="1:4" x14ac:dyDescent="0.25">
      <c r="A2171" s="15">
        <f>Sheet2!A2171</f>
        <v>0</v>
      </c>
      <c r="B2171" s="8">
        <v>0</v>
      </c>
      <c r="C2171" s="9">
        <v>0.49</v>
      </c>
      <c r="D2171" s="13">
        <f t="shared" si="33"/>
        <v>0.49</v>
      </c>
    </row>
    <row r="2172" spans="1:4" x14ac:dyDescent="0.25">
      <c r="A2172" s="15">
        <f>Sheet2!A2172</f>
        <v>0</v>
      </c>
      <c r="B2172" s="8">
        <v>0</v>
      </c>
      <c r="C2172" s="9">
        <v>0.8</v>
      </c>
      <c r="D2172" s="13">
        <f t="shared" si="33"/>
        <v>0.8</v>
      </c>
    </row>
    <row r="2173" spans="1:4" x14ac:dyDescent="0.25">
      <c r="A2173" s="15">
        <f>Sheet2!A2173</f>
        <v>0</v>
      </c>
      <c r="B2173" s="8">
        <v>0</v>
      </c>
      <c r="C2173" s="9">
        <v>0.2</v>
      </c>
      <c r="D2173" s="13">
        <f t="shared" si="33"/>
        <v>0.2</v>
      </c>
    </row>
    <row r="2174" spans="1:4" x14ac:dyDescent="0.25">
      <c r="A2174" s="15">
        <f>Sheet2!A2174</f>
        <v>0</v>
      </c>
      <c r="B2174" s="8">
        <v>1.23</v>
      </c>
      <c r="C2174" s="9">
        <v>0</v>
      </c>
      <c r="D2174" s="13">
        <f t="shared" si="33"/>
        <v>1.23</v>
      </c>
    </row>
    <row r="2175" spans="1:4" x14ac:dyDescent="0.25">
      <c r="A2175" s="15">
        <f>Sheet2!A2175</f>
        <v>0</v>
      </c>
      <c r="B2175" s="8">
        <v>1.91</v>
      </c>
      <c r="C2175" s="9">
        <v>0</v>
      </c>
      <c r="D2175" s="13">
        <f t="shared" si="33"/>
        <v>1.91</v>
      </c>
    </row>
    <row r="2176" spans="1:4" x14ac:dyDescent="0.25">
      <c r="A2176" s="15">
        <f>Sheet2!A2176</f>
        <v>0</v>
      </c>
      <c r="B2176" s="8">
        <v>2.23</v>
      </c>
      <c r="C2176" s="9">
        <v>0</v>
      </c>
      <c r="D2176" s="13">
        <f t="shared" si="33"/>
        <v>2.23</v>
      </c>
    </row>
    <row r="2177" spans="1:4" x14ac:dyDescent="0.25">
      <c r="A2177" s="15">
        <f>Sheet2!A2177</f>
        <v>0</v>
      </c>
      <c r="B2177" s="8">
        <v>0</v>
      </c>
      <c r="C2177" s="9">
        <v>1.26</v>
      </c>
      <c r="D2177" s="13">
        <f t="shared" si="33"/>
        <v>1.26</v>
      </c>
    </row>
    <row r="2178" spans="1:4" x14ac:dyDescent="0.25">
      <c r="A2178" s="15">
        <f>Sheet2!A2178</f>
        <v>0</v>
      </c>
      <c r="B2178" s="8">
        <v>0</v>
      </c>
      <c r="C2178" s="9">
        <v>1.48</v>
      </c>
      <c r="D2178" s="13">
        <f t="shared" si="33"/>
        <v>1.48</v>
      </c>
    </row>
    <row r="2179" spans="1:4" x14ac:dyDescent="0.25">
      <c r="A2179" s="15">
        <f>Sheet2!A2179</f>
        <v>0</v>
      </c>
      <c r="B2179" s="8">
        <v>0</v>
      </c>
      <c r="C2179" s="9">
        <v>0.61</v>
      </c>
      <c r="D2179" s="13">
        <f t="shared" ref="D2179:D2242" si="34">B2179+C2179</f>
        <v>0.61</v>
      </c>
    </row>
    <row r="2180" spans="1:4" x14ac:dyDescent="0.25">
      <c r="A2180" s="15">
        <f>Sheet2!A2180</f>
        <v>0</v>
      </c>
      <c r="B2180" s="8">
        <v>2.37</v>
      </c>
      <c r="C2180" s="9">
        <v>0</v>
      </c>
      <c r="D2180" s="13">
        <f t="shared" si="34"/>
        <v>2.37</v>
      </c>
    </row>
    <row r="2181" spans="1:4" x14ac:dyDescent="0.25">
      <c r="A2181" s="15">
        <f>Sheet2!A2181</f>
        <v>0</v>
      </c>
      <c r="B2181" s="8">
        <v>0</v>
      </c>
      <c r="C2181" s="9">
        <v>1.1399999999999999</v>
      </c>
      <c r="D2181" s="13">
        <f t="shared" si="34"/>
        <v>1.1399999999999999</v>
      </c>
    </row>
    <row r="2182" spans="1:4" x14ac:dyDescent="0.25">
      <c r="A2182" s="15">
        <f>Sheet2!A2182</f>
        <v>0</v>
      </c>
      <c r="B2182" s="8">
        <v>0</v>
      </c>
      <c r="C2182" s="9">
        <v>2.2999999999999998</v>
      </c>
      <c r="D2182" s="13">
        <f t="shared" si="34"/>
        <v>2.2999999999999998</v>
      </c>
    </row>
    <row r="2183" spans="1:4" x14ac:dyDescent="0.25">
      <c r="A2183" s="15">
        <f>Sheet2!A2183</f>
        <v>0</v>
      </c>
      <c r="B2183" s="8">
        <v>2.75</v>
      </c>
      <c r="C2183" s="9">
        <v>0</v>
      </c>
      <c r="D2183" s="13">
        <f t="shared" si="34"/>
        <v>2.75</v>
      </c>
    </row>
    <row r="2184" spans="1:4" x14ac:dyDescent="0.25">
      <c r="A2184" s="15">
        <f>Sheet2!A2184</f>
        <v>0</v>
      </c>
      <c r="B2184" s="8">
        <v>2.67</v>
      </c>
      <c r="C2184" s="9">
        <v>0</v>
      </c>
      <c r="D2184" s="13">
        <f t="shared" si="34"/>
        <v>2.67</v>
      </c>
    </row>
    <row r="2185" spans="1:4" x14ac:dyDescent="0.25">
      <c r="A2185" s="15">
        <f>Sheet2!A2185</f>
        <v>0</v>
      </c>
      <c r="B2185" s="8">
        <v>2.5</v>
      </c>
      <c r="C2185" s="9">
        <v>0</v>
      </c>
      <c r="D2185" s="13">
        <f t="shared" si="34"/>
        <v>2.5</v>
      </c>
    </row>
    <row r="2186" spans="1:4" x14ac:dyDescent="0.25">
      <c r="A2186" s="15">
        <f>Sheet2!A2186</f>
        <v>0</v>
      </c>
      <c r="B2186" s="8">
        <v>2.36</v>
      </c>
      <c r="C2186" s="9">
        <v>0</v>
      </c>
      <c r="D2186" s="13">
        <f t="shared" si="34"/>
        <v>2.36</v>
      </c>
    </row>
    <row r="2187" spans="1:4" x14ac:dyDescent="0.25">
      <c r="A2187" s="15">
        <f>Sheet2!A2187</f>
        <v>0</v>
      </c>
      <c r="B2187" s="8">
        <v>1.94</v>
      </c>
      <c r="C2187" s="9">
        <v>0</v>
      </c>
      <c r="D2187" s="13">
        <f t="shared" si="34"/>
        <v>1.94</v>
      </c>
    </row>
    <row r="2188" spans="1:4" x14ac:dyDescent="0.25">
      <c r="A2188" s="15">
        <f>Sheet2!A2188</f>
        <v>0</v>
      </c>
      <c r="B2188" s="8">
        <v>1.69</v>
      </c>
      <c r="C2188" s="9">
        <v>0</v>
      </c>
      <c r="D2188" s="13">
        <f t="shared" si="34"/>
        <v>1.69</v>
      </c>
    </row>
    <row r="2189" spans="1:4" x14ac:dyDescent="0.25">
      <c r="A2189" s="15">
        <f>Sheet2!A2189</f>
        <v>0</v>
      </c>
      <c r="B2189" s="8">
        <v>1.87</v>
      </c>
      <c r="C2189" s="9">
        <v>0</v>
      </c>
      <c r="D2189" s="13">
        <f t="shared" si="34"/>
        <v>1.87</v>
      </c>
    </row>
    <row r="2190" spans="1:4" x14ac:dyDescent="0.25">
      <c r="A2190" s="15">
        <f>Sheet2!A2190</f>
        <v>0</v>
      </c>
      <c r="B2190" s="8">
        <v>2.0099999999999998</v>
      </c>
      <c r="C2190" s="9">
        <v>0</v>
      </c>
      <c r="D2190" s="13">
        <f t="shared" si="34"/>
        <v>2.0099999999999998</v>
      </c>
    </row>
    <row r="2191" spans="1:4" x14ac:dyDescent="0.25">
      <c r="A2191" s="15">
        <f>Sheet2!A2191</f>
        <v>0</v>
      </c>
      <c r="B2191" s="8">
        <v>1.68</v>
      </c>
      <c r="C2191" s="9">
        <v>0</v>
      </c>
      <c r="D2191" s="13">
        <f t="shared" si="34"/>
        <v>1.68</v>
      </c>
    </row>
    <row r="2192" spans="1:4" x14ac:dyDescent="0.25">
      <c r="A2192" s="15">
        <f>Sheet2!A2192</f>
        <v>0</v>
      </c>
      <c r="B2192" s="8">
        <v>0.67</v>
      </c>
      <c r="C2192" s="9">
        <v>0</v>
      </c>
      <c r="D2192" s="13">
        <f t="shared" si="34"/>
        <v>0.67</v>
      </c>
    </row>
    <row r="2193" spans="1:4" x14ac:dyDescent="0.25">
      <c r="A2193" s="15">
        <f>Sheet2!A2193</f>
        <v>0</v>
      </c>
      <c r="B2193" s="8">
        <v>1.04</v>
      </c>
      <c r="C2193" s="9">
        <v>0</v>
      </c>
      <c r="D2193" s="13">
        <f t="shared" si="34"/>
        <v>1.04</v>
      </c>
    </row>
    <row r="2194" spans="1:4" x14ac:dyDescent="0.25">
      <c r="A2194" s="15">
        <f>Sheet2!A2194</f>
        <v>0</v>
      </c>
      <c r="B2194" s="8">
        <v>0.86</v>
      </c>
      <c r="C2194" s="9">
        <v>0</v>
      </c>
      <c r="D2194" s="13">
        <f t="shared" si="34"/>
        <v>0.86</v>
      </c>
    </row>
    <row r="2195" spans="1:4" x14ac:dyDescent="0.25">
      <c r="A2195" s="15">
        <f>Sheet2!A2195</f>
        <v>0</v>
      </c>
      <c r="B2195" s="8">
        <v>0.76</v>
      </c>
      <c r="C2195" s="9">
        <v>0</v>
      </c>
      <c r="D2195" s="13">
        <f t="shared" si="34"/>
        <v>0.76</v>
      </c>
    </row>
    <row r="2196" spans="1:4" x14ac:dyDescent="0.25">
      <c r="A2196" s="15">
        <f>Sheet2!A2196</f>
        <v>0</v>
      </c>
      <c r="B2196" s="8">
        <v>1.06</v>
      </c>
      <c r="C2196" s="9">
        <v>0</v>
      </c>
      <c r="D2196" s="13">
        <f t="shared" si="34"/>
        <v>1.06</v>
      </c>
    </row>
    <row r="2197" spans="1:4" x14ac:dyDescent="0.25">
      <c r="A2197" s="15">
        <f>Sheet2!A2197</f>
        <v>0</v>
      </c>
      <c r="B2197" s="8">
        <v>2.68</v>
      </c>
      <c r="C2197" s="9">
        <v>0</v>
      </c>
      <c r="D2197" s="13">
        <f t="shared" si="34"/>
        <v>2.68</v>
      </c>
    </row>
    <row r="2198" spans="1:4" x14ac:dyDescent="0.25">
      <c r="A2198" s="15">
        <f>Sheet2!A2198</f>
        <v>0</v>
      </c>
      <c r="B2198" s="8">
        <v>2.59</v>
      </c>
      <c r="C2198" s="9">
        <v>0</v>
      </c>
      <c r="D2198" s="13">
        <f t="shared" si="34"/>
        <v>2.59</v>
      </c>
    </row>
    <row r="2199" spans="1:4" x14ac:dyDescent="0.25">
      <c r="A2199" s="15">
        <f>Sheet2!A2199</f>
        <v>0</v>
      </c>
      <c r="B2199" s="8">
        <v>2.08</v>
      </c>
      <c r="C2199" s="9">
        <v>0</v>
      </c>
      <c r="D2199" s="13">
        <f t="shared" si="34"/>
        <v>2.08</v>
      </c>
    </row>
    <row r="2200" spans="1:4" x14ac:dyDescent="0.25">
      <c r="A2200" s="15">
        <f>Sheet2!A2200</f>
        <v>0</v>
      </c>
      <c r="B2200" s="8">
        <v>0</v>
      </c>
      <c r="C2200" s="9">
        <v>0.84</v>
      </c>
      <c r="D2200" s="13">
        <f t="shared" si="34"/>
        <v>0.84</v>
      </c>
    </row>
    <row r="2201" spans="1:4" x14ac:dyDescent="0.25">
      <c r="A2201" s="15">
        <f>Sheet2!A2201</f>
        <v>0</v>
      </c>
      <c r="B2201" s="8">
        <v>0</v>
      </c>
      <c r="C2201" s="9">
        <v>0.37</v>
      </c>
      <c r="D2201" s="13">
        <f t="shared" si="34"/>
        <v>0.37</v>
      </c>
    </row>
    <row r="2202" spans="1:4" x14ac:dyDescent="0.25">
      <c r="A2202" s="15">
        <f>Sheet2!A2202</f>
        <v>0</v>
      </c>
      <c r="B2202" s="8">
        <v>1.52</v>
      </c>
      <c r="C2202" s="9">
        <v>0</v>
      </c>
      <c r="D2202" s="13">
        <f t="shared" si="34"/>
        <v>1.52</v>
      </c>
    </row>
    <row r="2203" spans="1:4" x14ac:dyDescent="0.25">
      <c r="A2203" s="15">
        <f>Sheet2!A2203</f>
        <v>0</v>
      </c>
      <c r="B2203" s="8">
        <v>1.66</v>
      </c>
      <c r="C2203" s="9">
        <v>0</v>
      </c>
      <c r="D2203" s="13">
        <f t="shared" si="34"/>
        <v>1.66</v>
      </c>
    </row>
    <row r="2204" spans="1:4" x14ac:dyDescent="0.25">
      <c r="A2204" s="15">
        <f>Sheet2!A2204</f>
        <v>0</v>
      </c>
      <c r="B2204" s="8">
        <v>1.92</v>
      </c>
      <c r="C2204" s="9">
        <v>0</v>
      </c>
      <c r="D2204" s="13">
        <f t="shared" si="34"/>
        <v>1.92</v>
      </c>
    </row>
    <row r="2205" spans="1:4" x14ac:dyDescent="0.25">
      <c r="A2205" s="15">
        <f>Sheet2!A2205</f>
        <v>0</v>
      </c>
      <c r="B2205" s="8">
        <v>0</v>
      </c>
      <c r="C2205" s="9">
        <v>1.18</v>
      </c>
      <c r="D2205" s="13">
        <f t="shared" si="34"/>
        <v>1.18</v>
      </c>
    </row>
    <row r="2206" spans="1:4" x14ac:dyDescent="0.25">
      <c r="A2206" s="15">
        <f>Sheet2!A2206</f>
        <v>0</v>
      </c>
      <c r="B2206" s="8">
        <v>0</v>
      </c>
      <c r="C2206" s="9">
        <v>0.75</v>
      </c>
      <c r="D2206" s="13">
        <f t="shared" si="34"/>
        <v>0.75</v>
      </c>
    </row>
    <row r="2207" spans="1:4" x14ac:dyDescent="0.25">
      <c r="A2207" s="15">
        <f>Sheet2!A2207</f>
        <v>0</v>
      </c>
      <c r="B2207" s="8">
        <v>3.45</v>
      </c>
      <c r="C2207" s="9">
        <v>0</v>
      </c>
      <c r="D2207" s="13">
        <f t="shared" si="34"/>
        <v>3.45</v>
      </c>
    </row>
    <row r="2208" spans="1:4" x14ac:dyDescent="0.25">
      <c r="A2208" s="15">
        <f>Sheet2!A2208</f>
        <v>0</v>
      </c>
      <c r="B2208" s="8">
        <v>2.59</v>
      </c>
      <c r="C2208" s="9">
        <v>0</v>
      </c>
      <c r="D2208" s="13">
        <f t="shared" si="34"/>
        <v>2.59</v>
      </c>
    </row>
    <row r="2209" spans="1:4" x14ac:dyDescent="0.25">
      <c r="A2209" s="15">
        <f>Sheet2!A2209</f>
        <v>0</v>
      </c>
      <c r="B2209" s="8">
        <v>2.4</v>
      </c>
      <c r="C2209" s="9">
        <v>0</v>
      </c>
      <c r="D2209" s="13">
        <f t="shared" si="34"/>
        <v>2.4</v>
      </c>
    </row>
    <row r="2210" spans="1:4" x14ac:dyDescent="0.25">
      <c r="A2210" s="15">
        <f>Sheet2!A2210</f>
        <v>0</v>
      </c>
      <c r="B2210" s="8">
        <v>2.1800000000000002</v>
      </c>
      <c r="C2210" s="9">
        <v>0</v>
      </c>
      <c r="D2210" s="13">
        <f t="shared" si="34"/>
        <v>2.1800000000000002</v>
      </c>
    </row>
    <row r="2211" spans="1:4" x14ac:dyDescent="0.25">
      <c r="A2211" s="15">
        <f>Sheet2!A2211</f>
        <v>0</v>
      </c>
      <c r="B2211" s="8">
        <v>2.15</v>
      </c>
      <c r="C2211" s="9">
        <v>0</v>
      </c>
      <c r="D2211" s="13">
        <f t="shared" si="34"/>
        <v>2.15</v>
      </c>
    </row>
    <row r="2212" spans="1:4" x14ac:dyDescent="0.25">
      <c r="A2212" s="15">
        <f>Sheet2!A2212</f>
        <v>0</v>
      </c>
      <c r="B2212" s="8">
        <v>2.0299999999999998</v>
      </c>
      <c r="C2212" s="9">
        <v>0</v>
      </c>
      <c r="D2212" s="13">
        <f t="shared" si="34"/>
        <v>2.0299999999999998</v>
      </c>
    </row>
    <row r="2213" spans="1:4" x14ac:dyDescent="0.25">
      <c r="A2213" s="15">
        <f>Sheet2!A2213</f>
        <v>0</v>
      </c>
      <c r="B2213" s="8">
        <v>2.2000000000000002</v>
      </c>
      <c r="C2213" s="9">
        <v>0</v>
      </c>
      <c r="D2213" s="13">
        <f t="shared" si="34"/>
        <v>2.2000000000000002</v>
      </c>
    </row>
    <row r="2214" spans="1:4" x14ac:dyDescent="0.25">
      <c r="A2214" s="15">
        <f>Sheet2!A2214</f>
        <v>0</v>
      </c>
      <c r="B2214" s="8">
        <v>1.96</v>
      </c>
      <c r="C2214" s="9">
        <v>0</v>
      </c>
      <c r="D2214" s="13">
        <f t="shared" si="34"/>
        <v>1.96</v>
      </c>
    </row>
    <row r="2215" spans="1:4" x14ac:dyDescent="0.25">
      <c r="A2215" s="15">
        <f>Sheet2!A2215</f>
        <v>0</v>
      </c>
      <c r="B2215" s="8">
        <v>2.04</v>
      </c>
      <c r="C2215" s="9">
        <v>0</v>
      </c>
      <c r="D2215" s="13">
        <f t="shared" si="34"/>
        <v>2.04</v>
      </c>
    </row>
    <row r="2216" spans="1:4" x14ac:dyDescent="0.25">
      <c r="A2216" s="15">
        <f>Sheet2!A2216</f>
        <v>0</v>
      </c>
      <c r="B2216" s="8">
        <v>1.28</v>
      </c>
      <c r="C2216" s="9">
        <v>0</v>
      </c>
      <c r="D2216" s="13">
        <f t="shared" si="34"/>
        <v>1.28</v>
      </c>
    </row>
    <row r="2217" spans="1:4" x14ac:dyDescent="0.25">
      <c r="A2217" s="15">
        <f>Sheet2!A2217</f>
        <v>0</v>
      </c>
      <c r="B2217" s="8">
        <v>0.83</v>
      </c>
      <c r="C2217" s="9">
        <v>0</v>
      </c>
      <c r="D2217" s="13">
        <f t="shared" si="34"/>
        <v>0.83</v>
      </c>
    </row>
    <row r="2218" spans="1:4" x14ac:dyDescent="0.25">
      <c r="A2218" s="15">
        <f>Sheet2!A2218</f>
        <v>0</v>
      </c>
      <c r="B2218" s="8">
        <v>0.93</v>
      </c>
      <c r="C2218" s="9">
        <v>0</v>
      </c>
      <c r="D2218" s="13">
        <f t="shared" si="34"/>
        <v>0.93</v>
      </c>
    </row>
    <row r="2219" spans="1:4" x14ac:dyDescent="0.25">
      <c r="A2219" s="15">
        <f>Sheet2!A2219</f>
        <v>0</v>
      </c>
      <c r="B2219" s="8">
        <v>0.79</v>
      </c>
      <c r="C2219" s="9">
        <v>0</v>
      </c>
      <c r="D2219" s="13">
        <f t="shared" si="34"/>
        <v>0.79</v>
      </c>
    </row>
    <row r="2220" spans="1:4" x14ac:dyDescent="0.25">
      <c r="A2220" s="15">
        <f>Sheet2!A2220</f>
        <v>0</v>
      </c>
      <c r="B2220" s="8">
        <v>0</v>
      </c>
      <c r="C2220" s="9">
        <v>0.91</v>
      </c>
      <c r="D2220" s="13">
        <f t="shared" si="34"/>
        <v>0.91</v>
      </c>
    </row>
    <row r="2221" spans="1:4" x14ac:dyDescent="0.25">
      <c r="A2221" s="15">
        <f>Sheet2!A2221</f>
        <v>0</v>
      </c>
      <c r="B2221" s="8">
        <v>0</v>
      </c>
      <c r="C2221" s="9">
        <v>0.51</v>
      </c>
      <c r="D2221" s="13">
        <f t="shared" si="34"/>
        <v>0.51</v>
      </c>
    </row>
    <row r="2222" spans="1:4" x14ac:dyDescent="0.25">
      <c r="A2222" s="15">
        <f>Sheet2!A2222</f>
        <v>0</v>
      </c>
      <c r="B2222" s="8">
        <v>2.13</v>
      </c>
      <c r="C2222" s="9">
        <v>0</v>
      </c>
      <c r="D2222" s="13">
        <f t="shared" si="34"/>
        <v>2.13</v>
      </c>
    </row>
    <row r="2223" spans="1:4" x14ac:dyDescent="0.25">
      <c r="A2223" s="15">
        <f>Sheet2!A2223</f>
        <v>0</v>
      </c>
      <c r="B2223" s="8">
        <v>3.06</v>
      </c>
      <c r="C2223" s="9">
        <v>0</v>
      </c>
      <c r="D2223" s="13">
        <f t="shared" si="34"/>
        <v>3.06</v>
      </c>
    </row>
    <row r="2224" spans="1:4" x14ac:dyDescent="0.25">
      <c r="A2224" s="15">
        <f>Sheet2!A2224</f>
        <v>0</v>
      </c>
      <c r="B2224" s="8">
        <v>2.0299999999999998</v>
      </c>
      <c r="C2224" s="9">
        <v>0</v>
      </c>
      <c r="D2224" s="13">
        <f t="shared" si="34"/>
        <v>2.0299999999999998</v>
      </c>
    </row>
    <row r="2225" spans="1:4" x14ac:dyDescent="0.25">
      <c r="A2225" s="15">
        <f>Sheet2!A2225</f>
        <v>0</v>
      </c>
      <c r="B2225" s="8">
        <v>1.39</v>
      </c>
      <c r="C2225" s="9">
        <v>0</v>
      </c>
      <c r="D2225" s="13">
        <f t="shared" si="34"/>
        <v>1.39</v>
      </c>
    </row>
    <row r="2226" spans="1:4" x14ac:dyDescent="0.25">
      <c r="A2226" s="15">
        <f>Sheet2!A2226</f>
        <v>0</v>
      </c>
      <c r="B2226" s="8">
        <v>1.34</v>
      </c>
      <c r="C2226" s="9">
        <v>0</v>
      </c>
      <c r="D2226" s="13">
        <f t="shared" si="34"/>
        <v>1.34</v>
      </c>
    </row>
    <row r="2227" spans="1:4" x14ac:dyDescent="0.25">
      <c r="A2227" s="15">
        <f>Sheet2!A2227</f>
        <v>0</v>
      </c>
      <c r="B2227" s="8">
        <v>0</v>
      </c>
      <c r="C2227" s="9">
        <v>1.44</v>
      </c>
      <c r="D2227" s="13">
        <f t="shared" si="34"/>
        <v>1.44</v>
      </c>
    </row>
    <row r="2228" spans="1:4" x14ac:dyDescent="0.25">
      <c r="A2228" s="15">
        <f>Sheet2!A2228</f>
        <v>0</v>
      </c>
      <c r="B2228" s="8">
        <v>0</v>
      </c>
      <c r="C2228" s="9">
        <v>2.61</v>
      </c>
      <c r="D2228" s="13">
        <f t="shared" si="34"/>
        <v>2.61</v>
      </c>
    </row>
    <row r="2229" spans="1:4" x14ac:dyDescent="0.25">
      <c r="A2229" s="15">
        <f>Sheet2!A2229</f>
        <v>0</v>
      </c>
      <c r="B2229" s="8">
        <v>0</v>
      </c>
      <c r="C2229" s="9">
        <v>1.06</v>
      </c>
      <c r="D2229" s="13">
        <f t="shared" si="34"/>
        <v>1.06</v>
      </c>
    </row>
    <row r="2230" spans="1:4" x14ac:dyDescent="0.25">
      <c r="A2230" s="15">
        <f>Sheet2!A2230</f>
        <v>0</v>
      </c>
      <c r="B2230" s="8">
        <v>1.71</v>
      </c>
      <c r="C2230" s="9">
        <v>0</v>
      </c>
      <c r="D2230" s="13">
        <f t="shared" si="34"/>
        <v>1.71</v>
      </c>
    </row>
    <row r="2231" spans="1:4" x14ac:dyDescent="0.25">
      <c r="A2231" s="15">
        <f>Sheet2!A2231</f>
        <v>0</v>
      </c>
      <c r="B2231" s="8">
        <v>0</v>
      </c>
      <c r="C2231" s="9">
        <v>0.53</v>
      </c>
      <c r="D2231" s="13">
        <f t="shared" si="34"/>
        <v>0.53</v>
      </c>
    </row>
    <row r="2232" spans="1:4" x14ac:dyDescent="0.25">
      <c r="A2232" s="15">
        <f>Sheet2!A2232</f>
        <v>0</v>
      </c>
      <c r="B2232" s="8">
        <v>2.96</v>
      </c>
      <c r="C2232" s="9">
        <v>0</v>
      </c>
      <c r="D2232" s="13">
        <f t="shared" si="34"/>
        <v>2.96</v>
      </c>
    </row>
    <row r="2233" spans="1:4" x14ac:dyDescent="0.25">
      <c r="A2233" s="15">
        <f>Sheet2!A2233</f>
        <v>0</v>
      </c>
      <c r="B2233" s="8">
        <v>2.54</v>
      </c>
      <c r="C2233" s="9">
        <v>0</v>
      </c>
      <c r="D2233" s="13">
        <f t="shared" si="34"/>
        <v>2.54</v>
      </c>
    </row>
    <row r="2234" spans="1:4" x14ac:dyDescent="0.25">
      <c r="A2234" s="15">
        <f>Sheet2!A2234</f>
        <v>0</v>
      </c>
      <c r="B2234" s="8">
        <v>2.35</v>
      </c>
      <c r="C2234" s="9">
        <v>0</v>
      </c>
      <c r="D2234" s="13">
        <f t="shared" si="34"/>
        <v>2.35</v>
      </c>
    </row>
    <row r="2235" spans="1:4" x14ac:dyDescent="0.25">
      <c r="A2235" s="15">
        <f>Sheet2!A2235</f>
        <v>0</v>
      </c>
      <c r="B2235" s="8">
        <v>2.21</v>
      </c>
      <c r="C2235" s="9">
        <v>0</v>
      </c>
      <c r="D2235" s="13">
        <f t="shared" si="34"/>
        <v>2.21</v>
      </c>
    </row>
    <row r="2236" spans="1:4" x14ac:dyDescent="0.25">
      <c r="A2236" s="15">
        <f>Sheet2!A2236</f>
        <v>0</v>
      </c>
      <c r="B2236" s="8">
        <v>2.41</v>
      </c>
      <c r="C2236" s="9">
        <v>0</v>
      </c>
      <c r="D2236" s="13">
        <f t="shared" si="34"/>
        <v>2.41</v>
      </c>
    </row>
    <row r="2237" spans="1:4" x14ac:dyDescent="0.25">
      <c r="A2237" s="15">
        <f>Sheet2!A2237</f>
        <v>0</v>
      </c>
      <c r="B2237" s="8">
        <v>2.1</v>
      </c>
      <c r="C2237" s="9">
        <v>0</v>
      </c>
      <c r="D2237" s="13">
        <f t="shared" si="34"/>
        <v>2.1</v>
      </c>
    </row>
    <row r="2238" spans="1:4" x14ac:dyDescent="0.25">
      <c r="A2238" s="15">
        <f>Sheet2!A2238</f>
        <v>0</v>
      </c>
      <c r="B2238" s="8">
        <v>2.39</v>
      </c>
      <c r="C2238" s="9">
        <v>0</v>
      </c>
      <c r="D2238" s="13">
        <f t="shared" si="34"/>
        <v>2.39</v>
      </c>
    </row>
    <row r="2239" spans="1:4" x14ac:dyDescent="0.25">
      <c r="A2239" s="15">
        <f>Sheet2!A2239</f>
        <v>0</v>
      </c>
      <c r="B2239" s="8">
        <v>1.61</v>
      </c>
      <c r="C2239" s="9">
        <v>0</v>
      </c>
      <c r="D2239" s="13">
        <f t="shared" si="34"/>
        <v>1.61</v>
      </c>
    </row>
    <row r="2240" spans="1:4" x14ac:dyDescent="0.25">
      <c r="A2240" s="15">
        <f>Sheet2!A2240</f>
        <v>0</v>
      </c>
      <c r="B2240" s="8">
        <v>1.06</v>
      </c>
      <c r="C2240" s="9">
        <v>0</v>
      </c>
      <c r="D2240" s="13">
        <f t="shared" si="34"/>
        <v>1.06</v>
      </c>
    </row>
    <row r="2241" spans="1:4" x14ac:dyDescent="0.25">
      <c r="A2241" s="15">
        <f>Sheet2!A2241</f>
        <v>0</v>
      </c>
      <c r="B2241" s="8">
        <v>0.93</v>
      </c>
      <c r="C2241" s="9">
        <v>0</v>
      </c>
      <c r="D2241" s="13">
        <f t="shared" si="34"/>
        <v>0.93</v>
      </c>
    </row>
    <row r="2242" spans="1:4" x14ac:dyDescent="0.25">
      <c r="A2242" s="15">
        <f>Sheet2!A2242</f>
        <v>0</v>
      </c>
      <c r="B2242" s="8">
        <v>0.78</v>
      </c>
      <c r="C2242" s="9">
        <v>0</v>
      </c>
      <c r="D2242" s="13">
        <f t="shared" si="34"/>
        <v>0.78</v>
      </c>
    </row>
    <row r="2243" spans="1:4" x14ac:dyDescent="0.25">
      <c r="A2243" s="15">
        <f>Sheet2!A2243</f>
        <v>0</v>
      </c>
      <c r="B2243" s="8">
        <v>0</v>
      </c>
      <c r="C2243" s="9">
        <v>0.56000000000000005</v>
      </c>
      <c r="D2243" s="13">
        <f t="shared" ref="D2243:D2306" si="35">B2243+C2243</f>
        <v>0.56000000000000005</v>
      </c>
    </row>
    <row r="2244" spans="1:4" x14ac:dyDescent="0.25">
      <c r="A2244" s="15">
        <f>Sheet2!A2244</f>
        <v>0</v>
      </c>
      <c r="B2244" s="8">
        <v>0</v>
      </c>
      <c r="C2244" s="9">
        <v>0.92</v>
      </c>
      <c r="D2244" s="13">
        <f t="shared" si="35"/>
        <v>0.92</v>
      </c>
    </row>
    <row r="2245" spans="1:4" x14ac:dyDescent="0.25">
      <c r="A2245" s="15">
        <f>Sheet2!A2245</f>
        <v>0</v>
      </c>
      <c r="B2245" s="8">
        <v>0</v>
      </c>
      <c r="C2245" s="9">
        <v>0.42</v>
      </c>
      <c r="D2245" s="13">
        <f t="shared" si="35"/>
        <v>0.42</v>
      </c>
    </row>
    <row r="2246" spans="1:4" x14ac:dyDescent="0.25">
      <c r="A2246" s="15">
        <f>Sheet2!A2246</f>
        <v>0</v>
      </c>
      <c r="B2246" s="8">
        <v>1.53</v>
      </c>
      <c r="C2246" s="9">
        <v>0</v>
      </c>
      <c r="D2246" s="13">
        <f t="shared" si="35"/>
        <v>1.53</v>
      </c>
    </row>
    <row r="2247" spans="1:4" x14ac:dyDescent="0.25">
      <c r="A2247" s="15">
        <f>Sheet2!A2247</f>
        <v>0</v>
      </c>
      <c r="B2247" s="8">
        <v>0</v>
      </c>
      <c r="C2247" s="9">
        <v>1.1200000000000001</v>
      </c>
      <c r="D2247" s="13">
        <f t="shared" si="35"/>
        <v>1.1200000000000001</v>
      </c>
    </row>
    <row r="2248" spans="1:4" x14ac:dyDescent="0.25">
      <c r="A2248" s="15">
        <f>Sheet2!A2248</f>
        <v>0</v>
      </c>
      <c r="B2248" s="8">
        <v>0</v>
      </c>
      <c r="C2248" s="9">
        <v>2.2400000000000002</v>
      </c>
      <c r="D2248" s="13">
        <f t="shared" si="35"/>
        <v>2.2400000000000002</v>
      </c>
    </row>
    <row r="2249" spans="1:4" x14ac:dyDescent="0.25">
      <c r="A2249" s="15">
        <f>Sheet2!A2249</f>
        <v>0</v>
      </c>
      <c r="B2249" s="8">
        <v>0</v>
      </c>
      <c r="C2249" s="9">
        <v>0.84</v>
      </c>
      <c r="D2249" s="13">
        <f t="shared" si="35"/>
        <v>0.84</v>
      </c>
    </row>
    <row r="2250" spans="1:4" x14ac:dyDescent="0.25">
      <c r="A2250" s="15">
        <f>Sheet2!A2250</f>
        <v>0</v>
      </c>
      <c r="B2250" s="8">
        <v>1.96</v>
      </c>
      <c r="C2250" s="9">
        <v>0</v>
      </c>
      <c r="D2250" s="13">
        <f t="shared" si="35"/>
        <v>1.96</v>
      </c>
    </row>
    <row r="2251" spans="1:4" x14ac:dyDescent="0.25">
      <c r="A2251" s="15">
        <f>Sheet2!A2251</f>
        <v>0</v>
      </c>
      <c r="B2251" s="8">
        <v>0</v>
      </c>
      <c r="C2251" s="9">
        <v>1.59</v>
      </c>
      <c r="D2251" s="13">
        <f t="shared" si="35"/>
        <v>1.59</v>
      </c>
    </row>
    <row r="2252" spans="1:4" x14ac:dyDescent="0.25">
      <c r="A2252" s="15">
        <f>Sheet2!A2252</f>
        <v>0</v>
      </c>
      <c r="B2252" s="8">
        <v>0</v>
      </c>
      <c r="C2252" s="9">
        <v>2.48</v>
      </c>
      <c r="D2252" s="13">
        <f t="shared" si="35"/>
        <v>2.48</v>
      </c>
    </row>
    <row r="2253" spans="1:4" x14ac:dyDescent="0.25">
      <c r="A2253" s="15">
        <f>Sheet2!A2253</f>
        <v>0</v>
      </c>
      <c r="B2253" s="8">
        <v>0</v>
      </c>
      <c r="C2253" s="9">
        <v>2.3199999999999998</v>
      </c>
      <c r="D2253" s="13">
        <f t="shared" si="35"/>
        <v>2.3199999999999998</v>
      </c>
    </row>
    <row r="2254" spans="1:4" x14ac:dyDescent="0.25">
      <c r="A2254" s="15">
        <f>Sheet2!A2254</f>
        <v>0</v>
      </c>
      <c r="B2254" s="8">
        <v>0</v>
      </c>
      <c r="C2254" s="9">
        <v>1.66</v>
      </c>
      <c r="D2254" s="13">
        <f t="shared" si="35"/>
        <v>1.66</v>
      </c>
    </row>
    <row r="2255" spans="1:4" x14ac:dyDescent="0.25">
      <c r="A2255" s="15">
        <f>Sheet2!A2255</f>
        <v>0</v>
      </c>
      <c r="B2255" s="8">
        <v>2.58</v>
      </c>
      <c r="C2255" s="9">
        <v>0</v>
      </c>
      <c r="D2255" s="13">
        <f t="shared" si="35"/>
        <v>2.58</v>
      </c>
    </row>
    <row r="2256" spans="1:4" x14ac:dyDescent="0.25">
      <c r="A2256" s="15">
        <f>Sheet2!A2256</f>
        <v>0</v>
      </c>
      <c r="B2256" s="8">
        <v>2.4300000000000002</v>
      </c>
      <c r="C2256" s="9">
        <v>0</v>
      </c>
      <c r="D2256" s="13">
        <f t="shared" si="35"/>
        <v>2.4300000000000002</v>
      </c>
    </row>
    <row r="2257" spans="1:4" x14ac:dyDescent="0.25">
      <c r="A2257" s="15">
        <f>Sheet2!A2257</f>
        <v>0</v>
      </c>
      <c r="B2257" s="8">
        <v>2.56</v>
      </c>
      <c r="C2257" s="9">
        <v>0</v>
      </c>
      <c r="D2257" s="13">
        <f t="shared" si="35"/>
        <v>2.56</v>
      </c>
    </row>
    <row r="2258" spans="1:4" x14ac:dyDescent="0.25">
      <c r="A2258" s="15">
        <f>Sheet2!A2258</f>
        <v>0</v>
      </c>
      <c r="B2258" s="8">
        <v>2.88</v>
      </c>
      <c r="C2258" s="9">
        <v>0</v>
      </c>
      <c r="D2258" s="13">
        <f t="shared" si="35"/>
        <v>2.88</v>
      </c>
    </row>
    <row r="2259" spans="1:4" x14ac:dyDescent="0.25">
      <c r="A2259" s="15">
        <f>Sheet2!A2259</f>
        <v>0</v>
      </c>
      <c r="B2259" s="8">
        <v>2.4900000000000002</v>
      </c>
      <c r="C2259" s="9">
        <v>0</v>
      </c>
      <c r="D2259" s="13">
        <f t="shared" si="35"/>
        <v>2.4900000000000002</v>
      </c>
    </row>
    <row r="2260" spans="1:4" x14ac:dyDescent="0.25">
      <c r="A2260" s="15">
        <f>Sheet2!A2260</f>
        <v>0</v>
      </c>
      <c r="B2260" s="8">
        <v>2.23</v>
      </c>
      <c r="C2260" s="9">
        <v>0</v>
      </c>
      <c r="D2260" s="13">
        <f t="shared" si="35"/>
        <v>2.23</v>
      </c>
    </row>
    <row r="2261" spans="1:4" x14ac:dyDescent="0.25">
      <c r="A2261" s="15">
        <f>Sheet2!A2261</f>
        <v>0</v>
      </c>
      <c r="B2261" s="8">
        <v>1.98</v>
      </c>
      <c r="C2261" s="9">
        <v>0</v>
      </c>
      <c r="D2261" s="13">
        <f t="shared" si="35"/>
        <v>1.98</v>
      </c>
    </row>
    <row r="2262" spans="1:4" x14ac:dyDescent="0.25">
      <c r="A2262" s="15">
        <f>Sheet2!A2262</f>
        <v>0</v>
      </c>
      <c r="B2262" s="8">
        <v>2.61</v>
      </c>
      <c r="C2262" s="9">
        <v>0</v>
      </c>
      <c r="D2262" s="13">
        <f t="shared" si="35"/>
        <v>2.61</v>
      </c>
    </row>
    <row r="2263" spans="1:4" x14ac:dyDescent="0.25">
      <c r="A2263" s="15">
        <f>Sheet2!A2263</f>
        <v>0</v>
      </c>
      <c r="B2263" s="8">
        <v>2.25</v>
      </c>
      <c r="C2263" s="9">
        <v>0</v>
      </c>
      <c r="D2263" s="13">
        <f t="shared" si="35"/>
        <v>2.25</v>
      </c>
    </row>
    <row r="2264" spans="1:4" x14ac:dyDescent="0.25">
      <c r="A2264" s="15">
        <f>Sheet2!A2264</f>
        <v>0</v>
      </c>
      <c r="B2264" s="8">
        <v>0</v>
      </c>
      <c r="C2264" s="9">
        <v>0.81</v>
      </c>
      <c r="D2264" s="13">
        <f t="shared" si="35"/>
        <v>0.81</v>
      </c>
    </row>
    <row r="2265" spans="1:4" x14ac:dyDescent="0.25">
      <c r="A2265" s="15">
        <f>Sheet2!A2265</f>
        <v>0</v>
      </c>
      <c r="B2265" s="8">
        <v>0</v>
      </c>
      <c r="C2265" s="9">
        <v>0.24</v>
      </c>
      <c r="D2265" s="13">
        <f t="shared" si="35"/>
        <v>0.24</v>
      </c>
    </row>
    <row r="2266" spans="1:4" x14ac:dyDescent="0.25">
      <c r="A2266" s="15">
        <f>Sheet2!A2266</f>
        <v>0</v>
      </c>
      <c r="B2266" s="8">
        <v>1.01</v>
      </c>
      <c r="C2266" s="9">
        <v>0</v>
      </c>
      <c r="D2266" s="13">
        <f t="shared" si="35"/>
        <v>1.01</v>
      </c>
    </row>
    <row r="2267" spans="1:4" x14ac:dyDescent="0.25">
      <c r="A2267" s="15">
        <f>Sheet2!A2267</f>
        <v>0</v>
      </c>
      <c r="B2267" s="8">
        <v>0</v>
      </c>
      <c r="C2267" s="9">
        <v>0.56999999999999995</v>
      </c>
      <c r="D2267" s="13">
        <f t="shared" si="35"/>
        <v>0.56999999999999995</v>
      </c>
    </row>
    <row r="2268" spans="1:4" x14ac:dyDescent="0.25">
      <c r="A2268" s="15">
        <f>Sheet2!A2268</f>
        <v>0</v>
      </c>
      <c r="B2268" s="8">
        <v>0</v>
      </c>
      <c r="C2268" s="9">
        <v>0.98</v>
      </c>
      <c r="D2268" s="13">
        <f t="shared" si="35"/>
        <v>0.98</v>
      </c>
    </row>
    <row r="2269" spans="1:4" x14ac:dyDescent="0.25">
      <c r="A2269" s="15">
        <f>Sheet2!A2269</f>
        <v>0</v>
      </c>
      <c r="B2269" s="8">
        <v>0</v>
      </c>
      <c r="C2269" s="9">
        <v>0.45</v>
      </c>
      <c r="D2269" s="13">
        <f t="shared" si="35"/>
        <v>0.45</v>
      </c>
    </row>
    <row r="2270" spans="1:4" x14ac:dyDescent="0.25">
      <c r="A2270" s="15">
        <f>Sheet2!A2270</f>
        <v>0</v>
      </c>
      <c r="B2270" s="8">
        <v>0.97</v>
      </c>
      <c r="C2270" s="9">
        <v>0</v>
      </c>
      <c r="D2270" s="13">
        <f t="shared" si="35"/>
        <v>0.97</v>
      </c>
    </row>
    <row r="2271" spans="1:4" x14ac:dyDescent="0.25">
      <c r="A2271" s="15">
        <f>Sheet2!A2271</f>
        <v>0</v>
      </c>
      <c r="B2271" s="8">
        <v>0</v>
      </c>
      <c r="C2271" s="9">
        <v>0.56999999999999995</v>
      </c>
      <c r="D2271" s="13">
        <f t="shared" si="35"/>
        <v>0.56999999999999995</v>
      </c>
    </row>
    <row r="2272" spans="1:4" x14ac:dyDescent="0.25">
      <c r="A2272" s="15">
        <f>Sheet2!A2272</f>
        <v>0</v>
      </c>
      <c r="B2272" s="8">
        <v>0</v>
      </c>
      <c r="C2272" s="9">
        <v>1.34</v>
      </c>
      <c r="D2272" s="13">
        <f t="shared" si="35"/>
        <v>1.34</v>
      </c>
    </row>
    <row r="2273" spans="1:4" x14ac:dyDescent="0.25">
      <c r="A2273" s="15">
        <f>Sheet2!A2273</f>
        <v>0</v>
      </c>
      <c r="B2273" s="8">
        <v>0</v>
      </c>
      <c r="C2273" s="9">
        <v>1.6</v>
      </c>
      <c r="D2273" s="13">
        <f t="shared" si="35"/>
        <v>1.6</v>
      </c>
    </row>
    <row r="2274" spans="1:4" x14ac:dyDescent="0.25">
      <c r="A2274" s="15">
        <f>Sheet2!A2274</f>
        <v>0</v>
      </c>
      <c r="B2274" s="8">
        <v>0</v>
      </c>
      <c r="C2274" s="9">
        <v>2.34</v>
      </c>
      <c r="D2274" s="13">
        <f t="shared" si="35"/>
        <v>2.34</v>
      </c>
    </row>
    <row r="2275" spans="1:4" x14ac:dyDescent="0.25">
      <c r="A2275" s="15">
        <f>Sheet2!A2275</f>
        <v>0</v>
      </c>
      <c r="B2275" s="8">
        <v>0</v>
      </c>
      <c r="C2275" s="9">
        <v>0.66</v>
      </c>
      <c r="D2275" s="13">
        <f t="shared" si="35"/>
        <v>0.66</v>
      </c>
    </row>
    <row r="2276" spans="1:4" x14ac:dyDescent="0.25">
      <c r="A2276" s="15">
        <f>Sheet2!A2276</f>
        <v>0</v>
      </c>
      <c r="B2276" s="8">
        <v>2.02</v>
      </c>
      <c r="C2276" s="9">
        <v>0</v>
      </c>
      <c r="D2276" s="13">
        <f t="shared" si="35"/>
        <v>2.02</v>
      </c>
    </row>
    <row r="2277" spans="1:4" x14ac:dyDescent="0.25">
      <c r="A2277" s="15">
        <f>Sheet2!A2277</f>
        <v>0</v>
      </c>
      <c r="B2277" s="8">
        <v>0</v>
      </c>
      <c r="C2277" s="9">
        <v>0.98</v>
      </c>
      <c r="D2277" s="13">
        <f t="shared" si="35"/>
        <v>0.98</v>
      </c>
    </row>
    <row r="2278" spans="1:4" x14ac:dyDescent="0.25">
      <c r="A2278" s="15">
        <f>Sheet2!A2278</f>
        <v>0</v>
      </c>
      <c r="B2278" s="8">
        <v>0</v>
      </c>
      <c r="C2278" s="9">
        <v>1.66</v>
      </c>
      <c r="D2278" s="13">
        <f t="shared" si="35"/>
        <v>1.66</v>
      </c>
    </row>
    <row r="2279" spans="1:4" x14ac:dyDescent="0.25">
      <c r="A2279" s="15">
        <f>Sheet2!A2279</f>
        <v>0</v>
      </c>
      <c r="B2279" s="8">
        <v>0</v>
      </c>
      <c r="C2279" s="9">
        <v>1.94</v>
      </c>
      <c r="D2279" s="13">
        <f t="shared" si="35"/>
        <v>1.94</v>
      </c>
    </row>
    <row r="2280" spans="1:4" x14ac:dyDescent="0.25">
      <c r="A2280" s="15">
        <f>Sheet2!A2280</f>
        <v>0</v>
      </c>
      <c r="B2280" s="8">
        <v>0</v>
      </c>
      <c r="C2280" s="9">
        <v>2.19</v>
      </c>
      <c r="D2280" s="13">
        <f t="shared" si="35"/>
        <v>2.19</v>
      </c>
    </row>
    <row r="2281" spans="1:4" x14ac:dyDescent="0.25">
      <c r="A2281" s="15">
        <f>Sheet2!A2281</f>
        <v>0</v>
      </c>
      <c r="B2281" s="8">
        <v>2.65</v>
      </c>
      <c r="C2281" s="9">
        <v>0</v>
      </c>
      <c r="D2281" s="13">
        <f t="shared" si="35"/>
        <v>2.65</v>
      </c>
    </row>
    <row r="2282" spans="1:4" x14ac:dyDescent="0.25">
      <c r="A2282" s="15">
        <f>Sheet2!A2282</f>
        <v>0</v>
      </c>
      <c r="B2282" s="8">
        <v>2.8</v>
      </c>
      <c r="C2282" s="9">
        <v>0</v>
      </c>
      <c r="D2282" s="13">
        <f t="shared" si="35"/>
        <v>2.8</v>
      </c>
    </row>
    <row r="2283" spans="1:4" x14ac:dyDescent="0.25">
      <c r="A2283" s="15">
        <f>Sheet2!A2283</f>
        <v>0</v>
      </c>
      <c r="B2283" s="8">
        <v>2.5499999999999998</v>
      </c>
      <c r="C2283" s="9">
        <v>0</v>
      </c>
      <c r="D2283" s="13">
        <f t="shared" si="35"/>
        <v>2.5499999999999998</v>
      </c>
    </row>
    <row r="2284" spans="1:4" x14ac:dyDescent="0.25">
      <c r="A2284" s="15">
        <f>Sheet2!A2284</f>
        <v>0</v>
      </c>
      <c r="B2284" s="8">
        <v>2.87</v>
      </c>
      <c r="C2284" s="9">
        <v>0</v>
      </c>
      <c r="D2284" s="13">
        <f t="shared" si="35"/>
        <v>2.87</v>
      </c>
    </row>
    <row r="2285" spans="1:4" x14ac:dyDescent="0.25">
      <c r="A2285" s="15">
        <f>Sheet2!A2285</f>
        <v>0</v>
      </c>
      <c r="B2285" s="8">
        <v>2.52</v>
      </c>
      <c r="C2285" s="9">
        <v>0</v>
      </c>
      <c r="D2285" s="13">
        <f t="shared" si="35"/>
        <v>2.52</v>
      </c>
    </row>
    <row r="2286" spans="1:4" x14ac:dyDescent="0.25">
      <c r="A2286" s="15">
        <f>Sheet2!A2286</f>
        <v>0</v>
      </c>
      <c r="B2286" s="8">
        <v>2.93</v>
      </c>
      <c r="C2286" s="9">
        <v>0</v>
      </c>
      <c r="D2286" s="13">
        <f t="shared" si="35"/>
        <v>2.93</v>
      </c>
    </row>
    <row r="2287" spans="1:4" x14ac:dyDescent="0.25">
      <c r="A2287" s="15">
        <f>Sheet2!A2287</f>
        <v>0</v>
      </c>
      <c r="B2287" s="8">
        <v>2.81</v>
      </c>
      <c r="C2287" s="9">
        <v>0</v>
      </c>
      <c r="D2287" s="13">
        <f t="shared" si="35"/>
        <v>2.81</v>
      </c>
    </row>
    <row r="2288" spans="1:4" x14ac:dyDescent="0.25">
      <c r="A2288" s="15">
        <f>Sheet2!A2288</f>
        <v>0</v>
      </c>
      <c r="B2288" s="8">
        <v>2.23</v>
      </c>
      <c r="C2288" s="9">
        <v>0</v>
      </c>
      <c r="D2288" s="13">
        <f t="shared" si="35"/>
        <v>2.23</v>
      </c>
    </row>
    <row r="2289" spans="1:4" x14ac:dyDescent="0.25">
      <c r="A2289" s="15">
        <f>Sheet2!A2289</f>
        <v>0</v>
      </c>
      <c r="B2289" s="8">
        <v>2.14</v>
      </c>
      <c r="C2289" s="9">
        <v>0</v>
      </c>
      <c r="D2289" s="13">
        <f t="shared" si="35"/>
        <v>2.14</v>
      </c>
    </row>
    <row r="2290" spans="1:4" x14ac:dyDescent="0.25">
      <c r="A2290" s="15">
        <f>Sheet2!A2290</f>
        <v>0</v>
      </c>
      <c r="B2290" s="8">
        <v>1.38</v>
      </c>
      <c r="C2290" s="9">
        <v>0</v>
      </c>
      <c r="D2290" s="13">
        <f t="shared" si="35"/>
        <v>1.38</v>
      </c>
    </row>
    <row r="2291" spans="1:4" x14ac:dyDescent="0.25">
      <c r="A2291" s="15">
        <f>Sheet2!A2291</f>
        <v>0</v>
      </c>
      <c r="B2291" s="8">
        <v>0</v>
      </c>
      <c r="C2291" s="9">
        <v>1.38</v>
      </c>
      <c r="D2291" s="13">
        <f t="shared" si="35"/>
        <v>1.38</v>
      </c>
    </row>
    <row r="2292" spans="1:4" x14ac:dyDescent="0.25">
      <c r="A2292" s="15">
        <f>Sheet2!A2292</f>
        <v>0</v>
      </c>
      <c r="B2292" s="8">
        <v>0</v>
      </c>
      <c r="C2292" s="9">
        <v>1.76</v>
      </c>
      <c r="D2292" s="13">
        <f t="shared" si="35"/>
        <v>1.76</v>
      </c>
    </row>
    <row r="2293" spans="1:4" x14ac:dyDescent="0.25">
      <c r="A2293" s="15">
        <f>Sheet2!A2293</f>
        <v>0</v>
      </c>
      <c r="B2293" s="8">
        <v>0</v>
      </c>
      <c r="C2293" s="9">
        <v>0.86</v>
      </c>
      <c r="D2293" s="13">
        <f t="shared" si="35"/>
        <v>0.86</v>
      </c>
    </row>
    <row r="2294" spans="1:4" x14ac:dyDescent="0.25">
      <c r="A2294" s="15">
        <f>Sheet2!A2294</f>
        <v>0</v>
      </c>
      <c r="B2294" s="8">
        <v>1.02</v>
      </c>
      <c r="C2294" s="9">
        <v>0</v>
      </c>
      <c r="D2294" s="13">
        <f t="shared" si="35"/>
        <v>1.02</v>
      </c>
    </row>
    <row r="2295" spans="1:4" x14ac:dyDescent="0.25">
      <c r="A2295" s="15">
        <f>Sheet2!A2295</f>
        <v>0</v>
      </c>
      <c r="B2295" s="8">
        <v>1.04</v>
      </c>
      <c r="C2295" s="9">
        <v>0</v>
      </c>
      <c r="D2295" s="13">
        <f t="shared" si="35"/>
        <v>1.04</v>
      </c>
    </row>
    <row r="2296" spans="1:4" x14ac:dyDescent="0.25">
      <c r="A2296" s="15">
        <f>Sheet2!A2296</f>
        <v>0</v>
      </c>
      <c r="B2296" s="8">
        <v>1.06</v>
      </c>
      <c r="C2296" s="9">
        <v>0</v>
      </c>
      <c r="D2296" s="13">
        <f t="shared" si="35"/>
        <v>1.06</v>
      </c>
    </row>
    <row r="2297" spans="1:4" x14ac:dyDescent="0.25">
      <c r="A2297" s="15">
        <f>Sheet2!A2297</f>
        <v>0</v>
      </c>
      <c r="B2297" s="8">
        <v>0</v>
      </c>
      <c r="C2297" s="9">
        <v>1.29</v>
      </c>
      <c r="D2297" s="13">
        <f t="shared" si="35"/>
        <v>1.29</v>
      </c>
    </row>
    <row r="2298" spans="1:4" x14ac:dyDescent="0.25">
      <c r="A2298" s="15">
        <f>Sheet2!A2298</f>
        <v>0</v>
      </c>
      <c r="B2298" s="8">
        <v>0</v>
      </c>
      <c r="C2298" s="9">
        <v>1.53</v>
      </c>
      <c r="D2298" s="13">
        <f t="shared" si="35"/>
        <v>1.53</v>
      </c>
    </row>
    <row r="2299" spans="1:4" x14ac:dyDescent="0.25">
      <c r="A2299" s="15">
        <f>Sheet2!A2299</f>
        <v>0</v>
      </c>
      <c r="B2299" s="8">
        <v>0</v>
      </c>
      <c r="C2299" s="9">
        <v>0.68</v>
      </c>
      <c r="D2299" s="13">
        <f t="shared" si="35"/>
        <v>0.68</v>
      </c>
    </row>
    <row r="2300" spans="1:4" x14ac:dyDescent="0.25">
      <c r="A2300" s="15">
        <f>Sheet2!A2300</f>
        <v>0</v>
      </c>
      <c r="B2300" s="8">
        <v>3.66</v>
      </c>
      <c r="C2300" s="9">
        <v>0</v>
      </c>
      <c r="D2300" s="13">
        <f t="shared" si="35"/>
        <v>3.66</v>
      </c>
    </row>
    <row r="2301" spans="1:4" x14ac:dyDescent="0.25">
      <c r="A2301" s="15">
        <f>Sheet2!A2301</f>
        <v>0</v>
      </c>
      <c r="B2301" s="8">
        <v>3.5</v>
      </c>
      <c r="C2301" s="9">
        <v>0</v>
      </c>
      <c r="D2301" s="13">
        <f t="shared" si="35"/>
        <v>3.5</v>
      </c>
    </row>
    <row r="2302" spans="1:4" x14ac:dyDescent="0.25">
      <c r="A2302" s="15">
        <f>Sheet2!A2302</f>
        <v>0</v>
      </c>
      <c r="B2302" s="8">
        <v>3.58</v>
      </c>
      <c r="C2302" s="9">
        <v>0</v>
      </c>
      <c r="D2302" s="13">
        <f t="shared" si="35"/>
        <v>3.58</v>
      </c>
    </row>
    <row r="2303" spans="1:4" x14ac:dyDescent="0.25">
      <c r="A2303" s="15">
        <f>Sheet2!A2303</f>
        <v>0</v>
      </c>
      <c r="B2303" s="8">
        <v>0</v>
      </c>
      <c r="C2303" s="9">
        <v>0.63</v>
      </c>
      <c r="D2303" s="13">
        <f t="shared" si="35"/>
        <v>0.63</v>
      </c>
    </row>
    <row r="2304" spans="1:4" x14ac:dyDescent="0.25">
      <c r="A2304" s="15">
        <f>Sheet2!A2304</f>
        <v>0</v>
      </c>
      <c r="B2304" s="8">
        <v>2.87</v>
      </c>
      <c r="C2304" s="9">
        <v>0</v>
      </c>
      <c r="D2304" s="13">
        <f t="shared" si="35"/>
        <v>2.87</v>
      </c>
    </row>
    <row r="2305" spans="1:4" x14ac:dyDescent="0.25">
      <c r="A2305" s="15">
        <f>Sheet2!A2305</f>
        <v>0</v>
      </c>
      <c r="B2305" s="8">
        <v>3.69</v>
      </c>
      <c r="C2305" s="9">
        <v>0</v>
      </c>
      <c r="D2305" s="13">
        <f t="shared" si="35"/>
        <v>3.69</v>
      </c>
    </row>
    <row r="2306" spans="1:4" x14ac:dyDescent="0.25">
      <c r="A2306" s="15">
        <f>Sheet2!A2306</f>
        <v>0</v>
      </c>
      <c r="B2306" s="8">
        <v>3.69</v>
      </c>
      <c r="C2306" s="9">
        <v>0</v>
      </c>
      <c r="D2306" s="13">
        <f t="shared" si="35"/>
        <v>3.69</v>
      </c>
    </row>
    <row r="2307" spans="1:4" x14ac:dyDescent="0.25">
      <c r="A2307" s="15">
        <f>Sheet2!A2307</f>
        <v>0</v>
      </c>
      <c r="B2307" s="8">
        <v>3.57</v>
      </c>
      <c r="C2307" s="9">
        <v>0</v>
      </c>
      <c r="D2307" s="13">
        <f t="shared" ref="D2307:D2370" si="36">B2307+C2307</f>
        <v>3.57</v>
      </c>
    </row>
    <row r="2308" spans="1:4" x14ac:dyDescent="0.25">
      <c r="A2308" s="15">
        <f>Sheet2!A2308</f>
        <v>0</v>
      </c>
      <c r="B2308" s="8">
        <v>3.61</v>
      </c>
      <c r="C2308" s="9">
        <v>0</v>
      </c>
      <c r="D2308" s="13">
        <f t="shared" si="36"/>
        <v>3.61</v>
      </c>
    </row>
    <row r="2309" spans="1:4" x14ac:dyDescent="0.25">
      <c r="A2309" s="15">
        <f>Sheet2!A2309</f>
        <v>0</v>
      </c>
      <c r="B2309" s="8">
        <v>2.94</v>
      </c>
      <c r="C2309" s="9">
        <v>0</v>
      </c>
      <c r="D2309" s="13">
        <f t="shared" si="36"/>
        <v>2.94</v>
      </c>
    </row>
    <row r="2310" spans="1:4" x14ac:dyDescent="0.25">
      <c r="A2310" s="15">
        <f>Sheet2!A2310</f>
        <v>0</v>
      </c>
      <c r="B2310" s="8">
        <v>3.04</v>
      </c>
      <c r="C2310" s="9">
        <v>0</v>
      </c>
      <c r="D2310" s="13">
        <f t="shared" si="36"/>
        <v>3.04</v>
      </c>
    </row>
    <row r="2311" spans="1:4" x14ac:dyDescent="0.25">
      <c r="A2311" s="15">
        <f>Sheet2!A2311</f>
        <v>0</v>
      </c>
      <c r="B2311" s="8">
        <v>3.12</v>
      </c>
      <c r="C2311" s="9">
        <v>0</v>
      </c>
      <c r="D2311" s="13">
        <f t="shared" si="36"/>
        <v>3.12</v>
      </c>
    </row>
    <row r="2312" spans="1:4" x14ac:dyDescent="0.25">
      <c r="A2312" s="15">
        <f>Sheet2!A2312</f>
        <v>0</v>
      </c>
      <c r="B2312" s="8">
        <v>2.86</v>
      </c>
      <c r="C2312" s="9">
        <v>0</v>
      </c>
      <c r="D2312" s="13">
        <f t="shared" si="36"/>
        <v>2.86</v>
      </c>
    </row>
    <row r="2313" spans="1:4" x14ac:dyDescent="0.25">
      <c r="A2313" s="15">
        <f>Sheet2!A2313</f>
        <v>0</v>
      </c>
      <c r="B2313" s="8">
        <v>0.99</v>
      </c>
      <c r="C2313" s="9">
        <v>0</v>
      </c>
      <c r="D2313" s="13">
        <f t="shared" si="36"/>
        <v>0.99</v>
      </c>
    </row>
    <row r="2314" spans="1:4" x14ac:dyDescent="0.25">
      <c r="A2314" s="15">
        <f>Sheet2!A2314</f>
        <v>0</v>
      </c>
      <c r="B2314" s="8">
        <v>1.53</v>
      </c>
      <c r="C2314" s="9">
        <v>0</v>
      </c>
      <c r="D2314" s="13">
        <f t="shared" si="36"/>
        <v>1.53</v>
      </c>
    </row>
    <row r="2315" spans="1:4" x14ac:dyDescent="0.25">
      <c r="A2315" s="15">
        <f>Sheet2!A2315</f>
        <v>0</v>
      </c>
      <c r="B2315" s="8">
        <v>1.65</v>
      </c>
      <c r="C2315" s="9">
        <v>0</v>
      </c>
      <c r="D2315" s="13">
        <f t="shared" si="36"/>
        <v>1.65</v>
      </c>
    </row>
    <row r="2316" spans="1:4" x14ac:dyDescent="0.25">
      <c r="A2316" s="15">
        <f>Sheet2!A2316</f>
        <v>0</v>
      </c>
      <c r="B2316" s="8">
        <v>0</v>
      </c>
      <c r="C2316" s="9">
        <v>0.81</v>
      </c>
      <c r="D2316" s="13">
        <f t="shared" si="36"/>
        <v>0.81</v>
      </c>
    </row>
    <row r="2317" spans="1:4" x14ac:dyDescent="0.25">
      <c r="A2317" s="15">
        <f>Sheet2!A2317</f>
        <v>0</v>
      </c>
      <c r="B2317" s="8">
        <v>0</v>
      </c>
      <c r="C2317" s="9">
        <v>0.62</v>
      </c>
      <c r="D2317" s="13">
        <f t="shared" si="36"/>
        <v>0.62</v>
      </c>
    </row>
    <row r="2318" spans="1:4" x14ac:dyDescent="0.25">
      <c r="A2318" s="15">
        <f>Sheet2!A2318</f>
        <v>0</v>
      </c>
      <c r="B2318" s="8">
        <v>0</v>
      </c>
      <c r="C2318" s="9">
        <v>0.92</v>
      </c>
      <c r="D2318" s="13">
        <f t="shared" si="36"/>
        <v>0.92</v>
      </c>
    </row>
    <row r="2319" spans="1:4" x14ac:dyDescent="0.25">
      <c r="A2319" s="15">
        <f>Sheet2!A2319</f>
        <v>0</v>
      </c>
      <c r="B2319" s="8">
        <v>0</v>
      </c>
      <c r="C2319" s="9">
        <v>0.62</v>
      </c>
      <c r="D2319" s="13">
        <f t="shared" si="36"/>
        <v>0.62</v>
      </c>
    </row>
    <row r="2320" spans="1:4" x14ac:dyDescent="0.25">
      <c r="A2320" s="15">
        <f>Sheet2!A2320</f>
        <v>0</v>
      </c>
      <c r="B2320" s="8">
        <v>1.51</v>
      </c>
      <c r="C2320" s="9">
        <v>0</v>
      </c>
      <c r="D2320" s="13">
        <f t="shared" si="36"/>
        <v>1.51</v>
      </c>
    </row>
    <row r="2321" spans="1:4" x14ac:dyDescent="0.25">
      <c r="A2321" s="15">
        <f>Sheet2!A2321</f>
        <v>0</v>
      </c>
      <c r="B2321" s="8">
        <v>0</v>
      </c>
      <c r="C2321" s="9">
        <v>1.27</v>
      </c>
      <c r="D2321" s="13">
        <f t="shared" si="36"/>
        <v>1.27</v>
      </c>
    </row>
    <row r="2322" spans="1:4" x14ac:dyDescent="0.25">
      <c r="A2322" s="15">
        <f>Sheet2!A2322</f>
        <v>0</v>
      </c>
      <c r="B2322" s="8">
        <v>0</v>
      </c>
      <c r="C2322" s="9">
        <v>2.23</v>
      </c>
      <c r="D2322" s="13">
        <f t="shared" si="36"/>
        <v>2.23</v>
      </c>
    </row>
    <row r="2323" spans="1:4" x14ac:dyDescent="0.25">
      <c r="A2323" s="15">
        <f>Sheet2!A2323</f>
        <v>0</v>
      </c>
      <c r="B2323" s="8">
        <v>0</v>
      </c>
      <c r="C2323" s="9">
        <v>1.78</v>
      </c>
      <c r="D2323" s="13">
        <f t="shared" si="36"/>
        <v>1.78</v>
      </c>
    </row>
    <row r="2324" spans="1:4" x14ac:dyDescent="0.25">
      <c r="A2324" s="15">
        <f>Sheet2!A2324</f>
        <v>0</v>
      </c>
      <c r="B2324" s="8">
        <v>0</v>
      </c>
      <c r="C2324" s="9">
        <v>1.66</v>
      </c>
      <c r="D2324" s="13">
        <f t="shared" si="36"/>
        <v>1.66</v>
      </c>
    </row>
    <row r="2325" spans="1:4" x14ac:dyDescent="0.25">
      <c r="A2325" s="15">
        <f>Sheet2!A2325</f>
        <v>0</v>
      </c>
      <c r="B2325" s="8">
        <v>0</v>
      </c>
      <c r="C2325" s="9">
        <v>0.24</v>
      </c>
      <c r="D2325" s="13">
        <f t="shared" si="36"/>
        <v>0.24</v>
      </c>
    </row>
    <row r="2326" spans="1:4" x14ac:dyDescent="0.25">
      <c r="A2326" s="15">
        <f>Sheet2!A2326</f>
        <v>0</v>
      </c>
      <c r="B2326" s="8">
        <v>2.63</v>
      </c>
      <c r="C2326" s="9">
        <v>0</v>
      </c>
      <c r="D2326" s="13">
        <f t="shared" si="36"/>
        <v>2.63</v>
      </c>
    </row>
    <row r="2327" spans="1:4" x14ac:dyDescent="0.25">
      <c r="A2327" s="15">
        <f>Sheet2!A2327</f>
        <v>0</v>
      </c>
      <c r="B2327" s="8">
        <v>0</v>
      </c>
      <c r="C2327" s="9">
        <v>0.87</v>
      </c>
      <c r="D2327" s="13">
        <f t="shared" si="36"/>
        <v>0.87</v>
      </c>
    </row>
    <row r="2328" spans="1:4" x14ac:dyDescent="0.25">
      <c r="A2328" s="15">
        <f>Sheet2!A2328</f>
        <v>0</v>
      </c>
      <c r="B2328" s="8">
        <v>0</v>
      </c>
      <c r="C2328" s="9">
        <v>1.01</v>
      </c>
      <c r="D2328" s="13">
        <f t="shared" si="36"/>
        <v>1.01</v>
      </c>
    </row>
    <row r="2329" spans="1:4" x14ac:dyDescent="0.25">
      <c r="A2329" s="15">
        <f>Sheet2!A2329</f>
        <v>0</v>
      </c>
      <c r="B2329" s="8">
        <v>3.87</v>
      </c>
      <c r="C2329" s="9">
        <v>0</v>
      </c>
      <c r="D2329" s="13">
        <f t="shared" si="36"/>
        <v>3.87</v>
      </c>
    </row>
    <row r="2330" spans="1:4" x14ac:dyDescent="0.25">
      <c r="A2330" s="15">
        <f>Sheet2!A2330</f>
        <v>0</v>
      </c>
      <c r="B2330" s="8">
        <v>3.43</v>
      </c>
      <c r="C2330" s="9">
        <v>0</v>
      </c>
      <c r="D2330" s="13">
        <f t="shared" si="36"/>
        <v>3.43</v>
      </c>
    </row>
    <row r="2331" spans="1:4" x14ac:dyDescent="0.25">
      <c r="A2331" s="15">
        <f>Sheet2!A2331</f>
        <v>0</v>
      </c>
      <c r="B2331" s="8">
        <v>2.97</v>
      </c>
      <c r="C2331" s="9">
        <v>0</v>
      </c>
      <c r="D2331" s="13">
        <f t="shared" si="36"/>
        <v>2.97</v>
      </c>
    </row>
    <row r="2332" spans="1:4" x14ac:dyDescent="0.25">
      <c r="A2332" s="15">
        <f>Sheet2!A2332</f>
        <v>0</v>
      </c>
      <c r="B2332" s="8">
        <v>3.06</v>
      </c>
      <c r="C2332" s="9">
        <v>0</v>
      </c>
      <c r="D2332" s="13">
        <f t="shared" si="36"/>
        <v>3.06</v>
      </c>
    </row>
    <row r="2333" spans="1:4" x14ac:dyDescent="0.25">
      <c r="A2333" s="15">
        <f>Sheet2!A2333</f>
        <v>0</v>
      </c>
      <c r="B2333" s="8">
        <v>2.7</v>
      </c>
      <c r="C2333" s="9">
        <v>0</v>
      </c>
      <c r="D2333" s="13">
        <f t="shared" si="36"/>
        <v>2.7</v>
      </c>
    </row>
    <row r="2334" spans="1:4" x14ac:dyDescent="0.25">
      <c r="A2334" s="15">
        <f>Sheet2!A2334</f>
        <v>0</v>
      </c>
      <c r="B2334" s="8">
        <v>2.94</v>
      </c>
      <c r="C2334" s="9">
        <v>0</v>
      </c>
      <c r="D2334" s="13">
        <f t="shared" si="36"/>
        <v>2.94</v>
      </c>
    </row>
    <row r="2335" spans="1:4" x14ac:dyDescent="0.25">
      <c r="A2335" s="15">
        <f>Sheet2!A2335</f>
        <v>0</v>
      </c>
      <c r="B2335" s="8">
        <v>3.55</v>
      </c>
      <c r="C2335" s="9">
        <v>0</v>
      </c>
      <c r="D2335" s="13">
        <f t="shared" si="36"/>
        <v>3.55</v>
      </c>
    </row>
    <row r="2336" spans="1:4" x14ac:dyDescent="0.25">
      <c r="A2336" s="15">
        <f>Sheet2!A2336</f>
        <v>0</v>
      </c>
      <c r="B2336" s="8">
        <v>1.92</v>
      </c>
      <c r="C2336" s="9">
        <v>0</v>
      </c>
      <c r="D2336" s="13">
        <f t="shared" si="36"/>
        <v>1.92</v>
      </c>
    </row>
    <row r="2337" spans="1:4" x14ac:dyDescent="0.25">
      <c r="A2337" s="15">
        <f>Sheet2!A2337</f>
        <v>0</v>
      </c>
      <c r="B2337" s="8">
        <v>1.2</v>
      </c>
      <c r="C2337" s="9">
        <v>0</v>
      </c>
      <c r="D2337" s="13">
        <f t="shared" si="36"/>
        <v>1.2</v>
      </c>
    </row>
    <row r="2338" spans="1:4" x14ac:dyDescent="0.25">
      <c r="A2338" s="15">
        <f>Sheet2!A2338</f>
        <v>0</v>
      </c>
      <c r="B2338" s="8">
        <v>1.52</v>
      </c>
      <c r="C2338" s="9">
        <v>0</v>
      </c>
      <c r="D2338" s="13">
        <f t="shared" si="36"/>
        <v>1.52</v>
      </c>
    </row>
    <row r="2339" spans="1:4" x14ac:dyDescent="0.25">
      <c r="A2339" s="15">
        <f>Sheet2!A2339</f>
        <v>0</v>
      </c>
      <c r="B2339" s="8">
        <v>0</v>
      </c>
      <c r="C2339" s="9">
        <v>0.63</v>
      </c>
      <c r="D2339" s="13">
        <f t="shared" si="36"/>
        <v>0.63</v>
      </c>
    </row>
    <row r="2340" spans="1:4" x14ac:dyDescent="0.25">
      <c r="A2340" s="15">
        <f>Sheet2!A2340</f>
        <v>0</v>
      </c>
      <c r="B2340" s="8">
        <v>0</v>
      </c>
      <c r="C2340" s="9">
        <v>0.95</v>
      </c>
      <c r="D2340" s="13">
        <f t="shared" si="36"/>
        <v>0.95</v>
      </c>
    </row>
    <row r="2341" spans="1:4" x14ac:dyDescent="0.25">
      <c r="A2341" s="15">
        <f>Sheet2!A2341</f>
        <v>0</v>
      </c>
      <c r="B2341" s="8">
        <v>0</v>
      </c>
      <c r="C2341" s="9">
        <v>0.34</v>
      </c>
      <c r="D2341" s="13">
        <f t="shared" si="36"/>
        <v>0.34</v>
      </c>
    </row>
    <row r="2342" spans="1:4" x14ac:dyDescent="0.25">
      <c r="A2342" s="15">
        <f>Sheet2!A2342</f>
        <v>0</v>
      </c>
      <c r="B2342" s="8">
        <v>0</v>
      </c>
      <c r="C2342" s="9">
        <v>0.82</v>
      </c>
      <c r="D2342" s="13">
        <f t="shared" si="36"/>
        <v>0.82</v>
      </c>
    </row>
    <row r="2343" spans="1:4" x14ac:dyDescent="0.25">
      <c r="A2343" s="15">
        <f>Sheet2!A2343</f>
        <v>0</v>
      </c>
      <c r="B2343" s="8">
        <v>0</v>
      </c>
      <c r="C2343" s="9">
        <v>2.36</v>
      </c>
      <c r="D2343" s="13">
        <f t="shared" si="36"/>
        <v>2.36</v>
      </c>
    </row>
    <row r="2344" spans="1:4" x14ac:dyDescent="0.25">
      <c r="A2344" s="15">
        <f>Sheet2!A2344</f>
        <v>0</v>
      </c>
      <c r="B2344" s="8">
        <v>0</v>
      </c>
      <c r="C2344" s="9">
        <v>2.17</v>
      </c>
      <c r="D2344" s="13">
        <f t="shared" si="36"/>
        <v>2.17</v>
      </c>
    </row>
    <row r="2345" spans="1:4" x14ac:dyDescent="0.25">
      <c r="A2345" s="15">
        <f>Sheet2!A2345</f>
        <v>0</v>
      </c>
      <c r="B2345" s="8">
        <v>0</v>
      </c>
      <c r="C2345" s="9">
        <v>2.08</v>
      </c>
      <c r="D2345" s="13">
        <f t="shared" si="36"/>
        <v>2.08</v>
      </c>
    </row>
    <row r="2346" spans="1:4" x14ac:dyDescent="0.25">
      <c r="A2346" s="15">
        <f>Sheet2!A2346</f>
        <v>0</v>
      </c>
      <c r="B2346" s="8">
        <v>0</v>
      </c>
      <c r="C2346" s="9">
        <v>0.54</v>
      </c>
      <c r="D2346" s="13">
        <f t="shared" si="36"/>
        <v>0.54</v>
      </c>
    </row>
    <row r="2347" spans="1:4" x14ac:dyDescent="0.25">
      <c r="A2347" s="15">
        <f>Sheet2!A2347</f>
        <v>0</v>
      </c>
      <c r="B2347" s="8">
        <v>0</v>
      </c>
      <c r="C2347" s="9">
        <v>0.81</v>
      </c>
      <c r="D2347" s="13">
        <f t="shared" si="36"/>
        <v>0.81</v>
      </c>
    </row>
    <row r="2348" spans="1:4" x14ac:dyDescent="0.25">
      <c r="A2348" s="15">
        <f>Sheet2!A2348</f>
        <v>0</v>
      </c>
      <c r="B2348" s="8">
        <v>0</v>
      </c>
      <c r="C2348" s="9">
        <v>1.19</v>
      </c>
      <c r="D2348" s="13">
        <f t="shared" si="36"/>
        <v>1.19</v>
      </c>
    </row>
    <row r="2349" spans="1:4" x14ac:dyDescent="0.25">
      <c r="A2349" s="15">
        <f>Sheet2!A2349</f>
        <v>0</v>
      </c>
      <c r="B2349" s="8">
        <v>0</v>
      </c>
      <c r="C2349" s="9">
        <v>1.29</v>
      </c>
      <c r="D2349" s="13">
        <f t="shared" si="36"/>
        <v>1.29</v>
      </c>
    </row>
    <row r="2350" spans="1:4" x14ac:dyDescent="0.25">
      <c r="A2350" s="15">
        <f>Sheet2!A2350</f>
        <v>0</v>
      </c>
      <c r="B2350" s="8">
        <v>0</v>
      </c>
      <c r="C2350" s="9">
        <v>1.25</v>
      </c>
      <c r="D2350" s="13">
        <f t="shared" si="36"/>
        <v>1.25</v>
      </c>
    </row>
    <row r="2351" spans="1:4" x14ac:dyDescent="0.25">
      <c r="A2351" s="15">
        <f>Sheet2!A2351</f>
        <v>0</v>
      </c>
      <c r="B2351" s="8">
        <v>0</v>
      </c>
      <c r="C2351" s="9">
        <v>0.53</v>
      </c>
      <c r="D2351" s="13">
        <f t="shared" si="36"/>
        <v>0.53</v>
      </c>
    </row>
    <row r="2352" spans="1:4" x14ac:dyDescent="0.25">
      <c r="A2352" s="15">
        <f>Sheet2!A2352</f>
        <v>0</v>
      </c>
      <c r="B2352" s="8">
        <v>0</v>
      </c>
      <c r="C2352" s="9">
        <v>0.71</v>
      </c>
      <c r="D2352" s="13">
        <f t="shared" si="36"/>
        <v>0.71</v>
      </c>
    </row>
    <row r="2353" spans="1:4" x14ac:dyDescent="0.25">
      <c r="A2353" s="15">
        <f>Sheet2!A2353</f>
        <v>0</v>
      </c>
      <c r="B2353" s="8">
        <v>0</v>
      </c>
      <c r="C2353" s="9">
        <v>0.66</v>
      </c>
      <c r="D2353" s="13">
        <f t="shared" si="36"/>
        <v>0.66</v>
      </c>
    </row>
    <row r="2354" spans="1:4" x14ac:dyDescent="0.25">
      <c r="A2354" s="15">
        <f>Sheet2!A2354</f>
        <v>0</v>
      </c>
      <c r="B2354" s="8">
        <v>4.13</v>
      </c>
      <c r="C2354" s="9">
        <v>0</v>
      </c>
      <c r="D2354" s="13">
        <f t="shared" si="36"/>
        <v>4.13</v>
      </c>
    </row>
    <row r="2355" spans="1:4" x14ac:dyDescent="0.25">
      <c r="A2355" s="15">
        <f>Sheet2!A2355</f>
        <v>0</v>
      </c>
      <c r="B2355" s="8">
        <v>3.64</v>
      </c>
      <c r="C2355" s="9">
        <v>0</v>
      </c>
      <c r="D2355" s="13">
        <f t="shared" si="36"/>
        <v>3.64</v>
      </c>
    </row>
    <row r="2356" spans="1:4" x14ac:dyDescent="0.25">
      <c r="A2356" s="15">
        <f>Sheet2!A2356</f>
        <v>0</v>
      </c>
      <c r="B2356" s="8">
        <v>3.73</v>
      </c>
      <c r="C2356" s="9">
        <v>0</v>
      </c>
      <c r="D2356" s="13">
        <f t="shared" si="36"/>
        <v>3.73</v>
      </c>
    </row>
    <row r="2357" spans="1:4" x14ac:dyDescent="0.25">
      <c r="A2357" s="15">
        <f>Sheet2!A2357</f>
        <v>0</v>
      </c>
      <c r="B2357" s="8">
        <v>3.2</v>
      </c>
      <c r="C2357" s="9">
        <v>0</v>
      </c>
      <c r="D2357" s="13">
        <f t="shared" si="36"/>
        <v>3.2</v>
      </c>
    </row>
    <row r="2358" spans="1:4" x14ac:dyDescent="0.25">
      <c r="A2358" s="15">
        <f>Sheet2!A2358</f>
        <v>0</v>
      </c>
      <c r="B2358" s="8">
        <v>3.52</v>
      </c>
      <c r="C2358" s="9">
        <v>0</v>
      </c>
      <c r="D2358" s="13">
        <f t="shared" si="36"/>
        <v>3.52</v>
      </c>
    </row>
    <row r="2359" spans="1:4" x14ac:dyDescent="0.25">
      <c r="A2359" s="15">
        <f>Sheet2!A2359</f>
        <v>0</v>
      </c>
      <c r="B2359" s="8">
        <v>2.4</v>
      </c>
      <c r="C2359" s="9">
        <v>0</v>
      </c>
      <c r="D2359" s="13">
        <f t="shared" si="36"/>
        <v>2.4</v>
      </c>
    </row>
    <row r="2360" spans="1:4" x14ac:dyDescent="0.25">
      <c r="A2360" s="15">
        <f>Sheet2!A2360</f>
        <v>0</v>
      </c>
      <c r="B2360" s="8">
        <v>0.56999999999999995</v>
      </c>
      <c r="C2360" s="9">
        <v>0</v>
      </c>
      <c r="D2360" s="13">
        <f t="shared" si="36"/>
        <v>0.56999999999999995</v>
      </c>
    </row>
    <row r="2361" spans="1:4" x14ac:dyDescent="0.25">
      <c r="A2361" s="15">
        <f>Sheet2!A2361</f>
        <v>0</v>
      </c>
      <c r="B2361" s="8">
        <v>1.24</v>
      </c>
      <c r="C2361" s="9">
        <v>0</v>
      </c>
      <c r="D2361" s="13">
        <f t="shared" si="36"/>
        <v>1.24</v>
      </c>
    </row>
    <row r="2362" spans="1:4" x14ac:dyDescent="0.25">
      <c r="A2362" s="15">
        <f>Sheet2!A2362</f>
        <v>0</v>
      </c>
      <c r="B2362" s="8">
        <v>1.07</v>
      </c>
      <c r="C2362" s="9">
        <v>0</v>
      </c>
      <c r="D2362" s="13">
        <f t="shared" si="36"/>
        <v>1.07</v>
      </c>
    </row>
    <row r="2363" spans="1:4" x14ac:dyDescent="0.25">
      <c r="A2363" s="15">
        <f>Sheet2!A2363</f>
        <v>0</v>
      </c>
      <c r="B2363" s="8">
        <v>0</v>
      </c>
      <c r="C2363" s="9">
        <v>0.56999999999999995</v>
      </c>
      <c r="D2363" s="13">
        <f t="shared" si="36"/>
        <v>0.56999999999999995</v>
      </c>
    </row>
    <row r="2364" spans="1:4" x14ac:dyDescent="0.25">
      <c r="A2364" s="15">
        <f>Sheet2!A2364</f>
        <v>0</v>
      </c>
      <c r="B2364" s="8">
        <v>0</v>
      </c>
      <c r="C2364" s="9">
        <v>0.76</v>
      </c>
      <c r="D2364" s="13">
        <f t="shared" si="36"/>
        <v>0.76</v>
      </c>
    </row>
    <row r="2365" spans="1:4" x14ac:dyDescent="0.25">
      <c r="A2365" s="15">
        <f>Sheet2!A2365</f>
        <v>0</v>
      </c>
      <c r="B2365" s="8">
        <v>0</v>
      </c>
      <c r="C2365" s="9">
        <v>1.08</v>
      </c>
      <c r="D2365" s="13">
        <f t="shared" si="36"/>
        <v>1.08</v>
      </c>
    </row>
    <row r="2366" spans="1:4" x14ac:dyDescent="0.25">
      <c r="A2366" s="15">
        <f>Sheet2!A2366</f>
        <v>0</v>
      </c>
      <c r="B2366" s="8">
        <v>0</v>
      </c>
      <c r="C2366" s="9">
        <v>1.3</v>
      </c>
      <c r="D2366" s="13">
        <f t="shared" si="36"/>
        <v>1.3</v>
      </c>
    </row>
    <row r="2367" spans="1:4" x14ac:dyDescent="0.25">
      <c r="A2367" s="15">
        <f>Sheet2!A2367</f>
        <v>0</v>
      </c>
      <c r="B2367" s="8">
        <v>1.98</v>
      </c>
      <c r="C2367" s="9">
        <v>0</v>
      </c>
      <c r="D2367" s="13">
        <f t="shared" si="36"/>
        <v>1.98</v>
      </c>
    </row>
    <row r="2368" spans="1:4" x14ac:dyDescent="0.25">
      <c r="A2368" s="15">
        <f>Sheet2!A2368</f>
        <v>0</v>
      </c>
      <c r="B2368" s="8">
        <v>0</v>
      </c>
      <c r="C2368" s="9">
        <v>0.95</v>
      </c>
      <c r="D2368" s="13">
        <f t="shared" si="36"/>
        <v>0.95</v>
      </c>
    </row>
    <row r="2369" spans="1:4" x14ac:dyDescent="0.25">
      <c r="A2369" s="15">
        <f>Sheet2!A2369</f>
        <v>0</v>
      </c>
      <c r="B2369" s="8">
        <v>0</v>
      </c>
      <c r="C2369" s="9">
        <v>1.42</v>
      </c>
      <c r="D2369" s="13">
        <f t="shared" si="36"/>
        <v>1.42</v>
      </c>
    </row>
    <row r="2370" spans="1:4" x14ac:dyDescent="0.25">
      <c r="A2370" s="15">
        <f>Sheet2!A2370</f>
        <v>0</v>
      </c>
      <c r="B2370" s="8">
        <v>0</v>
      </c>
      <c r="C2370" s="9">
        <v>1.52</v>
      </c>
      <c r="D2370" s="13">
        <f t="shared" si="36"/>
        <v>1.52</v>
      </c>
    </row>
    <row r="2371" spans="1:4" x14ac:dyDescent="0.25">
      <c r="A2371" s="15">
        <f>Sheet2!A2371</f>
        <v>0</v>
      </c>
      <c r="B2371" s="8">
        <v>0</v>
      </c>
      <c r="C2371" s="9">
        <v>0.3</v>
      </c>
      <c r="D2371" s="13">
        <f t="shared" ref="D2371:D2434" si="37">B2371+C2371</f>
        <v>0.3</v>
      </c>
    </row>
    <row r="2372" spans="1:4" x14ac:dyDescent="0.25">
      <c r="A2372" s="15">
        <f>Sheet2!A2372</f>
        <v>0</v>
      </c>
      <c r="B2372" s="8">
        <v>3.06</v>
      </c>
      <c r="C2372" s="9">
        <v>0</v>
      </c>
      <c r="D2372" s="13">
        <f t="shared" si="37"/>
        <v>3.06</v>
      </c>
    </row>
    <row r="2373" spans="1:4" x14ac:dyDescent="0.25">
      <c r="A2373" s="15">
        <f>Sheet2!A2373</f>
        <v>0</v>
      </c>
      <c r="B2373" s="8">
        <v>0</v>
      </c>
      <c r="C2373" s="9">
        <v>1.5</v>
      </c>
      <c r="D2373" s="13">
        <f t="shared" si="37"/>
        <v>1.5</v>
      </c>
    </row>
    <row r="2374" spans="1:4" x14ac:dyDescent="0.25">
      <c r="A2374" s="15">
        <f>Sheet2!A2374</f>
        <v>0</v>
      </c>
      <c r="B2374" s="8">
        <v>0</v>
      </c>
      <c r="C2374" s="9">
        <v>2.62</v>
      </c>
      <c r="D2374" s="13">
        <f t="shared" si="37"/>
        <v>2.62</v>
      </c>
    </row>
    <row r="2375" spans="1:4" x14ac:dyDescent="0.25">
      <c r="A2375" s="15">
        <f>Sheet2!A2375</f>
        <v>0</v>
      </c>
      <c r="B2375" s="8">
        <v>0</v>
      </c>
      <c r="C2375" s="9">
        <v>2.4900000000000002</v>
      </c>
      <c r="D2375" s="13">
        <f t="shared" si="37"/>
        <v>2.4900000000000002</v>
      </c>
    </row>
    <row r="2376" spans="1:4" x14ac:dyDescent="0.25">
      <c r="A2376" s="15">
        <f>Sheet2!A2376</f>
        <v>0</v>
      </c>
      <c r="B2376" s="8">
        <v>0</v>
      </c>
      <c r="C2376" s="9">
        <v>2.2599999999999998</v>
      </c>
      <c r="D2376" s="13">
        <f t="shared" si="37"/>
        <v>2.2599999999999998</v>
      </c>
    </row>
    <row r="2377" spans="1:4" x14ac:dyDescent="0.25">
      <c r="A2377" s="15">
        <f>Sheet2!A2377</f>
        <v>0</v>
      </c>
      <c r="B2377" s="8">
        <v>3.63</v>
      </c>
      <c r="C2377" s="9">
        <v>0</v>
      </c>
      <c r="D2377" s="13">
        <f t="shared" si="37"/>
        <v>3.63</v>
      </c>
    </row>
    <row r="2378" spans="1:4" x14ac:dyDescent="0.25">
      <c r="A2378" s="15">
        <f>Sheet2!A2378</f>
        <v>0</v>
      </c>
      <c r="B2378" s="8">
        <v>3.75</v>
      </c>
      <c r="C2378" s="9">
        <v>0</v>
      </c>
      <c r="D2378" s="13">
        <f t="shared" si="37"/>
        <v>3.75</v>
      </c>
    </row>
    <row r="2379" spans="1:4" x14ac:dyDescent="0.25">
      <c r="A2379" s="15">
        <f>Sheet2!A2379</f>
        <v>0</v>
      </c>
      <c r="B2379" s="8">
        <v>3.67</v>
      </c>
      <c r="C2379" s="9">
        <v>0</v>
      </c>
      <c r="D2379" s="13">
        <f t="shared" si="37"/>
        <v>3.67</v>
      </c>
    </row>
    <row r="2380" spans="1:4" x14ac:dyDescent="0.25">
      <c r="A2380" s="15">
        <f>Sheet2!A2380</f>
        <v>0</v>
      </c>
      <c r="B2380" s="8">
        <v>3.87</v>
      </c>
      <c r="C2380" s="9">
        <v>0</v>
      </c>
      <c r="D2380" s="13">
        <f t="shared" si="37"/>
        <v>3.87</v>
      </c>
    </row>
    <row r="2381" spans="1:4" x14ac:dyDescent="0.25">
      <c r="A2381" s="15">
        <f>Sheet2!A2381</f>
        <v>0</v>
      </c>
      <c r="B2381" s="8">
        <v>3.4</v>
      </c>
      <c r="C2381" s="9">
        <v>0</v>
      </c>
      <c r="D2381" s="13">
        <f t="shared" si="37"/>
        <v>3.4</v>
      </c>
    </row>
    <row r="2382" spans="1:4" x14ac:dyDescent="0.25">
      <c r="A2382" s="15">
        <f>Sheet2!A2382</f>
        <v>0</v>
      </c>
      <c r="B2382" s="8">
        <v>3.27</v>
      </c>
      <c r="C2382" s="9">
        <v>0</v>
      </c>
      <c r="D2382" s="13">
        <f t="shared" si="37"/>
        <v>3.27</v>
      </c>
    </row>
    <row r="2383" spans="1:4" x14ac:dyDescent="0.25">
      <c r="A2383" s="15">
        <f>Sheet2!A2383</f>
        <v>0</v>
      </c>
      <c r="B2383" s="8">
        <v>0</v>
      </c>
      <c r="C2383" s="9">
        <v>0.24</v>
      </c>
      <c r="D2383" s="13">
        <f t="shared" si="37"/>
        <v>0.24</v>
      </c>
    </row>
    <row r="2384" spans="1:4" x14ac:dyDescent="0.25">
      <c r="A2384" s="15">
        <f>Sheet2!A2384</f>
        <v>0</v>
      </c>
      <c r="B2384" s="8">
        <v>0</v>
      </c>
      <c r="C2384" s="9">
        <v>0.26</v>
      </c>
      <c r="D2384" s="13">
        <f t="shared" si="37"/>
        <v>0.26</v>
      </c>
    </row>
    <row r="2385" spans="1:4" x14ac:dyDescent="0.25">
      <c r="A2385" s="15">
        <f>Sheet2!A2385</f>
        <v>0</v>
      </c>
      <c r="B2385" s="8">
        <v>1.25</v>
      </c>
      <c r="C2385" s="9">
        <v>0</v>
      </c>
      <c r="D2385" s="13">
        <f t="shared" si="37"/>
        <v>1.25</v>
      </c>
    </row>
    <row r="2386" spans="1:4" x14ac:dyDescent="0.25">
      <c r="A2386" s="15">
        <f>Sheet2!A2386</f>
        <v>0</v>
      </c>
      <c r="B2386" s="8">
        <v>1.31</v>
      </c>
      <c r="C2386" s="9">
        <v>0</v>
      </c>
      <c r="D2386" s="13">
        <f t="shared" si="37"/>
        <v>1.31</v>
      </c>
    </row>
    <row r="2387" spans="1:4" x14ac:dyDescent="0.25">
      <c r="A2387" s="15">
        <f>Sheet2!A2387</f>
        <v>0</v>
      </c>
      <c r="B2387" s="8">
        <v>0</v>
      </c>
      <c r="C2387" s="9">
        <v>0.66</v>
      </c>
      <c r="D2387" s="13">
        <f t="shared" si="37"/>
        <v>0.66</v>
      </c>
    </row>
    <row r="2388" spans="1:4" x14ac:dyDescent="0.25">
      <c r="A2388" s="15">
        <f>Sheet2!A2388</f>
        <v>0</v>
      </c>
      <c r="B2388" s="8">
        <v>0</v>
      </c>
      <c r="C2388" s="9">
        <v>2.17</v>
      </c>
      <c r="D2388" s="13">
        <f t="shared" si="37"/>
        <v>2.17</v>
      </c>
    </row>
    <row r="2389" spans="1:4" x14ac:dyDescent="0.25">
      <c r="A2389" s="15">
        <f>Sheet2!A2389</f>
        <v>0</v>
      </c>
      <c r="B2389" s="8">
        <v>0</v>
      </c>
      <c r="C2389" s="9">
        <v>2.36</v>
      </c>
      <c r="D2389" s="13">
        <f t="shared" si="37"/>
        <v>2.36</v>
      </c>
    </row>
    <row r="2390" spans="1:4" x14ac:dyDescent="0.25">
      <c r="A2390" s="15">
        <f>Sheet2!A2390</f>
        <v>0</v>
      </c>
      <c r="B2390" s="8">
        <v>0</v>
      </c>
      <c r="C2390" s="9">
        <v>2.12</v>
      </c>
      <c r="D2390" s="13">
        <f t="shared" si="37"/>
        <v>2.12</v>
      </c>
    </row>
    <row r="2391" spans="1:4" x14ac:dyDescent="0.25">
      <c r="A2391" s="15">
        <f>Sheet2!A2391</f>
        <v>0</v>
      </c>
      <c r="B2391" s="8">
        <v>0</v>
      </c>
      <c r="C2391" s="9">
        <v>0.24</v>
      </c>
      <c r="D2391" s="13">
        <f t="shared" si="37"/>
        <v>0.24</v>
      </c>
    </row>
    <row r="2392" spans="1:4" x14ac:dyDescent="0.25">
      <c r="A2392" s="15">
        <f>Sheet2!A2392</f>
        <v>0</v>
      </c>
      <c r="B2392" s="8">
        <v>2.5</v>
      </c>
      <c r="C2392" s="9">
        <v>0</v>
      </c>
      <c r="D2392" s="13">
        <f t="shared" si="37"/>
        <v>2.5</v>
      </c>
    </row>
    <row r="2393" spans="1:4" x14ac:dyDescent="0.25">
      <c r="A2393" s="15">
        <f>Sheet2!A2393</f>
        <v>0</v>
      </c>
      <c r="B2393" s="8">
        <v>0</v>
      </c>
      <c r="C2393" s="9">
        <v>0.98</v>
      </c>
      <c r="D2393" s="13">
        <f t="shared" si="37"/>
        <v>0.98</v>
      </c>
    </row>
    <row r="2394" spans="1:4" x14ac:dyDescent="0.25">
      <c r="A2394" s="15">
        <f>Sheet2!A2394</f>
        <v>0</v>
      </c>
      <c r="B2394" s="8">
        <v>0</v>
      </c>
      <c r="C2394" s="9">
        <v>1.4</v>
      </c>
      <c r="D2394" s="13">
        <f t="shared" si="37"/>
        <v>1.4</v>
      </c>
    </row>
    <row r="2395" spans="1:4" x14ac:dyDescent="0.25">
      <c r="A2395" s="15">
        <f>Sheet2!A2395</f>
        <v>0</v>
      </c>
      <c r="B2395" s="8">
        <v>0</v>
      </c>
      <c r="C2395" s="9">
        <v>1.42</v>
      </c>
      <c r="D2395" s="13">
        <f t="shared" si="37"/>
        <v>1.42</v>
      </c>
    </row>
    <row r="2396" spans="1:4" x14ac:dyDescent="0.25">
      <c r="A2396" s="15">
        <f>Sheet2!A2396</f>
        <v>0</v>
      </c>
      <c r="B2396" s="8">
        <v>0</v>
      </c>
      <c r="C2396" s="9">
        <v>0.35</v>
      </c>
      <c r="D2396" s="13">
        <f t="shared" si="37"/>
        <v>0.35</v>
      </c>
    </row>
    <row r="2397" spans="1:4" x14ac:dyDescent="0.25">
      <c r="A2397" s="15">
        <f>Sheet2!A2397</f>
        <v>0</v>
      </c>
      <c r="B2397" s="8">
        <v>3.83</v>
      </c>
      <c r="C2397" s="9">
        <v>0</v>
      </c>
      <c r="D2397" s="13">
        <f t="shared" si="37"/>
        <v>3.83</v>
      </c>
    </row>
    <row r="2398" spans="1:4" x14ac:dyDescent="0.25">
      <c r="A2398" s="15">
        <f>Sheet2!A2398</f>
        <v>0</v>
      </c>
      <c r="B2398" s="8">
        <v>3.22</v>
      </c>
      <c r="C2398" s="9">
        <v>0</v>
      </c>
      <c r="D2398" s="13">
        <f t="shared" si="37"/>
        <v>3.22</v>
      </c>
    </row>
    <row r="2399" spans="1:4" x14ac:dyDescent="0.25">
      <c r="A2399" s="15">
        <f>Sheet2!A2399</f>
        <v>0</v>
      </c>
      <c r="B2399" s="8">
        <v>2.13</v>
      </c>
      <c r="C2399" s="9">
        <v>0</v>
      </c>
      <c r="D2399" s="13">
        <f t="shared" si="37"/>
        <v>2.13</v>
      </c>
    </row>
    <row r="2400" spans="1:4" x14ac:dyDescent="0.25">
      <c r="A2400" s="15">
        <f>Sheet2!A2400</f>
        <v>0</v>
      </c>
      <c r="B2400" s="8">
        <v>2.02</v>
      </c>
      <c r="C2400" s="9">
        <v>0</v>
      </c>
      <c r="D2400" s="13">
        <f t="shared" si="37"/>
        <v>2.02</v>
      </c>
    </row>
    <row r="2401" spans="1:4" x14ac:dyDescent="0.25">
      <c r="A2401" s="15">
        <f>Sheet2!A2401</f>
        <v>0</v>
      </c>
      <c r="B2401" s="8">
        <v>2.4300000000000002</v>
      </c>
      <c r="C2401" s="9">
        <v>0</v>
      </c>
      <c r="D2401" s="13">
        <f t="shared" si="37"/>
        <v>2.4300000000000002</v>
      </c>
    </row>
    <row r="2402" spans="1:4" x14ac:dyDescent="0.25">
      <c r="A2402" s="15">
        <f>Sheet2!A2402</f>
        <v>0</v>
      </c>
      <c r="B2402" s="8">
        <v>2.0299999999999998</v>
      </c>
      <c r="C2402" s="9">
        <v>0</v>
      </c>
      <c r="D2402" s="13">
        <f t="shared" si="37"/>
        <v>2.0299999999999998</v>
      </c>
    </row>
    <row r="2403" spans="1:4" x14ac:dyDescent="0.25">
      <c r="A2403" s="15">
        <f>Sheet2!A2403</f>
        <v>0</v>
      </c>
      <c r="B2403" s="8">
        <v>2.16</v>
      </c>
      <c r="C2403" s="9">
        <v>0</v>
      </c>
      <c r="D2403" s="13">
        <f t="shared" si="37"/>
        <v>2.16</v>
      </c>
    </row>
    <row r="2404" spans="1:4" x14ac:dyDescent="0.25">
      <c r="A2404" s="15">
        <f>Sheet2!A2404</f>
        <v>0</v>
      </c>
      <c r="B2404" s="8">
        <v>1.89</v>
      </c>
      <c r="C2404" s="9">
        <v>0</v>
      </c>
      <c r="D2404" s="13">
        <f t="shared" si="37"/>
        <v>1.89</v>
      </c>
    </row>
    <row r="2405" spans="1:4" x14ac:dyDescent="0.25">
      <c r="A2405" s="15">
        <f>Sheet2!A2405</f>
        <v>0</v>
      </c>
      <c r="B2405" s="8">
        <v>1.53</v>
      </c>
      <c r="C2405" s="9">
        <v>0</v>
      </c>
      <c r="D2405" s="13">
        <f t="shared" si="37"/>
        <v>1.53</v>
      </c>
    </row>
    <row r="2406" spans="1:4" x14ac:dyDescent="0.25">
      <c r="A2406" s="15">
        <f>Sheet2!A2406</f>
        <v>0</v>
      </c>
      <c r="B2406" s="8">
        <v>1.88</v>
      </c>
      <c r="C2406" s="9">
        <v>0</v>
      </c>
      <c r="D2406" s="13">
        <f t="shared" si="37"/>
        <v>1.88</v>
      </c>
    </row>
    <row r="2407" spans="1:4" x14ac:dyDescent="0.25">
      <c r="A2407" s="15">
        <f>Sheet2!A2407</f>
        <v>0</v>
      </c>
      <c r="B2407" s="8">
        <v>1.9</v>
      </c>
      <c r="C2407" s="9">
        <v>0</v>
      </c>
      <c r="D2407" s="13">
        <f t="shared" si="37"/>
        <v>1.9</v>
      </c>
    </row>
    <row r="2408" spans="1:4" x14ac:dyDescent="0.25">
      <c r="A2408" s="15">
        <f>Sheet2!A2408</f>
        <v>0</v>
      </c>
      <c r="B2408" s="8">
        <v>1.19</v>
      </c>
      <c r="C2408" s="9">
        <v>0</v>
      </c>
      <c r="D2408" s="13">
        <f t="shared" si="37"/>
        <v>1.19</v>
      </c>
    </row>
    <row r="2409" spans="1:4" x14ac:dyDescent="0.25">
      <c r="A2409" s="15">
        <f>Sheet2!A2409</f>
        <v>0</v>
      </c>
      <c r="B2409" s="8">
        <v>0</v>
      </c>
      <c r="C2409" s="9">
        <v>0.6</v>
      </c>
      <c r="D2409" s="13">
        <f t="shared" si="37"/>
        <v>0.6</v>
      </c>
    </row>
    <row r="2410" spans="1:4" x14ac:dyDescent="0.25">
      <c r="A2410" s="15">
        <f>Sheet2!A2410</f>
        <v>0</v>
      </c>
      <c r="B2410" s="8">
        <v>0</v>
      </c>
      <c r="C2410" s="9">
        <v>0.99</v>
      </c>
      <c r="D2410" s="13">
        <f t="shared" si="37"/>
        <v>0.99</v>
      </c>
    </row>
    <row r="2411" spans="1:4" x14ac:dyDescent="0.25">
      <c r="A2411" s="15">
        <f>Sheet2!A2411</f>
        <v>0</v>
      </c>
      <c r="B2411" s="8">
        <v>0</v>
      </c>
      <c r="C2411" s="9">
        <v>0.49</v>
      </c>
      <c r="D2411" s="13">
        <f t="shared" si="37"/>
        <v>0.49</v>
      </c>
    </row>
    <row r="2412" spans="1:4" x14ac:dyDescent="0.25">
      <c r="A2412" s="15">
        <f>Sheet2!A2412</f>
        <v>0</v>
      </c>
      <c r="B2412" s="8">
        <v>1.22</v>
      </c>
      <c r="C2412" s="9">
        <v>0</v>
      </c>
      <c r="D2412" s="13">
        <f t="shared" si="37"/>
        <v>1.22</v>
      </c>
    </row>
    <row r="2413" spans="1:4" x14ac:dyDescent="0.25">
      <c r="A2413" s="15">
        <f>Sheet2!A2413</f>
        <v>0</v>
      </c>
      <c r="B2413" s="8">
        <v>0</v>
      </c>
      <c r="C2413" s="9">
        <v>1.62</v>
      </c>
      <c r="D2413" s="13">
        <f t="shared" si="37"/>
        <v>1.62</v>
      </c>
    </row>
    <row r="2414" spans="1:4" x14ac:dyDescent="0.25">
      <c r="A2414" s="15">
        <f>Sheet2!A2414</f>
        <v>0</v>
      </c>
      <c r="B2414" s="8">
        <v>0</v>
      </c>
      <c r="C2414" s="9">
        <v>2.82</v>
      </c>
      <c r="D2414" s="13">
        <f t="shared" si="37"/>
        <v>2.82</v>
      </c>
    </row>
    <row r="2415" spans="1:4" x14ac:dyDescent="0.25">
      <c r="A2415" s="15">
        <f>Sheet2!A2415</f>
        <v>0</v>
      </c>
      <c r="B2415" s="8">
        <v>0</v>
      </c>
      <c r="C2415" s="9">
        <v>1.1599999999999999</v>
      </c>
      <c r="D2415" s="13">
        <f t="shared" si="37"/>
        <v>1.1599999999999999</v>
      </c>
    </row>
    <row r="2416" spans="1:4" x14ac:dyDescent="0.25">
      <c r="A2416" s="15">
        <f>Sheet2!A2416</f>
        <v>0</v>
      </c>
      <c r="B2416" s="8">
        <v>0</v>
      </c>
      <c r="C2416" s="9">
        <v>1.33</v>
      </c>
      <c r="D2416" s="13">
        <f t="shared" si="37"/>
        <v>1.33</v>
      </c>
    </row>
    <row r="2417" spans="1:4" x14ac:dyDescent="0.25">
      <c r="A2417" s="15">
        <f>Sheet2!A2417</f>
        <v>0</v>
      </c>
      <c r="B2417" s="8">
        <v>0</v>
      </c>
      <c r="C2417" s="9">
        <v>0.41</v>
      </c>
      <c r="D2417" s="13">
        <f t="shared" si="37"/>
        <v>0.41</v>
      </c>
    </row>
    <row r="2418" spans="1:4" x14ac:dyDescent="0.25">
      <c r="A2418" s="15">
        <f>Sheet2!A2418</f>
        <v>0</v>
      </c>
      <c r="B2418" s="8">
        <v>1.31</v>
      </c>
      <c r="C2418" s="9">
        <v>0</v>
      </c>
      <c r="D2418" s="13">
        <f t="shared" si="37"/>
        <v>1.31</v>
      </c>
    </row>
    <row r="2419" spans="1:4" x14ac:dyDescent="0.25">
      <c r="A2419" s="15">
        <f>Sheet2!A2419</f>
        <v>0</v>
      </c>
      <c r="B2419" s="8">
        <v>0</v>
      </c>
      <c r="C2419" s="9">
        <v>0.8</v>
      </c>
      <c r="D2419" s="13">
        <f t="shared" si="37"/>
        <v>0.8</v>
      </c>
    </row>
    <row r="2420" spans="1:4" x14ac:dyDescent="0.25">
      <c r="A2420" s="15">
        <f>Sheet2!A2420</f>
        <v>0</v>
      </c>
      <c r="B2420" s="8">
        <v>0</v>
      </c>
      <c r="C2420" s="9">
        <v>1.29</v>
      </c>
      <c r="D2420" s="13">
        <f t="shared" si="37"/>
        <v>1.29</v>
      </c>
    </row>
    <row r="2421" spans="1:4" x14ac:dyDescent="0.25">
      <c r="A2421" s="15">
        <f>Sheet2!A2421</f>
        <v>0</v>
      </c>
      <c r="B2421" s="8">
        <v>0</v>
      </c>
      <c r="C2421" s="9">
        <v>1.28</v>
      </c>
      <c r="D2421" s="13">
        <f t="shared" si="37"/>
        <v>1.28</v>
      </c>
    </row>
    <row r="2422" spans="1:4" x14ac:dyDescent="0.25">
      <c r="A2422" s="15">
        <f>Sheet2!A2422</f>
        <v>0</v>
      </c>
      <c r="B2422" s="8">
        <v>0</v>
      </c>
      <c r="C2422" s="9">
        <v>1.37</v>
      </c>
      <c r="D2422" s="13">
        <f t="shared" si="37"/>
        <v>1.37</v>
      </c>
    </row>
    <row r="2423" spans="1:4" x14ac:dyDescent="0.25">
      <c r="A2423" s="15">
        <f>Sheet2!A2423</f>
        <v>0</v>
      </c>
      <c r="B2423" s="8">
        <v>2.57</v>
      </c>
      <c r="C2423" s="9">
        <v>0</v>
      </c>
      <c r="D2423" s="13">
        <f t="shared" si="37"/>
        <v>2.57</v>
      </c>
    </row>
    <row r="2424" spans="1:4" x14ac:dyDescent="0.25">
      <c r="A2424" s="15">
        <f>Sheet2!A2424</f>
        <v>0</v>
      </c>
      <c r="B2424" s="8">
        <v>2.4500000000000002</v>
      </c>
      <c r="C2424" s="9">
        <v>0</v>
      </c>
      <c r="D2424" s="13">
        <f t="shared" si="37"/>
        <v>2.4500000000000002</v>
      </c>
    </row>
    <row r="2425" spans="1:4" x14ac:dyDescent="0.25">
      <c r="A2425" s="15">
        <f>Sheet2!A2425</f>
        <v>0</v>
      </c>
      <c r="B2425" s="8">
        <v>2.54</v>
      </c>
      <c r="C2425" s="9">
        <v>0</v>
      </c>
      <c r="D2425" s="13">
        <f t="shared" si="37"/>
        <v>2.54</v>
      </c>
    </row>
    <row r="2426" spans="1:4" x14ac:dyDescent="0.25">
      <c r="A2426" s="15">
        <f>Sheet2!A2426</f>
        <v>0</v>
      </c>
      <c r="B2426" s="8">
        <v>2.6</v>
      </c>
      <c r="C2426" s="9">
        <v>0</v>
      </c>
      <c r="D2426" s="13">
        <f t="shared" si="37"/>
        <v>2.6</v>
      </c>
    </row>
    <row r="2427" spans="1:4" x14ac:dyDescent="0.25">
      <c r="A2427" s="15">
        <f>Sheet2!A2427</f>
        <v>0</v>
      </c>
      <c r="B2427" s="8">
        <v>2.71</v>
      </c>
      <c r="C2427" s="9">
        <v>0</v>
      </c>
      <c r="D2427" s="13">
        <f t="shared" si="37"/>
        <v>2.71</v>
      </c>
    </row>
    <row r="2428" spans="1:4" x14ac:dyDescent="0.25">
      <c r="A2428" s="15">
        <f>Sheet2!A2428</f>
        <v>0</v>
      </c>
      <c r="B2428" s="8">
        <v>2.2599999999999998</v>
      </c>
      <c r="C2428" s="9">
        <v>0</v>
      </c>
      <c r="D2428" s="13">
        <f t="shared" si="37"/>
        <v>2.2599999999999998</v>
      </c>
    </row>
    <row r="2429" spans="1:4" x14ac:dyDescent="0.25">
      <c r="A2429" s="15">
        <f>Sheet2!A2429</f>
        <v>0</v>
      </c>
      <c r="B2429" s="8">
        <v>2.2799999999999998</v>
      </c>
      <c r="C2429" s="9">
        <v>0</v>
      </c>
      <c r="D2429" s="13">
        <f t="shared" si="37"/>
        <v>2.2799999999999998</v>
      </c>
    </row>
    <row r="2430" spans="1:4" x14ac:dyDescent="0.25">
      <c r="A2430" s="15">
        <f>Sheet2!A2430</f>
        <v>0</v>
      </c>
      <c r="B2430" s="8">
        <v>2.2799999999999998</v>
      </c>
      <c r="C2430" s="9">
        <v>0</v>
      </c>
      <c r="D2430" s="13">
        <f t="shared" si="37"/>
        <v>2.2799999999999998</v>
      </c>
    </row>
    <row r="2431" spans="1:4" x14ac:dyDescent="0.25">
      <c r="A2431" s="15">
        <f>Sheet2!A2431</f>
        <v>0</v>
      </c>
      <c r="B2431" s="8">
        <v>2.81</v>
      </c>
      <c r="C2431" s="9">
        <v>0</v>
      </c>
      <c r="D2431" s="13">
        <f t="shared" si="37"/>
        <v>2.81</v>
      </c>
    </row>
    <row r="2432" spans="1:4" x14ac:dyDescent="0.25">
      <c r="A2432" s="15">
        <f>Sheet2!A2432</f>
        <v>0</v>
      </c>
      <c r="B2432" s="8">
        <v>0.96</v>
      </c>
      <c r="C2432" s="9">
        <v>0</v>
      </c>
      <c r="D2432" s="13">
        <f t="shared" si="37"/>
        <v>0.96</v>
      </c>
    </row>
    <row r="2433" spans="1:4" x14ac:dyDescent="0.25">
      <c r="A2433" s="15">
        <f>Sheet2!A2433</f>
        <v>0</v>
      </c>
      <c r="B2433" s="8">
        <v>1.07</v>
      </c>
      <c r="C2433" s="9">
        <v>0</v>
      </c>
      <c r="D2433" s="13">
        <f t="shared" si="37"/>
        <v>1.07</v>
      </c>
    </row>
    <row r="2434" spans="1:4" x14ac:dyDescent="0.25">
      <c r="A2434" s="15">
        <f>Sheet2!A2434</f>
        <v>0</v>
      </c>
      <c r="B2434" s="8">
        <v>0</v>
      </c>
      <c r="C2434" s="9">
        <v>0.72</v>
      </c>
      <c r="D2434" s="13">
        <f t="shared" si="37"/>
        <v>0.72</v>
      </c>
    </row>
    <row r="2435" spans="1:4" x14ac:dyDescent="0.25">
      <c r="A2435" s="15">
        <f>Sheet2!A2435</f>
        <v>0</v>
      </c>
      <c r="B2435" s="8">
        <v>0</v>
      </c>
      <c r="C2435" s="9">
        <v>0.2</v>
      </c>
      <c r="D2435" s="13">
        <f t="shared" ref="D2435:D2498" si="38">B2435+C2435</f>
        <v>0.2</v>
      </c>
    </row>
    <row r="2436" spans="1:4" x14ac:dyDescent="0.25">
      <c r="A2436" s="15">
        <f>Sheet2!A2436</f>
        <v>0</v>
      </c>
      <c r="B2436" s="8">
        <v>2.2599999999999998</v>
      </c>
      <c r="C2436" s="9">
        <v>0</v>
      </c>
      <c r="D2436" s="13">
        <f t="shared" si="38"/>
        <v>2.2599999999999998</v>
      </c>
    </row>
    <row r="2437" spans="1:4" x14ac:dyDescent="0.25">
      <c r="A2437" s="15">
        <f>Sheet2!A2437</f>
        <v>0</v>
      </c>
      <c r="B2437" s="8">
        <v>2.19</v>
      </c>
      <c r="C2437" s="9">
        <v>0</v>
      </c>
      <c r="D2437" s="13">
        <f t="shared" si="38"/>
        <v>2.19</v>
      </c>
    </row>
    <row r="2438" spans="1:4" x14ac:dyDescent="0.25">
      <c r="A2438" s="15">
        <f>Sheet2!A2438</f>
        <v>0</v>
      </c>
      <c r="B2438" s="8">
        <v>1.1200000000000001</v>
      </c>
      <c r="C2438" s="9">
        <v>0</v>
      </c>
      <c r="D2438" s="13">
        <f t="shared" si="38"/>
        <v>1.1200000000000001</v>
      </c>
    </row>
    <row r="2439" spans="1:4" x14ac:dyDescent="0.25">
      <c r="A2439" s="15">
        <f>Sheet2!A2439</f>
        <v>0</v>
      </c>
      <c r="B2439" s="8">
        <v>0</v>
      </c>
      <c r="C2439" s="9">
        <v>0.82</v>
      </c>
      <c r="D2439" s="13">
        <f t="shared" si="38"/>
        <v>0.82</v>
      </c>
    </row>
    <row r="2440" spans="1:4" x14ac:dyDescent="0.25">
      <c r="A2440" s="15">
        <f>Sheet2!A2440</f>
        <v>0</v>
      </c>
      <c r="B2440" s="8">
        <v>0</v>
      </c>
      <c r="C2440" s="9">
        <v>0.94</v>
      </c>
      <c r="D2440" s="13">
        <f t="shared" si="38"/>
        <v>0.94</v>
      </c>
    </row>
    <row r="2441" spans="1:4" x14ac:dyDescent="0.25">
      <c r="A2441" s="15">
        <f>Sheet2!A2441</f>
        <v>0</v>
      </c>
      <c r="B2441" s="8">
        <v>1.69</v>
      </c>
      <c r="C2441" s="9">
        <v>0</v>
      </c>
      <c r="D2441" s="13">
        <f t="shared" si="38"/>
        <v>1.69</v>
      </c>
    </row>
    <row r="2442" spans="1:4" x14ac:dyDescent="0.25">
      <c r="A2442" s="15">
        <f>Sheet2!A2442</f>
        <v>0</v>
      </c>
      <c r="B2442" s="8">
        <v>1.32</v>
      </c>
      <c r="C2442" s="9">
        <v>0</v>
      </c>
      <c r="D2442" s="13">
        <f t="shared" si="38"/>
        <v>1.32</v>
      </c>
    </row>
    <row r="2443" spans="1:4" x14ac:dyDescent="0.25">
      <c r="A2443" s="15">
        <f>Sheet2!A2443</f>
        <v>0</v>
      </c>
      <c r="B2443" s="8">
        <v>1.62</v>
      </c>
      <c r="C2443" s="9">
        <v>0</v>
      </c>
      <c r="D2443" s="13">
        <f t="shared" si="38"/>
        <v>1.62</v>
      </c>
    </row>
    <row r="2444" spans="1:4" x14ac:dyDescent="0.25">
      <c r="A2444" s="15">
        <f>Sheet2!A2444</f>
        <v>0</v>
      </c>
      <c r="B2444" s="8">
        <v>1.42</v>
      </c>
      <c r="C2444" s="9">
        <v>0</v>
      </c>
      <c r="D2444" s="13">
        <f t="shared" si="38"/>
        <v>1.42</v>
      </c>
    </row>
    <row r="2445" spans="1:4" x14ac:dyDescent="0.25">
      <c r="A2445" s="15">
        <f>Sheet2!A2445</f>
        <v>0</v>
      </c>
      <c r="B2445" s="8">
        <v>1.88</v>
      </c>
      <c r="C2445" s="9">
        <v>0</v>
      </c>
      <c r="D2445" s="13">
        <f t="shared" si="38"/>
        <v>1.88</v>
      </c>
    </row>
    <row r="2446" spans="1:4" x14ac:dyDescent="0.25">
      <c r="A2446" s="15">
        <f>Sheet2!A2446</f>
        <v>0</v>
      </c>
      <c r="B2446" s="8">
        <v>2.77</v>
      </c>
      <c r="C2446" s="9">
        <v>0</v>
      </c>
      <c r="D2446" s="13">
        <f t="shared" si="38"/>
        <v>2.77</v>
      </c>
    </row>
    <row r="2447" spans="1:4" x14ac:dyDescent="0.25">
      <c r="A2447" s="15">
        <f>Sheet2!A2447</f>
        <v>0</v>
      </c>
      <c r="B2447" s="8">
        <v>1.6</v>
      </c>
      <c r="C2447" s="9">
        <v>0</v>
      </c>
      <c r="D2447" s="13">
        <f t="shared" si="38"/>
        <v>1.6</v>
      </c>
    </row>
    <row r="2448" spans="1:4" x14ac:dyDescent="0.25">
      <c r="A2448" s="15">
        <f>Sheet2!A2448</f>
        <v>0</v>
      </c>
      <c r="B2448" s="8">
        <v>1.87</v>
      </c>
      <c r="C2448" s="9">
        <v>0</v>
      </c>
      <c r="D2448" s="13">
        <f t="shared" si="38"/>
        <v>1.87</v>
      </c>
    </row>
    <row r="2449" spans="1:4" x14ac:dyDescent="0.25">
      <c r="A2449" s="15">
        <f>Sheet2!A2449</f>
        <v>0</v>
      </c>
      <c r="B2449" s="8">
        <v>1.73</v>
      </c>
      <c r="C2449" s="9">
        <v>0</v>
      </c>
      <c r="D2449" s="13">
        <f t="shared" si="38"/>
        <v>1.73</v>
      </c>
    </row>
    <row r="2450" spans="1:4" x14ac:dyDescent="0.25">
      <c r="A2450" s="15">
        <f>Sheet2!A2450</f>
        <v>0</v>
      </c>
      <c r="B2450" s="8">
        <v>1.82</v>
      </c>
      <c r="C2450" s="9">
        <v>0</v>
      </c>
      <c r="D2450" s="13">
        <f t="shared" si="38"/>
        <v>1.82</v>
      </c>
    </row>
    <row r="2451" spans="1:4" x14ac:dyDescent="0.25">
      <c r="A2451" s="15">
        <f>Sheet2!A2451</f>
        <v>0</v>
      </c>
      <c r="B2451" s="8">
        <v>1.78</v>
      </c>
      <c r="C2451" s="9">
        <v>0</v>
      </c>
      <c r="D2451" s="13">
        <f t="shared" si="38"/>
        <v>1.78</v>
      </c>
    </row>
    <row r="2452" spans="1:4" x14ac:dyDescent="0.25">
      <c r="A2452" s="15">
        <f>Sheet2!A2452</f>
        <v>0</v>
      </c>
      <c r="B2452" s="8">
        <v>1.58</v>
      </c>
      <c r="C2452" s="9">
        <v>0</v>
      </c>
      <c r="D2452" s="13">
        <f t="shared" si="38"/>
        <v>1.58</v>
      </c>
    </row>
    <row r="2453" spans="1:4" x14ac:dyDescent="0.25">
      <c r="A2453" s="15">
        <f>Sheet2!A2453</f>
        <v>0</v>
      </c>
      <c r="B2453" s="8">
        <v>1.31</v>
      </c>
      <c r="C2453" s="9">
        <v>0</v>
      </c>
      <c r="D2453" s="13">
        <f t="shared" si="38"/>
        <v>1.31</v>
      </c>
    </row>
    <row r="2454" spans="1:4" x14ac:dyDescent="0.25">
      <c r="A2454" s="15">
        <f>Sheet2!A2454</f>
        <v>0</v>
      </c>
      <c r="B2454" s="8">
        <v>1.66</v>
      </c>
      <c r="C2454" s="9">
        <v>0</v>
      </c>
      <c r="D2454" s="13">
        <f t="shared" si="38"/>
        <v>1.66</v>
      </c>
    </row>
    <row r="2455" spans="1:4" x14ac:dyDescent="0.25">
      <c r="A2455" s="15">
        <f>Sheet2!A2455</f>
        <v>0</v>
      </c>
      <c r="B2455" s="8">
        <v>1.68</v>
      </c>
      <c r="C2455" s="9">
        <v>0</v>
      </c>
      <c r="D2455" s="13">
        <f t="shared" si="38"/>
        <v>1.68</v>
      </c>
    </row>
    <row r="2456" spans="1:4" x14ac:dyDescent="0.25">
      <c r="A2456" s="15">
        <f>Sheet2!A2456</f>
        <v>0</v>
      </c>
      <c r="B2456" s="8">
        <v>1.2</v>
      </c>
      <c r="C2456" s="9">
        <v>0</v>
      </c>
      <c r="D2456" s="13">
        <f t="shared" si="38"/>
        <v>1.2</v>
      </c>
    </row>
    <row r="2457" spans="1:4" x14ac:dyDescent="0.25">
      <c r="A2457" s="15">
        <f>Sheet2!A2457</f>
        <v>0</v>
      </c>
      <c r="B2457" s="8">
        <v>1.18</v>
      </c>
      <c r="C2457" s="9">
        <v>0</v>
      </c>
      <c r="D2457" s="13">
        <f t="shared" si="38"/>
        <v>1.18</v>
      </c>
    </row>
    <row r="2458" spans="1:4" x14ac:dyDescent="0.25">
      <c r="A2458" s="15">
        <f>Sheet2!A2458</f>
        <v>0</v>
      </c>
      <c r="B2458" s="8">
        <v>1.28</v>
      </c>
      <c r="C2458" s="9">
        <v>0</v>
      </c>
      <c r="D2458" s="13">
        <f t="shared" si="38"/>
        <v>1.28</v>
      </c>
    </row>
    <row r="2459" spans="1:4" x14ac:dyDescent="0.25">
      <c r="A2459" s="15">
        <f>Sheet2!A2459</f>
        <v>0</v>
      </c>
      <c r="B2459" s="8">
        <v>1.1100000000000001</v>
      </c>
      <c r="C2459" s="9">
        <v>0</v>
      </c>
      <c r="D2459" s="13">
        <f t="shared" si="38"/>
        <v>1.1100000000000001</v>
      </c>
    </row>
    <row r="2460" spans="1:4" x14ac:dyDescent="0.25">
      <c r="A2460" s="15">
        <f>Sheet2!A2460</f>
        <v>0</v>
      </c>
      <c r="B2460" s="8">
        <v>1.32</v>
      </c>
      <c r="C2460" s="9">
        <v>0</v>
      </c>
      <c r="D2460" s="13">
        <f t="shared" si="38"/>
        <v>1.32</v>
      </c>
    </row>
    <row r="2461" spans="1:4" x14ac:dyDescent="0.25">
      <c r="A2461" s="15">
        <f>Sheet2!A2461</f>
        <v>0</v>
      </c>
      <c r="B2461" s="8">
        <v>0</v>
      </c>
      <c r="C2461" s="9">
        <v>0.68</v>
      </c>
      <c r="D2461" s="13">
        <f t="shared" si="38"/>
        <v>0.68</v>
      </c>
    </row>
    <row r="2462" spans="1:4" x14ac:dyDescent="0.25">
      <c r="A2462" s="15">
        <f>Sheet2!A2462</f>
        <v>0</v>
      </c>
      <c r="B2462" s="8">
        <v>0</v>
      </c>
      <c r="C2462" s="9">
        <v>2.37</v>
      </c>
      <c r="D2462" s="13">
        <f t="shared" si="38"/>
        <v>2.37</v>
      </c>
    </row>
    <row r="2463" spans="1:4" x14ac:dyDescent="0.25">
      <c r="A2463" s="15">
        <f>Sheet2!A2463</f>
        <v>0</v>
      </c>
      <c r="B2463" s="8">
        <v>0</v>
      </c>
      <c r="C2463" s="9">
        <v>0.69</v>
      </c>
      <c r="D2463" s="13">
        <f t="shared" si="38"/>
        <v>0.69</v>
      </c>
    </row>
    <row r="2464" spans="1:4" x14ac:dyDescent="0.25">
      <c r="A2464" s="15">
        <f>Sheet2!A2464</f>
        <v>0</v>
      </c>
      <c r="B2464" s="8">
        <v>1.44</v>
      </c>
      <c r="C2464" s="9">
        <v>0</v>
      </c>
      <c r="D2464" s="13">
        <f t="shared" si="38"/>
        <v>1.44</v>
      </c>
    </row>
    <row r="2465" spans="1:4" x14ac:dyDescent="0.25">
      <c r="A2465" s="15">
        <f>Sheet2!A2465</f>
        <v>0</v>
      </c>
      <c r="B2465" s="8">
        <v>0.94</v>
      </c>
      <c r="C2465" s="9">
        <v>0</v>
      </c>
      <c r="D2465" s="13">
        <f t="shared" si="38"/>
        <v>0.94</v>
      </c>
    </row>
    <row r="2466" spans="1:4" x14ac:dyDescent="0.25">
      <c r="A2466" s="15">
        <f>Sheet2!A2466</f>
        <v>0</v>
      </c>
      <c r="B2466" s="8">
        <v>1.44</v>
      </c>
      <c r="C2466" s="9">
        <v>0</v>
      </c>
      <c r="D2466" s="13">
        <f t="shared" si="38"/>
        <v>1.44</v>
      </c>
    </row>
    <row r="2467" spans="1:4" x14ac:dyDescent="0.25">
      <c r="A2467" s="15">
        <f>Sheet2!A2467</f>
        <v>0</v>
      </c>
      <c r="B2467" s="8">
        <v>0</v>
      </c>
      <c r="C2467" s="9">
        <v>0.74</v>
      </c>
      <c r="D2467" s="13">
        <f t="shared" si="38"/>
        <v>0.74</v>
      </c>
    </row>
    <row r="2468" spans="1:4" x14ac:dyDescent="0.25">
      <c r="A2468" s="15">
        <f>Sheet2!A2468</f>
        <v>0</v>
      </c>
      <c r="B2468" s="8">
        <v>0</v>
      </c>
      <c r="C2468" s="9">
        <v>1.28</v>
      </c>
      <c r="D2468" s="13">
        <f t="shared" si="38"/>
        <v>1.28</v>
      </c>
    </row>
    <row r="2469" spans="1:4" x14ac:dyDescent="0.25">
      <c r="A2469" s="15">
        <f>Sheet2!A2469</f>
        <v>0</v>
      </c>
      <c r="B2469" s="8">
        <v>0</v>
      </c>
      <c r="C2469" s="9">
        <v>0.22</v>
      </c>
      <c r="D2469" s="13">
        <f t="shared" si="38"/>
        <v>0.22</v>
      </c>
    </row>
    <row r="2470" spans="1:4" x14ac:dyDescent="0.25">
      <c r="A2470" s="15">
        <f>Sheet2!A2470</f>
        <v>0</v>
      </c>
      <c r="B2470" s="8">
        <v>2.48</v>
      </c>
      <c r="C2470" s="9">
        <v>0</v>
      </c>
      <c r="D2470" s="13">
        <f t="shared" si="38"/>
        <v>2.48</v>
      </c>
    </row>
    <row r="2471" spans="1:4" x14ac:dyDescent="0.25">
      <c r="A2471" s="15">
        <f>Sheet2!A2471</f>
        <v>0</v>
      </c>
      <c r="B2471" s="8">
        <v>2.71</v>
      </c>
      <c r="C2471" s="9">
        <v>0</v>
      </c>
      <c r="D2471" s="13">
        <f t="shared" si="38"/>
        <v>2.71</v>
      </c>
    </row>
    <row r="2472" spans="1:4" x14ac:dyDescent="0.25">
      <c r="A2472" s="15">
        <f>Sheet2!A2472</f>
        <v>0</v>
      </c>
      <c r="B2472" s="8">
        <v>2.19</v>
      </c>
      <c r="C2472" s="9">
        <v>0</v>
      </c>
      <c r="D2472" s="13">
        <f t="shared" si="38"/>
        <v>2.19</v>
      </c>
    </row>
    <row r="2473" spans="1:4" x14ac:dyDescent="0.25">
      <c r="A2473" s="15">
        <f>Sheet2!A2473</f>
        <v>0</v>
      </c>
      <c r="B2473" s="8">
        <v>1.9</v>
      </c>
      <c r="C2473" s="9">
        <v>0</v>
      </c>
      <c r="D2473" s="13">
        <f t="shared" si="38"/>
        <v>1.9</v>
      </c>
    </row>
    <row r="2474" spans="1:4" x14ac:dyDescent="0.25">
      <c r="A2474" s="15">
        <f>Sheet2!A2474</f>
        <v>0</v>
      </c>
      <c r="B2474" s="8">
        <v>1.81</v>
      </c>
      <c r="C2474" s="9">
        <v>0</v>
      </c>
      <c r="D2474" s="13">
        <f t="shared" si="38"/>
        <v>1.81</v>
      </c>
    </row>
    <row r="2475" spans="1:4" x14ac:dyDescent="0.25">
      <c r="A2475" s="15">
        <f>Sheet2!A2475</f>
        <v>0</v>
      </c>
      <c r="B2475" s="8">
        <v>1.8</v>
      </c>
      <c r="C2475" s="9">
        <v>0</v>
      </c>
      <c r="D2475" s="13">
        <f t="shared" si="38"/>
        <v>1.8</v>
      </c>
    </row>
    <row r="2476" spans="1:4" x14ac:dyDescent="0.25">
      <c r="A2476" s="15">
        <f>Sheet2!A2476</f>
        <v>0</v>
      </c>
      <c r="B2476" s="8">
        <v>1.57</v>
      </c>
      <c r="C2476" s="9">
        <v>0</v>
      </c>
      <c r="D2476" s="13">
        <f t="shared" si="38"/>
        <v>1.57</v>
      </c>
    </row>
    <row r="2477" spans="1:4" x14ac:dyDescent="0.25">
      <c r="A2477" s="15">
        <f>Sheet2!A2477</f>
        <v>0</v>
      </c>
      <c r="B2477" s="8">
        <v>1.64</v>
      </c>
      <c r="C2477" s="9">
        <v>0</v>
      </c>
      <c r="D2477" s="13">
        <f t="shared" si="38"/>
        <v>1.64</v>
      </c>
    </row>
    <row r="2478" spans="1:4" x14ac:dyDescent="0.25">
      <c r="A2478" s="15">
        <f>Sheet2!A2478</f>
        <v>0</v>
      </c>
      <c r="B2478" s="8">
        <v>1.93</v>
      </c>
      <c r="C2478" s="9">
        <v>0</v>
      </c>
      <c r="D2478" s="13">
        <f t="shared" si="38"/>
        <v>1.93</v>
      </c>
    </row>
    <row r="2479" spans="1:4" x14ac:dyDescent="0.25">
      <c r="A2479" s="15">
        <f>Sheet2!A2479</f>
        <v>0</v>
      </c>
      <c r="B2479" s="8">
        <v>1.66</v>
      </c>
      <c r="C2479" s="9">
        <v>0</v>
      </c>
      <c r="D2479" s="13">
        <f t="shared" si="38"/>
        <v>1.66</v>
      </c>
    </row>
    <row r="2480" spans="1:4" x14ac:dyDescent="0.25">
      <c r="A2480" s="15">
        <f>Sheet2!A2480</f>
        <v>0</v>
      </c>
      <c r="B2480" s="8">
        <v>1.44</v>
      </c>
      <c r="C2480" s="9">
        <v>0</v>
      </c>
      <c r="D2480" s="13">
        <f t="shared" si="38"/>
        <v>1.44</v>
      </c>
    </row>
    <row r="2481" spans="1:4" x14ac:dyDescent="0.25">
      <c r="A2481" s="15">
        <f>Sheet2!A2481</f>
        <v>0</v>
      </c>
      <c r="B2481" s="8">
        <v>1.06</v>
      </c>
      <c r="C2481" s="9">
        <v>0</v>
      </c>
      <c r="D2481" s="13">
        <f t="shared" si="38"/>
        <v>1.06</v>
      </c>
    </row>
    <row r="2482" spans="1:4" x14ac:dyDescent="0.25">
      <c r="A2482" s="15">
        <f>Sheet2!A2482</f>
        <v>0</v>
      </c>
      <c r="B2482" s="8">
        <v>2.13</v>
      </c>
      <c r="C2482" s="9">
        <v>0</v>
      </c>
      <c r="D2482" s="13">
        <f t="shared" si="38"/>
        <v>2.13</v>
      </c>
    </row>
    <row r="2483" spans="1:4" x14ac:dyDescent="0.25">
      <c r="A2483" s="15">
        <f>Sheet2!A2483</f>
        <v>0</v>
      </c>
      <c r="B2483" s="8">
        <v>0</v>
      </c>
      <c r="C2483" s="9">
        <v>1.1000000000000001</v>
      </c>
      <c r="D2483" s="13">
        <f t="shared" si="38"/>
        <v>1.1000000000000001</v>
      </c>
    </row>
    <row r="2484" spans="1:4" x14ac:dyDescent="0.25">
      <c r="A2484" s="15">
        <f>Sheet2!A2484</f>
        <v>0</v>
      </c>
      <c r="B2484" s="8">
        <v>0</v>
      </c>
      <c r="C2484" s="9">
        <v>2.19</v>
      </c>
      <c r="D2484" s="13">
        <f t="shared" si="38"/>
        <v>2.19</v>
      </c>
    </row>
    <row r="2485" spans="1:4" x14ac:dyDescent="0.25">
      <c r="A2485" s="15">
        <f>Sheet2!A2485</f>
        <v>0</v>
      </c>
      <c r="B2485" s="8">
        <v>0</v>
      </c>
      <c r="C2485" s="9">
        <v>1.35</v>
      </c>
      <c r="D2485" s="13">
        <f t="shared" si="38"/>
        <v>1.35</v>
      </c>
    </row>
    <row r="2486" spans="1:4" x14ac:dyDescent="0.25">
      <c r="A2486" s="15">
        <f>Sheet2!A2486</f>
        <v>0</v>
      </c>
      <c r="B2486" s="8">
        <v>1.81</v>
      </c>
      <c r="C2486" s="9">
        <v>0</v>
      </c>
      <c r="D2486" s="13">
        <f t="shared" si="38"/>
        <v>1.81</v>
      </c>
    </row>
    <row r="2487" spans="1:4" x14ac:dyDescent="0.25">
      <c r="A2487" s="15">
        <f>Sheet2!A2487</f>
        <v>0</v>
      </c>
      <c r="B2487" s="8">
        <v>0</v>
      </c>
      <c r="C2487" s="9">
        <v>1.26</v>
      </c>
      <c r="D2487" s="13">
        <f t="shared" si="38"/>
        <v>1.26</v>
      </c>
    </row>
    <row r="2488" spans="1:4" x14ac:dyDescent="0.25">
      <c r="A2488" s="15">
        <f>Sheet2!A2488</f>
        <v>0</v>
      </c>
      <c r="B2488" s="8">
        <v>0</v>
      </c>
      <c r="C2488" s="9">
        <v>1.82</v>
      </c>
      <c r="D2488" s="13">
        <f t="shared" si="38"/>
        <v>1.82</v>
      </c>
    </row>
    <row r="2489" spans="1:4" x14ac:dyDescent="0.25">
      <c r="A2489" s="15">
        <f>Sheet2!A2489</f>
        <v>0</v>
      </c>
      <c r="B2489" s="8">
        <v>0</v>
      </c>
      <c r="C2489" s="9">
        <v>1.47</v>
      </c>
      <c r="D2489" s="13">
        <f t="shared" si="38"/>
        <v>1.47</v>
      </c>
    </row>
    <row r="2490" spans="1:4" x14ac:dyDescent="0.25">
      <c r="A2490" s="15">
        <f>Sheet2!A2490</f>
        <v>0</v>
      </c>
      <c r="B2490" s="8">
        <v>0</v>
      </c>
      <c r="C2490" s="9">
        <v>2.12</v>
      </c>
      <c r="D2490" s="13">
        <f t="shared" si="38"/>
        <v>2.12</v>
      </c>
    </row>
    <row r="2491" spans="1:4" x14ac:dyDescent="0.25">
      <c r="A2491" s="15">
        <f>Sheet2!A2491</f>
        <v>0</v>
      </c>
      <c r="B2491" s="8">
        <v>0</v>
      </c>
      <c r="C2491" s="9">
        <v>2.83</v>
      </c>
      <c r="D2491" s="13">
        <f t="shared" si="38"/>
        <v>2.83</v>
      </c>
    </row>
    <row r="2492" spans="1:4" x14ac:dyDescent="0.25">
      <c r="A2492" s="15">
        <f>Sheet2!A2492</f>
        <v>0</v>
      </c>
      <c r="B2492" s="8">
        <v>5.91</v>
      </c>
      <c r="C2492" s="9">
        <v>0</v>
      </c>
      <c r="D2492" s="13">
        <f t="shared" si="38"/>
        <v>5.91</v>
      </c>
    </row>
    <row r="2493" spans="1:4" x14ac:dyDescent="0.25">
      <c r="A2493" s="15">
        <f>Sheet2!A2493</f>
        <v>0</v>
      </c>
      <c r="B2493" s="8">
        <v>2.1</v>
      </c>
      <c r="C2493" s="9">
        <v>0</v>
      </c>
      <c r="D2493" s="13">
        <f t="shared" si="38"/>
        <v>2.1</v>
      </c>
    </row>
    <row r="2494" spans="1:4" x14ac:dyDescent="0.25">
      <c r="A2494" s="15">
        <f>Sheet2!A2494</f>
        <v>0</v>
      </c>
      <c r="B2494" s="8">
        <v>0</v>
      </c>
      <c r="C2494" s="9">
        <v>0.5</v>
      </c>
      <c r="D2494" s="13">
        <f t="shared" si="38"/>
        <v>0.5</v>
      </c>
    </row>
    <row r="2495" spans="1:4" x14ac:dyDescent="0.25">
      <c r="A2495" s="15">
        <f>Sheet2!A2495</f>
        <v>0</v>
      </c>
      <c r="B2495" s="8">
        <v>2.0299999999999998</v>
      </c>
      <c r="C2495" s="9">
        <v>0</v>
      </c>
      <c r="D2495" s="13">
        <f t="shared" si="38"/>
        <v>2.0299999999999998</v>
      </c>
    </row>
    <row r="2496" spans="1:4" x14ac:dyDescent="0.25">
      <c r="A2496" s="15">
        <f>Sheet2!A2496</f>
        <v>0</v>
      </c>
      <c r="B2496" s="8">
        <v>2.65</v>
      </c>
      <c r="C2496" s="9">
        <v>0</v>
      </c>
      <c r="D2496" s="13">
        <f t="shared" si="38"/>
        <v>2.65</v>
      </c>
    </row>
    <row r="2497" spans="1:4" x14ac:dyDescent="0.25">
      <c r="A2497" s="15">
        <f>Sheet2!A2497</f>
        <v>0</v>
      </c>
      <c r="B2497" s="8">
        <v>1.42</v>
      </c>
      <c r="C2497" s="9">
        <v>0</v>
      </c>
      <c r="D2497" s="13">
        <f t="shared" si="38"/>
        <v>1.42</v>
      </c>
    </row>
    <row r="2498" spans="1:4" x14ac:dyDescent="0.25">
      <c r="A2498" s="15">
        <f>Sheet2!A2498</f>
        <v>0</v>
      </c>
      <c r="B2498" s="8">
        <v>1.48</v>
      </c>
      <c r="C2498" s="9">
        <v>0</v>
      </c>
      <c r="D2498" s="13">
        <f t="shared" si="38"/>
        <v>1.48</v>
      </c>
    </row>
    <row r="2499" spans="1:4" x14ac:dyDescent="0.25">
      <c r="A2499" s="15">
        <f>Sheet2!A2499</f>
        <v>0</v>
      </c>
      <c r="B2499" s="8">
        <v>1.1299999999999999</v>
      </c>
      <c r="C2499" s="9">
        <v>0</v>
      </c>
      <c r="D2499" s="13">
        <f t="shared" ref="D2499:D2562" si="39">B2499+C2499</f>
        <v>1.1299999999999999</v>
      </c>
    </row>
    <row r="2500" spans="1:4" x14ac:dyDescent="0.25">
      <c r="A2500" s="15">
        <f>Sheet2!A2500</f>
        <v>0</v>
      </c>
      <c r="B2500" s="8">
        <v>2.54</v>
      </c>
      <c r="C2500" s="9">
        <v>0</v>
      </c>
      <c r="D2500" s="13">
        <f t="shared" si="39"/>
        <v>2.54</v>
      </c>
    </row>
    <row r="2501" spans="1:4" x14ac:dyDescent="0.25">
      <c r="A2501" s="15">
        <f>Sheet2!A2501</f>
        <v>0</v>
      </c>
      <c r="B2501" s="8">
        <v>2.4</v>
      </c>
      <c r="C2501" s="9">
        <v>0</v>
      </c>
      <c r="D2501" s="13">
        <f t="shared" si="39"/>
        <v>2.4</v>
      </c>
    </row>
    <row r="2502" spans="1:4" x14ac:dyDescent="0.25">
      <c r="A2502" s="15">
        <f>Sheet2!A2502</f>
        <v>0</v>
      </c>
      <c r="B2502" s="8">
        <v>2.73</v>
      </c>
      <c r="C2502" s="9">
        <v>0</v>
      </c>
      <c r="D2502" s="13">
        <f t="shared" si="39"/>
        <v>2.73</v>
      </c>
    </row>
    <row r="2503" spans="1:4" x14ac:dyDescent="0.25">
      <c r="A2503" s="15">
        <f>Sheet2!A2503</f>
        <v>0</v>
      </c>
      <c r="B2503" s="8">
        <v>0</v>
      </c>
      <c r="C2503" s="9">
        <v>1.05</v>
      </c>
      <c r="D2503" s="13">
        <f t="shared" si="39"/>
        <v>1.05</v>
      </c>
    </row>
    <row r="2504" spans="1:4" x14ac:dyDescent="0.25">
      <c r="A2504" s="15">
        <f>Sheet2!A2504</f>
        <v>0</v>
      </c>
      <c r="B2504" s="8">
        <v>1.61</v>
      </c>
      <c r="C2504" s="9">
        <v>0</v>
      </c>
      <c r="D2504" s="13">
        <f t="shared" si="39"/>
        <v>1.61</v>
      </c>
    </row>
    <row r="2505" spans="1:4" x14ac:dyDescent="0.25">
      <c r="A2505" s="15">
        <f>Sheet2!A2505</f>
        <v>0</v>
      </c>
      <c r="B2505" s="8">
        <v>1.18</v>
      </c>
      <c r="C2505" s="9">
        <v>0</v>
      </c>
      <c r="D2505" s="13">
        <f t="shared" si="39"/>
        <v>1.18</v>
      </c>
    </row>
    <row r="2506" spans="1:4" x14ac:dyDescent="0.25">
      <c r="A2506" s="15">
        <f>Sheet2!A2506</f>
        <v>0</v>
      </c>
      <c r="B2506" s="8">
        <v>2.86</v>
      </c>
      <c r="C2506" s="9">
        <v>0</v>
      </c>
      <c r="D2506" s="13">
        <f t="shared" si="39"/>
        <v>2.86</v>
      </c>
    </row>
    <row r="2507" spans="1:4" x14ac:dyDescent="0.25">
      <c r="A2507" s="15">
        <f>Sheet2!A2507</f>
        <v>0</v>
      </c>
      <c r="B2507" s="8">
        <v>0</v>
      </c>
      <c r="C2507" s="9">
        <v>0.57999999999999996</v>
      </c>
      <c r="D2507" s="13">
        <f t="shared" si="39"/>
        <v>0.57999999999999996</v>
      </c>
    </row>
    <row r="2508" spans="1:4" x14ac:dyDescent="0.25">
      <c r="A2508" s="15">
        <f>Sheet2!A2508</f>
        <v>0</v>
      </c>
      <c r="B2508" s="8">
        <v>0</v>
      </c>
      <c r="C2508" s="9">
        <v>1.04</v>
      </c>
      <c r="D2508" s="13">
        <f t="shared" si="39"/>
        <v>1.04</v>
      </c>
    </row>
    <row r="2509" spans="1:4" x14ac:dyDescent="0.25">
      <c r="A2509" s="15">
        <f>Sheet2!A2509</f>
        <v>0</v>
      </c>
      <c r="B2509" s="8">
        <v>0</v>
      </c>
      <c r="C2509" s="9">
        <v>1.06</v>
      </c>
      <c r="D2509" s="13">
        <f t="shared" si="39"/>
        <v>1.06</v>
      </c>
    </row>
    <row r="2510" spans="1:4" x14ac:dyDescent="0.25">
      <c r="A2510" s="15">
        <f>Sheet2!A2510</f>
        <v>0</v>
      </c>
      <c r="B2510" s="8">
        <v>0</v>
      </c>
      <c r="C2510" s="9">
        <v>1.1200000000000001</v>
      </c>
      <c r="D2510" s="13">
        <f t="shared" si="39"/>
        <v>1.1200000000000001</v>
      </c>
    </row>
    <row r="2511" spans="1:4" x14ac:dyDescent="0.25">
      <c r="A2511" s="15">
        <f>Sheet2!A2511</f>
        <v>0</v>
      </c>
      <c r="B2511" s="8">
        <v>0</v>
      </c>
      <c r="C2511" s="9">
        <v>0.34</v>
      </c>
      <c r="D2511" s="13">
        <f t="shared" si="39"/>
        <v>0.34</v>
      </c>
    </row>
    <row r="2512" spans="1:4" x14ac:dyDescent="0.25">
      <c r="A2512" s="15">
        <f>Sheet2!A2512</f>
        <v>0</v>
      </c>
      <c r="B2512" s="8">
        <v>0</v>
      </c>
      <c r="C2512" s="9">
        <v>0.47</v>
      </c>
      <c r="D2512" s="13">
        <f t="shared" si="39"/>
        <v>0.47</v>
      </c>
    </row>
    <row r="2513" spans="1:4" x14ac:dyDescent="0.25">
      <c r="A2513" s="15">
        <f>Sheet2!A2513</f>
        <v>0</v>
      </c>
      <c r="B2513" s="8">
        <v>0</v>
      </c>
      <c r="C2513" s="9">
        <v>0.91</v>
      </c>
      <c r="D2513" s="13">
        <f t="shared" si="39"/>
        <v>0.91</v>
      </c>
    </row>
    <row r="2514" spans="1:4" x14ac:dyDescent="0.25">
      <c r="A2514" s="15">
        <f>Sheet2!A2514</f>
        <v>0</v>
      </c>
      <c r="B2514" s="8">
        <v>0</v>
      </c>
      <c r="C2514" s="9">
        <v>1.52</v>
      </c>
      <c r="D2514" s="13">
        <f t="shared" si="39"/>
        <v>1.52</v>
      </c>
    </row>
    <row r="2515" spans="1:4" x14ac:dyDescent="0.25">
      <c r="A2515" s="15">
        <f>Sheet2!A2515</f>
        <v>0</v>
      </c>
      <c r="B2515" s="8">
        <v>0</v>
      </c>
      <c r="C2515" s="9">
        <v>0.71</v>
      </c>
      <c r="D2515" s="13">
        <f t="shared" si="39"/>
        <v>0.71</v>
      </c>
    </row>
    <row r="2516" spans="1:4" x14ac:dyDescent="0.25">
      <c r="A2516" s="15">
        <f>Sheet2!A2516</f>
        <v>0</v>
      </c>
      <c r="B2516" s="8">
        <v>1.75</v>
      </c>
      <c r="C2516" s="9">
        <v>0</v>
      </c>
      <c r="D2516" s="13">
        <f t="shared" si="39"/>
        <v>1.75</v>
      </c>
    </row>
    <row r="2517" spans="1:4" x14ac:dyDescent="0.25">
      <c r="A2517" s="15">
        <f>Sheet2!A2517</f>
        <v>0</v>
      </c>
      <c r="B2517" s="8">
        <v>0</v>
      </c>
      <c r="C2517" s="9">
        <v>0.87</v>
      </c>
      <c r="D2517" s="13">
        <f t="shared" si="39"/>
        <v>0.87</v>
      </c>
    </row>
    <row r="2518" spans="1:4" x14ac:dyDescent="0.25">
      <c r="A2518" s="15">
        <f>Sheet2!A2518</f>
        <v>0</v>
      </c>
      <c r="B2518" s="8">
        <v>0</v>
      </c>
      <c r="C2518" s="9">
        <v>1.35</v>
      </c>
      <c r="D2518" s="13">
        <f t="shared" si="39"/>
        <v>1.35</v>
      </c>
    </row>
    <row r="2519" spans="1:4" x14ac:dyDescent="0.25">
      <c r="A2519" s="15">
        <f>Sheet2!A2519</f>
        <v>0</v>
      </c>
      <c r="B2519" s="8">
        <v>0</v>
      </c>
      <c r="C2519" s="9">
        <v>0.56999999999999995</v>
      </c>
      <c r="D2519" s="13">
        <f t="shared" si="39"/>
        <v>0.56999999999999995</v>
      </c>
    </row>
    <row r="2520" spans="1:4" x14ac:dyDescent="0.25">
      <c r="A2520" s="15">
        <f>Sheet2!A2520</f>
        <v>0</v>
      </c>
      <c r="B2520" s="8">
        <v>1.1299999999999999</v>
      </c>
      <c r="C2520" s="9">
        <v>0</v>
      </c>
      <c r="D2520" s="13">
        <f t="shared" si="39"/>
        <v>1.1299999999999999</v>
      </c>
    </row>
    <row r="2521" spans="1:4" x14ac:dyDescent="0.25">
      <c r="A2521" s="15">
        <f>Sheet2!A2521</f>
        <v>0</v>
      </c>
      <c r="B2521" s="8">
        <v>1.5</v>
      </c>
      <c r="C2521" s="9">
        <v>0</v>
      </c>
      <c r="D2521" s="13">
        <f t="shared" si="39"/>
        <v>1.5</v>
      </c>
    </row>
    <row r="2522" spans="1:4" x14ac:dyDescent="0.25">
      <c r="A2522" s="15">
        <f>Sheet2!A2522</f>
        <v>0</v>
      </c>
      <c r="B2522" s="8">
        <v>1.47</v>
      </c>
      <c r="C2522" s="9">
        <v>0</v>
      </c>
      <c r="D2522" s="13">
        <f t="shared" si="39"/>
        <v>1.47</v>
      </c>
    </row>
    <row r="2523" spans="1:4" x14ac:dyDescent="0.25">
      <c r="A2523" s="15">
        <f>Sheet2!A2523</f>
        <v>0</v>
      </c>
      <c r="B2523" s="8">
        <v>1.1299999999999999</v>
      </c>
      <c r="C2523" s="9">
        <v>0</v>
      </c>
      <c r="D2523" s="13">
        <f t="shared" si="39"/>
        <v>1.1299999999999999</v>
      </c>
    </row>
    <row r="2524" spans="1:4" x14ac:dyDescent="0.25">
      <c r="A2524" s="15">
        <f>Sheet2!A2524</f>
        <v>0</v>
      </c>
      <c r="B2524" s="8">
        <v>1.07</v>
      </c>
      <c r="C2524" s="9">
        <v>0</v>
      </c>
      <c r="D2524" s="13">
        <f t="shared" si="39"/>
        <v>1.07</v>
      </c>
    </row>
    <row r="2525" spans="1:4" x14ac:dyDescent="0.25">
      <c r="A2525" s="15">
        <f>Sheet2!A2525</f>
        <v>0</v>
      </c>
      <c r="B2525" s="8">
        <v>1.52</v>
      </c>
      <c r="C2525" s="9">
        <v>0</v>
      </c>
      <c r="D2525" s="13">
        <f t="shared" si="39"/>
        <v>1.52</v>
      </c>
    </row>
    <row r="2526" spans="1:4" x14ac:dyDescent="0.25">
      <c r="A2526" s="15">
        <f>Sheet2!A2526</f>
        <v>0</v>
      </c>
      <c r="B2526" s="8">
        <v>1.25</v>
      </c>
      <c r="C2526" s="9">
        <v>0</v>
      </c>
      <c r="D2526" s="13">
        <f t="shared" si="39"/>
        <v>1.25</v>
      </c>
    </row>
    <row r="2527" spans="1:4" x14ac:dyDescent="0.25">
      <c r="A2527" s="15">
        <f>Sheet2!A2527</f>
        <v>0</v>
      </c>
      <c r="B2527" s="8">
        <v>2.36</v>
      </c>
      <c r="C2527" s="9">
        <v>0</v>
      </c>
      <c r="D2527" s="13">
        <f t="shared" si="39"/>
        <v>2.36</v>
      </c>
    </row>
    <row r="2528" spans="1:4" x14ac:dyDescent="0.25">
      <c r="A2528" s="15">
        <f>Sheet2!A2528</f>
        <v>0</v>
      </c>
      <c r="B2528" s="8">
        <v>0.92</v>
      </c>
      <c r="C2528" s="9">
        <v>0</v>
      </c>
      <c r="D2528" s="13">
        <f t="shared" si="39"/>
        <v>0.92</v>
      </c>
    </row>
    <row r="2529" spans="1:4" x14ac:dyDescent="0.25">
      <c r="A2529" s="15">
        <f>Sheet2!A2529</f>
        <v>0</v>
      </c>
      <c r="B2529" s="8">
        <v>1.37</v>
      </c>
      <c r="C2529" s="9">
        <v>0</v>
      </c>
      <c r="D2529" s="13">
        <f t="shared" si="39"/>
        <v>1.37</v>
      </c>
    </row>
    <row r="2530" spans="1:4" x14ac:dyDescent="0.25">
      <c r="A2530" s="15">
        <f>Sheet2!A2530</f>
        <v>0</v>
      </c>
      <c r="B2530" s="8">
        <v>0</v>
      </c>
      <c r="C2530" s="9">
        <v>0.28999999999999998</v>
      </c>
      <c r="D2530" s="13">
        <f t="shared" si="39"/>
        <v>0.28999999999999998</v>
      </c>
    </row>
    <row r="2531" spans="1:4" x14ac:dyDescent="0.25">
      <c r="A2531" s="15">
        <f>Sheet2!A2531</f>
        <v>0</v>
      </c>
      <c r="B2531" s="8">
        <v>0</v>
      </c>
      <c r="C2531" s="9">
        <v>1.04</v>
      </c>
      <c r="D2531" s="13">
        <f t="shared" si="39"/>
        <v>1.04</v>
      </c>
    </row>
    <row r="2532" spans="1:4" x14ac:dyDescent="0.25">
      <c r="A2532" s="15">
        <f>Sheet2!A2532</f>
        <v>0</v>
      </c>
      <c r="B2532" s="8">
        <v>0</v>
      </c>
      <c r="C2532" s="9">
        <v>1.06</v>
      </c>
      <c r="D2532" s="13">
        <f t="shared" si="39"/>
        <v>1.06</v>
      </c>
    </row>
    <row r="2533" spans="1:4" x14ac:dyDescent="0.25">
      <c r="A2533" s="15">
        <f>Sheet2!A2533</f>
        <v>0</v>
      </c>
      <c r="B2533" s="8">
        <v>0</v>
      </c>
      <c r="C2533" s="9">
        <v>0.28000000000000003</v>
      </c>
      <c r="D2533" s="13">
        <f t="shared" si="39"/>
        <v>0.28000000000000003</v>
      </c>
    </row>
    <row r="2534" spans="1:4" x14ac:dyDescent="0.25">
      <c r="A2534" s="15">
        <f>Sheet2!A2534</f>
        <v>0</v>
      </c>
      <c r="B2534" s="8">
        <v>0</v>
      </c>
      <c r="C2534" s="9">
        <v>0.52</v>
      </c>
      <c r="D2534" s="13">
        <f t="shared" si="39"/>
        <v>0.52</v>
      </c>
    </row>
    <row r="2535" spans="1:4" x14ac:dyDescent="0.25">
      <c r="A2535" s="15">
        <f>Sheet2!A2535</f>
        <v>0</v>
      </c>
      <c r="B2535" s="8">
        <v>0</v>
      </c>
      <c r="C2535" s="9">
        <v>1.1100000000000001</v>
      </c>
      <c r="D2535" s="13">
        <f t="shared" si="39"/>
        <v>1.1100000000000001</v>
      </c>
    </row>
    <row r="2536" spans="1:4" x14ac:dyDescent="0.25">
      <c r="A2536" s="15">
        <f>Sheet2!A2536</f>
        <v>0</v>
      </c>
      <c r="B2536" s="8">
        <v>0</v>
      </c>
      <c r="C2536" s="9">
        <v>0.84</v>
      </c>
      <c r="D2536" s="13">
        <f t="shared" si="39"/>
        <v>0.84</v>
      </c>
    </row>
    <row r="2537" spans="1:4" x14ac:dyDescent="0.25">
      <c r="A2537" s="15">
        <f>Sheet2!A2537</f>
        <v>0</v>
      </c>
      <c r="B2537" s="8">
        <v>0</v>
      </c>
      <c r="C2537" s="9">
        <v>0.21</v>
      </c>
      <c r="D2537" s="13">
        <f t="shared" si="39"/>
        <v>0.21</v>
      </c>
    </row>
    <row r="2538" spans="1:4" x14ac:dyDescent="0.25">
      <c r="A2538" s="15">
        <f>Sheet2!A2538</f>
        <v>0</v>
      </c>
      <c r="B2538" s="8">
        <v>1.19</v>
      </c>
      <c r="C2538" s="9">
        <v>0</v>
      </c>
      <c r="D2538" s="13">
        <f t="shared" si="39"/>
        <v>1.19</v>
      </c>
    </row>
    <row r="2539" spans="1:4" x14ac:dyDescent="0.25">
      <c r="A2539" s="15">
        <f>Sheet2!A2539</f>
        <v>0</v>
      </c>
      <c r="B2539" s="8">
        <v>0</v>
      </c>
      <c r="C2539" s="9">
        <v>1.48</v>
      </c>
      <c r="D2539" s="13">
        <f t="shared" si="39"/>
        <v>1.48</v>
      </c>
    </row>
    <row r="2540" spans="1:4" x14ac:dyDescent="0.25">
      <c r="A2540" s="15">
        <f>Sheet2!A2540</f>
        <v>0</v>
      </c>
      <c r="B2540" s="8">
        <v>0</v>
      </c>
      <c r="C2540" s="9">
        <v>2.36</v>
      </c>
      <c r="D2540" s="13">
        <f t="shared" si="39"/>
        <v>2.36</v>
      </c>
    </row>
    <row r="2541" spans="1:4" x14ac:dyDescent="0.25">
      <c r="A2541" s="15">
        <f>Sheet2!A2541</f>
        <v>0</v>
      </c>
      <c r="B2541" s="8">
        <v>0</v>
      </c>
      <c r="C2541" s="9">
        <v>1.98</v>
      </c>
      <c r="D2541" s="13">
        <f t="shared" si="39"/>
        <v>1.98</v>
      </c>
    </row>
    <row r="2542" spans="1:4" x14ac:dyDescent="0.25">
      <c r="A2542" s="15">
        <f>Sheet2!A2542</f>
        <v>0</v>
      </c>
      <c r="B2542" s="8">
        <v>0</v>
      </c>
      <c r="C2542" s="9">
        <v>0.92</v>
      </c>
      <c r="D2542" s="13">
        <f t="shared" si="39"/>
        <v>0.92</v>
      </c>
    </row>
    <row r="2543" spans="1:4" x14ac:dyDescent="0.25">
      <c r="A2543" s="15">
        <f>Sheet2!A2543</f>
        <v>0</v>
      </c>
      <c r="B2543" s="8">
        <v>0</v>
      </c>
      <c r="C2543" s="9">
        <v>1.22</v>
      </c>
      <c r="D2543" s="13">
        <f t="shared" si="39"/>
        <v>1.22</v>
      </c>
    </row>
    <row r="2544" spans="1:4" x14ac:dyDescent="0.25">
      <c r="A2544" s="15">
        <f>Sheet2!A2544</f>
        <v>0</v>
      </c>
      <c r="B2544" s="8">
        <v>0</v>
      </c>
      <c r="C2544" s="9">
        <v>1.94</v>
      </c>
      <c r="D2544" s="13">
        <f t="shared" si="39"/>
        <v>1.94</v>
      </c>
    </row>
    <row r="2545" spans="1:4" x14ac:dyDescent="0.25">
      <c r="A2545" s="15">
        <f>Sheet2!A2545</f>
        <v>0</v>
      </c>
      <c r="B2545" s="8">
        <v>0</v>
      </c>
      <c r="C2545" s="9">
        <v>0.67</v>
      </c>
      <c r="D2545" s="13">
        <f t="shared" si="39"/>
        <v>0.67</v>
      </c>
    </row>
    <row r="2546" spans="1:4" x14ac:dyDescent="0.25">
      <c r="A2546" s="15">
        <f>Sheet2!A2546</f>
        <v>0</v>
      </c>
      <c r="B2546" s="8">
        <v>4.41</v>
      </c>
      <c r="C2546" s="9">
        <v>0</v>
      </c>
      <c r="D2546" s="13">
        <f t="shared" si="39"/>
        <v>4.41</v>
      </c>
    </row>
    <row r="2547" spans="1:4" x14ac:dyDescent="0.25">
      <c r="A2547" s="15">
        <f>Sheet2!A2547</f>
        <v>0</v>
      </c>
      <c r="B2547" s="8">
        <v>4.12</v>
      </c>
      <c r="C2547" s="9">
        <v>0</v>
      </c>
      <c r="D2547" s="13">
        <f t="shared" si="39"/>
        <v>4.12</v>
      </c>
    </row>
    <row r="2548" spans="1:4" x14ac:dyDescent="0.25">
      <c r="A2548" s="15">
        <f>Sheet2!A2548</f>
        <v>0</v>
      </c>
      <c r="B2548" s="8">
        <v>4.07</v>
      </c>
      <c r="C2548" s="9">
        <v>0</v>
      </c>
      <c r="D2548" s="13">
        <f t="shared" si="39"/>
        <v>4.07</v>
      </c>
    </row>
    <row r="2549" spans="1:4" x14ac:dyDescent="0.25">
      <c r="A2549" s="15">
        <f>Sheet2!A2549</f>
        <v>0</v>
      </c>
      <c r="B2549" s="8">
        <v>3.82</v>
      </c>
      <c r="C2549" s="9">
        <v>0</v>
      </c>
      <c r="D2549" s="13">
        <f t="shared" si="39"/>
        <v>3.82</v>
      </c>
    </row>
    <row r="2550" spans="1:4" x14ac:dyDescent="0.25">
      <c r="A2550" s="15">
        <f>Sheet2!A2550</f>
        <v>0</v>
      </c>
      <c r="B2550" s="8">
        <v>4.34</v>
      </c>
      <c r="C2550" s="9">
        <v>0</v>
      </c>
      <c r="D2550" s="13">
        <f t="shared" si="39"/>
        <v>4.34</v>
      </c>
    </row>
    <row r="2551" spans="1:4" x14ac:dyDescent="0.25">
      <c r="A2551" s="15">
        <f>Sheet2!A2551</f>
        <v>0</v>
      </c>
      <c r="B2551" s="8">
        <v>3.71</v>
      </c>
      <c r="C2551" s="9">
        <v>0</v>
      </c>
      <c r="D2551" s="13">
        <f t="shared" si="39"/>
        <v>3.71</v>
      </c>
    </row>
    <row r="2552" spans="1:4" x14ac:dyDescent="0.25">
      <c r="A2552" s="15">
        <f>Sheet2!A2552</f>
        <v>0</v>
      </c>
      <c r="B2552" s="8">
        <v>0</v>
      </c>
      <c r="C2552" s="9">
        <v>0.63</v>
      </c>
      <c r="D2552" s="13">
        <f t="shared" si="39"/>
        <v>0.63</v>
      </c>
    </row>
    <row r="2553" spans="1:4" x14ac:dyDescent="0.25">
      <c r="A2553" s="15">
        <f>Sheet2!A2553</f>
        <v>0</v>
      </c>
      <c r="B2553" s="8">
        <v>0</v>
      </c>
      <c r="C2553" s="9">
        <v>0.25</v>
      </c>
      <c r="D2553" s="13">
        <f t="shared" si="39"/>
        <v>0.25</v>
      </c>
    </row>
    <row r="2554" spans="1:4" x14ac:dyDescent="0.25">
      <c r="A2554" s="15">
        <f>Sheet2!A2554</f>
        <v>0</v>
      </c>
      <c r="B2554" s="8">
        <v>1.0900000000000001</v>
      </c>
      <c r="C2554" s="9">
        <v>0</v>
      </c>
      <c r="D2554" s="13">
        <f t="shared" si="39"/>
        <v>1.0900000000000001</v>
      </c>
    </row>
    <row r="2555" spans="1:4" x14ac:dyDescent="0.25">
      <c r="A2555" s="15">
        <f>Sheet2!A2555</f>
        <v>0</v>
      </c>
      <c r="B2555" s="8">
        <v>0</v>
      </c>
      <c r="C2555" s="9">
        <v>0.66</v>
      </c>
      <c r="D2555" s="13">
        <f t="shared" si="39"/>
        <v>0.66</v>
      </c>
    </row>
    <row r="2556" spans="1:4" x14ac:dyDescent="0.25">
      <c r="A2556" s="15">
        <f>Sheet2!A2556</f>
        <v>0</v>
      </c>
      <c r="B2556" s="8">
        <v>0</v>
      </c>
      <c r="C2556" s="9">
        <v>0.92</v>
      </c>
      <c r="D2556" s="13">
        <f t="shared" si="39"/>
        <v>0.92</v>
      </c>
    </row>
    <row r="2557" spans="1:4" x14ac:dyDescent="0.25">
      <c r="A2557" s="15">
        <f>Sheet2!A2557</f>
        <v>0</v>
      </c>
      <c r="B2557" s="8">
        <v>0</v>
      </c>
      <c r="C2557" s="9">
        <v>0.97</v>
      </c>
      <c r="D2557" s="13">
        <f t="shared" si="39"/>
        <v>0.97</v>
      </c>
    </row>
    <row r="2558" spans="1:4" x14ac:dyDescent="0.25">
      <c r="A2558" s="15">
        <f>Sheet2!A2558</f>
        <v>0</v>
      </c>
      <c r="B2558" s="8">
        <v>0</v>
      </c>
      <c r="C2558" s="9">
        <v>0.87</v>
      </c>
      <c r="D2558" s="13">
        <f t="shared" si="39"/>
        <v>0.87</v>
      </c>
    </row>
    <row r="2559" spans="1:4" x14ac:dyDescent="0.25">
      <c r="A2559" s="15">
        <f>Sheet2!A2559</f>
        <v>0</v>
      </c>
      <c r="B2559" s="8">
        <v>0</v>
      </c>
      <c r="C2559" s="9">
        <v>0.34</v>
      </c>
      <c r="D2559" s="13">
        <f t="shared" si="39"/>
        <v>0.34</v>
      </c>
    </row>
    <row r="2560" spans="1:4" x14ac:dyDescent="0.25">
      <c r="A2560" s="15">
        <f>Sheet2!A2560</f>
        <v>0</v>
      </c>
      <c r="B2560" s="8">
        <v>4.24</v>
      </c>
      <c r="C2560" s="9">
        <v>0</v>
      </c>
      <c r="D2560" s="13">
        <f t="shared" si="39"/>
        <v>4.24</v>
      </c>
    </row>
    <row r="2561" spans="1:4" x14ac:dyDescent="0.25">
      <c r="A2561" s="15">
        <f>Sheet2!A2561</f>
        <v>0</v>
      </c>
      <c r="B2561" s="8">
        <v>0</v>
      </c>
      <c r="C2561" s="9">
        <v>0.94</v>
      </c>
      <c r="D2561" s="13">
        <f t="shared" si="39"/>
        <v>0.94</v>
      </c>
    </row>
    <row r="2562" spans="1:4" x14ac:dyDescent="0.25">
      <c r="A2562" s="15">
        <f>Sheet2!A2562</f>
        <v>0</v>
      </c>
      <c r="B2562" s="8">
        <v>0</v>
      </c>
      <c r="C2562" s="9">
        <v>1.1200000000000001</v>
      </c>
      <c r="D2562" s="13">
        <f t="shared" si="39"/>
        <v>1.1200000000000001</v>
      </c>
    </row>
    <row r="2563" spans="1:4" x14ac:dyDescent="0.25">
      <c r="A2563" s="15">
        <f>Sheet2!A2563</f>
        <v>0</v>
      </c>
      <c r="B2563" s="8">
        <v>0</v>
      </c>
      <c r="C2563" s="9">
        <v>2.68</v>
      </c>
      <c r="D2563" s="13">
        <f t="shared" ref="D2563:D2626" si="40">B2563+C2563</f>
        <v>2.68</v>
      </c>
    </row>
    <row r="2564" spans="1:4" x14ac:dyDescent="0.25">
      <c r="A2564" s="15">
        <f>Sheet2!A2564</f>
        <v>0</v>
      </c>
      <c r="B2564" s="8">
        <v>0</v>
      </c>
      <c r="C2564" s="9">
        <v>1.2</v>
      </c>
      <c r="D2564" s="13">
        <f t="shared" si="40"/>
        <v>1.2</v>
      </c>
    </row>
    <row r="2565" spans="1:4" x14ac:dyDescent="0.25">
      <c r="A2565" s="15">
        <f>Sheet2!A2565</f>
        <v>0</v>
      </c>
      <c r="B2565" s="8">
        <v>2.83</v>
      </c>
      <c r="C2565" s="9">
        <v>0</v>
      </c>
      <c r="D2565" s="13">
        <f t="shared" si="40"/>
        <v>2.83</v>
      </c>
    </row>
    <row r="2566" spans="1:4" x14ac:dyDescent="0.25">
      <c r="A2566" s="15">
        <f>Sheet2!A2566</f>
        <v>0</v>
      </c>
      <c r="B2566" s="8">
        <v>2.36</v>
      </c>
      <c r="C2566" s="9">
        <v>0</v>
      </c>
      <c r="D2566" s="13">
        <f t="shared" si="40"/>
        <v>2.36</v>
      </c>
    </row>
    <row r="2567" spans="1:4" x14ac:dyDescent="0.25">
      <c r="A2567" s="15">
        <f>Sheet2!A2567</f>
        <v>0</v>
      </c>
      <c r="B2567" s="8">
        <v>0</v>
      </c>
      <c r="C2567" s="9">
        <v>0.79</v>
      </c>
      <c r="D2567" s="13">
        <f t="shared" si="40"/>
        <v>0.79</v>
      </c>
    </row>
    <row r="2568" spans="1:4" x14ac:dyDescent="0.25">
      <c r="A2568" s="15">
        <f>Sheet2!A2568</f>
        <v>0</v>
      </c>
      <c r="B2568" s="8">
        <v>1.71</v>
      </c>
      <c r="C2568" s="9">
        <v>0</v>
      </c>
      <c r="D2568" s="13">
        <f t="shared" si="40"/>
        <v>1.71</v>
      </c>
    </row>
    <row r="2569" spans="1:4" x14ac:dyDescent="0.25">
      <c r="A2569" s="15">
        <f>Sheet2!A2569</f>
        <v>0</v>
      </c>
      <c r="B2569" s="8">
        <v>2.79</v>
      </c>
      <c r="C2569" s="9">
        <v>0</v>
      </c>
      <c r="D2569" s="13">
        <f t="shared" si="40"/>
        <v>2.79</v>
      </c>
    </row>
    <row r="2570" spans="1:4" x14ac:dyDescent="0.25">
      <c r="A2570" s="15">
        <f>Sheet2!A2570</f>
        <v>0</v>
      </c>
      <c r="B2570" s="8">
        <v>2.41</v>
      </c>
      <c r="C2570" s="9">
        <v>0</v>
      </c>
      <c r="D2570" s="13">
        <f t="shared" si="40"/>
        <v>2.41</v>
      </c>
    </row>
    <row r="2571" spans="1:4" x14ac:dyDescent="0.25">
      <c r="A2571" s="15">
        <f>Sheet2!A2571</f>
        <v>0</v>
      </c>
      <c r="B2571" s="8">
        <v>2.52</v>
      </c>
      <c r="C2571" s="9">
        <v>0</v>
      </c>
      <c r="D2571" s="13">
        <f t="shared" si="40"/>
        <v>2.52</v>
      </c>
    </row>
    <row r="2572" spans="1:4" x14ac:dyDescent="0.25">
      <c r="A2572" s="15">
        <f>Sheet2!A2572</f>
        <v>0</v>
      </c>
      <c r="B2572" s="8">
        <v>2.15</v>
      </c>
      <c r="C2572" s="9">
        <v>0</v>
      </c>
      <c r="D2572" s="13">
        <f t="shared" si="40"/>
        <v>2.15</v>
      </c>
    </row>
    <row r="2573" spans="1:4" x14ac:dyDescent="0.25">
      <c r="A2573" s="15">
        <f>Sheet2!A2573</f>
        <v>0</v>
      </c>
      <c r="B2573" s="8">
        <v>2.1</v>
      </c>
      <c r="C2573" s="9">
        <v>0</v>
      </c>
      <c r="D2573" s="13">
        <f t="shared" si="40"/>
        <v>2.1</v>
      </c>
    </row>
    <row r="2574" spans="1:4" x14ac:dyDescent="0.25">
      <c r="A2574" s="15">
        <f>Sheet2!A2574</f>
        <v>0</v>
      </c>
      <c r="B2574" s="8">
        <v>2.73</v>
      </c>
      <c r="C2574" s="9">
        <v>0</v>
      </c>
      <c r="D2574" s="13">
        <f t="shared" si="40"/>
        <v>2.73</v>
      </c>
    </row>
    <row r="2575" spans="1:4" x14ac:dyDescent="0.25">
      <c r="A2575" s="15">
        <f>Sheet2!A2575</f>
        <v>0</v>
      </c>
      <c r="B2575" s="8">
        <v>0.42</v>
      </c>
      <c r="C2575" s="9">
        <v>0</v>
      </c>
      <c r="D2575" s="13">
        <f t="shared" si="40"/>
        <v>0.42</v>
      </c>
    </row>
    <row r="2576" spans="1:4" x14ac:dyDescent="0.25">
      <c r="A2576" s="15">
        <f>Sheet2!A2576</f>
        <v>0</v>
      </c>
      <c r="B2576" s="8">
        <v>1.04</v>
      </c>
      <c r="C2576" s="9">
        <v>0</v>
      </c>
      <c r="D2576" s="13">
        <f t="shared" si="40"/>
        <v>1.04</v>
      </c>
    </row>
    <row r="2577" spans="1:4" x14ac:dyDescent="0.25">
      <c r="A2577" s="15">
        <f>Sheet2!A2577</f>
        <v>0</v>
      </c>
      <c r="B2577" s="8">
        <v>0.63</v>
      </c>
      <c r="C2577" s="9">
        <v>0</v>
      </c>
      <c r="D2577" s="13">
        <f t="shared" si="40"/>
        <v>0.63</v>
      </c>
    </row>
    <row r="2578" spans="1:4" x14ac:dyDescent="0.25">
      <c r="A2578" s="15">
        <f>Sheet2!A2578</f>
        <v>0</v>
      </c>
      <c r="B2578" s="8">
        <v>0.79</v>
      </c>
      <c r="C2578" s="9">
        <v>0</v>
      </c>
      <c r="D2578" s="13">
        <f t="shared" si="40"/>
        <v>0.79</v>
      </c>
    </row>
    <row r="2579" spans="1:4" x14ac:dyDescent="0.25">
      <c r="A2579" s="15">
        <f>Sheet2!A2579</f>
        <v>0</v>
      </c>
      <c r="B2579" s="8">
        <v>1.74</v>
      </c>
      <c r="C2579" s="9">
        <v>0</v>
      </c>
      <c r="D2579" s="13">
        <f t="shared" si="40"/>
        <v>1.74</v>
      </c>
    </row>
    <row r="2580" spans="1:4" x14ac:dyDescent="0.25">
      <c r="A2580" s="15">
        <f>Sheet2!A2580</f>
        <v>0</v>
      </c>
      <c r="B2580" s="8">
        <v>0</v>
      </c>
      <c r="C2580" s="9">
        <v>0.88</v>
      </c>
      <c r="D2580" s="13">
        <f t="shared" si="40"/>
        <v>0.88</v>
      </c>
    </row>
    <row r="2581" spans="1:4" x14ac:dyDescent="0.25">
      <c r="A2581" s="15">
        <f>Sheet2!A2581</f>
        <v>0</v>
      </c>
      <c r="B2581" s="8">
        <v>0</v>
      </c>
      <c r="C2581" s="9">
        <v>0.44</v>
      </c>
      <c r="D2581" s="13">
        <f t="shared" si="40"/>
        <v>0.44</v>
      </c>
    </row>
    <row r="2582" spans="1:4" x14ac:dyDescent="0.25">
      <c r="A2582" s="15">
        <f>Sheet2!A2582</f>
        <v>0</v>
      </c>
      <c r="B2582" s="8">
        <v>1.31</v>
      </c>
      <c r="C2582" s="9">
        <v>0</v>
      </c>
      <c r="D2582" s="13">
        <f t="shared" si="40"/>
        <v>1.31</v>
      </c>
    </row>
    <row r="2583" spans="1:4" x14ac:dyDescent="0.25">
      <c r="A2583" s="15">
        <f>Sheet2!A2583</f>
        <v>0</v>
      </c>
      <c r="B2583" s="8">
        <v>0</v>
      </c>
      <c r="C2583" s="9">
        <v>0.44</v>
      </c>
      <c r="D2583" s="13">
        <f t="shared" si="40"/>
        <v>0.44</v>
      </c>
    </row>
    <row r="2584" spans="1:4" x14ac:dyDescent="0.25">
      <c r="A2584" s="15">
        <f>Sheet2!A2584</f>
        <v>0</v>
      </c>
      <c r="B2584" s="8">
        <v>0</v>
      </c>
      <c r="C2584" s="9">
        <v>1.1499999999999999</v>
      </c>
      <c r="D2584" s="13">
        <f t="shared" si="40"/>
        <v>1.1499999999999999</v>
      </c>
    </row>
    <row r="2585" spans="1:4" x14ac:dyDescent="0.25">
      <c r="A2585" s="15">
        <f>Sheet2!A2585</f>
        <v>0</v>
      </c>
      <c r="B2585" s="8">
        <v>0</v>
      </c>
      <c r="C2585" s="9">
        <v>1.44</v>
      </c>
      <c r="D2585" s="13">
        <f t="shared" si="40"/>
        <v>1.44</v>
      </c>
    </row>
    <row r="2586" spans="1:4" x14ac:dyDescent="0.25">
      <c r="A2586" s="15">
        <f>Sheet2!A2586</f>
        <v>0</v>
      </c>
      <c r="B2586" s="8">
        <v>0</v>
      </c>
      <c r="C2586" s="9">
        <v>1.04</v>
      </c>
      <c r="D2586" s="13">
        <f t="shared" si="40"/>
        <v>1.04</v>
      </c>
    </row>
    <row r="2587" spans="1:4" x14ac:dyDescent="0.25">
      <c r="A2587" s="15">
        <f>Sheet2!A2587</f>
        <v>0</v>
      </c>
      <c r="B2587" s="8">
        <v>0</v>
      </c>
      <c r="C2587" s="9">
        <v>0.55000000000000004</v>
      </c>
      <c r="D2587" s="13">
        <f t="shared" si="40"/>
        <v>0.55000000000000004</v>
      </c>
    </row>
    <row r="2588" spans="1:4" x14ac:dyDescent="0.25">
      <c r="A2588" s="15">
        <f>Sheet2!A2588</f>
        <v>0</v>
      </c>
      <c r="B2588" s="8">
        <v>2.2400000000000002</v>
      </c>
      <c r="C2588" s="9">
        <v>0</v>
      </c>
      <c r="D2588" s="13">
        <f t="shared" si="40"/>
        <v>2.2400000000000002</v>
      </c>
    </row>
    <row r="2589" spans="1:4" x14ac:dyDescent="0.25">
      <c r="A2589" s="15">
        <f>Sheet2!A2589</f>
        <v>0</v>
      </c>
      <c r="B2589" s="8">
        <v>0</v>
      </c>
      <c r="C2589" s="9">
        <v>0.84</v>
      </c>
      <c r="D2589" s="13">
        <f t="shared" si="40"/>
        <v>0.84</v>
      </c>
    </row>
    <row r="2590" spans="1:4" x14ac:dyDescent="0.25">
      <c r="A2590" s="15">
        <f>Sheet2!A2590</f>
        <v>0</v>
      </c>
      <c r="B2590" s="8">
        <v>0</v>
      </c>
      <c r="C2590" s="9">
        <v>1.79</v>
      </c>
      <c r="D2590" s="13">
        <f t="shared" si="40"/>
        <v>1.79</v>
      </c>
    </row>
    <row r="2591" spans="1:4" x14ac:dyDescent="0.25">
      <c r="A2591" s="15">
        <f>Sheet2!A2591</f>
        <v>0</v>
      </c>
      <c r="B2591" s="8">
        <v>0</v>
      </c>
      <c r="C2591" s="9">
        <v>2.14</v>
      </c>
      <c r="D2591" s="13">
        <f t="shared" si="40"/>
        <v>2.14</v>
      </c>
    </row>
    <row r="2592" spans="1:4" x14ac:dyDescent="0.25">
      <c r="A2592" s="15">
        <f>Sheet2!A2592</f>
        <v>0</v>
      </c>
      <c r="B2592" s="8">
        <v>0</v>
      </c>
      <c r="C2592" s="9">
        <v>2.31</v>
      </c>
      <c r="D2592" s="13">
        <f t="shared" si="40"/>
        <v>2.31</v>
      </c>
    </row>
    <row r="2593" spans="1:4" x14ac:dyDescent="0.25">
      <c r="A2593" s="15">
        <f>Sheet2!A2593</f>
        <v>0</v>
      </c>
      <c r="B2593" s="8">
        <v>2.79</v>
      </c>
      <c r="C2593" s="9">
        <v>0</v>
      </c>
      <c r="D2593" s="13">
        <f t="shared" si="40"/>
        <v>2.79</v>
      </c>
    </row>
    <row r="2594" spans="1:4" x14ac:dyDescent="0.25">
      <c r="A2594" s="15">
        <f>Sheet2!A2594</f>
        <v>0</v>
      </c>
      <c r="B2594" s="8">
        <v>2.41</v>
      </c>
      <c r="C2594" s="9">
        <v>0</v>
      </c>
      <c r="D2594" s="13">
        <f t="shared" si="40"/>
        <v>2.41</v>
      </c>
    </row>
    <row r="2595" spans="1:4" x14ac:dyDescent="0.25">
      <c r="A2595" s="15">
        <f>Sheet2!A2595</f>
        <v>0</v>
      </c>
      <c r="B2595" s="8">
        <v>2.52</v>
      </c>
      <c r="C2595" s="9">
        <v>0</v>
      </c>
      <c r="D2595" s="13">
        <f t="shared" si="40"/>
        <v>2.52</v>
      </c>
    </row>
    <row r="2596" spans="1:4" x14ac:dyDescent="0.25">
      <c r="A2596" s="15">
        <f>Sheet2!A2596</f>
        <v>0</v>
      </c>
      <c r="B2596" s="8">
        <v>2.15</v>
      </c>
      <c r="C2596" s="9">
        <v>0</v>
      </c>
      <c r="D2596" s="13">
        <f t="shared" si="40"/>
        <v>2.15</v>
      </c>
    </row>
    <row r="2597" spans="1:4" x14ac:dyDescent="0.25">
      <c r="A2597" s="15">
        <f>Sheet2!A2597</f>
        <v>0</v>
      </c>
      <c r="B2597" s="8">
        <v>2.1</v>
      </c>
      <c r="C2597" s="9">
        <v>0</v>
      </c>
      <c r="D2597" s="13">
        <f t="shared" si="40"/>
        <v>2.1</v>
      </c>
    </row>
    <row r="2598" spans="1:4" x14ac:dyDescent="0.25">
      <c r="A2598" s="15">
        <f>Sheet2!A2598</f>
        <v>0</v>
      </c>
      <c r="B2598" s="8">
        <v>2.73</v>
      </c>
      <c r="C2598" s="9">
        <v>0</v>
      </c>
      <c r="D2598" s="13">
        <f t="shared" si="40"/>
        <v>2.73</v>
      </c>
    </row>
    <row r="2599" spans="1:4" x14ac:dyDescent="0.25">
      <c r="A2599" s="15">
        <f>Sheet2!A2599</f>
        <v>0</v>
      </c>
      <c r="B2599" s="8">
        <v>2.5099999999999998</v>
      </c>
      <c r="C2599" s="9">
        <v>0</v>
      </c>
      <c r="D2599" s="13">
        <f t="shared" si="40"/>
        <v>2.5099999999999998</v>
      </c>
    </row>
    <row r="2600" spans="1:4" x14ac:dyDescent="0.25">
      <c r="A2600" s="15">
        <f>Sheet2!A2600</f>
        <v>0</v>
      </c>
      <c r="B2600" s="8">
        <v>1.31</v>
      </c>
      <c r="C2600" s="9">
        <v>0</v>
      </c>
      <c r="D2600" s="13">
        <f t="shared" si="40"/>
        <v>1.31</v>
      </c>
    </row>
    <row r="2601" spans="1:4" x14ac:dyDescent="0.25">
      <c r="A2601" s="15">
        <f>Sheet2!A2601</f>
        <v>0</v>
      </c>
      <c r="B2601" s="8">
        <v>0.91</v>
      </c>
      <c r="C2601" s="9">
        <v>0</v>
      </c>
      <c r="D2601" s="13">
        <f t="shared" si="40"/>
        <v>0.91</v>
      </c>
    </row>
    <row r="2602" spans="1:4" x14ac:dyDescent="0.25">
      <c r="A2602" s="15">
        <f>Sheet2!A2602</f>
        <v>0</v>
      </c>
      <c r="B2602" s="8">
        <v>0</v>
      </c>
      <c r="C2602" s="9">
        <v>0.73</v>
      </c>
      <c r="D2602" s="13">
        <f t="shared" si="40"/>
        <v>0.73</v>
      </c>
    </row>
    <row r="2603" spans="1:4" x14ac:dyDescent="0.25">
      <c r="A2603" s="15">
        <f>Sheet2!A2603</f>
        <v>0</v>
      </c>
      <c r="B2603" s="8">
        <v>0</v>
      </c>
      <c r="C2603" s="9">
        <v>0.48</v>
      </c>
      <c r="D2603" s="13">
        <f t="shared" si="40"/>
        <v>0.48</v>
      </c>
    </row>
    <row r="2604" spans="1:4" x14ac:dyDescent="0.25">
      <c r="A2604" s="15">
        <f>Sheet2!A2604</f>
        <v>0</v>
      </c>
      <c r="B2604" s="8">
        <v>0</v>
      </c>
      <c r="C2604" s="9">
        <v>0.93</v>
      </c>
      <c r="D2604" s="13">
        <f t="shared" si="40"/>
        <v>0.93</v>
      </c>
    </row>
    <row r="2605" spans="1:4" x14ac:dyDescent="0.25">
      <c r="A2605" s="15">
        <f>Sheet2!A2605</f>
        <v>0</v>
      </c>
      <c r="B2605" s="8">
        <v>0</v>
      </c>
      <c r="C2605" s="9">
        <v>0.56000000000000005</v>
      </c>
      <c r="D2605" s="13">
        <f t="shared" si="40"/>
        <v>0.56000000000000005</v>
      </c>
    </row>
    <row r="2606" spans="1:4" x14ac:dyDescent="0.25">
      <c r="A2606" s="15">
        <f>Sheet2!A2606</f>
        <v>0</v>
      </c>
      <c r="B2606" s="8">
        <v>1.39</v>
      </c>
      <c r="C2606" s="9">
        <v>0</v>
      </c>
      <c r="D2606" s="13">
        <f t="shared" si="40"/>
        <v>1.39</v>
      </c>
    </row>
    <row r="2607" spans="1:4" x14ac:dyDescent="0.25">
      <c r="A2607" s="15">
        <f>Sheet2!A2607</f>
        <v>0</v>
      </c>
      <c r="B2607" s="8">
        <v>0</v>
      </c>
      <c r="C2607" s="9">
        <v>0.59</v>
      </c>
      <c r="D2607" s="13">
        <f t="shared" si="40"/>
        <v>0.59</v>
      </c>
    </row>
    <row r="2608" spans="1:4" x14ac:dyDescent="0.25">
      <c r="A2608" s="15">
        <f>Sheet2!A2608</f>
        <v>0</v>
      </c>
      <c r="B2608" s="8">
        <v>0</v>
      </c>
      <c r="C2608" s="9">
        <v>1.78</v>
      </c>
      <c r="D2608" s="13">
        <f t="shared" si="40"/>
        <v>1.78</v>
      </c>
    </row>
    <row r="2609" spans="1:4" x14ac:dyDescent="0.25">
      <c r="A2609" s="15">
        <f>Sheet2!A2609</f>
        <v>0</v>
      </c>
      <c r="B2609" s="8">
        <v>0</v>
      </c>
      <c r="C2609" s="9">
        <v>0.98</v>
      </c>
      <c r="D2609" s="13">
        <f t="shared" si="40"/>
        <v>0.98</v>
      </c>
    </row>
    <row r="2610" spans="1:4" x14ac:dyDescent="0.25">
      <c r="A2610" s="15">
        <f>Sheet2!A2610</f>
        <v>0</v>
      </c>
      <c r="B2610" s="8">
        <v>1.4</v>
      </c>
      <c r="C2610" s="9">
        <v>0</v>
      </c>
      <c r="D2610" s="13">
        <f t="shared" si="40"/>
        <v>1.4</v>
      </c>
    </row>
    <row r="2611" spans="1:4" x14ac:dyDescent="0.25">
      <c r="A2611" s="15">
        <f>Sheet2!A2611</f>
        <v>0</v>
      </c>
      <c r="B2611" s="8">
        <v>0</v>
      </c>
      <c r="C2611" s="9">
        <v>1.1499999999999999</v>
      </c>
      <c r="D2611" s="13">
        <f t="shared" si="40"/>
        <v>1.1499999999999999</v>
      </c>
    </row>
    <row r="2612" spans="1:4" x14ac:dyDescent="0.25">
      <c r="A2612" s="15">
        <f>Sheet2!A2612</f>
        <v>0</v>
      </c>
      <c r="B2612" s="8">
        <v>0</v>
      </c>
      <c r="C2612" s="9">
        <v>1.24</v>
      </c>
      <c r="D2612" s="13">
        <f t="shared" si="40"/>
        <v>1.24</v>
      </c>
    </row>
    <row r="2613" spans="1:4" x14ac:dyDescent="0.25">
      <c r="A2613" s="15">
        <f>Sheet2!A2613</f>
        <v>0</v>
      </c>
      <c r="B2613" s="8">
        <v>0</v>
      </c>
      <c r="C2613" s="9">
        <v>1.98</v>
      </c>
      <c r="D2613" s="13">
        <f t="shared" si="40"/>
        <v>1.98</v>
      </c>
    </row>
    <row r="2614" spans="1:4" x14ac:dyDescent="0.25">
      <c r="A2614" s="15">
        <f>Sheet2!A2614</f>
        <v>0</v>
      </c>
      <c r="B2614" s="8">
        <v>0</v>
      </c>
      <c r="C2614" s="9">
        <v>1.66</v>
      </c>
      <c r="D2614" s="13">
        <f t="shared" si="40"/>
        <v>1.66</v>
      </c>
    </row>
    <row r="2615" spans="1:4" x14ac:dyDescent="0.25">
      <c r="A2615" s="15">
        <f>Sheet2!A2615</f>
        <v>0</v>
      </c>
      <c r="B2615" s="8">
        <v>0</v>
      </c>
      <c r="C2615" s="9">
        <v>0.89</v>
      </c>
      <c r="D2615" s="13">
        <f t="shared" si="40"/>
        <v>0.89</v>
      </c>
    </row>
    <row r="2616" spans="1:4" x14ac:dyDescent="0.25">
      <c r="A2616" s="15">
        <f>Sheet2!A2616</f>
        <v>0</v>
      </c>
      <c r="B2616" s="8">
        <v>2.4500000000000002</v>
      </c>
      <c r="C2616" s="9">
        <v>0</v>
      </c>
      <c r="D2616" s="13">
        <f t="shared" si="40"/>
        <v>2.4500000000000002</v>
      </c>
    </row>
    <row r="2617" spans="1:4" x14ac:dyDescent="0.25">
      <c r="A2617" s="15">
        <f>Sheet2!A2617</f>
        <v>0</v>
      </c>
      <c r="B2617" s="8">
        <v>0</v>
      </c>
      <c r="C2617" s="9">
        <v>1.59</v>
      </c>
      <c r="D2617" s="13">
        <f t="shared" si="40"/>
        <v>1.59</v>
      </c>
    </row>
    <row r="2618" spans="1:4" x14ac:dyDescent="0.25">
      <c r="A2618" s="15">
        <f>Sheet2!A2618</f>
        <v>0</v>
      </c>
      <c r="B2618" s="8">
        <v>2.66</v>
      </c>
      <c r="C2618" s="9">
        <v>0</v>
      </c>
      <c r="D2618" s="13">
        <f t="shared" si="40"/>
        <v>2.66</v>
      </c>
    </row>
    <row r="2619" spans="1:4" x14ac:dyDescent="0.25">
      <c r="A2619" s="15">
        <f>Sheet2!A2619</f>
        <v>0</v>
      </c>
      <c r="B2619" s="8">
        <v>2.64</v>
      </c>
      <c r="C2619" s="9">
        <v>0</v>
      </c>
      <c r="D2619" s="13">
        <f t="shared" si="40"/>
        <v>2.64</v>
      </c>
    </row>
    <row r="2620" spans="1:4" x14ac:dyDescent="0.25">
      <c r="A2620" s="15">
        <f>Sheet2!A2620</f>
        <v>0</v>
      </c>
      <c r="B2620" s="8">
        <v>2.5099999999999998</v>
      </c>
      <c r="C2620" s="9">
        <v>0</v>
      </c>
      <c r="D2620" s="13">
        <f t="shared" si="40"/>
        <v>2.5099999999999998</v>
      </c>
    </row>
    <row r="2621" spans="1:4" x14ac:dyDescent="0.25">
      <c r="A2621" s="15">
        <f>Sheet2!A2621</f>
        <v>0</v>
      </c>
      <c r="B2621" s="8">
        <v>2.4300000000000002</v>
      </c>
      <c r="C2621" s="9">
        <v>0</v>
      </c>
      <c r="D2621" s="13">
        <f t="shared" si="40"/>
        <v>2.4300000000000002</v>
      </c>
    </row>
    <row r="2622" spans="1:4" x14ac:dyDescent="0.25">
      <c r="A2622" s="15">
        <f>Sheet2!A2622</f>
        <v>0</v>
      </c>
      <c r="B2622" s="8">
        <v>2.48</v>
      </c>
      <c r="C2622" s="9">
        <v>0</v>
      </c>
      <c r="D2622" s="13">
        <f t="shared" si="40"/>
        <v>2.48</v>
      </c>
    </row>
    <row r="2623" spans="1:4" x14ac:dyDescent="0.25">
      <c r="A2623" s="15">
        <f>Sheet2!A2623</f>
        <v>0</v>
      </c>
      <c r="B2623" s="8">
        <v>2.52</v>
      </c>
      <c r="C2623" s="9">
        <v>0</v>
      </c>
      <c r="D2623" s="13">
        <f t="shared" si="40"/>
        <v>2.52</v>
      </c>
    </row>
    <row r="2624" spans="1:4" x14ac:dyDescent="0.25">
      <c r="A2624" s="15">
        <f>Sheet2!A2624</f>
        <v>0</v>
      </c>
      <c r="B2624" s="8">
        <v>1.76</v>
      </c>
      <c r="C2624" s="9">
        <v>0</v>
      </c>
      <c r="D2624" s="13">
        <f t="shared" si="40"/>
        <v>1.76</v>
      </c>
    </row>
    <row r="2625" spans="1:4" x14ac:dyDescent="0.25">
      <c r="A2625" s="15">
        <f>Sheet2!A2625</f>
        <v>0</v>
      </c>
      <c r="B2625" s="8">
        <v>2.27</v>
      </c>
      <c r="C2625" s="9">
        <v>0</v>
      </c>
      <c r="D2625" s="13">
        <f t="shared" si="40"/>
        <v>2.27</v>
      </c>
    </row>
    <row r="2626" spans="1:4" x14ac:dyDescent="0.25">
      <c r="A2626" s="15">
        <f>Sheet2!A2626</f>
        <v>0</v>
      </c>
      <c r="B2626" s="8">
        <v>2.13</v>
      </c>
      <c r="C2626" s="9">
        <v>0</v>
      </c>
      <c r="D2626" s="13">
        <f t="shared" si="40"/>
        <v>2.13</v>
      </c>
    </row>
    <row r="2627" spans="1:4" x14ac:dyDescent="0.25">
      <c r="A2627" s="15">
        <f>Sheet2!A2627</f>
        <v>0</v>
      </c>
      <c r="B2627" s="8">
        <v>0</v>
      </c>
      <c r="C2627" s="9">
        <v>1.28</v>
      </c>
      <c r="D2627" s="13">
        <f t="shared" ref="D2627:D2690" si="41">B2627+C2627</f>
        <v>1.28</v>
      </c>
    </row>
    <row r="2628" spans="1:4" x14ac:dyDescent="0.25">
      <c r="A2628" s="15">
        <f>Sheet2!A2628</f>
        <v>0</v>
      </c>
      <c r="B2628" s="8">
        <v>0</v>
      </c>
      <c r="C2628" s="9">
        <v>1.51</v>
      </c>
      <c r="D2628" s="13">
        <f t="shared" si="41"/>
        <v>1.51</v>
      </c>
    </row>
    <row r="2629" spans="1:4" x14ac:dyDescent="0.25">
      <c r="A2629" s="15">
        <f>Sheet2!A2629</f>
        <v>0</v>
      </c>
      <c r="B2629" s="8">
        <v>0</v>
      </c>
      <c r="C2629" s="9">
        <v>1.57</v>
      </c>
      <c r="D2629" s="13">
        <f t="shared" si="41"/>
        <v>1.57</v>
      </c>
    </row>
    <row r="2630" spans="1:4" x14ac:dyDescent="0.25">
      <c r="A2630" s="15">
        <f>Sheet2!A2630</f>
        <v>0</v>
      </c>
      <c r="B2630" s="8">
        <v>1.97</v>
      </c>
      <c r="C2630" s="9">
        <v>0</v>
      </c>
      <c r="D2630" s="13">
        <f t="shared" si="41"/>
        <v>1.97</v>
      </c>
    </row>
    <row r="2631" spans="1:4" x14ac:dyDescent="0.25">
      <c r="A2631" s="15">
        <f>Sheet2!A2631</f>
        <v>0</v>
      </c>
      <c r="B2631" s="8">
        <v>0</v>
      </c>
      <c r="C2631" s="9">
        <v>0.7</v>
      </c>
      <c r="D2631" s="13">
        <f t="shared" si="41"/>
        <v>0.7</v>
      </c>
    </row>
    <row r="2632" spans="1:4" x14ac:dyDescent="0.25">
      <c r="A2632" s="15">
        <f>Sheet2!A2632</f>
        <v>0</v>
      </c>
      <c r="B2632" s="8">
        <v>0</v>
      </c>
      <c r="C2632" s="9">
        <v>1.08</v>
      </c>
      <c r="D2632" s="13">
        <f t="shared" si="41"/>
        <v>1.08</v>
      </c>
    </row>
    <row r="2633" spans="1:4" x14ac:dyDescent="0.25">
      <c r="A2633" s="15">
        <f>Sheet2!A2633</f>
        <v>0</v>
      </c>
      <c r="B2633" s="8">
        <v>0</v>
      </c>
      <c r="C2633" s="9">
        <v>2.02</v>
      </c>
      <c r="D2633" s="13">
        <f t="shared" si="41"/>
        <v>2.02</v>
      </c>
    </row>
    <row r="2634" spans="1:4" x14ac:dyDescent="0.25">
      <c r="A2634" s="15">
        <f>Sheet2!A2634</f>
        <v>0</v>
      </c>
      <c r="B2634" s="8">
        <v>0</v>
      </c>
      <c r="C2634" s="9">
        <v>0.62</v>
      </c>
      <c r="D2634" s="13">
        <f t="shared" si="41"/>
        <v>0.62</v>
      </c>
    </row>
    <row r="2635" spans="1:4" x14ac:dyDescent="0.25">
      <c r="A2635" s="15">
        <f>Sheet2!A2635</f>
        <v>0</v>
      </c>
      <c r="B2635" s="8">
        <v>0</v>
      </c>
      <c r="C2635" s="9">
        <v>0.84</v>
      </c>
      <c r="D2635" s="13">
        <f t="shared" si="41"/>
        <v>0.84</v>
      </c>
    </row>
    <row r="2636" spans="1:4" x14ac:dyDescent="0.25">
      <c r="A2636" s="15">
        <f>Sheet2!A2636</f>
        <v>0</v>
      </c>
      <c r="B2636" s="8">
        <v>0</v>
      </c>
      <c r="C2636" s="9">
        <v>1.41</v>
      </c>
      <c r="D2636" s="13">
        <f t="shared" si="41"/>
        <v>1.41</v>
      </c>
    </row>
    <row r="2637" spans="1:4" x14ac:dyDescent="0.25">
      <c r="A2637" s="15">
        <f>Sheet2!A2637</f>
        <v>0</v>
      </c>
      <c r="B2637" s="8">
        <v>0</v>
      </c>
      <c r="C2637" s="9">
        <v>1.4</v>
      </c>
      <c r="D2637" s="13">
        <f t="shared" si="41"/>
        <v>1.4</v>
      </c>
    </row>
    <row r="2638" spans="1:4" x14ac:dyDescent="0.25">
      <c r="A2638" s="15">
        <f>Sheet2!A2638</f>
        <v>0</v>
      </c>
      <c r="B2638" s="8">
        <v>0</v>
      </c>
      <c r="C2638" s="9">
        <v>0.94</v>
      </c>
      <c r="D2638" s="13">
        <f t="shared" si="41"/>
        <v>0.94</v>
      </c>
    </row>
    <row r="2639" spans="1:4" x14ac:dyDescent="0.25">
      <c r="A2639" s="15">
        <f>Sheet2!A2639</f>
        <v>0</v>
      </c>
      <c r="B2639" s="8">
        <v>0</v>
      </c>
      <c r="C2639" s="9">
        <v>1.1299999999999999</v>
      </c>
      <c r="D2639" s="13">
        <f t="shared" si="41"/>
        <v>1.1299999999999999</v>
      </c>
    </row>
    <row r="2640" spans="1:4" x14ac:dyDescent="0.25">
      <c r="A2640" s="15">
        <f>Sheet2!A2640</f>
        <v>0</v>
      </c>
      <c r="B2640" s="8">
        <v>0</v>
      </c>
      <c r="C2640" s="9">
        <v>2.59</v>
      </c>
      <c r="D2640" s="13">
        <f t="shared" si="41"/>
        <v>2.59</v>
      </c>
    </row>
    <row r="2641" spans="1:4" x14ac:dyDescent="0.25">
      <c r="A2641" s="15">
        <f>Sheet2!A2641</f>
        <v>0</v>
      </c>
      <c r="B2641" s="8">
        <v>0</v>
      </c>
      <c r="C2641" s="9">
        <v>2.67</v>
      </c>
      <c r="D2641" s="13">
        <f t="shared" si="41"/>
        <v>2.67</v>
      </c>
    </row>
    <row r="2642" spans="1:4" x14ac:dyDescent="0.25">
      <c r="A2642" s="15">
        <f>Sheet2!A2642</f>
        <v>0</v>
      </c>
      <c r="B2642" s="8">
        <v>0</v>
      </c>
      <c r="C2642" s="9">
        <v>2.56</v>
      </c>
      <c r="D2642" s="13">
        <f t="shared" si="41"/>
        <v>2.56</v>
      </c>
    </row>
    <row r="2643" spans="1:4" x14ac:dyDescent="0.25">
      <c r="A2643" s="15">
        <f>Sheet2!A2643</f>
        <v>0</v>
      </c>
      <c r="B2643" s="8">
        <v>0</v>
      </c>
      <c r="C2643" s="9">
        <v>1.45</v>
      </c>
      <c r="D2643" s="13">
        <f t="shared" si="41"/>
        <v>1.45</v>
      </c>
    </row>
    <row r="2644" spans="1:4" x14ac:dyDescent="0.25">
      <c r="A2644" s="15">
        <f>Sheet2!A2644</f>
        <v>0</v>
      </c>
      <c r="B2644" s="8">
        <v>2.5099999999999998</v>
      </c>
      <c r="C2644" s="9">
        <v>0</v>
      </c>
      <c r="D2644" s="13">
        <f t="shared" si="41"/>
        <v>2.5099999999999998</v>
      </c>
    </row>
    <row r="2645" spans="1:4" x14ac:dyDescent="0.25">
      <c r="A2645" s="15">
        <f>Sheet2!A2645</f>
        <v>0</v>
      </c>
      <c r="B2645" s="8">
        <v>1.93</v>
      </c>
      <c r="C2645" s="9">
        <v>0</v>
      </c>
      <c r="D2645" s="13">
        <f t="shared" si="41"/>
        <v>1.93</v>
      </c>
    </row>
    <row r="2646" spans="1:4" x14ac:dyDescent="0.25">
      <c r="A2646" s="15">
        <f>Sheet2!A2646</f>
        <v>0</v>
      </c>
      <c r="B2646" s="8">
        <v>0</v>
      </c>
      <c r="C2646" s="9">
        <v>2.4700000000000002</v>
      </c>
      <c r="D2646" s="13">
        <f t="shared" si="41"/>
        <v>2.4700000000000002</v>
      </c>
    </row>
    <row r="2647" spans="1:4" x14ac:dyDescent="0.25">
      <c r="A2647" s="15">
        <f>Sheet2!A2647</f>
        <v>0</v>
      </c>
      <c r="B2647" s="8">
        <v>0</v>
      </c>
      <c r="C2647" s="9">
        <v>1.28</v>
      </c>
      <c r="D2647" s="13">
        <f t="shared" si="41"/>
        <v>1.28</v>
      </c>
    </row>
    <row r="2648" spans="1:4" x14ac:dyDescent="0.25">
      <c r="A2648" s="15">
        <f>Sheet2!A2648</f>
        <v>0</v>
      </c>
      <c r="B2648" s="8">
        <v>1.27</v>
      </c>
      <c r="C2648" s="9">
        <v>0</v>
      </c>
      <c r="D2648" s="13">
        <f t="shared" si="41"/>
        <v>1.27</v>
      </c>
    </row>
    <row r="2649" spans="1:4" x14ac:dyDescent="0.25">
      <c r="A2649" s="15">
        <f>Sheet2!A2649</f>
        <v>0</v>
      </c>
      <c r="B2649" s="8">
        <v>0</v>
      </c>
      <c r="C2649" s="9">
        <v>0.94</v>
      </c>
      <c r="D2649" s="13">
        <f t="shared" si="41"/>
        <v>0.94</v>
      </c>
    </row>
    <row r="2650" spans="1:4" x14ac:dyDescent="0.25">
      <c r="A2650" s="15">
        <f>Sheet2!A2650</f>
        <v>0</v>
      </c>
      <c r="B2650" s="8">
        <v>0</v>
      </c>
      <c r="C2650" s="9">
        <v>2.1</v>
      </c>
      <c r="D2650" s="13">
        <f t="shared" si="41"/>
        <v>2.1</v>
      </c>
    </row>
    <row r="2651" spans="1:4" x14ac:dyDescent="0.25">
      <c r="A2651" s="15">
        <f>Sheet2!A2651</f>
        <v>0</v>
      </c>
      <c r="B2651" s="8">
        <v>0</v>
      </c>
      <c r="C2651" s="9">
        <v>3.15</v>
      </c>
      <c r="D2651" s="13">
        <f t="shared" si="41"/>
        <v>3.15</v>
      </c>
    </row>
    <row r="2652" spans="1:4" x14ac:dyDescent="0.25">
      <c r="A2652" s="15">
        <f>Sheet2!A2652</f>
        <v>0</v>
      </c>
      <c r="B2652" s="8">
        <v>0</v>
      </c>
      <c r="C2652" s="9">
        <v>3.21</v>
      </c>
      <c r="D2652" s="13">
        <f t="shared" si="41"/>
        <v>3.21</v>
      </c>
    </row>
    <row r="2653" spans="1:4" x14ac:dyDescent="0.25">
      <c r="A2653" s="15">
        <f>Sheet2!A2653</f>
        <v>0</v>
      </c>
      <c r="B2653" s="8">
        <v>0</v>
      </c>
      <c r="C2653" s="9">
        <v>1.03</v>
      </c>
      <c r="D2653" s="13">
        <f t="shared" si="41"/>
        <v>1.03</v>
      </c>
    </row>
    <row r="2654" spans="1:4" x14ac:dyDescent="0.25">
      <c r="A2654" s="15">
        <f>Sheet2!A2654</f>
        <v>0</v>
      </c>
      <c r="B2654" s="8">
        <v>0</v>
      </c>
      <c r="C2654" s="9">
        <v>1.82</v>
      </c>
      <c r="D2654" s="13">
        <f t="shared" si="41"/>
        <v>1.82</v>
      </c>
    </row>
    <row r="2655" spans="1:4" x14ac:dyDescent="0.25">
      <c r="A2655" s="15">
        <f>Sheet2!A2655</f>
        <v>0</v>
      </c>
      <c r="B2655" s="8">
        <v>0</v>
      </c>
      <c r="C2655" s="9">
        <v>2.66</v>
      </c>
      <c r="D2655" s="13">
        <f t="shared" si="41"/>
        <v>2.66</v>
      </c>
    </row>
    <row r="2656" spans="1:4" x14ac:dyDescent="0.25">
      <c r="A2656" s="15">
        <f>Sheet2!A2656</f>
        <v>0</v>
      </c>
      <c r="B2656" s="8">
        <v>0</v>
      </c>
      <c r="C2656" s="9">
        <v>2.21</v>
      </c>
      <c r="D2656" s="13">
        <f t="shared" si="41"/>
        <v>2.21</v>
      </c>
    </row>
    <row r="2657" spans="1:4" x14ac:dyDescent="0.25">
      <c r="A2657" s="15">
        <f>Sheet2!A2657</f>
        <v>0</v>
      </c>
      <c r="B2657" s="8">
        <v>0</v>
      </c>
      <c r="C2657" s="9">
        <v>1.1100000000000001</v>
      </c>
      <c r="D2657" s="13">
        <f t="shared" si="41"/>
        <v>1.1100000000000001</v>
      </c>
    </row>
    <row r="2658" spans="1:4" x14ac:dyDescent="0.25">
      <c r="A2658" s="15">
        <f>Sheet2!A2658</f>
        <v>0</v>
      </c>
      <c r="B2658" s="8">
        <v>4.38</v>
      </c>
      <c r="C2658" s="9">
        <v>0</v>
      </c>
      <c r="D2658" s="13">
        <f t="shared" si="41"/>
        <v>4.38</v>
      </c>
    </row>
    <row r="2659" spans="1:4" x14ac:dyDescent="0.25">
      <c r="A2659" s="15">
        <f>Sheet2!A2659</f>
        <v>0</v>
      </c>
      <c r="B2659" s="8">
        <v>0</v>
      </c>
      <c r="C2659" s="9">
        <v>1.45</v>
      </c>
      <c r="D2659" s="13">
        <f t="shared" si="41"/>
        <v>1.45</v>
      </c>
    </row>
    <row r="2660" spans="1:4" x14ac:dyDescent="0.25">
      <c r="A2660" s="15">
        <f>Sheet2!A2660</f>
        <v>0</v>
      </c>
      <c r="B2660" s="8">
        <v>0</v>
      </c>
      <c r="C2660" s="9">
        <v>1.19</v>
      </c>
      <c r="D2660" s="13">
        <f t="shared" si="41"/>
        <v>1.19</v>
      </c>
    </row>
    <row r="2661" spans="1:4" x14ac:dyDescent="0.25">
      <c r="A2661" s="15">
        <f>Sheet2!A2661</f>
        <v>0</v>
      </c>
      <c r="B2661" s="8">
        <v>3.02</v>
      </c>
      <c r="C2661" s="9">
        <v>0</v>
      </c>
      <c r="D2661" s="13">
        <f t="shared" si="41"/>
        <v>3.02</v>
      </c>
    </row>
    <row r="2662" spans="1:4" x14ac:dyDescent="0.25">
      <c r="A2662" s="15">
        <f>Sheet2!A2662</f>
        <v>0</v>
      </c>
      <c r="B2662" s="8">
        <v>0</v>
      </c>
      <c r="C2662" s="9">
        <v>1.86</v>
      </c>
      <c r="D2662" s="13">
        <f t="shared" si="41"/>
        <v>1.86</v>
      </c>
    </row>
    <row r="2663" spans="1:4" x14ac:dyDescent="0.25">
      <c r="A2663" s="15">
        <f>Sheet2!A2663</f>
        <v>0</v>
      </c>
      <c r="B2663" s="8">
        <v>0</v>
      </c>
      <c r="C2663" s="9">
        <v>2.4300000000000002</v>
      </c>
      <c r="D2663" s="13">
        <f t="shared" si="41"/>
        <v>2.4300000000000002</v>
      </c>
    </row>
    <row r="2664" spans="1:4" x14ac:dyDescent="0.25">
      <c r="A2664" s="15">
        <f>Sheet2!A2664</f>
        <v>0</v>
      </c>
      <c r="B2664" s="8">
        <v>0</v>
      </c>
      <c r="C2664" s="9">
        <v>0.77</v>
      </c>
      <c r="D2664" s="13">
        <f t="shared" si="41"/>
        <v>0.77</v>
      </c>
    </row>
    <row r="2665" spans="1:4" x14ac:dyDescent="0.25">
      <c r="A2665" s="15">
        <f>Sheet2!A2665</f>
        <v>0</v>
      </c>
      <c r="B2665" s="8">
        <v>0</v>
      </c>
      <c r="C2665" s="9">
        <v>1.27</v>
      </c>
      <c r="D2665" s="13">
        <f t="shared" si="41"/>
        <v>1.27</v>
      </c>
    </row>
    <row r="2666" spans="1:4" x14ac:dyDescent="0.25">
      <c r="A2666" s="15">
        <f>Sheet2!A2666</f>
        <v>0</v>
      </c>
      <c r="B2666" s="8">
        <v>0</v>
      </c>
      <c r="C2666" s="9">
        <v>2.4900000000000002</v>
      </c>
      <c r="D2666" s="13">
        <f t="shared" si="41"/>
        <v>2.4900000000000002</v>
      </c>
    </row>
    <row r="2667" spans="1:4" x14ac:dyDescent="0.25">
      <c r="A2667" s="15">
        <f>Sheet2!A2667</f>
        <v>0</v>
      </c>
      <c r="B2667" s="8">
        <v>0</v>
      </c>
      <c r="C2667" s="9">
        <v>0.71</v>
      </c>
      <c r="D2667" s="13">
        <f t="shared" si="41"/>
        <v>0.71</v>
      </c>
    </row>
    <row r="2668" spans="1:4" x14ac:dyDescent="0.25">
      <c r="A2668" s="15">
        <f>Sheet2!A2668</f>
        <v>0</v>
      </c>
      <c r="B2668" s="8">
        <v>2.59</v>
      </c>
      <c r="C2668" s="9">
        <v>0</v>
      </c>
      <c r="D2668" s="13">
        <f t="shared" si="41"/>
        <v>2.59</v>
      </c>
    </row>
    <row r="2669" spans="1:4" x14ac:dyDescent="0.25">
      <c r="A2669" s="15">
        <f>Sheet2!A2669</f>
        <v>0</v>
      </c>
      <c r="B2669" s="8">
        <v>2.27</v>
      </c>
      <c r="C2669" s="9">
        <v>0</v>
      </c>
      <c r="D2669" s="13">
        <f t="shared" si="41"/>
        <v>2.27</v>
      </c>
    </row>
    <row r="2670" spans="1:4" x14ac:dyDescent="0.25">
      <c r="A2670" s="15">
        <f>Sheet2!A2670</f>
        <v>0</v>
      </c>
      <c r="B2670" s="8">
        <v>2.8</v>
      </c>
      <c r="C2670" s="9">
        <v>0</v>
      </c>
      <c r="D2670" s="13">
        <f t="shared" si="41"/>
        <v>2.8</v>
      </c>
    </row>
    <row r="2671" spans="1:4" x14ac:dyDescent="0.25">
      <c r="A2671" s="15">
        <f>Sheet2!A2671</f>
        <v>0</v>
      </c>
      <c r="B2671" s="8">
        <v>0</v>
      </c>
      <c r="C2671" s="9">
        <v>0.56999999999999995</v>
      </c>
      <c r="D2671" s="13">
        <f t="shared" si="41"/>
        <v>0.56999999999999995</v>
      </c>
    </row>
    <row r="2672" spans="1:4" x14ac:dyDescent="0.25">
      <c r="A2672" s="15">
        <f>Sheet2!A2672</f>
        <v>0</v>
      </c>
      <c r="B2672" s="8">
        <v>0</v>
      </c>
      <c r="C2672" s="9">
        <v>0.81</v>
      </c>
      <c r="D2672" s="13">
        <f t="shared" si="41"/>
        <v>0.81</v>
      </c>
    </row>
    <row r="2673" spans="1:4" x14ac:dyDescent="0.25">
      <c r="A2673" s="15">
        <f>Sheet2!A2673</f>
        <v>0</v>
      </c>
      <c r="B2673" s="8">
        <v>0</v>
      </c>
      <c r="C2673" s="9">
        <v>0.86</v>
      </c>
      <c r="D2673" s="13">
        <f t="shared" si="41"/>
        <v>0.86</v>
      </c>
    </row>
    <row r="2674" spans="1:4" x14ac:dyDescent="0.25">
      <c r="A2674" s="15">
        <f>Sheet2!A2674</f>
        <v>0</v>
      </c>
      <c r="B2674" s="8">
        <v>1.66</v>
      </c>
      <c r="C2674" s="9">
        <v>0</v>
      </c>
      <c r="D2674" s="13">
        <f t="shared" si="41"/>
        <v>1.66</v>
      </c>
    </row>
    <row r="2675" spans="1:4" x14ac:dyDescent="0.25">
      <c r="A2675" s="15">
        <f>Sheet2!A2675</f>
        <v>0</v>
      </c>
      <c r="B2675" s="8">
        <v>0</v>
      </c>
      <c r="C2675" s="9">
        <v>0.95</v>
      </c>
      <c r="D2675" s="13">
        <f t="shared" si="41"/>
        <v>0.95</v>
      </c>
    </row>
    <row r="2676" spans="1:4" x14ac:dyDescent="0.25">
      <c r="A2676" s="15">
        <f>Sheet2!A2676</f>
        <v>0</v>
      </c>
      <c r="B2676" s="8">
        <v>0</v>
      </c>
      <c r="C2676" s="9">
        <v>1.03</v>
      </c>
      <c r="D2676" s="13">
        <f t="shared" si="41"/>
        <v>1.03</v>
      </c>
    </row>
    <row r="2677" spans="1:4" x14ac:dyDescent="0.25">
      <c r="A2677" s="15">
        <f>Sheet2!A2677</f>
        <v>0</v>
      </c>
      <c r="B2677" s="8">
        <v>0</v>
      </c>
      <c r="C2677" s="9">
        <v>0.8</v>
      </c>
      <c r="D2677" s="13">
        <f t="shared" si="41"/>
        <v>0.8</v>
      </c>
    </row>
    <row r="2678" spans="1:4" x14ac:dyDescent="0.25">
      <c r="A2678" s="15">
        <f>Sheet2!A2678</f>
        <v>0</v>
      </c>
      <c r="B2678" s="8">
        <v>2.17</v>
      </c>
      <c r="C2678" s="9">
        <v>0</v>
      </c>
      <c r="D2678" s="13">
        <f t="shared" si="41"/>
        <v>2.17</v>
      </c>
    </row>
    <row r="2679" spans="1:4" x14ac:dyDescent="0.25">
      <c r="A2679" s="15">
        <f>Sheet2!A2679</f>
        <v>0</v>
      </c>
      <c r="B2679" s="8">
        <v>0</v>
      </c>
      <c r="C2679" s="9">
        <v>0.88</v>
      </c>
      <c r="D2679" s="13">
        <f t="shared" si="41"/>
        <v>0.88</v>
      </c>
    </row>
    <row r="2680" spans="1:4" x14ac:dyDescent="0.25">
      <c r="A2680" s="15">
        <f>Sheet2!A2680</f>
        <v>0</v>
      </c>
      <c r="B2680" s="8">
        <v>0</v>
      </c>
      <c r="C2680" s="9">
        <v>1.3</v>
      </c>
      <c r="D2680" s="13">
        <f t="shared" si="41"/>
        <v>1.3</v>
      </c>
    </row>
    <row r="2681" spans="1:4" x14ac:dyDescent="0.25">
      <c r="A2681" s="15">
        <f>Sheet2!A2681</f>
        <v>0</v>
      </c>
      <c r="B2681" s="8">
        <v>0</v>
      </c>
      <c r="C2681" s="9">
        <v>0.67</v>
      </c>
      <c r="D2681" s="13">
        <f t="shared" si="41"/>
        <v>0.67</v>
      </c>
    </row>
    <row r="2682" spans="1:4" x14ac:dyDescent="0.25">
      <c r="A2682" s="15">
        <f>Sheet2!A2682</f>
        <v>0</v>
      </c>
      <c r="B2682" s="8">
        <v>0</v>
      </c>
      <c r="C2682" s="9">
        <v>0.43</v>
      </c>
      <c r="D2682" s="13">
        <f t="shared" si="41"/>
        <v>0.43</v>
      </c>
    </row>
    <row r="2683" spans="1:4" x14ac:dyDescent="0.25">
      <c r="A2683" s="15">
        <f>Sheet2!A2683</f>
        <v>0</v>
      </c>
      <c r="B2683" s="8">
        <v>0</v>
      </c>
      <c r="C2683" s="9">
        <v>1.6</v>
      </c>
      <c r="D2683" s="13">
        <f t="shared" si="41"/>
        <v>1.6</v>
      </c>
    </row>
    <row r="2684" spans="1:4" x14ac:dyDescent="0.25">
      <c r="A2684" s="15">
        <f>Sheet2!A2684</f>
        <v>0</v>
      </c>
      <c r="B2684" s="8">
        <v>0</v>
      </c>
      <c r="C2684" s="9">
        <v>1.02</v>
      </c>
      <c r="D2684" s="13">
        <f t="shared" si="41"/>
        <v>1.02</v>
      </c>
    </row>
    <row r="2685" spans="1:4" x14ac:dyDescent="0.25">
      <c r="A2685" s="15">
        <f>Sheet2!A2685</f>
        <v>0</v>
      </c>
      <c r="B2685" s="8">
        <v>1.68</v>
      </c>
      <c r="C2685" s="9">
        <v>0</v>
      </c>
      <c r="D2685" s="13">
        <f t="shared" si="41"/>
        <v>1.68</v>
      </c>
    </row>
    <row r="2686" spans="1:4" x14ac:dyDescent="0.25">
      <c r="A2686" s="15">
        <f>Sheet2!A2686</f>
        <v>0</v>
      </c>
      <c r="B2686" s="8">
        <v>1.5</v>
      </c>
      <c r="C2686" s="9">
        <v>0</v>
      </c>
      <c r="D2686" s="13">
        <f t="shared" si="41"/>
        <v>1.5</v>
      </c>
    </row>
    <row r="2687" spans="1:4" x14ac:dyDescent="0.25">
      <c r="A2687" s="15">
        <f>Sheet2!A2687</f>
        <v>0</v>
      </c>
      <c r="B2687" s="8">
        <v>2.29</v>
      </c>
      <c r="C2687" s="9">
        <v>0</v>
      </c>
      <c r="D2687" s="13">
        <f t="shared" si="41"/>
        <v>2.29</v>
      </c>
    </row>
    <row r="2688" spans="1:4" x14ac:dyDescent="0.25">
      <c r="A2688" s="15">
        <f>Sheet2!A2688</f>
        <v>0</v>
      </c>
      <c r="B2688" s="8">
        <v>1.98</v>
      </c>
      <c r="C2688" s="9">
        <v>0</v>
      </c>
      <c r="D2688" s="13">
        <f t="shared" si="41"/>
        <v>1.98</v>
      </c>
    </row>
    <row r="2689" spans="1:4" x14ac:dyDescent="0.25">
      <c r="A2689" s="15">
        <f>Sheet2!A2689</f>
        <v>0</v>
      </c>
      <c r="B2689" s="8">
        <v>2.5299999999999998</v>
      </c>
      <c r="C2689" s="9">
        <v>0</v>
      </c>
      <c r="D2689" s="13">
        <f t="shared" si="41"/>
        <v>2.5299999999999998</v>
      </c>
    </row>
    <row r="2690" spans="1:4" x14ac:dyDescent="0.25">
      <c r="A2690" s="15">
        <f>Sheet2!A2690</f>
        <v>0</v>
      </c>
      <c r="B2690" s="8">
        <v>2.63</v>
      </c>
      <c r="C2690" s="9">
        <v>0</v>
      </c>
      <c r="D2690" s="13">
        <f t="shared" si="41"/>
        <v>2.63</v>
      </c>
    </row>
    <row r="2691" spans="1:4" x14ac:dyDescent="0.25">
      <c r="A2691" s="15">
        <f>Sheet2!A2691</f>
        <v>0</v>
      </c>
      <c r="B2691" s="8">
        <v>1.99</v>
      </c>
      <c r="C2691" s="9">
        <v>0</v>
      </c>
      <c r="D2691" s="13">
        <f t="shared" ref="D2691:D2754" si="42">B2691+C2691</f>
        <v>1.99</v>
      </c>
    </row>
    <row r="2692" spans="1:4" x14ac:dyDescent="0.25">
      <c r="A2692" s="15">
        <f>Sheet2!A2692</f>
        <v>0</v>
      </c>
      <c r="B2692" s="8">
        <v>1.98</v>
      </c>
      <c r="C2692" s="9">
        <v>0</v>
      </c>
      <c r="D2692" s="13">
        <f t="shared" si="42"/>
        <v>1.98</v>
      </c>
    </row>
    <row r="2693" spans="1:4" x14ac:dyDescent="0.25">
      <c r="A2693" s="15">
        <f>Sheet2!A2693</f>
        <v>0</v>
      </c>
      <c r="B2693" s="8">
        <v>1.61</v>
      </c>
      <c r="C2693" s="9">
        <v>0</v>
      </c>
      <c r="D2693" s="13">
        <f t="shared" si="42"/>
        <v>1.61</v>
      </c>
    </row>
    <row r="2694" spans="1:4" x14ac:dyDescent="0.25">
      <c r="A2694" s="15">
        <f>Sheet2!A2694</f>
        <v>0</v>
      </c>
      <c r="B2694" s="8">
        <v>2.31</v>
      </c>
      <c r="C2694" s="9">
        <v>0</v>
      </c>
      <c r="D2694" s="13">
        <f t="shared" si="42"/>
        <v>2.31</v>
      </c>
    </row>
    <row r="2695" spans="1:4" x14ac:dyDescent="0.25">
      <c r="A2695" s="15">
        <f>Sheet2!A2695</f>
        <v>0</v>
      </c>
      <c r="B2695" s="8">
        <v>2.54</v>
      </c>
      <c r="C2695" s="9">
        <v>0</v>
      </c>
      <c r="D2695" s="13">
        <f t="shared" si="42"/>
        <v>2.54</v>
      </c>
    </row>
    <row r="2696" spans="1:4" x14ac:dyDescent="0.25">
      <c r="A2696" s="15">
        <f>Sheet2!A2696</f>
        <v>0</v>
      </c>
      <c r="B2696" s="8">
        <v>1.77</v>
      </c>
      <c r="C2696" s="9">
        <v>0</v>
      </c>
      <c r="D2696" s="13">
        <f t="shared" si="42"/>
        <v>1.77</v>
      </c>
    </row>
    <row r="2697" spans="1:4" x14ac:dyDescent="0.25">
      <c r="A2697" s="15">
        <f>Sheet2!A2697</f>
        <v>0</v>
      </c>
      <c r="B2697" s="8">
        <v>1.88</v>
      </c>
      <c r="C2697" s="9">
        <v>0</v>
      </c>
      <c r="D2697" s="13">
        <f t="shared" si="42"/>
        <v>1.88</v>
      </c>
    </row>
    <row r="2698" spans="1:4" x14ac:dyDescent="0.25">
      <c r="A2698" s="15">
        <f>Sheet2!A2698</f>
        <v>0</v>
      </c>
      <c r="B2698" s="8">
        <v>0</v>
      </c>
      <c r="C2698" s="9">
        <v>0.82</v>
      </c>
      <c r="D2698" s="13">
        <f t="shared" si="42"/>
        <v>0.82</v>
      </c>
    </row>
    <row r="2699" spans="1:4" x14ac:dyDescent="0.25">
      <c r="A2699" s="15">
        <f>Sheet2!A2699</f>
        <v>0</v>
      </c>
      <c r="B2699" s="8">
        <v>0</v>
      </c>
      <c r="C2699" s="9">
        <v>0.67</v>
      </c>
      <c r="D2699" s="13">
        <f t="shared" si="42"/>
        <v>0.67</v>
      </c>
    </row>
    <row r="2700" spans="1:4" x14ac:dyDescent="0.25">
      <c r="A2700" s="15">
        <f>Sheet2!A2700</f>
        <v>0</v>
      </c>
      <c r="B2700" s="8">
        <v>3.04</v>
      </c>
      <c r="C2700" s="9">
        <v>0</v>
      </c>
      <c r="D2700" s="13">
        <f t="shared" si="42"/>
        <v>3.04</v>
      </c>
    </row>
    <row r="2701" spans="1:4" x14ac:dyDescent="0.25">
      <c r="A2701" s="15">
        <f>Sheet2!A2701</f>
        <v>0</v>
      </c>
      <c r="B2701" s="8">
        <v>2.2000000000000002</v>
      </c>
      <c r="C2701" s="9">
        <v>0</v>
      </c>
      <c r="D2701" s="13">
        <f t="shared" si="42"/>
        <v>2.2000000000000002</v>
      </c>
    </row>
    <row r="2702" spans="1:4" x14ac:dyDescent="0.25">
      <c r="A2702" s="15">
        <f>Sheet2!A2702</f>
        <v>0</v>
      </c>
      <c r="B2702" s="8">
        <v>2.78</v>
      </c>
      <c r="C2702" s="9">
        <v>0</v>
      </c>
      <c r="D2702" s="13">
        <f t="shared" si="42"/>
        <v>2.78</v>
      </c>
    </row>
    <row r="2703" spans="1:4" x14ac:dyDescent="0.25">
      <c r="A2703" s="15">
        <f>Sheet2!A2703</f>
        <v>0</v>
      </c>
      <c r="B2703" s="8">
        <v>0</v>
      </c>
      <c r="C2703" s="9">
        <v>0.65</v>
      </c>
      <c r="D2703" s="13">
        <f t="shared" si="42"/>
        <v>0.65</v>
      </c>
    </row>
    <row r="2704" spans="1:4" x14ac:dyDescent="0.25">
      <c r="A2704" s="15">
        <f>Sheet2!A2704</f>
        <v>0</v>
      </c>
      <c r="B2704" s="8">
        <v>0</v>
      </c>
      <c r="C2704" s="9">
        <v>2.21</v>
      </c>
      <c r="D2704" s="13">
        <f t="shared" si="42"/>
        <v>2.21</v>
      </c>
    </row>
    <row r="2705" spans="1:4" x14ac:dyDescent="0.25">
      <c r="A2705" s="15">
        <f>Sheet2!A2705</f>
        <v>0</v>
      </c>
      <c r="B2705" s="8">
        <v>0</v>
      </c>
      <c r="C2705" s="9">
        <v>0.88</v>
      </c>
      <c r="D2705" s="13">
        <f t="shared" si="42"/>
        <v>0.88</v>
      </c>
    </row>
    <row r="2706" spans="1:4" x14ac:dyDescent="0.25">
      <c r="A2706" s="15">
        <f>Sheet2!A2706</f>
        <v>0</v>
      </c>
      <c r="B2706" s="8">
        <v>1.67</v>
      </c>
      <c r="C2706" s="9">
        <v>0</v>
      </c>
      <c r="D2706" s="13">
        <f t="shared" si="42"/>
        <v>1.67</v>
      </c>
    </row>
    <row r="2707" spans="1:4" x14ac:dyDescent="0.25">
      <c r="A2707" s="15">
        <f>Sheet2!A2707</f>
        <v>0</v>
      </c>
      <c r="B2707" s="8">
        <v>0</v>
      </c>
      <c r="C2707" s="9">
        <v>1.34</v>
      </c>
      <c r="D2707" s="13">
        <f t="shared" si="42"/>
        <v>1.34</v>
      </c>
    </row>
    <row r="2708" spans="1:4" x14ac:dyDescent="0.25">
      <c r="A2708" s="15">
        <f>Sheet2!A2708</f>
        <v>0</v>
      </c>
      <c r="B2708" s="8">
        <v>0</v>
      </c>
      <c r="C2708" s="9">
        <v>1.8</v>
      </c>
      <c r="D2708" s="13">
        <f t="shared" si="42"/>
        <v>1.8</v>
      </c>
    </row>
    <row r="2709" spans="1:4" x14ac:dyDescent="0.25">
      <c r="A2709" s="15">
        <f>Sheet2!A2709</f>
        <v>0</v>
      </c>
      <c r="B2709" s="8">
        <v>0</v>
      </c>
      <c r="C2709" s="9">
        <v>0.73</v>
      </c>
      <c r="D2709" s="13">
        <f t="shared" si="42"/>
        <v>0.73</v>
      </c>
    </row>
    <row r="2710" spans="1:4" x14ac:dyDescent="0.25">
      <c r="A2710" s="15">
        <f>Sheet2!A2710</f>
        <v>0</v>
      </c>
      <c r="B2710" s="8">
        <v>2.57</v>
      </c>
      <c r="C2710" s="9">
        <v>0</v>
      </c>
      <c r="D2710" s="13">
        <f t="shared" si="42"/>
        <v>2.57</v>
      </c>
    </row>
    <row r="2711" spans="1:4" x14ac:dyDescent="0.25">
      <c r="A2711" s="15">
        <f>Sheet2!A2711</f>
        <v>0</v>
      </c>
      <c r="B2711" s="8">
        <v>2.84</v>
      </c>
      <c r="C2711" s="9">
        <v>0</v>
      </c>
      <c r="D2711" s="13">
        <f t="shared" si="42"/>
        <v>2.84</v>
      </c>
    </row>
    <row r="2712" spans="1:4" x14ac:dyDescent="0.25">
      <c r="A2712" s="15">
        <f>Sheet2!A2712</f>
        <v>0</v>
      </c>
      <c r="B2712" s="8">
        <v>3.1</v>
      </c>
      <c r="C2712" s="9">
        <v>0</v>
      </c>
      <c r="D2712" s="13">
        <f t="shared" si="42"/>
        <v>3.1</v>
      </c>
    </row>
    <row r="2713" spans="1:4" x14ac:dyDescent="0.25">
      <c r="A2713" s="15">
        <f>Sheet2!A2713</f>
        <v>0</v>
      </c>
      <c r="B2713" s="8">
        <v>2.29</v>
      </c>
      <c r="C2713" s="9">
        <v>0</v>
      </c>
      <c r="D2713" s="13">
        <f t="shared" si="42"/>
        <v>2.29</v>
      </c>
    </row>
    <row r="2714" spans="1:4" x14ac:dyDescent="0.25">
      <c r="A2714" s="15">
        <f>Sheet2!A2714</f>
        <v>0</v>
      </c>
      <c r="B2714" s="8">
        <v>2.17</v>
      </c>
      <c r="C2714" s="9">
        <v>0</v>
      </c>
      <c r="D2714" s="13">
        <f t="shared" si="42"/>
        <v>2.17</v>
      </c>
    </row>
    <row r="2715" spans="1:4" x14ac:dyDescent="0.25">
      <c r="A2715" s="15">
        <f>Sheet2!A2715</f>
        <v>0</v>
      </c>
      <c r="B2715" s="8">
        <v>2.14</v>
      </c>
      <c r="C2715" s="9">
        <v>0</v>
      </c>
      <c r="D2715" s="13">
        <f t="shared" si="42"/>
        <v>2.14</v>
      </c>
    </row>
    <row r="2716" spans="1:4" x14ac:dyDescent="0.25">
      <c r="A2716" s="15">
        <f>Sheet2!A2716</f>
        <v>0</v>
      </c>
      <c r="B2716" s="8">
        <v>2.19</v>
      </c>
      <c r="C2716" s="9">
        <v>0</v>
      </c>
      <c r="D2716" s="13">
        <f t="shared" si="42"/>
        <v>2.19</v>
      </c>
    </row>
    <row r="2717" spans="1:4" x14ac:dyDescent="0.25">
      <c r="A2717" s="15">
        <f>Sheet2!A2717</f>
        <v>0</v>
      </c>
      <c r="B2717" s="8">
        <v>1.87</v>
      </c>
      <c r="C2717" s="9">
        <v>0</v>
      </c>
      <c r="D2717" s="13">
        <f t="shared" si="42"/>
        <v>1.87</v>
      </c>
    </row>
    <row r="2718" spans="1:4" x14ac:dyDescent="0.25">
      <c r="A2718" s="15">
        <f>Sheet2!A2718</f>
        <v>0</v>
      </c>
      <c r="B2718" s="8">
        <v>1.97</v>
      </c>
      <c r="C2718" s="9">
        <v>0</v>
      </c>
      <c r="D2718" s="13">
        <f t="shared" si="42"/>
        <v>1.97</v>
      </c>
    </row>
    <row r="2719" spans="1:4" x14ac:dyDescent="0.25">
      <c r="A2719" s="15">
        <f>Sheet2!A2719</f>
        <v>0</v>
      </c>
      <c r="B2719" s="8">
        <v>2.1800000000000002</v>
      </c>
      <c r="C2719" s="9">
        <v>0</v>
      </c>
      <c r="D2719" s="13">
        <f t="shared" si="42"/>
        <v>2.1800000000000002</v>
      </c>
    </row>
    <row r="2720" spans="1:4" x14ac:dyDescent="0.25">
      <c r="A2720" s="15">
        <f>Sheet2!A2720</f>
        <v>0</v>
      </c>
      <c r="B2720" s="8">
        <v>0</v>
      </c>
      <c r="C2720" s="9">
        <v>0.88</v>
      </c>
      <c r="D2720" s="13">
        <f t="shared" si="42"/>
        <v>0.88</v>
      </c>
    </row>
    <row r="2721" spans="1:4" x14ac:dyDescent="0.25">
      <c r="A2721" s="15">
        <f>Sheet2!A2721</f>
        <v>0</v>
      </c>
      <c r="B2721" s="8">
        <v>0</v>
      </c>
      <c r="C2721" s="9">
        <v>0.3</v>
      </c>
      <c r="D2721" s="13">
        <f t="shared" si="42"/>
        <v>0.3</v>
      </c>
    </row>
    <row r="2722" spans="1:4" x14ac:dyDescent="0.25">
      <c r="A2722" s="15">
        <f>Sheet2!A2722</f>
        <v>0</v>
      </c>
      <c r="B2722" s="8">
        <v>1.49</v>
      </c>
      <c r="C2722" s="9">
        <v>0</v>
      </c>
      <c r="D2722" s="13">
        <f t="shared" si="42"/>
        <v>1.49</v>
      </c>
    </row>
    <row r="2723" spans="1:4" x14ac:dyDescent="0.25">
      <c r="A2723" s="15">
        <f>Sheet2!A2723</f>
        <v>0</v>
      </c>
      <c r="B2723" s="8">
        <v>1.75</v>
      </c>
      <c r="C2723" s="9">
        <v>0</v>
      </c>
      <c r="D2723" s="13">
        <f t="shared" si="42"/>
        <v>1.75</v>
      </c>
    </row>
    <row r="2724" spans="1:4" x14ac:dyDescent="0.25">
      <c r="A2724" s="15">
        <f>Sheet2!A2724</f>
        <v>0</v>
      </c>
      <c r="B2724" s="8">
        <v>1.95</v>
      </c>
      <c r="C2724" s="9">
        <v>0</v>
      </c>
      <c r="D2724" s="13">
        <f t="shared" si="42"/>
        <v>1.95</v>
      </c>
    </row>
    <row r="2725" spans="1:4" x14ac:dyDescent="0.25">
      <c r="A2725" s="15">
        <f>Sheet2!A2725</f>
        <v>0</v>
      </c>
      <c r="B2725" s="8">
        <v>0</v>
      </c>
      <c r="C2725" s="9">
        <v>0.68</v>
      </c>
      <c r="D2725" s="13">
        <f t="shared" si="42"/>
        <v>0.68</v>
      </c>
    </row>
    <row r="2726" spans="1:4" x14ac:dyDescent="0.25">
      <c r="A2726" s="15">
        <f>Sheet2!A2726</f>
        <v>0</v>
      </c>
      <c r="B2726" s="8">
        <v>0</v>
      </c>
      <c r="C2726" s="9">
        <v>0.97</v>
      </c>
      <c r="D2726" s="13">
        <f t="shared" si="42"/>
        <v>0.97</v>
      </c>
    </row>
    <row r="2727" spans="1:4" x14ac:dyDescent="0.25">
      <c r="A2727" s="15">
        <f>Sheet2!A2727</f>
        <v>0</v>
      </c>
      <c r="B2727" s="8">
        <v>0</v>
      </c>
      <c r="C2727" s="9">
        <v>0.32</v>
      </c>
      <c r="D2727" s="13">
        <f t="shared" si="42"/>
        <v>0.32</v>
      </c>
    </row>
    <row r="2728" spans="1:4" x14ac:dyDescent="0.25">
      <c r="A2728" s="15">
        <f>Sheet2!A2728</f>
        <v>0</v>
      </c>
      <c r="B2728" s="8">
        <v>4.68</v>
      </c>
      <c r="C2728" s="9">
        <v>0</v>
      </c>
      <c r="D2728" s="13">
        <f t="shared" si="42"/>
        <v>4.68</v>
      </c>
    </row>
    <row r="2729" spans="1:4" x14ac:dyDescent="0.25">
      <c r="A2729" s="15">
        <f>Sheet2!A2729</f>
        <v>0</v>
      </c>
      <c r="B2729" s="8">
        <v>0</v>
      </c>
      <c r="C2729" s="9">
        <v>1.04</v>
      </c>
      <c r="D2729" s="13">
        <f t="shared" si="42"/>
        <v>1.04</v>
      </c>
    </row>
    <row r="2730" spans="1:4" x14ac:dyDescent="0.25">
      <c r="A2730" s="15">
        <f>Sheet2!A2730</f>
        <v>0</v>
      </c>
      <c r="B2730" s="8">
        <v>0</v>
      </c>
      <c r="C2730" s="9">
        <v>1.73</v>
      </c>
      <c r="D2730" s="13">
        <f t="shared" si="42"/>
        <v>1.73</v>
      </c>
    </row>
    <row r="2731" spans="1:4" x14ac:dyDescent="0.25">
      <c r="A2731" s="15">
        <f>Sheet2!A2731</f>
        <v>0</v>
      </c>
      <c r="B2731" s="8">
        <v>0</v>
      </c>
      <c r="C2731" s="9">
        <v>1.44</v>
      </c>
      <c r="D2731" s="13">
        <f t="shared" si="42"/>
        <v>1.44</v>
      </c>
    </row>
    <row r="2732" spans="1:4" x14ac:dyDescent="0.25">
      <c r="A2732" s="15">
        <f>Sheet2!A2732</f>
        <v>0</v>
      </c>
      <c r="B2732" s="8">
        <v>0</v>
      </c>
      <c r="C2732" s="9">
        <v>1.7</v>
      </c>
      <c r="D2732" s="13">
        <f t="shared" si="42"/>
        <v>1.7</v>
      </c>
    </row>
    <row r="2733" spans="1:4" x14ac:dyDescent="0.25">
      <c r="A2733" s="15">
        <f>Sheet2!A2733</f>
        <v>0</v>
      </c>
      <c r="B2733" s="8">
        <v>0</v>
      </c>
      <c r="C2733" s="9">
        <v>0.44</v>
      </c>
      <c r="D2733" s="13">
        <f t="shared" si="42"/>
        <v>0.44</v>
      </c>
    </row>
    <row r="2734" spans="1:4" x14ac:dyDescent="0.25">
      <c r="A2734" s="15">
        <f>Sheet2!A2734</f>
        <v>0</v>
      </c>
      <c r="B2734" s="8">
        <v>0</v>
      </c>
      <c r="C2734" s="9">
        <v>1.47</v>
      </c>
      <c r="D2734" s="13">
        <f t="shared" si="42"/>
        <v>1.47</v>
      </c>
    </row>
    <row r="2735" spans="1:4" x14ac:dyDescent="0.25">
      <c r="A2735" s="15">
        <f>Sheet2!A2735</f>
        <v>0</v>
      </c>
      <c r="B2735" s="8">
        <v>0</v>
      </c>
      <c r="C2735" s="9">
        <v>1.98</v>
      </c>
      <c r="D2735" s="13">
        <f t="shared" si="42"/>
        <v>1.98</v>
      </c>
    </row>
    <row r="2736" spans="1:4" x14ac:dyDescent="0.25">
      <c r="A2736" s="15">
        <f>Sheet2!A2736</f>
        <v>0</v>
      </c>
      <c r="B2736" s="8">
        <v>4.16</v>
      </c>
      <c r="C2736" s="9">
        <v>0</v>
      </c>
      <c r="D2736" s="13">
        <f t="shared" si="42"/>
        <v>4.16</v>
      </c>
    </row>
    <row r="2737" spans="1:4" x14ac:dyDescent="0.25">
      <c r="A2737" s="15">
        <f>Sheet2!A2737</f>
        <v>0</v>
      </c>
      <c r="B2737" s="8">
        <v>4.21</v>
      </c>
      <c r="C2737" s="9">
        <v>0</v>
      </c>
      <c r="D2737" s="13">
        <f t="shared" si="42"/>
        <v>4.21</v>
      </c>
    </row>
    <row r="2738" spans="1:4" x14ac:dyDescent="0.25">
      <c r="A2738" s="15">
        <f>Sheet2!A2738</f>
        <v>0</v>
      </c>
      <c r="B2738" s="8">
        <v>3.99</v>
      </c>
      <c r="C2738" s="9">
        <v>0</v>
      </c>
      <c r="D2738" s="13">
        <f t="shared" si="42"/>
        <v>3.99</v>
      </c>
    </row>
    <row r="2739" spans="1:4" x14ac:dyDescent="0.25">
      <c r="A2739" s="15">
        <f>Sheet2!A2739</f>
        <v>0</v>
      </c>
      <c r="B2739" s="8">
        <v>3.69</v>
      </c>
      <c r="C2739" s="9">
        <v>0</v>
      </c>
      <c r="D2739" s="13">
        <f t="shared" si="42"/>
        <v>3.69</v>
      </c>
    </row>
    <row r="2740" spans="1:4" x14ac:dyDescent="0.25">
      <c r="A2740" s="15">
        <f>Sheet2!A2740</f>
        <v>0</v>
      </c>
      <c r="B2740" s="8">
        <v>3.45</v>
      </c>
      <c r="C2740" s="9">
        <v>0</v>
      </c>
      <c r="D2740" s="13">
        <f t="shared" si="42"/>
        <v>3.45</v>
      </c>
    </row>
    <row r="2741" spans="1:4" x14ac:dyDescent="0.25">
      <c r="A2741" s="15">
        <f>Sheet2!A2741</f>
        <v>0</v>
      </c>
      <c r="B2741" s="8">
        <v>3.43</v>
      </c>
      <c r="C2741" s="9">
        <v>0</v>
      </c>
      <c r="D2741" s="13">
        <f t="shared" si="42"/>
        <v>3.43</v>
      </c>
    </row>
    <row r="2742" spans="1:4" x14ac:dyDescent="0.25">
      <c r="A2742" s="15">
        <f>Sheet2!A2742</f>
        <v>0</v>
      </c>
      <c r="B2742" s="8">
        <v>4.3</v>
      </c>
      <c r="C2742" s="9">
        <v>0</v>
      </c>
      <c r="D2742" s="13">
        <f t="shared" si="42"/>
        <v>4.3</v>
      </c>
    </row>
    <row r="2743" spans="1:4" x14ac:dyDescent="0.25">
      <c r="A2743" s="15">
        <f>Sheet2!A2743</f>
        <v>0</v>
      </c>
      <c r="B2743" s="8">
        <v>4</v>
      </c>
      <c r="C2743" s="9">
        <v>0</v>
      </c>
      <c r="D2743" s="13">
        <f t="shared" si="42"/>
        <v>4</v>
      </c>
    </row>
    <row r="2744" spans="1:4" x14ac:dyDescent="0.25">
      <c r="A2744" s="15">
        <f>Sheet2!A2744</f>
        <v>0</v>
      </c>
      <c r="B2744" s="8">
        <v>1.88</v>
      </c>
      <c r="C2744" s="9">
        <v>0</v>
      </c>
      <c r="D2744" s="13">
        <f t="shared" si="42"/>
        <v>1.88</v>
      </c>
    </row>
    <row r="2745" spans="1:4" x14ac:dyDescent="0.25">
      <c r="A2745" s="15">
        <f>Sheet2!A2745</f>
        <v>0</v>
      </c>
      <c r="B2745" s="8">
        <v>0</v>
      </c>
      <c r="C2745" s="9">
        <v>0.49</v>
      </c>
      <c r="D2745" s="13">
        <f t="shared" si="42"/>
        <v>0.49</v>
      </c>
    </row>
    <row r="2746" spans="1:4" x14ac:dyDescent="0.25">
      <c r="A2746" s="15">
        <f>Sheet2!A2746</f>
        <v>0</v>
      </c>
      <c r="B2746" s="8">
        <v>0</v>
      </c>
      <c r="C2746" s="9">
        <v>0.94</v>
      </c>
      <c r="D2746" s="13">
        <f t="shared" si="42"/>
        <v>0.94</v>
      </c>
    </row>
    <row r="2747" spans="1:4" x14ac:dyDescent="0.25">
      <c r="A2747" s="15">
        <f>Sheet2!A2747</f>
        <v>0</v>
      </c>
      <c r="B2747" s="8">
        <v>0</v>
      </c>
      <c r="C2747" s="9">
        <v>0.28000000000000003</v>
      </c>
      <c r="D2747" s="13">
        <f t="shared" si="42"/>
        <v>0.28000000000000003</v>
      </c>
    </row>
    <row r="2748" spans="1:4" x14ac:dyDescent="0.25">
      <c r="A2748" s="15">
        <f>Sheet2!A2748</f>
        <v>0</v>
      </c>
      <c r="B2748" s="8">
        <v>2.37</v>
      </c>
      <c r="C2748" s="9">
        <v>0</v>
      </c>
      <c r="D2748" s="13">
        <f t="shared" si="42"/>
        <v>2.37</v>
      </c>
    </row>
    <row r="2749" spans="1:4" x14ac:dyDescent="0.25">
      <c r="A2749" s="15">
        <f>Sheet2!A2749</f>
        <v>0</v>
      </c>
      <c r="B2749" s="8">
        <v>1.98</v>
      </c>
      <c r="C2749" s="9">
        <v>0</v>
      </c>
      <c r="D2749" s="13">
        <f t="shared" si="42"/>
        <v>1.98</v>
      </c>
    </row>
    <row r="2750" spans="1:4" x14ac:dyDescent="0.25">
      <c r="A2750" s="15">
        <f>Sheet2!A2750</f>
        <v>0</v>
      </c>
      <c r="B2750" s="8">
        <v>0</v>
      </c>
      <c r="C2750" s="9">
        <v>0.89</v>
      </c>
      <c r="D2750" s="13">
        <f t="shared" si="42"/>
        <v>0.89</v>
      </c>
    </row>
    <row r="2751" spans="1:4" x14ac:dyDescent="0.25">
      <c r="A2751" s="15">
        <f>Sheet2!A2751</f>
        <v>0</v>
      </c>
      <c r="B2751" s="8">
        <v>0</v>
      </c>
      <c r="C2751" s="9">
        <v>1.06</v>
      </c>
      <c r="D2751" s="13">
        <f t="shared" si="42"/>
        <v>1.06</v>
      </c>
    </row>
    <row r="2752" spans="1:4" x14ac:dyDescent="0.25">
      <c r="A2752" s="15">
        <f>Sheet2!A2752</f>
        <v>0</v>
      </c>
      <c r="B2752" s="8">
        <v>0</v>
      </c>
      <c r="C2752" s="9">
        <v>2.0099999999999998</v>
      </c>
      <c r="D2752" s="13">
        <f t="shared" si="42"/>
        <v>2.0099999999999998</v>
      </c>
    </row>
    <row r="2753" spans="1:4" x14ac:dyDescent="0.25">
      <c r="A2753" s="15">
        <f>Sheet2!A2753</f>
        <v>0</v>
      </c>
      <c r="B2753" s="8">
        <v>0</v>
      </c>
      <c r="C2753" s="9">
        <v>1.05</v>
      </c>
      <c r="D2753" s="13">
        <f t="shared" si="42"/>
        <v>1.05</v>
      </c>
    </row>
    <row r="2754" spans="1:4" x14ac:dyDescent="0.25">
      <c r="A2754" s="15">
        <f>Sheet2!A2754</f>
        <v>0</v>
      </c>
      <c r="B2754" s="8">
        <v>2.39</v>
      </c>
      <c r="C2754" s="9">
        <v>0</v>
      </c>
      <c r="D2754" s="13">
        <f t="shared" si="42"/>
        <v>2.39</v>
      </c>
    </row>
    <row r="2755" spans="1:4" x14ac:dyDescent="0.25">
      <c r="A2755" s="15">
        <f>Sheet2!A2755</f>
        <v>0</v>
      </c>
      <c r="B2755" s="8">
        <v>0</v>
      </c>
      <c r="C2755" s="9">
        <v>0.75</v>
      </c>
      <c r="D2755" s="13">
        <f t="shared" ref="D2755:D2818" si="43">B2755+C2755</f>
        <v>0.75</v>
      </c>
    </row>
    <row r="2756" spans="1:4" x14ac:dyDescent="0.25">
      <c r="A2756" s="15">
        <f>Sheet2!A2756</f>
        <v>0</v>
      </c>
      <c r="B2756" s="8">
        <v>0</v>
      </c>
      <c r="C2756" s="9">
        <v>1.1299999999999999</v>
      </c>
      <c r="D2756" s="13">
        <f t="shared" si="43"/>
        <v>1.1299999999999999</v>
      </c>
    </row>
    <row r="2757" spans="1:4" x14ac:dyDescent="0.25">
      <c r="A2757" s="15">
        <f>Sheet2!A2757</f>
        <v>0</v>
      </c>
      <c r="B2757" s="8">
        <v>0</v>
      </c>
      <c r="C2757" s="9">
        <v>1.18</v>
      </c>
      <c r="D2757" s="13">
        <f t="shared" si="43"/>
        <v>1.18</v>
      </c>
    </row>
    <row r="2758" spans="1:4" x14ac:dyDescent="0.25">
      <c r="A2758" s="15">
        <f>Sheet2!A2758</f>
        <v>0</v>
      </c>
      <c r="B2758" s="8">
        <v>0</v>
      </c>
      <c r="C2758" s="9">
        <v>2.39</v>
      </c>
      <c r="D2758" s="13">
        <f t="shared" si="43"/>
        <v>2.39</v>
      </c>
    </row>
    <row r="2759" spans="1:4" x14ac:dyDescent="0.25">
      <c r="A2759" s="15">
        <f>Sheet2!A2759</f>
        <v>0</v>
      </c>
      <c r="B2759" s="8">
        <v>0</v>
      </c>
      <c r="C2759" s="9">
        <v>0.7</v>
      </c>
      <c r="D2759" s="13">
        <f t="shared" si="43"/>
        <v>0.7</v>
      </c>
    </row>
    <row r="2760" spans="1:4" x14ac:dyDescent="0.25">
      <c r="A2760" s="15">
        <f>Sheet2!A2760</f>
        <v>0</v>
      </c>
      <c r="B2760" s="8">
        <v>4.1500000000000004</v>
      </c>
      <c r="C2760" s="9">
        <v>0</v>
      </c>
      <c r="D2760" s="13">
        <f t="shared" si="43"/>
        <v>4.1500000000000004</v>
      </c>
    </row>
    <row r="2761" spans="1:4" x14ac:dyDescent="0.25">
      <c r="A2761" s="15">
        <f>Sheet2!A2761</f>
        <v>0</v>
      </c>
      <c r="B2761" s="8">
        <v>0</v>
      </c>
      <c r="C2761" s="9">
        <v>1.64</v>
      </c>
      <c r="D2761" s="13">
        <f t="shared" si="43"/>
        <v>1.64</v>
      </c>
    </row>
    <row r="2762" spans="1:4" x14ac:dyDescent="0.25">
      <c r="A2762" s="15">
        <f>Sheet2!A2762</f>
        <v>0</v>
      </c>
      <c r="B2762" s="8">
        <v>4.01</v>
      </c>
      <c r="C2762" s="9">
        <v>0</v>
      </c>
      <c r="D2762" s="13">
        <f t="shared" si="43"/>
        <v>4.01</v>
      </c>
    </row>
    <row r="2763" spans="1:4" x14ac:dyDescent="0.25">
      <c r="A2763" s="15">
        <f>Sheet2!A2763</f>
        <v>0</v>
      </c>
      <c r="B2763" s="8">
        <v>3.32</v>
      </c>
      <c r="C2763" s="9">
        <v>0</v>
      </c>
      <c r="D2763" s="13">
        <f t="shared" si="43"/>
        <v>3.32</v>
      </c>
    </row>
    <row r="2764" spans="1:4" x14ac:dyDescent="0.25">
      <c r="A2764" s="15">
        <f>Sheet2!A2764</f>
        <v>0</v>
      </c>
      <c r="B2764" s="8">
        <v>3.33</v>
      </c>
      <c r="C2764" s="9">
        <v>0</v>
      </c>
      <c r="D2764" s="13">
        <f t="shared" si="43"/>
        <v>3.33</v>
      </c>
    </row>
    <row r="2765" spans="1:4" x14ac:dyDescent="0.25">
      <c r="A2765" s="15">
        <f>Sheet2!A2765</f>
        <v>0</v>
      </c>
      <c r="B2765" s="8">
        <v>3.29</v>
      </c>
      <c r="C2765" s="9">
        <v>0</v>
      </c>
      <c r="D2765" s="13">
        <f t="shared" si="43"/>
        <v>3.29</v>
      </c>
    </row>
    <row r="2766" spans="1:4" x14ac:dyDescent="0.25">
      <c r="A2766" s="15">
        <f>Sheet2!A2766</f>
        <v>0</v>
      </c>
      <c r="B2766" s="8">
        <v>3.4</v>
      </c>
      <c r="C2766" s="9">
        <v>0</v>
      </c>
      <c r="D2766" s="13">
        <f t="shared" si="43"/>
        <v>3.4</v>
      </c>
    </row>
    <row r="2767" spans="1:4" x14ac:dyDescent="0.25">
      <c r="A2767" s="15">
        <f>Sheet2!A2767</f>
        <v>0</v>
      </c>
      <c r="B2767" s="8">
        <v>3.09</v>
      </c>
      <c r="C2767" s="9">
        <v>0</v>
      </c>
      <c r="D2767" s="13">
        <f t="shared" si="43"/>
        <v>3.09</v>
      </c>
    </row>
    <row r="2768" spans="1:4" x14ac:dyDescent="0.25">
      <c r="A2768" s="15">
        <f>Sheet2!A2768</f>
        <v>0</v>
      </c>
      <c r="B2768" s="8">
        <v>1.64</v>
      </c>
      <c r="C2768" s="9">
        <v>0</v>
      </c>
      <c r="D2768" s="13">
        <f t="shared" si="43"/>
        <v>1.64</v>
      </c>
    </row>
    <row r="2769" spans="1:4" x14ac:dyDescent="0.25">
      <c r="A2769" s="15">
        <f>Sheet2!A2769</f>
        <v>0</v>
      </c>
      <c r="B2769" s="8">
        <v>1.29</v>
      </c>
      <c r="C2769" s="9">
        <v>0</v>
      </c>
      <c r="D2769" s="13">
        <f t="shared" si="43"/>
        <v>1.29</v>
      </c>
    </row>
    <row r="2770" spans="1:4" x14ac:dyDescent="0.25">
      <c r="A2770" s="15">
        <f>Sheet2!A2770</f>
        <v>0</v>
      </c>
      <c r="B2770" s="8">
        <v>1.32</v>
      </c>
      <c r="C2770" s="9">
        <v>0</v>
      </c>
      <c r="D2770" s="13">
        <f t="shared" si="43"/>
        <v>1.32</v>
      </c>
    </row>
    <row r="2771" spans="1:4" x14ac:dyDescent="0.25">
      <c r="A2771" s="15">
        <f>Sheet2!A2771</f>
        <v>0</v>
      </c>
      <c r="B2771" s="8">
        <v>0</v>
      </c>
      <c r="C2771" s="9">
        <v>0.77</v>
      </c>
      <c r="D2771" s="13">
        <f t="shared" si="43"/>
        <v>0.77</v>
      </c>
    </row>
    <row r="2772" spans="1:4" x14ac:dyDescent="0.25">
      <c r="A2772" s="15">
        <f>Sheet2!A2772</f>
        <v>0</v>
      </c>
      <c r="B2772" s="8">
        <v>0</v>
      </c>
      <c r="C2772" s="9">
        <v>1</v>
      </c>
      <c r="D2772" s="13">
        <f t="shared" si="43"/>
        <v>1</v>
      </c>
    </row>
    <row r="2773" spans="1:4" x14ac:dyDescent="0.25">
      <c r="A2773" s="15">
        <f>Sheet2!A2773</f>
        <v>0</v>
      </c>
      <c r="B2773" s="8">
        <v>0</v>
      </c>
      <c r="C2773" s="9">
        <v>0.45</v>
      </c>
      <c r="D2773" s="13">
        <f t="shared" si="43"/>
        <v>0.45</v>
      </c>
    </row>
    <row r="2774" spans="1:4" x14ac:dyDescent="0.25">
      <c r="A2774" s="15">
        <f>Sheet2!A2774</f>
        <v>0</v>
      </c>
      <c r="B2774" s="8">
        <v>1.21</v>
      </c>
      <c r="C2774" s="9">
        <v>0</v>
      </c>
      <c r="D2774" s="13">
        <f t="shared" si="43"/>
        <v>1.21</v>
      </c>
    </row>
    <row r="2775" spans="1:4" x14ac:dyDescent="0.25">
      <c r="A2775" s="15">
        <f>Sheet2!A2775</f>
        <v>0</v>
      </c>
      <c r="B2775" s="8">
        <v>0</v>
      </c>
      <c r="C2775" s="9">
        <v>0.72</v>
      </c>
      <c r="D2775" s="13">
        <f t="shared" si="43"/>
        <v>0.72</v>
      </c>
    </row>
    <row r="2776" spans="1:4" x14ac:dyDescent="0.25">
      <c r="A2776" s="15">
        <f>Sheet2!A2776</f>
        <v>0</v>
      </c>
      <c r="B2776" s="8">
        <v>0</v>
      </c>
      <c r="C2776" s="9">
        <v>1.2</v>
      </c>
      <c r="D2776" s="13">
        <f t="shared" si="43"/>
        <v>1.2</v>
      </c>
    </row>
    <row r="2777" spans="1:4" x14ac:dyDescent="0.25">
      <c r="A2777" s="15">
        <f>Sheet2!A2777</f>
        <v>0</v>
      </c>
      <c r="B2777" s="8">
        <v>0</v>
      </c>
      <c r="C2777" s="9">
        <v>1.08</v>
      </c>
      <c r="D2777" s="13">
        <f t="shared" si="43"/>
        <v>1.08</v>
      </c>
    </row>
    <row r="2778" spans="1:4" x14ac:dyDescent="0.25">
      <c r="A2778" s="15">
        <f>Sheet2!A2778</f>
        <v>0</v>
      </c>
      <c r="B2778" s="8">
        <v>0</v>
      </c>
      <c r="C2778" s="9">
        <v>1.26</v>
      </c>
      <c r="D2778" s="13">
        <f t="shared" si="43"/>
        <v>1.26</v>
      </c>
    </row>
    <row r="2779" spans="1:4" x14ac:dyDescent="0.25">
      <c r="A2779" s="15">
        <f>Sheet2!A2779</f>
        <v>0</v>
      </c>
      <c r="B2779" s="8">
        <v>0</v>
      </c>
      <c r="C2779" s="9">
        <v>0.86</v>
      </c>
      <c r="D2779" s="13">
        <f t="shared" si="43"/>
        <v>0.86</v>
      </c>
    </row>
    <row r="2780" spans="1:4" x14ac:dyDescent="0.25">
      <c r="A2780" s="15">
        <f>Sheet2!A2780</f>
        <v>0</v>
      </c>
      <c r="B2780" s="8">
        <v>3.56</v>
      </c>
      <c r="C2780" s="9">
        <v>0</v>
      </c>
      <c r="D2780" s="13">
        <f t="shared" si="43"/>
        <v>3.56</v>
      </c>
    </row>
    <row r="2781" spans="1:4" x14ac:dyDescent="0.25">
      <c r="A2781" s="15">
        <f>Sheet2!A2781</f>
        <v>0</v>
      </c>
      <c r="B2781" s="8">
        <v>0</v>
      </c>
      <c r="C2781" s="9">
        <v>2.54</v>
      </c>
      <c r="D2781" s="13">
        <f t="shared" si="43"/>
        <v>2.54</v>
      </c>
    </row>
    <row r="2782" spans="1:4" x14ac:dyDescent="0.25">
      <c r="A2782" s="15">
        <f>Sheet2!A2782</f>
        <v>0</v>
      </c>
      <c r="B2782" s="8">
        <v>0</v>
      </c>
      <c r="C2782" s="9">
        <v>3.05</v>
      </c>
      <c r="D2782" s="13">
        <f t="shared" si="43"/>
        <v>3.05</v>
      </c>
    </row>
    <row r="2783" spans="1:4" x14ac:dyDescent="0.25">
      <c r="A2783" s="15">
        <f>Sheet2!A2783</f>
        <v>0</v>
      </c>
      <c r="B2783" s="8">
        <v>0</v>
      </c>
      <c r="C2783" s="9">
        <v>1.03</v>
      </c>
      <c r="D2783" s="13">
        <f t="shared" si="43"/>
        <v>1.03</v>
      </c>
    </row>
    <row r="2784" spans="1:4" x14ac:dyDescent="0.25">
      <c r="A2784" s="15">
        <f>Sheet2!A2784</f>
        <v>0</v>
      </c>
      <c r="B2784" s="8">
        <v>3.2</v>
      </c>
      <c r="C2784" s="9">
        <v>0</v>
      </c>
      <c r="D2784" s="13">
        <f t="shared" si="43"/>
        <v>3.2</v>
      </c>
    </row>
    <row r="2785" spans="1:4" x14ac:dyDescent="0.25">
      <c r="A2785" s="15">
        <f>Sheet2!A2785</f>
        <v>0</v>
      </c>
      <c r="B2785" s="8">
        <v>2.5299999999999998</v>
      </c>
      <c r="C2785" s="9">
        <v>0</v>
      </c>
      <c r="D2785" s="13">
        <f t="shared" si="43"/>
        <v>2.5299999999999998</v>
      </c>
    </row>
    <row r="2786" spans="1:4" x14ac:dyDescent="0.25">
      <c r="A2786" s="15">
        <f>Sheet2!A2786</f>
        <v>0</v>
      </c>
      <c r="B2786" s="8">
        <v>2.5099999999999998</v>
      </c>
      <c r="C2786" s="9">
        <v>0</v>
      </c>
      <c r="D2786" s="13">
        <f t="shared" si="43"/>
        <v>2.5099999999999998</v>
      </c>
    </row>
    <row r="2787" spans="1:4" x14ac:dyDescent="0.25">
      <c r="A2787" s="15">
        <f>Sheet2!A2787</f>
        <v>0</v>
      </c>
      <c r="B2787" s="8">
        <v>2.83</v>
      </c>
      <c r="C2787" s="9">
        <v>0</v>
      </c>
      <c r="D2787" s="13">
        <f t="shared" si="43"/>
        <v>2.83</v>
      </c>
    </row>
    <row r="2788" spans="1:4" x14ac:dyDescent="0.25">
      <c r="A2788" s="15">
        <f>Sheet2!A2788</f>
        <v>0</v>
      </c>
      <c r="B2788" s="8">
        <v>2.46</v>
      </c>
      <c r="C2788" s="9">
        <v>0</v>
      </c>
      <c r="D2788" s="13">
        <f t="shared" si="43"/>
        <v>2.46</v>
      </c>
    </row>
    <row r="2789" spans="1:4" x14ac:dyDescent="0.25">
      <c r="A2789" s="15">
        <f>Sheet2!A2789</f>
        <v>0</v>
      </c>
      <c r="B2789" s="8">
        <v>2.19</v>
      </c>
      <c r="C2789" s="9">
        <v>0</v>
      </c>
      <c r="D2789" s="13">
        <f t="shared" si="43"/>
        <v>2.19</v>
      </c>
    </row>
    <row r="2790" spans="1:4" x14ac:dyDescent="0.25">
      <c r="A2790" s="15">
        <f>Sheet2!A2790</f>
        <v>0</v>
      </c>
      <c r="B2790" s="8">
        <v>2.4300000000000002</v>
      </c>
      <c r="C2790" s="9">
        <v>0</v>
      </c>
      <c r="D2790" s="13">
        <f t="shared" si="43"/>
        <v>2.4300000000000002</v>
      </c>
    </row>
    <row r="2791" spans="1:4" x14ac:dyDescent="0.25">
      <c r="A2791" s="15">
        <f>Sheet2!A2791</f>
        <v>0</v>
      </c>
      <c r="B2791" s="8">
        <v>2.0699999999999998</v>
      </c>
      <c r="C2791" s="9">
        <v>0</v>
      </c>
      <c r="D2791" s="13">
        <f t="shared" si="43"/>
        <v>2.0699999999999998</v>
      </c>
    </row>
    <row r="2792" spans="1:4" x14ac:dyDescent="0.25">
      <c r="A2792" s="15">
        <f>Sheet2!A2792</f>
        <v>0</v>
      </c>
      <c r="B2792" s="8">
        <v>1.1599999999999999</v>
      </c>
      <c r="C2792" s="9">
        <v>0</v>
      </c>
      <c r="D2792" s="13">
        <f t="shared" si="43"/>
        <v>1.1599999999999999</v>
      </c>
    </row>
    <row r="2793" spans="1:4" x14ac:dyDescent="0.25">
      <c r="A2793" s="15">
        <f>Sheet2!A2793</f>
        <v>0</v>
      </c>
      <c r="B2793" s="8">
        <v>0.94</v>
      </c>
      <c r="C2793" s="9">
        <v>0</v>
      </c>
      <c r="D2793" s="13">
        <f t="shared" si="43"/>
        <v>0.94</v>
      </c>
    </row>
    <row r="2794" spans="1:4" x14ac:dyDescent="0.25">
      <c r="A2794" s="15">
        <f>Sheet2!A2794</f>
        <v>0</v>
      </c>
      <c r="B2794" s="8">
        <v>0</v>
      </c>
      <c r="C2794" s="9">
        <v>0.79</v>
      </c>
      <c r="D2794" s="13">
        <f t="shared" si="43"/>
        <v>0.79</v>
      </c>
    </row>
    <row r="2795" spans="1:4" x14ac:dyDescent="0.25">
      <c r="A2795" s="15">
        <f>Sheet2!A2795</f>
        <v>0</v>
      </c>
      <c r="B2795" s="8">
        <v>0</v>
      </c>
      <c r="C2795" s="9">
        <v>0.4</v>
      </c>
      <c r="D2795" s="13">
        <f t="shared" si="43"/>
        <v>0.4</v>
      </c>
    </row>
    <row r="2796" spans="1:4" x14ac:dyDescent="0.25">
      <c r="A2796" s="15">
        <f>Sheet2!A2796</f>
        <v>0</v>
      </c>
      <c r="B2796" s="8">
        <v>1.77</v>
      </c>
      <c r="C2796" s="9">
        <v>0</v>
      </c>
      <c r="D2796" s="13">
        <f t="shared" si="43"/>
        <v>1.77</v>
      </c>
    </row>
    <row r="2797" spans="1:4" x14ac:dyDescent="0.25">
      <c r="A2797" s="15">
        <f>Sheet2!A2797</f>
        <v>0</v>
      </c>
      <c r="B2797" s="8">
        <v>0</v>
      </c>
      <c r="C2797" s="9">
        <v>1.1399999999999999</v>
      </c>
      <c r="D2797" s="13">
        <f t="shared" si="43"/>
        <v>1.1399999999999999</v>
      </c>
    </row>
    <row r="2798" spans="1:4" x14ac:dyDescent="0.25">
      <c r="A2798" s="15">
        <f>Sheet2!A2798</f>
        <v>0</v>
      </c>
      <c r="B2798" s="8">
        <v>0</v>
      </c>
      <c r="C2798" s="9">
        <v>1.52</v>
      </c>
      <c r="D2798" s="13">
        <f t="shared" si="43"/>
        <v>1.52</v>
      </c>
    </row>
    <row r="2799" spans="1:4" x14ac:dyDescent="0.25">
      <c r="A2799" s="15">
        <f>Sheet2!A2799</f>
        <v>0</v>
      </c>
      <c r="B2799" s="8">
        <v>0</v>
      </c>
      <c r="C2799" s="9">
        <v>1.19</v>
      </c>
      <c r="D2799" s="13">
        <f t="shared" si="43"/>
        <v>1.19</v>
      </c>
    </row>
    <row r="2800" spans="1:4" x14ac:dyDescent="0.25">
      <c r="A2800" s="15">
        <f>Sheet2!A2800</f>
        <v>0</v>
      </c>
      <c r="B2800" s="8">
        <v>0</v>
      </c>
      <c r="C2800" s="9">
        <v>0.51</v>
      </c>
      <c r="D2800" s="13">
        <f t="shared" si="43"/>
        <v>0.51</v>
      </c>
    </row>
    <row r="2801" spans="1:4" x14ac:dyDescent="0.25">
      <c r="A2801" s="15">
        <f>Sheet2!A2801</f>
        <v>0</v>
      </c>
      <c r="B2801" s="8">
        <v>0</v>
      </c>
      <c r="C2801" s="9">
        <v>1.67</v>
      </c>
      <c r="D2801" s="13">
        <f t="shared" si="43"/>
        <v>1.67</v>
      </c>
    </row>
    <row r="2802" spans="1:4" x14ac:dyDescent="0.25">
      <c r="A2802" s="15">
        <f>Sheet2!A2802</f>
        <v>0</v>
      </c>
      <c r="B2802" s="8">
        <v>0</v>
      </c>
      <c r="C2802" s="9">
        <v>1.96</v>
      </c>
      <c r="D2802" s="13">
        <f t="shared" si="43"/>
        <v>1.96</v>
      </c>
    </row>
    <row r="2803" spans="1:4" x14ac:dyDescent="0.25">
      <c r="A2803" s="15">
        <f>Sheet2!A2803</f>
        <v>0</v>
      </c>
      <c r="B2803" s="8">
        <v>0</v>
      </c>
      <c r="C2803" s="9">
        <v>1.75</v>
      </c>
      <c r="D2803" s="13">
        <f t="shared" si="43"/>
        <v>1.75</v>
      </c>
    </row>
    <row r="2804" spans="1:4" x14ac:dyDescent="0.25">
      <c r="A2804" s="15">
        <f>Sheet2!A2804</f>
        <v>0</v>
      </c>
      <c r="B2804" s="8">
        <v>0</v>
      </c>
      <c r="C2804" s="9">
        <v>0.75</v>
      </c>
      <c r="D2804" s="13">
        <f t="shared" si="43"/>
        <v>0.75</v>
      </c>
    </row>
    <row r="2805" spans="1:4" x14ac:dyDescent="0.25">
      <c r="A2805" s="15">
        <f>Sheet2!A2805</f>
        <v>0</v>
      </c>
      <c r="B2805" s="8">
        <v>1.51</v>
      </c>
      <c r="C2805" s="9">
        <v>0</v>
      </c>
      <c r="D2805" s="13">
        <f t="shared" si="43"/>
        <v>1.51</v>
      </c>
    </row>
    <row r="2806" spans="1:4" x14ac:dyDescent="0.25">
      <c r="A2806" s="15">
        <f>Sheet2!A2806</f>
        <v>0</v>
      </c>
      <c r="B2806" s="8">
        <v>2.16</v>
      </c>
      <c r="C2806" s="9">
        <v>0</v>
      </c>
      <c r="D2806" s="13">
        <f t="shared" si="43"/>
        <v>2.16</v>
      </c>
    </row>
    <row r="2807" spans="1:4" x14ac:dyDescent="0.25">
      <c r="A2807" s="15">
        <f>Sheet2!A2807</f>
        <v>0</v>
      </c>
      <c r="B2807" s="8">
        <v>2.35</v>
      </c>
      <c r="C2807" s="9">
        <v>0</v>
      </c>
      <c r="D2807" s="13">
        <f t="shared" si="43"/>
        <v>2.35</v>
      </c>
    </row>
    <row r="2808" spans="1:4" x14ac:dyDescent="0.25">
      <c r="A2808" s="15">
        <f>Sheet2!A2808</f>
        <v>0</v>
      </c>
      <c r="B2808" s="8">
        <v>2.69</v>
      </c>
      <c r="C2808" s="9">
        <v>0</v>
      </c>
      <c r="D2808" s="13">
        <f t="shared" si="43"/>
        <v>2.69</v>
      </c>
    </row>
    <row r="2809" spans="1:4" x14ac:dyDescent="0.25">
      <c r="A2809" s="15">
        <f>Sheet2!A2809</f>
        <v>0</v>
      </c>
      <c r="B2809" s="8">
        <v>2.16</v>
      </c>
      <c r="C2809" s="9">
        <v>0</v>
      </c>
      <c r="D2809" s="13">
        <f t="shared" si="43"/>
        <v>2.16</v>
      </c>
    </row>
    <row r="2810" spans="1:4" x14ac:dyDescent="0.25">
      <c r="A2810" s="15">
        <f>Sheet2!A2810</f>
        <v>0</v>
      </c>
      <c r="B2810" s="8">
        <v>1.88</v>
      </c>
      <c r="C2810" s="9">
        <v>0</v>
      </c>
      <c r="D2810" s="13">
        <f t="shared" si="43"/>
        <v>1.88</v>
      </c>
    </row>
    <row r="2811" spans="1:4" x14ac:dyDescent="0.25">
      <c r="A2811" s="15">
        <f>Sheet2!A2811</f>
        <v>0</v>
      </c>
      <c r="B2811" s="8">
        <v>1.96</v>
      </c>
      <c r="C2811" s="9">
        <v>0</v>
      </c>
      <c r="D2811" s="13">
        <f t="shared" si="43"/>
        <v>1.96</v>
      </c>
    </row>
    <row r="2812" spans="1:4" x14ac:dyDescent="0.25">
      <c r="A2812" s="15">
        <f>Sheet2!A2812</f>
        <v>0</v>
      </c>
      <c r="B2812" s="8">
        <v>1.6</v>
      </c>
      <c r="C2812" s="9">
        <v>0</v>
      </c>
      <c r="D2812" s="13">
        <f t="shared" si="43"/>
        <v>1.6</v>
      </c>
    </row>
    <row r="2813" spans="1:4" x14ac:dyDescent="0.25">
      <c r="A2813" s="15">
        <f>Sheet2!A2813</f>
        <v>0</v>
      </c>
      <c r="B2813" s="8">
        <v>1.68</v>
      </c>
      <c r="C2813" s="9">
        <v>0</v>
      </c>
      <c r="D2813" s="13">
        <f t="shared" si="43"/>
        <v>1.68</v>
      </c>
    </row>
    <row r="2814" spans="1:4" x14ac:dyDescent="0.25">
      <c r="A2814" s="15">
        <f>Sheet2!A2814</f>
        <v>0</v>
      </c>
      <c r="B2814" s="8">
        <v>1.87</v>
      </c>
      <c r="C2814" s="9">
        <v>0</v>
      </c>
      <c r="D2814" s="13">
        <f t="shared" si="43"/>
        <v>1.87</v>
      </c>
    </row>
    <row r="2815" spans="1:4" x14ac:dyDescent="0.25">
      <c r="A2815" s="15">
        <f>Sheet2!A2815</f>
        <v>0</v>
      </c>
      <c r="B2815" s="8">
        <v>1.91</v>
      </c>
      <c r="C2815" s="9">
        <v>0</v>
      </c>
      <c r="D2815" s="13">
        <f t="shared" si="43"/>
        <v>1.91</v>
      </c>
    </row>
    <row r="2816" spans="1:4" x14ac:dyDescent="0.25">
      <c r="A2816" s="15">
        <f>Sheet2!A2816</f>
        <v>0</v>
      </c>
      <c r="B2816" s="8">
        <v>0.86</v>
      </c>
      <c r="C2816" s="9">
        <v>0</v>
      </c>
      <c r="D2816" s="13">
        <f t="shared" si="43"/>
        <v>0.86</v>
      </c>
    </row>
    <row r="2817" spans="1:4" x14ac:dyDescent="0.25">
      <c r="A2817" s="15">
        <f>Sheet2!A2817</f>
        <v>0</v>
      </c>
      <c r="B2817" s="8">
        <v>1.49</v>
      </c>
      <c r="C2817" s="9">
        <v>0</v>
      </c>
      <c r="D2817" s="13">
        <f t="shared" si="43"/>
        <v>1.49</v>
      </c>
    </row>
    <row r="2818" spans="1:4" x14ac:dyDescent="0.25">
      <c r="A2818" s="15">
        <f>Sheet2!A2818</f>
        <v>0</v>
      </c>
      <c r="B2818" s="8">
        <v>0</v>
      </c>
      <c r="C2818" s="9">
        <v>0.44</v>
      </c>
      <c r="D2818" s="13">
        <f t="shared" si="43"/>
        <v>0.44</v>
      </c>
    </row>
    <row r="2819" spans="1:4" x14ac:dyDescent="0.25">
      <c r="A2819" s="15">
        <f>Sheet2!A2819</f>
        <v>0</v>
      </c>
      <c r="B2819" s="8">
        <v>0</v>
      </c>
      <c r="C2819" s="9">
        <v>0.83</v>
      </c>
      <c r="D2819" s="13">
        <f t="shared" ref="D2819:D2882" si="44">B2819+C2819</f>
        <v>0.83</v>
      </c>
    </row>
    <row r="2820" spans="1:4" x14ac:dyDescent="0.25">
      <c r="A2820" s="15">
        <f>Sheet2!A2820</f>
        <v>0</v>
      </c>
      <c r="B2820" s="8">
        <v>2.69</v>
      </c>
      <c r="C2820" s="9">
        <v>0</v>
      </c>
      <c r="D2820" s="13">
        <f t="shared" si="44"/>
        <v>2.69</v>
      </c>
    </row>
    <row r="2821" spans="1:4" x14ac:dyDescent="0.25">
      <c r="A2821" s="15">
        <f>Sheet2!A2821</f>
        <v>0</v>
      </c>
      <c r="B2821" s="8">
        <v>3.74</v>
      </c>
      <c r="C2821" s="9">
        <v>0</v>
      </c>
      <c r="D2821" s="13">
        <f t="shared" si="44"/>
        <v>3.74</v>
      </c>
    </row>
    <row r="2822" spans="1:4" x14ac:dyDescent="0.25">
      <c r="A2822" s="15">
        <f>Sheet2!A2822</f>
        <v>0</v>
      </c>
      <c r="B2822" s="8">
        <v>2.2000000000000002</v>
      </c>
      <c r="C2822" s="9">
        <v>0</v>
      </c>
      <c r="D2822" s="13">
        <f t="shared" si="44"/>
        <v>2.2000000000000002</v>
      </c>
    </row>
    <row r="2823" spans="1:4" x14ac:dyDescent="0.25">
      <c r="A2823" s="15">
        <f>Sheet2!A2823</f>
        <v>0</v>
      </c>
      <c r="B2823" s="8">
        <v>2.59</v>
      </c>
      <c r="C2823" s="9">
        <v>0</v>
      </c>
      <c r="D2823" s="13">
        <f t="shared" si="44"/>
        <v>2.59</v>
      </c>
    </row>
    <row r="2824" spans="1:4" x14ac:dyDescent="0.25">
      <c r="A2824" s="15">
        <f>Sheet2!A2824</f>
        <v>0</v>
      </c>
      <c r="B2824" s="8">
        <v>3</v>
      </c>
      <c r="C2824" s="9">
        <v>0</v>
      </c>
      <c r="D2824" s="13">
        <f t="shared" si="44"/>
        <v>3</v>
      </c>
    </row>
    <row r="2825" spans="1:4" x14ac:dyDescent="0.25">
      <c r="A2825" s="15">
        <f>Sheet2!A2825</f>
        <v>0</v>
      </c>
      <c r="B2825" s="8">
        <v>2.65</v>
      </c>
      <c r="C2825" s="9">
        <v>0</v>
      </c>
      <c r="D2825" s="13">
        <f t="shared" si="44"/>
        <v>2.65</v>
      </c>
    </row>
    <row r="2826" spans="1:4" x14ac:dyDescent="0.25">
      <c r="A2826" s="15">
        <f>Sheet2!A2826</f>
        <v>0</v>
      </c>
      <c r="B2826" s="8">
        <v>0</v>
      </c>
      <c r="C2826" s="9">
        <v>1.54</v>
      </c>
      <c r="D2826" s="13">
        <f t="shared" si="44"/>
        <v>1.54</v>
      </c>
    </row>
    <row r="2827" spans="1:4" x14ac:dyDescent="0.25">
      <c r="A2827" s="15">
        <f>Sheet2!A2827</f>
        <v>0</v>
      </c>
      <c r="B2827" s="8">
        <v>0</v>
      </c>
      <c r="C2827" s="9">
        <v>0.44</v>
      </c>
      <c r="D2827" s="13">
        <f t="shared" si="44"/>
        <v>0.44</v>
      </c>
    </row>
    <row r="2828" spans="1:4" x14ac:dyDescent="0.25">
      <c r="A2828" s="15">
        <f>Sheet2!A2828</f>
        <v>0</v>
      </c>
      <c r="B2828" s="8">
        <v>1.45</v>
      </c>
      <c r="C2828" s="9">
        <v>0</v>
      </c>
      <c r="D2828" s="13">
        <f t="shared" si="44"/>
        <v>1.45</v>
      </c>
    </row>
    <row r="2829" spans="1:4" x14ac:dyDescent="0.25">
      <c r="A2829" s="15">
        <f>Sheet2!A2829</f>
        <v>0</v>
      </c>
      <c r="B2829" s="8">
        <v>1.63</v>
      </c>
      <c r="C2829" s="9">
        <v>0</v>
      </c>
      <c r="D2829" s="13">
        <f t="shared" si="44"/>
        <v>1.63</v>
      </c>
    </row>
    <row r="2830" spans="1:4" x14ac:dyDescent="0.25">
      <c r="A2830" s="15">
        <f>Sheet2!A2830</f>
        <v>0</v>
      </c>
      <c r="B2830" s="8">
        <v>2.2200000000000002</v>
      </c>
      <c r="C2830" s="9">
        <v>0</v>
      </c>
      <c r="D2830" s="13">
        <f t="shared" si="44"/>
        <v>2.2200000000000002</v>
      </c>
    </row>
    <row r="2831" spans="1:4" x14ac:dyDescent="0.25">
      <c r="A2831" s="15">
        <f>Sheet2!A2831</f>
        <v>0</v>
      </c>
      <c r="B2831" s="8">
        <v>2.58</v>
      </c>
      <c r="C2831" s="9">
        <v>0</v>
      </c>
      <c r="D2831" s="13">
        <f t="shared" si="44"/>
        <v>2.58</v>
      </c>
    </row>
    <row r="2832" spans="1:4" x14ac:dyDescent="0.25">
      <c r="A2832" s="15">
        <f>Sheet2!A2832</f>
        <v>0</v>
      </c>
      <c r="B2832" s="8">
        <v>2.06</v>
      </c>
      <c r="C2832" s="9">
        <v>0</v>
      </c>
      <c r="D2832" s="13">
        <f t="shared" si="44"/>
        <v>2.06</v>
      </c>
    </row>
    <row r="2833" spans="1:4" x14ac:dyDescent="0.25">
      <c r="A2833" s="15">
        <f>Sheet2!A2833</f>
        <v>0</v>
      </c>
      <c r="B2833" s="8">
        <v>1.69</v>
      </c>
      <c r="C2833" s="9">
        <v>0</v>
      </c>
      <c r="D2833" s="13">
        <f t="shared" si="44"/>
        <v>1.69</v>
      </c>
    </row>
    <row r="2834" spans="1:4" x14ac:dyDescent="0.25">
      <c r="A2834" s="15">
        <f>Sheet2!A2834</f>
        <v>0</v>
      </c>
      <c r="B2834" s="8">
        <v>2.19</v>
      </c>
      <c r="C2834" s="9">
        <v>0</v>
      </c>
      <c r="D2834" s="13">
        <f t="shared" si="44"/>
        <v>2.19</v>
      </c>
    </row>
    <row r="2835" spans="1:4" x14ac:dyDescent="0.25">
      <c r="A2835" s="15">
        <f>Sheet2!A2835</f>
        <v>0</v>
      </c>
      <c r="B2835" s="8">
        <v>1.5</v>
      </c>
      <c r="C2835" s="9">
        <v>0</v>
      </c>
      <c r="D2835" s="13">
        <f t="shared" si="44"/>
        <v>1.5</v>
      </c>
    </row>
    <row r="2836" spans="1:4" x14ac:dyDescent="0.25">
      <c r="A2836" s="15">
        <f>Sheet2!A2836</f>
        <v>0</v>
      </c>
      <c r="B2836" s="8">
        <v>1.65</v>
      </c>
      <c r="C2836" s="9">
        <v>0</v>
      </c>
      <c r="D2836" s="13">
        <f t="shared" si="44"/>
        <v>1.65</v>
      </c>
    </row>
    <row r="2837" spans="1:4" x14ac:dyDescent="0.25">
      <c r="A2837" s="15">
        <f>Sheet2!A2837</f>
        <v>0</v>
      </c>
      <c r="B2837" s="8">
        <v>1.47</v>
      </c>
      <c r="C2837" s="9">
        <v>0</v>
      </c>
      <c r="D2837" s="13">
        <f t="shared" si="44"/>
        <v>1.47</v>
      </c>
    </row>
    <row r="2838" spans="1:4" x14ac:dyDescent="0.25">
      <c r="A2838" s="15">
        <f>Sheet2!A2838</f>
        <v>0</v>
      </c>
      <c r="B2838" s="8">
        <v>2.0099999999999998</v>
      </c>
      <c r="C2838" s="9">
        <v>0</v>
      </c>
      <c r="D2838" s="13">
        <f t="shared" si="44"/>
        <v>2.0099999999999998</v>
      </c>
    </row>
    <row r="2839" spans="1:4" x14ac:dyDescent="0.25">
      <c r="A2839" s="15">
        <f>Sheet2!A2839</f>
        <v>0</v>
      </c>
      <c r="B2839" s="8">
        <v>1.54</v>
      </c>
      <c r="C2839" s="9">
        <v>0</v>
      </c>
      <c r="D2839" s="13">
        <f t="shared" si="44"/>
        <v>1.54</v>
      </c>
    </row>
    <row r="2840" spans="1:4" x14ac:dyDescent="0.25">
      <c r="A2840" s="15">
        <f>Sheet2!A2840</f>
        <v>0</v>
      </c>
      <c r="B2840" s="8">
        <v>0.91</v>
      </c>
      <c r="C2840" s="9">
        <v>0</v>
      </c>
      <c r="D2840" s="13">
        <f t="shared" si="44"/>
        <v>0.91</v>
      </c>
    </row>
    <row r="2841" spans="1:4" x14ac:dyDescent="0.25">
      <c r="A2841" s="15">
        <f>Sheet2!A2841</f>
        <v>0</v>
      </c>
      <c r="B2841" s="8">
        <v>1.19</v>
      </c>
      <c r="C2841" s="9">
        <v>0</v>
      </c>
      <c r="D2841" s="13">
        <f t="shared" si="44"/>
        <v>1.19</v>
      </c>
    </row>
    <row r="2842" spans="1:4" x14ac:dyDescent="0.25">
      <c r="A2842" s="15">
        <f>Sheet2!A2842</f>
        <v>0</v>
      </c>
      <c r="B2842" s="8">
        <v>0.99</v>
      </c>
      <c r="C2842" s="9">
        <v>0</v>
      </c>
      <c r="D2842" s="13">
        <f t="shared" si="44"/>
        <v>0.99</v>
      </c>
    </row>
    <row r="2843" spans="1:4" x14ac:dyDescent="0.25">
      <c r="A2843" s="15">
        <f>Sheet2!A2843</f>
        <v>0</v>
      </c>
      <c r="B2843" s="8">
        <v>1.17</v>
      </c>
      <c r="C2843" s="9">
        <v>0</v>
      </c>
      <c r="D2843" s="13">
        <f t="shared" si="44"/>
        <v>1.17</v>
      </c>
    </row>
    <row r="2844" spans="1:4" x14ac:dyDescent="0.25">
      <c r="A2844" s="15">
        <f>Sheet2!A2844</f>
        <v>0</v>
      </c>
      <c r="B2844" s="8">
        <v>2.11</v>
      </c>
      <c r="C2844" s="9">
        <v>0</v>
      </c>
      <c r="D2844" s="13">
        <f t="shared" si="44"/>
        <v>2.11</v>
      </c>
    </row>
    <row r="2845" spans="1:4" x14ac:dyDescent="0.25">
      <c r="A2845" s="15">
        <f>Sheet2!A2845</f>
        <v>0</v>
      </c>
      <c r="B2845" s="8">
        <v>0</v>
      </c>
      <c r="C2845" s="9">
        <v>1.51</v>
      </c>
      <c r="D2845" s="13">
        <f t="shared" si="44"/>
        <v>1.51</v>
      </c>
    </row>
    <row r="2846" spans="1:4" x14ac:dyDescent="0.25">
      <c r="A2846" s="15">
        <f>Sheet2!A2846</f>
        <v>0</v>
      </c>
      <c r="B2846" s="8">
        <v>0</v>
      </c>
      <c r="C2846" s="9">
        <v>0.34</v>
      </c>
      <c r="D2846" s="13">
        <f t="shared" si="44"/>
        <v>0.34</v>
      </c>
    </row>
    <row r="2847" spans="1:4" x14ac:dyDescent="0.25">
      <c r="A2847" s="15">
        <f>Sheet2!A2847</f>
        <v>0</v>
      </c>
      <c r="B2847" s="8">
        <v>2.25</v>
      </c>
      <c r="C2847" s="9">
        <v>0</v>
      </c>
      <c r="D2847" s="13">
        <f t="shared" si="44"/>
        <v>2.25</v>
      </c>
    </row>
    <row r="2848" spans="1:4" x14ac:dyDescent="0.25">
      <c r="A2848" s="15">
        <f>Sheet2!A2848</f>
        <v>0</v>
      </c>
      <c r="B2848" s="8">
        <v>3.17</v>
      </c>
      <c r="C2848" s="9">
        <v>0</v>
      </c>
      <c r="D2848" s="13">
        <f t="shared" si="44"/>
        <v>3.17</v>
      </c>
    </row>
    <row r="2849" spans="1:4" x14ac:dyDescent="0.25">
      <c r="A2849" s="15">
        <f>Sheet2!A2849</f>
        <v>0</v>
      </c>
      <c r="B2849" s="8">
        <v>1.83</v>
      </c>
      <c r="C2849" s="9">
        <v>0</v>
      </c>
      <c r="D2849" s="13">
        <f t="shared" si="44"/>
        <v>1.83</v>
      </c>
    </row>
    <row r="2850" spans="1:4" x14ac:dyDescent="0.25">
      <c r="A2850" s="15">
        <f>Sheet2!A2850</f>
        <v>0</v>
      </c>
      <c r="B2850" s="8">
        <v>0</v>
      </c>
      <c r="C2850" s="9">
        <v>1.19</v>
      </c>
      <c r="D2850" s="13">
        <f t="shared" si="44"/>
        <v>1.19</v>
      </c>
    </row>
    <row r="2851" spans="1:4" x14ac:dyDescent="0.25">
      <c r="A2851" s="15">
        <f>Sheet2!A2851</f>
        <v>0</v>
      </c>
      <c r="B2851" s="8">
        <v>0</v>
      </c>
      <c r="C2851" s="9">
        <v>0.45</v>
      </c>
      <c r="D2851" s="13">
        <f t="shared" si="44"/>
        <v>0.45</v>
      </c>
    </row>
    <row r="2852" spans="1:4" x14ac:dyDescent="0.25">
      <c r="A2852" s="15">
        <f>Sheet2!A2852</f>
        <v>0</v>
      </c>
      <c r="B2852" s="8">
        <v>1.58</v>
      </c>
      <c r="C2852" s="9">
        <v>0</v>
      </c>
      <c r="D2852" s="13">
        <f t="shared" si="44"/>
        <v>1.58</v>
      </c>
    </row>
    <row r="2853" spans="1:4" x14ac:dyDescent="0.25">
      <c r="A2853" s="15">
        <f>Sheet2!A2853</f>
        <v>0</v>
      </c>
      <c r="B2853" s="8">
        <v>1.63</v>
      </c>
      <c r="C2853" s="9">
        <v>0</v>
      </c>
      <c r="D2853" s="13">
        <f t="shared" si="44"/>
        <v>1.63</v>
      </c>
    </row>
    <row r="2854" spans="1:4" x14ac:dyDescent="0.25">
      <c r="A2854" s="15">
        <f>Sheet2!A2854</f>
        <v>0</v>
      </c>
      <c r="B2854" s="8">
        <v>1.27</v>
      </c>
      <c r="C2854" s="9">
        <v>0</v>
      </c>
      <c r="D2854" s="13">
        <f t="shared" si="44"/>
        <v>1.27</v>
      </c>
    </row>
    <row r="2855" spans="1:4" x14ac:dyDescent="0.25">
      <c r="A2855" s="15">
        <f>Sheet2!A2855</f>
        <v>0</v>
      </c>
      <c r="B2855" s="8">
        <v>1.65</v>
      </c>
      <c r="C2855" s="9">
        <v>0</v>
      </c>
      <c r="D2855" s="13">
        <f t="shared" si="44"/>
        <v>1.65</v>
      </c>
    </row>
    <row r="2856" spans="1:4" x14ac:dyDescent="0.25">
      <c r="A2856" s="15">
        <f>Sheet2!A2856</f>
        <v>0</v>
      </c>
      <c r="B2856" s="8">
        <v>2.4900000000000002</v>
      </c>
      <c r="C2856" s="9">
        <v>0</v>
      </c>
      <c r="D2856" s="13">
        <f t="shared" si="44"/>
        <v>2.4900000000000002</v>
      </c>
    </row>
    <row r="2857" spans="1:4" x14ac:dyDescent="0.25">
      <c r="A2857" s="15">
        <f>Sheet2!A2857</f>
        <v>0</v>
      </c>
      <c r="B2857" s="8">
        <v>2.54</v>
      </c>
      <c r="C2857" s="9">
        <v>0</v>
      </c>
      <c r="D2857" s="13">
        <f t="shared" si="44"/>
        <v>2.54</v>
      </c>
    </row>
    <row r="2858" spans="1:4" x14ac:dyDescent="0.25">
      <c r="A2858" s="15">
        <f>Sheet2!A2858</f>
        <v>0</v>
      </c>
      <c r="B2858" s="8">
        <v>2.42</v>
      </c>
      <c r="C2858" s="9">
        <v>0</v>
      </c>
      <c r="D2858" s="13">
        <f t="shared" si="44"/>
        <v>2.42</v>
      </c>
    </row>
    <row r="2859" spans="1:4" x14ac:dyDescent="0.25">
      <c r="A2859" s="15">
        <f>Sheet2!A2859</f>
        <v>0</v>
      </c>
      <c r="B2859" s="8">
        <v>2.02</v>
      </c>
      <c r="C2859" s="9">
        <v>0</v>
      </c>
      <c r="D2859" s="13">
        <f t="shared" si="44"/>
        <v>2.02</v>
      </c>
    </row>
    <row r="2860" spans="1:4" x14ac:dyDescent="0.25">
      <c r="A2860" s="15">
        <f>Sheet2!A2860</f>
        <v>0</v>
      </c>
      <c r="B2860" s="8">
        <v>1.67</v>
      </c>
      <c r="C2860" s="9">
        <v>0</v>
      </c>
      <c r="D2860" s="13">
        <f t="shared" si="44"/>
        <v>1.67</v>
      </c>
    </row>
    <row r="2861" spans="1:4" x14ac:dyDescent="0.25">
      <c r="A2861" s="15">
        <f>Sheet2!A2861</f>
        <v>0</v>
      </c>
      <c r="B2861" s="8">
        <v>1.76</v>
      </c>
      <c r="C2861" s="9">
        <v>0</v>
      </c>
      <c r="D2861" s="13">
        <f t="shared" si="44"/>
        <v>1.76</v>
      </c>
    </row>
    <row r="2862" spans="1:4" x14ac:dyDescent="0.25">
      <c r="A2862" s="15">
        <f>Sheet2!A2862</f>
        <v>0</v>
      </c>
      <c r="B2862" s="8">
        <v>2.78</v>
      </c>
      <c r="C2862" s="9">
        <v>0</v>
      </c>
      <c r="D2862" s="13">
        <f t="shared" si="44"/>
        <v>2.78</v>
      </c>
    </row>
    <row r="2863" spans="1:4" x14ac:dyDescent="0.25">
      <c r="A2863" s="15">
        <f>Sheet2!A2863</f>
        <v>0</v>
      </c>
      <c r="B2863" s="8">
        <v>1.33</v>
      </c>
      <c r="C2863" s="9">
        <v>0</v>
      </c>
      <c r="D2863" s="13">
        <f t="shared" si="44"/>
        <v>1.33</v>
      </c>
    </row>
    <row r="2864" spans="1:4" x14ac:dyDescent="0.25">
      <c r="A2864" s="15">
        <f>Sheet2!A2864</f>
        <v>0</v>
      </c>
      <c r="B2864" s="8">
        <v>0</v>
      </c>
      <c r="C2864" s="9">
        <v>0.98</v>
      </c>
      <c r="D2864" s="13">
        <f t="shared" si="44"/>
        <v>0.98</v>
      </c>
    </row>
    <row r="2865" spans="1:4" x14ac:dyDescent="0.25">
      <c r="A2865" s="15">
        <f>Sheet2!A2865</f>
        <v>0</v>
      </c>
      <c r="B2865" s="8">
        <v>0</v>
      </c>
      <c r="C2865" s="9">
        <v>0.95</v>
      </c>
      <c r="D2865" s="13">
        <f t="shared" si="44"/>
        <v>0.95</v>
      </c>
    </row>
    <row r="2866" spans="1:4" x14ac:dyDescent="0.25">
      <c r="A2866" s="15">
        <f>Sheet2!A2866</f>
        <v>0</v>
      </c>
      <c r="B2866" s="8">
        <v>0</v>
      </c>
      <c r="C2866" s="9">
        <v>0.88</v>
      </c>
      <c r="D2866" s="13">
        <f t="shared" si="44"/>
        <v>0.88</v>
      </c>
    </row>
    <row r="2867" spans="1:4" x14ac:dyDescent="0.25">
      <c r="A2867" s="15">
        <f>Sheet2!A2867</f>
        <v>0</v>
      </c>
      <c r="B2867" s="8">
        <v>0</v>
      </c>
      <c r="C2867" s="9">
        <v>0.87</v>
      </c>
      <c r="D2867" s="13">
        <f t="shared" si="44"/>
        <v>0.87</v>
      </c>
    </row>
    <row r="2868" spans="1:4" x14ac:dyDescent="0.25">
      <c r="A2868" s="15">
        <f>Sheet2!A2868</f>
        <v>0</v>
      </c>
      <c r="B2868" s="8">
        <v>0</v>
      </c>
      <c r="C2868" s="9">
        <v>0.84</v>
      </c>
      <c r="D2868" s="13">
        <f t="shared" si="44"/>
        <v>0.84</v>
      </c>
    </row>
    <row r="2869" spans="1:4" x14ac:dyDescent="0.25">
      <c r="A2869" s="15">
        <f>Sheet2!A2869</f>
        <v>0</v>
      </c>
      <c r="B2869" s="8">
        <v>0</v>
      </c>
      <c r="C2869" s="9">
        <v>0.81</v>
      </c>
      <c r="D2869" s="13">
        <f t="shared" si="44"/>
        <v>0.81</v>
      </c>
    </row>
    <row r="2870" spans="1:4" x14ac:dyDescent="0.25">
      <c r="A2870" s="15">
        <f>Sheet2!A2870</f>
        <v>0</v>
      </c>
      <c r="B2870" s="8">
        <v>0</v>
      </c>
      <c r="C2870" s="9">
        <v>1</v>
      </c>
      <c r="D2870" s="13">
        <f t="shared" si="44"/>
        <v>1</v>
      </c>
    </row>
    <row r="2871" spans="1:4" x14ac:dyDescent="0.25">
      <c r="A2871" s="15">
        <f>Sheet2!A2871</f>
        <v>0</v>
      </c>
      <c r="B2871" s="8">
        <v>0</v>
      </c>
      <c r="C2871" s="9">
        <v>1.22</v>
      </c>
      <c r="D2871" s="13">
        <f t="shared" si="44"/>
        <v>1.22</v>
      </c>
    </row>
    <row r="2872" spans="1:4" x14ac:dyDescent="0.25">
      <c r="A2872" s="15">
        <f>Sheet2!A2872</f>
        <v>0</v>
      </c>
      <c r="B2872" s="8">
        <v>0</v>
      </c>
      <c r="C2872" s="9">
        <v>2.4</v>
      </c>
      <c r="D2872" s="13">
        <f t="shared" si="44"/>
        <v>2.4</v>
      </c>
    </row>
    <row r="2873" spans="1:4" x14ac:dyDescent="0.25">
      <c r="A2873" s="15">
        <f>Sheet2!A2873</f>
        <v>0</v>
      </c>
      <c r="B2873" s="8">
        <v>0</v>
      </c>
      <c r="C2873" s="9">
        <v>2</v>
      </c>
      <c r="D2873" s="13">
        <f t="shared" si="44"/>
        <v>2</v>
      </c>
    </row>
    <row r="2874" spans="1:4" x14ac:dyDescent="0.25">
      <c r="A2874" s="15">
        <f>Sheet2!A2874</f>
        <v>0</v>
      </c>
      <c r="B2874" s="8">
        <v>0</v>
      </c>
      <c r="C2874" s="9">
        <v>1.77</v>
      </c>
      <c r="D2874" s="13">
        <f t="shared" si="44"/>
        <v>1.77</v>
      </c>
    </row>
    <row r="2875" spans="1:4" x14ac:dyDescent="0.25">
      <c r="A2875" s="15">
        <f>Sheet2!A2875</f>
        <v>0</v>
      </c>
      <c r="B2875" s="8">
        <v>0</v>
      </c>
      <c r="C2875" s="9">
        <v>1.3</v>
      </c>
      <c r="D2875" s="13">
        <f t="shared" si="44"/>
        <v>1.3</v>
      </c>
    </row>
    <row r="2876" spans="1:4" x14ac:dyDescent="0.25">
      <c r="A2876" s="15">
        <f>Sheet2!A2876</f>
        <v>0</v>
      </c>
      <c r="B2876" s="8">
        <v>2.86</v>
      </c>
      <c r="C2876" s="9">
        <v>0</v>
      </c>
      <c r="D2876" s="13">
        <f t="shared" si="44"/>
        <v>2.86</v>
      </c>
    </row>
    <row r="2877" spans="1:4" x14ac:dyDescent="0.25">
      <c r="A2877" s="15">
        <f>Sheet2!A2877</f>
        <v>0</v>
      </c>
      <c r="B2877" s="8">
        <v>2.38</v>
      </c>
      <c r="C2877" s="9">
        <v>0</v>
      </c>
      <c r="D2877" s="13">
        <f t="shared" si="44"/>
        <v>2.38</v>
      </c>
    </row>
    <row r="2878" spans="1:4" x14ac:dyDescent="0.25">
      <c r="A2878" s="15">
        <f>Sheet2!A2878</f>
        <v>0</v>
      </c>
      <c r="B2878" s="8">
        <v>2.5499999999999998</v>
      </c>
      <c r="C2878" s="9">
        <v>0</v>
      </c>
      <c r="D2878" s="13">
        <f t="shared" si="44"/>
        <v>2.5499999999999998</v>
      </c>
    </row>
    <row r="2879" spans="1:4" x14ac:dyDescent="0.25">
      <c r="A2879" s="15">
        <f>Sheet2!A2879</f>
        <v>0</v>
      </c>
      <c r="B2879" s="8">
        <v>2.04</v>
      </c>
      <c r="C2879" s="9">
        <v>0</v>
      </c>
      <c r="D2879" s="13">
        <f t="shared" si="44"/>
        <v>2.04</v>
      </c>
    </row>
    <row r="2880" spans="1:4" x14ac:dyDescent="0.25">
      <c r="A2880" s="15">
        <f>Sheet2!A2880</f>
        <v>0</v>
      </c>
      <c r="B2880" s="8">
        <v>2.4700000000000002</v>
      </c>
      <c r="C2880" s="9">
        <v>0</v>
      </c>
      <c r="D2880" s="13">
        <f t="shared" si="44"/>
        <v>2.4700000000000002</v>
      </c>
    </row>
    <row r="2881" spans="1:4" x14ac:dyDescent="0.25">
      <c r="A2881" s="15">
        <f>Sheet2!A2881</f>
        <v>0</v>
      </c>
      <c r="B2881" s="8">
        <v>3.3</v>
      </c>
      <c r="C2881" s="9">
        <v>0</v>
      </c>
      <c r="D2881" s="13">
        <f t="shared" si="44"/>
        <v>3.3</v>
      </c>
    </row>
    <row r="2882" spans="1:4" x14ac:dyDescent="0.25">
      <c r="A2882" s="15">
        <f>Sheet2!A2882</f>
        <v>0</v>
      </c>
      <c r="B2882" s="8">
        <v>3.65</v>
      </c>
      <c r="C2882" s="9">
        <v>0</v>
      </c>
      <c r="D2882" s="13">
        <f t="shared" si="44"/>
        <v>3.65</v>
      </c>
    </row>
    <row r="2883" spans="1:4" x14ac:dyDescent="0.25">
      <c r="A2883" s="15">
        <f>Sheet2!A2883</f>
        <v>0</v>
      </c>
      <c r="B2883" s="8">
        <v>3.38</v>
      </c>
      <c r="C2883" s="9">
        <v>0</v>
      </c>
      <c r="D2883" s="13">
        <f t="shared" ref="D2883:D2946" si="45">B2883+C2883</f>
        <v>3.38</v>
      </c>
    </row>
    <row r="2884" spans="1:4" x14ac:dyDescent="0.25">
      <c r="A2884" s="15">
        <f>Sheet2!A2884</f>
        <v>0</v>
      </c>
      <c r="B2884" s="8">
        <v>3.51</v>
      </c>
      <c r="C2884" s="9">
        <v>0</v>
      </c>
      <c r="D2884" s="13">
        <f t="shared" si="45"/>
        <v>3.51</v>
      </c>
    </row>
    <row r="2885" spans="1:4" x14ac:dyDescent="0.25">
      <c r="A2885" s="15">
        <f>Sheet2!A2885</f>
        <v>0</v>
      </c>
      <c r="B2885" s="8">
        <v>3.13</v>
      </c>
      <c r="C2885" s="9">
        <v>0</v>
      </c>
      <c r="D2885" s="13">
        <f t="shared" si="45"/>
        <v>3.13</v>
      </c>
    </row>
    <row r="2886" spans="1:4" x14ac:dyDescent="0.25">
      <c r="A2886" s="15">
        <f>Sheet2!A2886</f>
        <v>0</v>
      </c>
      <c r="B2886" s="8">
        <v>3.58</v>
      </c>
      <c r="C2886" s="9">
        <v>0</v>
      </c>
      <c r="D2886" s="13">
        <f t="shared" si="45"/>
        <v>3.58</v>
      </c>
    </row>
    <row r="2887" spans="1:4" x14ac:dyDescent="0.25">
      <c r="A2887" s="15">
        <f>Sheet2!A2887</f>
        <v>0</v>
      </c>
      <c r="B2887" s="8">
        <v>3.52</v>
      </c>
      <c r="C2887" s="9">
        <v>0</v>
      </c>
      <c r="D2887" s="13">
        <f t="shared" si="45"/>
        <v>3.52</v>
      </c>
    </row>
    <row r="2888" spans="1:4" x14ac:dyDescent="0.25">
      <c r="A2888" s="15">
        <f>Sheet2!A2888</f>
        <v>0</v>
      </c>
      <c r="B2888" s="8">
        <v>2.2799999999999998</v>
      </c>
      <c r="C2888" s="9">
        <v>0</v>
      </c>
      <c r="D2888" s="13">
        <f t="shared" si="45"/>
        <v>2.2799999999999998</v>
      </c>
    </row>
    <row r="2889" spans="1:4" x14ac:dyDescent="0.25">
      <c r="A2889" s="15">
        <f>Sheet2!A2889</f>
        <v>0</v>
      </c>
      <c r="B2889" s="8">
        <v>1</v>
      </c>
      <c r="C2889" s="9">
        <v>0</v>
      </c>
      <c r="D2889" s="13">
        <f t="shared" si="45"/>
        <v>1</v>
      </c>
    </row>
    <row r="2890" spans="1:4" x14ac:dyDescent="0.25">
      <c r="A2890" s="15">
        <f>Sheet2!A2890</f>
        <v>0</v>
      </c>
      <c r="B2890" s="8">
        <v>0.98</v>
      </c>
      <c r="C2890" s="9">
        <v>0</v>
      </c>
      <c r="D2890" s="13">
        <f t="shared" si="45"/>
        <v>0.98</v>
      </c>
    </row>
    <row r="2891" spans="1:4" x14ac:dyDescent="0.25">
      <c r="A2891" s="15">
        <f>Sheet2!A2891</f>
        <v>0</v>
      </c>
      <c r="B2891" s="8">
        <v>1.3</v>
      </c>
      <c r="C2891" s="9">
        <v>0</v>
      </c>
      <c r="D2891" s="13">
        <f t="shared" si="45"/>
        <v>1.3</v>
      </c>
    </row>
    <row r="2892" spans="1:4" x14ac:dyDescent="0.25">
      <c r="A2892" s="15">
        <f>Sheet2!A2892</f>
        <v>0</v>
      </c>
      <c r="B2892" s="8">
        <v>0</v>
      </c>
      <c r="C2892" s="9">
        <v>0.54</v>
      </c>
      <c r="D2892" s="13">
        <f t="shared" si="45"/>
        <v>0.54</v>
      </c>
    </row>
    <row r="2893" spans="1:4" x14ac:dyDescent="0.25">
      <c r="A2893" s="15">
        <f>Sheet2!A2893</f>
        <v>0</v>
      </c>
      <c r="B2893" s="8">
        <v>0</v>
      </c>
      <c r="C2893" s="9">
        <v>0.54</v>
      </c>
      <c r="D2893" s="13">
        <f t="shared" si="45"/>
        <v>0.54</v>
      </c>
    </row>
    <row r="2894" spans="1:4" x14ac:dyDescent="0.25">
      <c r="A2894" s="15">
        <f>Sheet2!A2894</f>
        <v>0</v>
      </c>
      <c r="B2894" s="8">
        <v>2.29</v>
      </c>
      <c r="C2894" s="9">
        <v>0</v>
      </c>
      <c r="D2894" s="13">
        <f t="shared" si="45"/>
        <v>2.29</v>
      </c>
    </row>
    <row r="2895" spans="1:4" x14ac:dyDescent="0.25">
      <c r="A2895" s="15">
        <f>Sheet2!A2895</f>
        <v>0</v>
      </c>
      <c r="B2895" s="8">
        <v>1.24</v>
      </c>
      <c r="C2895" s="9">
        <v>0</v>
      </c>
      <c r="D2895" s="13">
        <f t="shared" si="45"/>
        <v>1.24</v>
      </c>
    </row>
    <row r="2896" spans="1:4" x14ac:dyDescent="0.25">
      <c r="A2896" s="15">
        <f>Sheet2!A2896</f>
        <v>0</v>
      </c>
      <c r="B2896" s="8">
        <v>1.1000000000000001</v>
      </c>
      <c r="C2896" s="9">
        <v>0</v>
      </c>
      <c r="D2896" s="13">
        <f t="shared" si="45"/>
        <v>1.1000000000000001</v>
      </c>
    </row>
    <row r="2897" spans="1:4" x14ac:dyDescent="0.25">
      <c r="A2897" s="15">
        <f>Sheet2!A2897</f>
        <v>0</v>
      </c>
      <c r="B2897" s="8">
        <v>2.34</v>
      </c>
      <c r="C2897" s="9">
        <v>0</v>
      </c>
      <c r="D2897" s="13">
        <f t="shared" si="45"/>
        <v>2.34</v>
      </c>
    </row>
    <row r="2898" spans="1:4" x14ac:dyDescent="0.25">
      <c r="A2898" s="15">
        <f>Sheet2!A2898</f>
        <v>0</v>
      </c>
      <c r="B2898" s="8">
        <v>0</v>
      </c>
      <c r="C2898" s="9">
        <v>2.02</v>
      </c>
      <c r="D2898" s="13">
        <f t="shared" si="45"/>
        <v>2.02</v>
      </c>
    </row>
    <row r="2899" spans="1:4" x14ac:dyDescent="0.25">
      <c r="A2899" s="15">
        <f>Sheet2!A2899</f>
        <v>0</v>
      </c>
      <c r="B2899" s="8">
        <v>0</v>
      </c>
      <c r="C2899" s="9">
        <v>1.05</v>
      </c>
      <c r="D2899" s="13">
        <f t="shared" si="45"/>
        <v>1.05</v>
      </c>
    </row>
    <row r="2900" spans="1:4" x14ac:dyDescent="0.25">
      <c r="A2900" s="15">
        <f>Sheet2!A2900</f>
        <v>0</v>
      </c>
      <c r="B2900" s="8">
        <v>1.59</v>
      </c>
      <c r="C2900" s="9">
        <v>0</v>
      </c>
      <c r="D2900" s="13">
        <f t="shared" si="45"/>
        <v>1.59</v>
      </c>
    </row>
    <row r="2901" spans="1:4" x14ac:dyDescent="0.25">
      <c r="A2901" s="15">
        <f>Sheet2!A2901</f>
        <v>0</v>
      </c>
      <c r="B2901" s="8">
        <v>0</v>
      </c>
      <c r="C2901" s="9">
        <v>1.08</v>
      </c>
      <c r="D2901" s="13">
        <f t="shared" si="45"/>
        <v>1.08</v>
      </c>
    </row>
    <row r="2902" spans="1:4" x14ac:dyDescent="0.25">
      <c r="A2902" s="15">
        <f>Sheet2!A2902</f>
        <v>0</v>
      </c>
      <c r="B2902" s="8">
        <v>0</v>
      </c>
      <c r="C2902" s="9">
        <v>2.41</v>
      </c>
      <c r="D2902" s="13">
        <f t="shared" si="45"/>
        <v>2.41</v>
      </c>
    </row>
    <row r="2903" spans="1:4" x14ac:dyDescent="0.25">
      <c r="A2903" s="15">
        <f>Sheet2!A2903</f>
        <v>0</v>
      </c>
      <c r="B2903" s="8">
        <v>0</v>
      </c>
      <c r="C2903" s="9">
        <v>0.62</v>
      </c>
      <c r="D2903" s="13">
        <f t="shared" si="45"/>
        <v>0.62</v>
      </c>
    </row>
    <row r="2904" spans="1:4" x14ac:dyDescent="0.25">
      <c r="A2904" s="15">
        <f>Sheet2!A2904</f>
        <v>0</v>
      </c>
      <c r="B2904" s="8">
        <v>2.2400000000000002</v>
      </c>
      <c r="C2904" s="9">
        <v>0</v>
      </c>
      <c r="D2904" s="13">
        <f t="shared" si="45"/>
        <v>2.2400000000000002</v>
      </c>
    </row>
    <row r="2905" spans="1:4" x14ac:dyDescent="0.25">
      <c r="A2905" s="15">
        <f>Sheet2!A2905</f>
        <v>0</v>
      </c>
      <c r="B2905" s="8">
        <v>2.56</v>
      </c>
      <c r="C2905" s="9">
        <v>0</v>
      </c>
      <c r="D2905" s="13">
        <f t="shared" si="45"/>
        <v>2.56</v>
      </c>
    </row>
    <row r="2906" spans="1:4" x14ac:dyDescent="0.25">
      <c r="A2906" s="15">
        <f>Sheet2!A2906</f>
        <v>0</v>
      </c>
      <c r="B2906" s="8">
        <v>2.82</v>
      </c>
      <c r="C2906" s="9">
        <v>0</v>
      </c>
      <c r="D2906" s="13">
        <f t="shared" si="45"/>
        <v>2.82</v>
      </c>
    </row>
    <row r="2907" spans="1:4" x14ac:dyDescent="0.25">
      <c r="A2907" s="15">
        <f>Sheet2!A2907</f>
        <v>0</v>
      </c>
      <c r="B2907" s="8">
        <v>2.57</v>
      </c>
      <c r="C2907" s="9">
        <v>0</v>
      </c>
      <c r="D2907" s="13">
        <f t="shared" si="45"/>
        <v>2.57</v>
      </c>
    </row>
    <row r="2908" spans="1:4" x14ac:dyDescent="0.25">
      <c r="A2908" s="15">
        <f>Sheet2!A2908</f>
        <v>0</v>
      </c>
      <c r="B2908" s="8">
        <v>2.33</v>
      </c>
      <c r="C2908" s="9">
        <v>0</v>
      </c>
      <c r="D2908" s="13">
        <f t="shared" si="45"/>
        <v>2.33</v>
      </c>
    </row>
    <row r="2909" spans="1:4" x14ac:dyDescent="0.25">
      <c r="A2909" s="15">
        <f>Sheet2!A2909</f>
        <v>0</v>
      </c>
      <c r="B2909" s="8">
        <v>2.19</v>
      </c>
      <c r="C2909" s="9">
        <v>0</v>
      </c>
      <c r="D2909" s="13">
        <f t="shared" si="45"/>
        <v>2.19</v>
      </c>
    </row>
    <row r="2910" spans="1:4" x14ac:dyDescent="0.25">
      <c r="A2910" s="15">
        <f>Sheet2!A2910</f>
        <v>0</v>
      </c>
      <c r="B2910" s="8">
        <v>2.97</v>
      </c>
      <c r="C2910" s="9">
        <v>0</v>
      </c>
      <c r="D2910" s="13">
        <f t="shared" si="45"/>
        <v>2.97</v>
      </c>
    </row>
    <row r="2911" spans="1:4" x14ac:dyDescent="0.25">
      <c r="A2911" s="15">
        <f>Sheet2!A2911</f>
        <v>0</v>
      </c>
      <c r="B2911" s="8">
        <v>2.1</v>
      </c>
      <c r="C2911" s="9">
        <v>0</v>
      </c>
      <c r="D2911" s="13">
        <f t="shared" si="45"/>
        <v>2.1</v>
      </c>
    </row>
    <row r="2912" spans="1:4" x14ac:dyDescent="0.25">
      <c r="A2912" s="15">
        <f>Sheet2!A2912</f>
        <v>0</v>
      </c>
      <c r="B2912" s="8">
        <v>1.33</v>
      </c>
      <c r="C2912" s="9">
        <v>0</v>
      </c>
      <c r="D2912" s="13">
        <f t="shared" si="45"/>
        <v>1.33</v>
      </c>
    </row>
    <row r="2913" spans="1:4" x14ac:dyDescent="0.25">
      <c r="A2913" s="15">
        <f>Sheet2!A2913</f>
        <v>0</v>
      </c>
      <c r="B2913" s="8">
        <v>0</v>
      </c>
      <c r="C2913" s="9">
        <v>0.67</v>
      </c>
      <c r="D2913" s="13">
        <f t="shared" si="45"/>
        <v>0.67</v>
      </c>
    </row>
    <row r="2914" spans="1:4" x14ac:dyDescent="0.25">
      <c r="A2914" s="15">
        <f>Sheet2!A2914</f>
        <v>0</v>
      </c>
      <c r="B2914" s="8">
        <v>0</v>
      </c>
      <c r="C2914" s="9">
        <v>0.93</v>
      </c>
      <c r="D2914" s="13">
        <f t="shared" si="45"/>
        <v>0.93</v>
      </c>
    </row>
    <row r="2915" spans="1:4" x14ac:dyDescent="0.25">
      <c r="A2915" s="15">
        <f>Sheet2!A2915</f>
        <v>0</v>
      </c>
      <c r="B2915" s="8">
        <v>0</v>
      </c>
      <c r="C2915" s="9">
        <v>0.56000000000000005</v>
      </c>
      <c r="D2915" s="13">
        <f t="shared" si="45"/>
        <v>0.56000000000000005</v>
      </c>
    </row>
    <row r="2916" spans="1:4" x14ac:dyDescent="0.25">
      <c r="A2916" s="15">
        <f>Sheet2!A2916</f>
        <v>0</v>
      </c>
      <c r="B2916" s="8">
        <v>1.1000000000000001</v>
      </c>
      <c r="C2916" s="9">
        <v>0</v>
      </c>
      <c r="D2916" s="13">
        <f t="shared" si="45"/>
        <v>1.1000000000000001</v>
      </c>
    </row>
    <row r="2917" spans="1:4" x14ac:dyDescent="0.25">
      <c r="A2917" s="15">
        <f>Sheet2!A2917</f>
        <v>0</v>
      </c>
      <c r="B2917" s="8">
        <v>0</v>
      </c>
      <c r="C2917" s="9">
        <v>0.56999999999999995</v>
      </c>
      <c r="D2917" s="13">
        <f t="shared" si="45"/>
        <v>0.56999999999999995</v>
      </c>
    </row>
    <row r="2918" spans="1:4" x14ac:dyDescent="0.25">
      <c r="A2918" s="15">
        <f>Sheet2!A2918</f>
        <v>0</v>
      </c>
      <c r="B2918" s="8">
        <v>0</v>
      </c>
      <c r="C2918" s="9">
        <v>0.99</v>
      </c>
      <c r="D2918" s="13">
        <f t="shared" si="45"/>
        <v>0.99</v>
      </c>
    </row>
    <row r="2919" spans="1:4" x14ac:dyDescent="0.25">
      <c r="A2919" s="15">
        <f>Sheet2!A2919</f>
        <v>0</v>
      </c>
      <c r="B2919" s="8">
        <v>0</v>
      </c>
      <c r="C2919" s="9">
        <v>1.69</v>
      </c>
      <c r="D2919" s="13">
        <f t="shared" si="45"/>
        <v>1.69</v>
      </c>
    </row>
    <row r="2920" spans="1:4" x14ac:dyDescent="0.25">
      <c r="A2920" s="15">
        <f>Sheet2!A2920</f>
        <v>0</v>
      </c>
      <c r="B2920" s="8">
        <v>0</v>
      </c>
      <c r="C2920" s="9">
        <v>1.61</v>
      </c>
      <c r="D2920" s="13">
        <f t="shared" si="45"/>
        <v>1.61</v>
      </c>
    </row>
    <row r="2921" spans="1:4" x14ac:dyDescent="0.25">
      <c r="A2921" s="15">
        <f>Sheet2!A2921</f>
        <v>0</v>
      </c>
      <c r="B2921" s="8">
        <v>0</v>
      </c>
      <c r="C2921" s="9">
        <v>0.42</v>
      </c>
      <c r="D2921" s="13">
        <f t="shared" si="45"/>
        <v>0.42</v>
      </c>
    </row>
    <row r="2922" spans="1:4" x14ac:dyDescent="0.25">
      <c r="A2922" s="15">
        <f>Sheet2!A2922</f>
        <v>0</v>
      </c>
      <c r="B2922" s="8">
        <v>0</v>
      </c>
      <c r="C2922" s="9">
        <v>0.5</v>
      </c>
      <c r="D2922" s="13">
        <f t="shared" si="45"/>
        <v>0.5</v>
      </c>
    </row>
    <row r="2923" spans="1:4" x14ac:dyDescent="0.25">
      <c r="A2923" s="15">
        <f>Sheet2!A2923</f>
        <v>0</v>
      </c>
      <c r="B2923" s="8">
        <v>0</v>
      </c>
      <c r="C2923" s="9">
        <v>0.66</v>
      </c>
      <c r="D2923" s="13">
        <f t="shared" si="45"/>
        <v>0.66</v>
      </c>
    </row>
    <row r="2924" spans="1:4" x14ac:dyDescent="0.25">
      <c r="A2924" s="15">
        <f>Sheet2!A2924</f>
        <v>0</v>
      </c>
      <c r="B2924" s="8">
        <v>0</v>
      </c>
      <c r="C2924" s="9">
        <v>0.98</v>
      </c>
      <c r="D2924" s="13">
        <f t="shared" si="45"/>
        <v>0.98</v>
      </c>
    </row>
    <row r="2925" spans="1:4" x14ac:dyDescent="0.25">
      <c r="A2925" s="15">
        <f>Sheet2!A2925</f>
        <v>0</v>
      </c>
      <c r="B2925" s="8">
        <v>0</v>
      </c>
      <c r="C2925" s="9">
        <v>0.37</v>
      </c>
      <c r="D2925" s="13">
        <f t="shared" si="45"/>
        <v>0.37</v>
      </c>
    </row>
    <row r="2926" spans="1:4" x14ac:dyDescent="0.25">
      <c r="A2926" s="15">
        <f>Sheet2!A2926</f>
        <v>0</v>
      </c>
      <c r="B2926" s="8">
        <v>1.0900000000000001</v>
      </c>
      <c r="C2926" s="9">
        <v>0</v>
      </c>
      <c r="D2926" s="13">
        <f t="shared" si="45"/>
        <v>1.0900000000000001</v>
      </c>
    </row>
    <row r="2927" spans="1:4" x14ac:dyDescent="0.25">
      <c r="A2927" s="15">
        <f>Sheet2!A2927</f>
        <v>0</v>
      </c>
      <c r="B2927" s="8">
        <v>1.29</v>
      </c>
      <c r="C2927" s="9">
        <v>0</v>
      </c>
      <c r="D2927" s="13">
        <f t="shared" si="45"/>
        <v>1.29</v>
      </c>
    </row>
    <row r="2928" spans="1:4" x14ac:dyDescent="0.25">
      <c r="A2928" s="15">
        <f>Sheet2!A2928</f>
        <v>0</v>
      </c>
      <c r="B2928" s="8">
        <v>0</v>
      </c>
      <c r="C2928" s="9">
        <v>0.31</v>
      </c>
      <c r="D2928" s="13">
        <f t="shared" si="45"/>
        <v>0.31</v>
      </c>
    </row>
    <row r="2929" spans="1:4" x14ac:dyDescent="0.25">
      <c r="A2929" s="15">
        <f>Sheet2!A2929</f>
        <v>0</v>
      </c>
      <c r="B2929" s="8">
        <v>0</v>
      </c>
      <c r="C2929" s="9">
        <v>0.79</v>
      </c>
      <c r="D2929" s="13">
        <f t="shared" si="45"/>
        <v>0.79</v>
      </c>
    </row>
    <row r="2930" spans="1:4" x14ac:dyDescent="0.25">
      <c r="A2930" s="15">
        <f>Sheet2!A2930</f>
        <v>0</v>
      </c>
      <c r="B2930" s="8">
        <v>1.71</v>
      </c>
      <c r="C2930" s="9">
        <v>0</v>
      </c>
      <c r="D2930" s="13">
        <f t="shared" si="45"/>
        <v>1.71</v>
      </c>
    </row>
    <row r="2931" spans="1:4" x14ac:dyDescent="0.25">
      <c r="A2931" s="15">
        <f>Sheet2!A2931</f>
        <v>0</v>
      </c>
      <c r="B2931" s="8">
        <v>1.49</v>
      </c>
      <c r="C2931" s="9">
        <v>0</v>
      </c>
      <c r="D2931" s="13">
        <f t="shared" si="45"/>
        <v>1.49</v>
      </c>
    </row>
    <row r="2932" spans="1:4" x14ac:dyDescent="0.25">
      <c r="A2932" s="15">
        <f>Sheet2!A2932</f>
        <v>0</v>
      </c>
      <c r="B2932" s="8">
        <v>1.5</v>
      </c>
      <c r="C2932" s="9">
        <v>0</v>
      </c>
      <c r="D2932" s="13">
        <f t="shared" si="45"/>
        <v>1.5</v>
      </c>
    </row>
    <row r="2933" spans="1:4" x14ac:dyDescent="0.25">
      <c r="A2933" s="15">
        <f>Sheet2!A2933</f>
        <v>0</v>
      </c>
      <c r="B2933" s="8">
        <v>1.19</v>
      </c>
      <c r="C2933" s="9">
        <v>0</v>
      </c>
      <c r="D2933" s="13">
        <f t="shared" si="45"/>
        <v>1.19</v>
      </c>
    </row>
    <row r="2934" spans="1:4" x14ac:dyDescent="0.25">
      <c r="A2934" s="15">
        <f>Sheet2!A2934</f>
        <v>0</v>
      </c>
      <c r="B2934" s="8">
        <v>1.61</v>
      </c>
      <c r="C2934" s="9">
        <v>0</v>
      </c>
      <c r="D2934" s="13">
        <f t="shared" si="45"/>
        <v>1.61</v>
      </c>
    </row>
    <row r="2935" spans="1:4" x14ac:dyDescent="0.25">
      <c r="A2935" s="15">
        <f>Sheet2!A2935</f>
        <v>0</v>
      </c>
      <c r="B2935" s="8">
        <v>1.33</v>
      </c>
      <c r="C2935" s="9">
        <v>0</v>
      </c>
      <c r="D2935" s="13">
        <f t="shared" si="45"/>
        <v>1.33</v>
      </c>
    </row>
    <row r="2936" spans="1:4" x14ac:dyDescent="0.25">
      <c r="A2936" s="15">
        <f>Sheet2!A2936</f>
        <v>0</v>
      </c>
      <c r="B2936" s="8">
        <v>0.9</v>
      </c>
      <c r="C2936" s="9">
        <v>0</v>
      </c>
      <c r="D2936" s="13">
        <f t="shared" si="45"/>
        <v>0.9</v>
      </c>
    </row>
    <row r="2937" spans="1:4" x14ac:dyDescent="0.25">
      <c r="A2937" s="15">
        <f>Sheet2!A2937</f>
        <v>0</v>
      </c>
      <c r="B2937" s="8">
        <v>1.48</v>
      </c>
      <c r="C2937" s="9">
        <v>0</v>
      </c>
      <c r="D2937" s="13">
        <f t="shared" si="45"/>
        <v>1.48</v>
      </c>
    </row>
    <row r="2938" spans="1:4" x14ac:dyDescent="0.25">
      <c r="A2938" s="15">
        <f>Sheet2!A2938</f>
        <v>0</v>
      </c>
      <c r="B2938" s="8">
        <v>2.87</v>
      </c>
      <c r="C2938" s="9">
        <v>0</v>
      </c>
      <c r="D2938" s="13">
        <f t="shared" si="45"/>
        <v>2.87</v>
      </c>
    </row>
    <row r="2939" spans="1:4" x14ac:dyDescent="0.25">
      <c r="A2939" s="15">
        <f>Sheet2!A2939</f>
        <v>0</v>
      </c>
      <c r="B2939" s="8">
        <v>0</v>
      </c>
      <c r="C2939" s="9">
        <v>0.31</v>
      </c>
      <c r="D2939" s="13">
        <f t="shared" si="45"/>
        <v>0.31</v>
      </c>
    </row>
    <row r="2940" spans="1:4" x14ac:dyDescent="0.25">
      <c r="A2940" s="15">
        <f>Sheet2!A2940</f>
        <v>0</v>
      </c>
      <c r="B2940" s="8">
        <v>0</v>
      </c>
      <c r="C2940" s="9">
        <v>1.1100000000000001</v>
      </c>
      <c r="D2940" s="13">
        <f t="shared" si="45"/>
        <v>1.1100000000000001</v>
      </c>
    </row>
    <row r="2941" spans="1:4" x14ac:dyDescent="0.25">
      <c r="A2941" s="15">
        <f>Sheet2!A2941</f>
        <v>0</v>
      </c>
      <c r="B2941" s="8">
        <v>0</v>
      </c>
      <c r="C2941" s="9">
        <v>1</v>
      </c>
      <c r="D2941" s="13">
        <f t="shared" si="45"/>
        <v>1</v>
      </c>
    </row>
    <row r="2942" spans="1:4" x14ac:dyDescent="0.25">
      <c r="A2942" s="15">
        <f>Sheet2!A2942</f>
        <v>0</v>
      </c>
      <c r="B2942" s="8">
        <v>0</v>
      </c>
      <c r="C2942" s="9">
        <v>1.46</v>
      </c>
      <c r="D2942" s="13">
        <f t="shared" si="45"/>
        <v>1.46</v>
      </c>
    </row>
    <row r="2943" spans="1:4" x14ac:dyDescent="0.25">
      <c r="A2943" s="15">
        <f>Sheet2!A2943</f>
        <v>0</v>
      </c>
      <c r="B2943" s="8">
        <v>0</v>
      </c>
      <c r="C2943" s="9">
        <v>0.32</v>
      </c>
      <c r="D2943" s="13">
        <f t="shared" si="45"/>
        <v>0.32</v>
      </c>
    </row>
    <row r="2944" spans="1:4" x14ac:dyDescent="0.25">
      <c r="A2944" s="15">
        <f>Sheet2!A2944</f>
        <v>0</v>
      </c>
      <c r="B2944" s="8">
        <v>2.86</v>
      </c>
      <c r="C2944" s="9">
        <v>0</v>
      </c>
      <c r="D2944" s="13">
        <f t="shared" si="45"/>
        <v>2.86</v>
      </c>
    </row>
    <row r="2945" spans="1:4" x14ac:dyDescent="0.25">
      <c r="A2945" s="15">
        <f>Sheet2!A2945</f>
        <v>0</v>
      </c>
      <c r="B2945" s="8">
        <v>0</v>
      </c>
      <c r="C2945" s="9">
        <v>0.86</v>
      </c>
      <c r="D2945" s="13">
        <f t="shared" si="45"/>
        <v>0.86</v>
      </c>
    </row>
    <row r="2946" spans="1:4" x14ac:dyDescent="0.25">
      <c r="A2946" s="15">
        <f>Sheet2!A2946</f>
        <v>0</v>
      </c>
      <c r="B2946" s="8">
        <v>0</v>
      </c>
      <c r="C2946" s="9">
        <v>1.26</v>
      </c>
      <c r="D2946" s="13">
        <f t="shared" si="45"/>
        <v>1.26</v>
      </c>
    </row>
    <row r="2947" spans="1:4" x14ac:dyDescent="0.25">
      <c r="A2947" s="15">
        <f>Sheet2!A2947</f>
        <v>0</v>
      </c>
      <c r="B2947" s="8">
        <v>0</v>
      </c>
      <c r="C2947" s="9">
        <v>0.42</v>
      </c>
      <c r="D2947" s="13">
        <f t="shared" ref="D2947:D3010" si="46">B2947+C2947</f>
        <v>0.42</v>
      </c>
    </row>
    <row r="2948" spans="1:4" x14ac:dyDescent="0.25">
      <c r="A2948" s="15">
        <f>Sheet2!A2948</f>
        <v>0</v>
      </c>
      <c r="B2948" s="8">
        <v>1.82</v>
      </c>
      <c r="C2948" s="9">
        <v>0</v>
      </c>
      <c r="D2948" s="13">
        <f t="shared" si="46"/>
        <v>1.82</v>
      </c>
    </row>
    <row r="2949" spans="1:4" x14ac:dyDescent="0.25">
      <c r="A2949" s="15">
        <f>Sheet2!A2949</f>
        <v>0</v>
      </c>
      <c r="B2949" s="8">
        <v>0</v>
      </c>
      <c r="C2949" s="9">
        <v>1.19</v>
      </c>
      <c r="D2949" s="13">
        <f t="shared" si="46"/>
        <v>1.19</v>
      </c>
    </row>
    <row r="2950" spans="1:4" x14ac:dyDescent="0.25">
      <c r="A2950" s="15">
        <f>Sheet2!A2950</f>
        <v>0</v>
      </c>
      <c r="B2950" s="8">
        <v>0</v>
      </c>
      <c r="C2950" s="9">
        <v>2.2799999999999998</v>
      </c>
      <c r="D2950" s="13">
        <f t="shared" si="46"/>
        <v>2.2799999999999998</v>
      </c>
    </row>
    <row r="2951" spans="1:4" x14ac:dyDescent="0.25">
      <c r="A2951" s="15">
        <f>Sheet2!A2951</f>
        <v>0</v>
      </c>
      <c r="B2951" s="8">
        <v>0</v>
      </c>
      <c r="C2951" s="9">
        <v>0.82</v>
      </c>
      <c r="D2951" s="13">
        <f t="shared" si="46"/>
        <v>0.82</v>
      </c>
    </row>
    <row r="2952" spans="1:4" x14ac:dyDescent="0.25">
      <c r="A2952" s="15">
        <f>Sheet2!A2952</f>
        <v>0</v>
      </c>
      <c r="B2952" s="8">
        <v>3.91</v>
      </c>
      <c r="C2952" s="9">
        <v>0</v>
      </c>
      <c r="D2952" s="13">
        <f t="shared" si="46"/>
        <v>3.91</v>
      </c>
    </row>
    <row r="2953" spans="1:4" x14ac:dyDescent="0.25">
      <c r="A2953" s="15">
        <f>Sheet2!A2953</f>
        <v>0</v>
      </c>
      <c r="B2953" s="8">
        <v>3.8</v>
      </c>
      <c r="C2953" s="9">
        <v>0</v>
      </c>
      <c r="D2953" s="13">
        <f t="shared" si="46"/>
        <v>3.8</v>
      </c>
    </row>
    <row r="2954" spans="1:4" x14ac:dyDescent="0.25">
      <c r="A2954" s="15">
        <f>Sheet2!A2954</f>
        <v>0</v>
      </c>
      <c r="B2954" s="8">
        <v>3.79</v>
      </c>
      <c r="C2954" s="9">
        <v>0</v>
      </c>
      <c r="D2954" s="13">
        <f t="shared" si="46"/>
        <v>3.79</v>
      </c>
    </row>
    <row r="2955" spans="1:4" x14ac:dyDescent="0.25">
      <c r="A2955" s="15">
        <f>Sheet2!A2955</f>
        <v>0</v>
      </c>
      <c r="B2955" s="8">
        <v>4.07</v>
      </c>
      <c r="C2955" s="9">
        <v>0</v>
      </c>
      <c r="D2955" s="13">
        <f t="shared" si="46"/>
        <v>4.07</v>
      </c>
    </row>
    <row r="2956" spans="1:4" x14ac:dyDescent="0.25">
      <c r="A2956" s="15">
        <f>Sheet2!A2956</f>
        <v>0</v>
      </c>
      <c r="B2956" s="8">
        <v>3.55</v>
      </c>
      <c r="C2956" s="9">
        <v>0</v>
      </c>
      <c r="D2956" s="13">
        <f t="shared" si="46"/>
        <v>3.55</v>
      </c>
    </row>
    <row r="2957" spans="1:4" x14ac:dyDescent="0.25">
      <c r="A2957" s="15">
        <f>Sheet2!A2957</f>
        <v>0</v>
      </c>
      <c r="B2957" s="8">
        <v>3.37</v>
      </c>
      <c r="C2957" s="9">
        <v>0</v>
      </c>
      <c r="D2957" s="13">
        <f t="shared" si="46"/>
        <v>3.37</v>
      </c>
    </row>
    <row r="2958" spans="1:4" x14ac:dyDescent="0.25">
      <c r="A2958" s="15">
        <f>Sheet2!A2958</f>
        <v>0</v>
      </c>
      <c r="B2958" s="8">
        <v>3.64</v>
      </c>
      <c r="C2958" s="9">
        <v>0</v>
      </c>
      <c r="D2958" s="13">
        <f t="shared" si="46"/>
        <v>3.64</v>
      </c>
    </row>
    <row r="2959" spans="1:4" x14ac:dyDescent="0.25">
      <c r="A2959" s="15">
        <f>Sheet2!A2959</f>
        <v>0</v>
      </c>
      <c r="B2959" s="8">
        <v>3.06</v>
      </c>
      <c r="C2959" s="9">
        <v>0</v>
      </c>
      <c r="D2959" s="13">
        <f t="shared" si="46"/>
        <v>3.06</v>
      </c>
    </row>
    <row r="2960" spans="1:4" x14ac:dyDescent="0.25">
      <c r="A2960" s="15">
        <f>Sheet2!A2960</f>
        <v>0</v>
      </c>
      <c r="B2960" s="8">
        <v>0.87</v>
      </c>
      <c r="C2960" s="9">
        <v>0</v>
      </c>
      <c r="D2960" s="13">
        <f t="shared" si="46"/>
        <v>0.87</v>
      </c>
    </row>
    <row r="2961" spans="1:4" x14ac:dyDescent="0.25">
      <c r="A2961" s="15">
        <f>Sheet2!A2961</f>
        <v>0</v>
      </c>
      <c r="B2961" s="8">
        <v>0</v>
      </c>
      <c r="C2961" s="9">
        <v>0.32</v>
      </c>
      <c r="D2961" s="13">
        <f t="shared" si="46"/>
        <v>0.32</v>
      </c>
    </row>
    <row r="2962" spans="1:4" x14ac:dyDescent="0.25">
      <c r="A2962" s="15">
        <f>Sheet2!A2962</f>
        <v>0</v>
      </c>
      <c r="B2962" s="8">
        <v>0</v>
      </c>
      <c r="C2962" s="9">
        <v>0.25</v>
      </c>
      <c r="D2962" s="13">
        <f t="shared" si="46"/>
        <v>0.25</v>
      </c>
    </row>
    <row r="2963" spans="1:4" x14ac:dyDescent="0.25">
      <c r="A2963" s="15">
        <f>Sheet2!A2963</f>
        <v>0</v>
      </c>
      <c r="B2963" s="8">
        <v>1.29</v>
      </c>
      <c r="C2963" s="9">
        <v>0</v>
      </c>
      <c r="D2963" s="13">
        <f t="shared" si="46"/>
        <v>1.29</v>
      </c>
    </row>
    <row r="2964" spans="1:4" x14ac:dyDescent="0.25">
      <c r="A2964" s="15">
        <f>Sheet2!A2964</f>
        <v>0</v>
      </c>
      <c r="B2964" s="8">
        <v>1.68</v>
      </c>
      <c r="C2964" s="9">
        <v>0</v>
      </c>
      <c r="D2964" s="13">
        <f t="shared" si="46"/>
        <v>1.68</v>
      </c>
    </row>
    <row r="2965" spans="1:4" x14ac:dyDescent="0.25">
      <c r="A2965" s="15">
        <f>Sheet2!A2965</f>
        <v>0</v>
      </c>
      <c r="B2965" s="8">
        <v>0</v>
      </c>
      <c r="C2965" s="9">
        <v>0.62</v>
      </c>
      <c r="D2965" s="13">
        <f t="shared" si="46"/>
        <v>0.62</v>
      </c>
    </row>
    <row r="2966" spans="1:4" x14ac:dyDescent="0.25">
      <c r="A2966" s="15">
        <f>Sheet2!A2966</f>
        <v>0</v>
      </c>
      <c r="B2966" s="8">
        <v>0</v>
      </c>
      <c r="C2966" s="9">
        <v>1.21</v>
      </c>
      <c r="D2966" s="13">
        <f t="shared" si="46"/>
        <v>1.21</v>
      </c>
    </row>
    <row r="2967" spans="1:4" x14ac:dyDescent="0.25">
      <c r="A2967" s="15">
        <f>Sheet2!A2967</f>
        <v>0</v>
      </c>
      <c r="B2967" s="8">
        <v>0</v>
      </c>
      <c r="C2967" s="9">
        <v>0.67</v>
      </c>
      <c r="D2967" s="13">
        <f t="shared" si="46"/>
        <v>0.67</v>
      </c>
    </row>
    <row r="2968" spans="1:4" x14ac:dyDescent="0.25">
      <c r="A2968" s="15">
        <f>Sheet2!A2968</f>
        <v>0</v>
      </c>
      <c r="B2968" s="8">
        <v>1.2</v>
      </c>
      <c r="C2968" s="9">
        <v>0</v>
      </c>
      <c r="D2968" s="13">
        <f t="shared" si="46"/>
        <v>1.2</v>
      </c>
    </row>
    <row r="2969" spans="1:4" x14ac:dyDescent="0.25">
      <c r="A2969" s="15">
        <f>Sheet2!A2969</f>
        <v>0</v>
      </c>
      <c r="B2969" s="8">
        <v>0</v>
      </c>
      <c r="C2969" s="9">
        <v>0.22</v>
      </c>
      <c r="D2969" s="13">
        <f t="shared" si="46"/>
        <v>0.22</v>
      </c>
    </row>
    <row r="2970" spans="1:4" x14ac:dyDescent="0.25">
      <c r="A2970" s="15">
        <f>Sheet2!A2970</f>
        <v>0</v>
      </c>
      <c r="B2970" s="8">
        <v>0</v>
      </c>
      <c r="C2970" s="9">
        <v>1.22</v>
      </c>
      <c r="D2970" s="13">
        <f t="shared" si="46"/>
        <v>1.22</v>
      </c>
    </row>
    <row r="2971" spans="1:4" x14ac:dyDescent="0.25">
      <c r="A2971" s="15">
        <f>Sheet2!A2971</f>
        <v>0</v>
      </c>
      <c r="B2971" s="8">
        <v>0</v>
      </c>
      <c r="C2971" s="9">
        <v>1.36</v>
      </c>
      <c r="D2971" s="13">
        <f t="shared" si="46"/>
        <v>1.36</v>
      </c>
    </row>
    <row r="2972" spans="1:4" x14ac:dyDescent="0.25">
      <c r="A2972" s="15">
        <f>Sheet2!A2972</f>
        <v>0</v>
      </c>
      <c r="B2972" s="8">
        <v>0</v>
      </c>
      <c r="C2972" s="9">
        <v>1.89</v>
      </c>
      <c r="D2972" s="13">
        <f t="shared" si="46"/>
        <v>1.89</v>
      </c>
    </row>
    <row r="2973" spans="1:4" x14ac:dyDescent="0.25">
      <c r="A2973" s="15">
        <f>Sheet2!A2973</f>
        <v>0</v>
      </c>
      <c r="B2973" s="8">
        <v>0</v>
      </c>
      <c r="C2973" s="9">
        <v>1.45</v>
      </c>
      <c r="D2973" s="13">
        <f t="shared" si="46"/>
        <v>1.45</v>
      </c>
    </row>
    <row r="2974" spans="1:4" x14ac:dyDescent="0.25">
      <c r="A2974" s="15">
        <f>Sheet2!A2974</f>
        <v>0</v>
      </c>
      <c r="B2974" s="8">
        <v>3.94</v>
      </c>
      <c r="C2974" s="9">
        <v>0</v>
      </c>
      <c r="D2974" s="13">
        <f t="shared" si="46"/>
        <v>3.94</v>
      </c>
    </row>
    <row r="2975" spans="1:4" x14ac:dyDescent="0.25">
      <c r="A2975" s="15">
        <f>Sheet2!A2975</f>
        <v>0</v>
      </c>
      <c r="B2975" s="8">
        <v>0</v>
      </c>
      <c r="C2975" s="9">
        <v>1.74</v>
      </c>
      <c r="D2975" s="13">
        <f t="shared" si="46"/>
        <v>1.74</v>
      </c>
    </row>
    <row r="2976" spans="1:4" x14ac:dyDescent="0.25">
      <c r="A2976" s="15">
        <f>Sheet2!A2976</f>
        <v>0</v>
      </c>
      <c r="B2976" s="8">
        <v>0</v>
      </c>
      <c r="C2976" s="9">
        <v>2.33</v>
      </c>
      <c r="D2976" s="13">
        <f t="shared" si="46"/>
        <v>2.33</v>
      </c>
    </row>
    <row r="2977" spans="1:4" x14ac:dyDescent="0.25">
      <c r="A2977" s="15">
        <f>Sheet2!A2977</f>
        <v>0</v>
      </c>
      <c r="B2977" s="8">
        <v>0</v>
      </c>
      <c r="C2977" s="9">
        <v>1.24</v>
      </c>
      <c r="D2977" s="13">
        <f t="shared" si="46"/>
        <v>1.24</v>
      </c>
    </row>
    <row r="2978" spans="1:4" x14ac:dyDescent="0.25">
      <c r="A2978" s="15">
        <f>Sheet2!A2978</f>
        <v>0</v>
      </c>
      <c r="B2978" s="8">
        <v>3.02</v>
      </c>
      <c r="C2978" s="9">
        <v>0</v>
      </c>
      <c r="D2978" s="13">
        <f t="shared" si="46"/>
        <v>3.02</v>
      </c>
    </row>
    <row r="2979" spans="1:4" x14ac:dyDescent="0.25">
      <c r="A2979" s="15">
        <f>Sheet2!A2979</f>
        <v>0</v>
      </c>
      <c r="B2979" s="8">
        <v>2.63</v>
      </c>
      <c r="C2979" s="9">
        <v>0</v>
      </c>
      <c r="D2979" s="13">
        <f t="shared" si="46"/>
        <v>2.63</v>
      </c>
    </row>
    <row r="2980" spans="1:4" x14ac:dyDescent="0.25">
      <c r="A2980" s="15">
        <f>Sheet2!A2980</f>
        <v>0</v>
      </c>
      <c r="B2980" s="8">
        <v>2.56</v>
      </c>
      <c r="C2980" s="9">
        <v>0</v>
      </c>
      <c r="D2980" s="13">
        <f t="shared" si="46"/>
        <v>2.56</v>
      </c>
    </row>
    <row r="2981" spans="1:4" x14ac:dyDescent="0.25">
      <c r="A2981" s="15">
        <f>Sheet2!A2981</f>
        <v>0</v>
      </c>
      <c r="B2981" s="8">
        <v>2.5499999999999998</v>
      </c>
      <c r="C2981" s="9">
        <v>0</v>
      </c>
      <c r="D2981" s="13">
        <f t="shared" si="46"/>
        <v>2.5499999999999998</v>
      </c>
    </row>
    <row r="2982" spans="1:4" x14ac:dyDescent="0.25">
      <c r="A2982" s="15">
        <f>Sheet2!A2982</f>
        <v>0</v>
      </c>
      <c r="B2982" s="8">
        <v>2.54</v>
      </c>
      <c r="C2982" s="9">
        <v>0</v>
      </c>
      <c r="D2982" s="13">
        <f t="shared" si="46"/>
        <v>2.54</v>
      </c>
    </row>
    <row r="2983" spans="1:4" x14ac:dyDescent="0.25">
      <c r="A2983" s="15">
        <f>Sheet2!A2983</f>
        <v>0</v>
      </c>
      <c r="B2983" s="8">
        <v>2.62</v>
      </c>
      <c r="C2983" s="9">
        <v>0</v>
      </c>
      <c r="D2983" s="13">
        <f t="shared" si="46"/>
        <v>2.62</v>
      </c>
    </row>
    <row r="2984" spans="1:4" x14ac:dyDescent="0.25">
      <c r="A2984" s="15">
        <f>Sheet2!A2984</f>
        <v>0</v>
      </c>
      <c r="B2984" s="8">
        <v>0</v>
      </c>
      <c r="C2984" s="9">
        <v>0.6</v>
      </c>
      <c r="D2984" s="13">
        <f t="shared" si="46"/>
        <v>0.6</v>
      </c>
    </row>
    <row r="2985" spans="1:4" x14ac:dyDescent="0.25">
      <c r="A2985" s="15">
        <f>Sheet2!A2985</f>
        <v>0</v>
      </c>
      <c r="B2985" s="8">
        <v>0</v>
      </c>
      <c r="C2985" s="9">
        <v>0.36</v>
      </c>
      <c r="D2985" s="13">
        <f t="shared" si="46"/>
        <v>0.36</v>
      </c>
    </row>
    <row r="2986" spans="1:4" x14ac:dyDescent="0.25">
      <c r="A2986" s="15">
        <f>Sheet2!A2986</f>
        <v>0</v>
      </c>
      <c r="B2986" s="8">
        <v>1.34</v>
      </c>
      <c r="C2986" s="9">
        <v>0</v>
      </c>
      <c r="D2986" s="13">
        <f t="shared" si="46"/>
        <v>1.34</v>
      </c>
    </row>
    <row r="2987" spans="1:4" x14ac:dyDescent="0.25">
      <c r="A2987" s="15">
        <f>Sheet2!A2987</f>
        <v>0</v>
      </c>
      <c r="B2987" s="8">
        <v>2.15</v>
      </c>
      <c r="C2987" s="9">
        <v>0</v>
      </c>
      <c r="D2987" s="13">
        <f t="shared" si="46"/>
        <v>2.15</v>
      </c>
    </row>
    <row r="2988" spans="1:4" x14ac:dyDescent="0.25">
      <c r="A2988" s="15">
        <f>Sheet2!A2988</f>
        <v>0</v>
      </c>
      <c r="B2988" s="8">
        <v>0</v>
      </c>
      <c r="C2988" s="9">
        <v>0.3</v>
      </c>
      <c r="D2988" s="13">
        <f t="shared" si="46"/>
        <v>0.3</v>
      </c>
    </row>
    <row r="2989" spans="1:4" x14ac:dyDescent="0.25">
      <c r="A2989" s="15">
        <f>Sheet2!A2989</f>
        <v>0</v>
      </c>
      <c r="B2989" s="8">
        <v>0</v>
      </c>
      <c r="C2989" s="9">
        <v>1.24</v>
      </c>
      <c r="D2989" s="13">
        <f t="shared" si="46"/>
        <v>1.24</v>
      </c>
    </row>
    <row r="2990" spans="1:4" x14ac:dyDescent="0.25">
      <c r="A2990" s="15">
        <f>Sheet2!A2990</f>
        <v>0</v>
      </c>
      <c r="B2990" s="8">
        <v>0</v>
      </c>
      <c r="C2990" s="9">
        <v>2.64</v>
      </c>
      <c r="D2990" s="13">
        <f t="shared" si="46"/>
        <v>2.64</v>
      </c>
    </row>
    <row r="2991" spans="1:4" x14ac:dyDescent="0.25">
      <c r="A2991" s="15">
        <f>Sheet2!A2991</f>
        <v>0</v>
      </c>
      <c r="B2991" s="8">
        <v>0</v>
      </c>
      <c r="C2991" s="9">
        <v>0.97</v>
      </c>
      <c r="D2991" s="13">
        <f t="shared" si="46"/>
        <v>0.97</v>
      </c>
    </row>
    <row r="2992" spans="1:4" x14ac:dyDescent="0.25">
      <c r="A2992" s="15">
        <f>Sheet2!A2992</f>
        <v>0</v>
      </c>
      <c r="B2992" s="8">
        <v>1.77</v>
      </c>
      <c r="C2992" s="9">
        <v>0</v>
      </c>
      <c r="D2992" s="13">
        <f t="shared" si="46"/>
        <v>1.77</v>
      </c>
    </row>
    <row r="2993" spans="1:4" x14ac:dyDescent="0.25">
      <c r="A2993" s="15">
        <f>Sheet2!A2993</f>
        <v>0</v>
      </c>
      <c r="B2993" s="8">
        <v>0</v>
      </c>
      <c r="C2993" s="9">
        <v>1.79</v>
      </c>
      <c r="D2993" s="13">
        <f t="shared" si="46"/>
        <v>1.79</v>
      </c>
    </row>
    <row r="2994" spans="1:4" x14ac:dyDescent="0.25">
      <c r="A2994" s="15">
        <f>Sheet2!A2994</f>
        <v>0</v>
      </c>
      <c r="B2994" s="8">
        <v>0</v>
      </c>
      <c r="C2994" s="9">
        <v>1.05</v>
      </c>
      <c r="D2994" s="13">
        <f t="shared" si="46"/>
        <v>1.05</v>
      </c>
    </row>
    <row r="2995" spans="1:4" x14ac:dyDescent="0.25">
      <c r="A2995" s="15">
        <f>Sheet2!A2995</f>
        <v>0</v>
      </c>
      <c r="B2995" s="8">
        <v>0</v>
      </c>
      <c r="C2995" s="9">
        <v>0.42</v>
      </c>
      <c r="D2995" s="13">
        <f t="shared" si="46"/>
        <v>0.42</v>
      </c>
    </row>
    <row r="2996" spans="1:4" x14ac:dyDescent="0.25">
      <c r="A2996" s="15">
        <f>Sheet2!A2996</f>
        <v>0</v>
      </c>
      <c r="B2996" s="8">
        <v>1.37</v>
      </c>
      <c r="C2996" s="9">
        <v>0</v>
      </c>
      <c r="D2996" s="13">
        <f t="shared" si="46"/>
        <v>1.37</v>
      </c>
    </row>
    <row r="2997" spans="1:4" x14ac:dyDescent="0.25">
      <c r="A2997" s="15">
        <f>Sheet2!A2997</f>
        <v>0</v>
      </c>
      <c r="B2997" s="8">
        <v>0</v>
      </c>
      <c r="C2997" s="9">
        <v>0.85</v>
      </c>
      <c r="D2997" s="13">
        <f t="shared" si="46"/>
        <v>0.85</v>
      </c>
    </row>
    <row r="2998" spans="1:4" x14ac:dyDescent="0.25">
      <c r="A2998" s="15">
        <f>Sheet2!A2998</f>
        <v>0</v>
      </c>
      <c r="B2998" s="8">
        <v>0</v>
      </c>
      <c r="C2998" s="9">
        <v>1.2</v>
      </c>
      <c r="D2998" s="13">
        <f t="shared" si="46"/>
        <v>1.2</v>
      </c>
    </row>
    <row r="2999" spans="1:4" x14ac:dyDescent="0.25">
      <c r="A2999" s="15">
        <f>Sheet2!A2999</f>
        <v>0</v>
      </c>
      <c r="B2999" s="8">
        <v>0</v>
      </c>
      <c r="C2999" s="9">
        <v>0.45</v>
      </c>
      <c r="D2999" s="13">
        <f t="shared" si="46"/>
        <v>0.45</v>
      </c>
    </row>
    <row r="3000" spans="1:4" x14ac:dyDescent="0.25">
      <c r="A3000" s="15">
        <f>Sheet2!A3000</f>
        <v>0</v>
      </c>
      <c r="B3000" s="8">
        <v>3.3</v>
      </c>
      <c r="C3000" s="9">
        <v>0</v>
      </c>
      <c r="D3000" s="13">
        <f t="shared" si="46"/>
        <v>3.3</v>
      </c>
    </row>
    <row r="3001" spans="1:4" x14ac:dyDescent="0.25">
      <c r="A3001" s="15">
        <f>Sheet2!A3001</f>
        <v>0</v>
      </c>
      <c r="B3001" s="8">
        <v>0</v>
      </c>
      <c r="C3001" s="9">
        <v>0.82</v>
      </c>
      <c r="D3001" s="13">
        <f t="shared" si="46"/>
        <v>0.82</v>
      </c>
    </row>
    <row r="3002" spans="1:4" x14ac:dyDescent="0.25">
      <c r="A3002" s="15">
        <f>Sheet2!A3002</f>
        <v>0</v>
      </c>
      <c r="B3002" s="8">
        <v>3.9</v>
      </c>
      <c r="C3002" s="9">
        <v>0</v>
      </c>
      <c r="D3002" s="13">
        <f t="shared" si="46"/>
        <v>3.9</v>
      </c>
    </row>
    <row r="3003" spans="1:4" x14ac:dyDescent="0.25">
      <c r="A3003" s="15">
        <f>Sheet2!A3003</f>
        <v>0</v>
      </c>
      <c r="B3003" s="8">
        <v>3.78</v>
      </c>
      <c r="C3003" s="9">
        <v>0</v>
      </c>
      <c r="D3003" s="13">
        <f t="shared" si="46"/>
        <v>3.78</v>
      </c>
    </row>
    <row r="3004" spans="1:4" x14ac:dyDescent="0.25">
      <c r="A3004" s="15">
        <f>Sheet2!A3004</f>
        <v>0</v>
      </c>
      <c r="B3004" s="8">
        <v>4.0999999999999996</v>
      </c>
      <c r="C3004" s="9">
        <v>0</v>
      </c>
      <c r="D3004" s="13">
        <f t="shared" si="46"/>
        <v>4.0999999999999996</v>
      </c>
    </row>
    <row r="3005" spans="1:4" x14ac:dyDescent="0.25">
      <c r="A3005" s="15">
        <f>Sheet2!A3005</f>
        <v>0</v>
      </c>
      <c r="B3005" s="8">
        <v>3.73</v>
      </c>
      <c r="C3005" s="9">
        <v>0</v>
      </c>
      <c r="D3005" s="13">
        <f t="shared" si="46"/>
        <v>3.73</v>
      </c>
    </row>
    <row r="3006" spans="1:4" x14ac:dyDescent="0.25">
      <c r="A3006" s="15">
        <f>Sheet2!A3006</f>
        <v>0</v>
      </c>
      <c r="B3006" s="8">
        <v>4.0599999999999996</v>
      </c>
      <c r="C3006" s="9">
        <v>0</v>
      </c>
      <c r="D3006" s="13">
        <f t="shared" si="46"/>
        <v>4.0599999999999996</v>
      </c>
    </row>
    <row r="3007" spans="1:4" x14ac:dyDescent="0.25">
      <c r="A3007" s="15">
        <f>Sheet2!A3007</f>
        <v>0</v>
      </c>
      <c r="B3007" s="8">
        <v>3.44</v>
      </c>
      <c r="C3007" s="9">
        <v>0</v>
      </c>
      <c r="D3007" s="13">
        <f t="shared" si="46"/>
        <v>3.44</v>
      </c>
    </row>
    <row r="3008" spans="1:4" x14ac:dyDescent="0.25">
      <c r="A3008" s="15">
        <f>Sheet2!A3008</f>
        <v>0</v>
      </c>
      <c r="B3008" s="8">
        <v>0.94</v>
      </c>
      <c r="C3008" s="9">
        <v>0</v>
      </c>
      <c r="D3008" s="13">
        <f t="shared" si="46"/>
        <v>0.94</v>
      </c>
    </row>
    <row r="3009" spans="1:4" x14ac:dyDescent="0.25">
      <c r="A3009" s="15">
        <f>Sheet2!A3009</f>
        <v>0</v>
      </c>
      <c r="B3009" s="8">
        <v>1.07</v>
      </c>
      <c r="C3009" s="9">
        <v>0</v>
      </c>
      <c r="D3009" s="13">
        <f t="shared" si="46"/>
        <v>1.07</v>
      </c>
    </row>
    <row r="3010" spans="1:4" x14ac:dyDescent="0.25">
      <c r="A3010" s="15">
        <f>Sheet2!A3010</f>
        <v>0</v>
      </c>
      <c r="B3010" s="8">
        <v>2.86</v>
      </c>
      <c r="C3010" s="9">
        <v>0</v>
      </c>
      <c r="D3010" s="13">
        <f t="shared" si="46"/>
        <v>2.86</v>
      </c>
    </row>
    <row r="3011" spans="1:4" x14ac:dyDescent="0.25">
      <c r="A3011" s="15">
        <f>Sheet2!A3011</f>
        <v>0</v>
      </c>
      <c r="B3011" s="8">
        <v>0</v>
      </c>
      <c r="C3011" s="9">
        <v>0.6</v>
      </c>
      <c r="D3011" s="13">
        <f t="shared" ref="D3011:D3074" si="47">B3011+C3011</f>
        <v>0.6</v>
      </c>
    </row>
    <row r="3012" spans="1:4" x14ac:dyDescent="0.25">
      <c r="A3012" s="15">
        <f>Sheet2!A3012</f>
        <v>0</v>
      </c>
      <c r="B3012" s="8">
        <v>0</v>
      </c>
      <c r="C3012" s="9">
        <v>1.18</v>
      </c>
      <c r="D3012" s="13">
        <f t="shared" si="47"/>
        <v>1.18</v>
      </c>
    </row>
    <row r="3013" spans="1:4" x14ac:dyDescent="0.25">
      <c r="A3013" s="15">
        <f>Sheet2!A3013</f>
        <v>0</v>
      </c>
      <c r="B3013" s="8">
        <v>0</v>
      </c>
      <c r="C3013" s="9">
        <v>0.75</v>
      </c>
      <c r="D3013" s="13">
        <f t="shared" si="47"/>
        <v>0.75</v>
      </c>
    </row>
    <row r="3014" spans="1:4" x14ac:dyDescent="0.25">
      <c r="A3014" s="15">
        <f>Sheet2!A3014</f>
        <v>0</v>
      </c>
      <c r="B3014" s="8">
        <v>0</v>
      </c>
      <c r="C3014" s="9">
        <v>0.6</v>
      </c>
      <c r="D3014" s="13">
        <f t="shared" si="47"/>
        <v>0.6</v>
      </c>
    </row>
    <row r="3015" spans="1:4" x14ac:dyDescent="0.25">
      <c r="A3015" s="15">
        <f>Sheet2!A3015</f>
        <v>0</v>
      </c>
      <c r="B3015" s="8">
        <v>0</v>
      </c>
      <c r="C3015" s="9">
        <v>1.51</v>
      </c>
      <c r="D3015" s="13">
        <f t="shared" si="47"/>
        <v>1.51</v>
      </c>
    </row>
    <row r="3016" spans="1:4" x14ac:dyDescent="0.25">
      <c r="A3016" s="15">
        <f>Sheet2!A3016</f>
        <v>0</v>
      </c>
      <c r="B3016" s="8">
        <v>0</v>
      </c>
      <c r="C3016" s="9">
        <v>3</v>
      </c>
      <c r="D3016" s="13">
        <f t="shared" si="47"/>
        <v>3</v>
      </c>
    </row>
    <row r="3017" spans="1:4" x14ac:dyDescent="0.25">
      <c r="A3017" s="15">
        <f>Sheet2!A3017</f>
        <v>0</v>
      </c>
      <c r="B3017" s="8">
        <v>0</v>
      </c>
      <c r="C3017" s="9">
        <v>2.12</v>
      </c>
      <c r="D3017" s="13">
        <f t="shared" si="47"/>
        <v>2.12</v>
      </c>
    </row>
    <row r="3018" spans="1:4" x14ac:dyDescent="0.25">
      <c r="A3018" s="15">
        <f>Sheet2!A3018</f>
        <v>0</v>
      </c>
      <c r="B3018" s="8">
        <v>0</v>
      </c>
      <c r="C3018" s="9">
        <v>1.39</v>
      </c>
      <c r="D3018" s="13">
        <f t="shared" si="47"/>
        <v>1.39</v>
      </c>
    </row>
    <row r="3019" spans="1:4" x14ac:dyDescent="0.25">
      <c r="A3019" s="15">
        <f>Sheet2!A3019</f>
        <v>0</v>
      </c>
      <c r="B3019" s="8">
        <v>0</v>
      </c>
      <c r="C3019" s="9">
        <v>2.44</v>
      </c>
      <c r="D3019" s="13">
        <f t="shared" si="47"/>
        <v>2.44</v>
      </c>
    </row>
    <row r="3020" spans="1:4" x14ac:dyDescent="0.25">
      <c r="A3020" s="15">
        <f>Sheet2!A3020</f>
        <v>0</v>
      </c>
      <c r="B3020" s="8">
        <v>0</v>
      </c>
      <c r="C3020" s="9">
        <v>0.67</v>
      </c>
      <c r="D3020" s="13">
        <f t="shared" si="47"/>
        <v>0.67</v>
      </c>
    </row>
    <row r="3021" spans="1:4" x14ac:dyDescent="0.25">
      <c r="A3021" s="15">
        <f>Sheet2!A3021</f>
        <v>0</v>
      </c>
      <c r="B3021" s="8">
        <v>0</v>
      </c>
      <c r="C3021" s="9">
        <v>1.54</v>
      </c>
      <c r="D3021" s="13">
        <f t="shared" si="47"/>
        <v>1.54</v>
      </c>
    </row>
    <row r="3022" spans="1:4" x14ac:dyDescent="0.25">
      <c r="A3022" s="15">
        <f>Sheet2!A3022</f>
        <v>0</v>
      </c>
      <c r="B3022" s="8">
        <v>0</v>
      </c>
      <c r="C3022" s="9">
        <v>2.59</v>
      </c>
      <c r="D3022" s="13">
        <f t="shared" si="47"/>
        <v>2.59</v>
      </c>
    </row>
    <row r="3023" spans="1:4" x14ac:dyDescent="0.25">
      <c r="A3023" s="15">
        <f>Sheet2!A3023</f>
        <v>0</v>
      </c>
      <c r="B3023" s="8">
        <v>0</v>
      </c>
      <c r="C3023" s="9">
        <v>3.35</v>
      </c>
      <c r="D3023" s="13">
        <f t="shared" si="47"/>
        <v>3.35</v>
      </c>
    </row>
    <row r="3024" spans="1:4" x14ac:dyDescent="0.25">
      <c r="A3024" s="15">
        <f>Sheet2!A3024</f>
        <v>0</v>
      </c>
      <c r="B3024" s="8">
        <v>0</v>
      </c>
      <c r="C3024" s="9">
        <v>3.53</v>
      </c>
      <c r="D3024" s="13">
        <f t="shared" si="47"/>
        <v>3.53</v>
      </c>
    </row>
    <row r="3025" spans="1:4" x14ac:dyDescent="0.25">
      <c r="A3025" s="15">
        <f>Sheet2!A3025</f>
        <v>0</v>
      </c>
      <c r="B3025" s="8">
        <v>0</v>
      </c>
      <c r="C3025" s="9">
        <v>1.44</v>
      </c>
      <c r="D3025" s="13">
        <f t="shared" si="47"/>
        <v>1.44</v>
      </c>
    </row>
    <row r="3026" spans="1:4" x14ac:dyDescent="0.25">
      <c r="A3026" s="15">
        <f>Sheet2!A3026</f>
        <v>0</v>
      </c>
      <c r="B3026" s="8">
        <v>3.97</v>
      </c>
      <c r="C3026" s="9">
        <v>0</v>
      </c>
      <c r="D3026" s="13">
        <f t="shared" si="47"/>
        <v>3.97</v>
      </c>
    </row>
    <row r="3027" spans="1:4" x14ac:dyDescent="0.25">
      <c r="A3027" s="15">
        <f>Sheet2!A3027</f>
        <v>0</v>
      </c>
      <c r="B3027" s="8">
        <v>0</v>
      </c>
      <c r="C3027" s="9">
        <v>0.57999999999999996</v>
      </c>
      <c r="D3027" s="13">
        <f t="shared" si="47"/>
        <v>0.57999999999999996</v>
      </c>
    </row>
    <row r="3028" spans="1:4" x14ac:dyDescent="0.25">
      <c r="A3028" s="15">
        <f>Sheet2!A3028</f>
        <v>0</v>
      </c>
      <c r="B3028" s="8">
        <v>0</v>
      </c>
      <c r="C3028" s="9">
        <v>2.5299999999999998</v>
      </c>
      <c r="D3028" s="13">
        <f t="shared" si="47"/>
        <v>2.5299999999999998</v>
      </c>
    </row>
    <row r="3029" spans="1:4" x14ac:dyDescent="0.25">
      <c r="A3029" s="15">
        <f>Sheet2!A3029</f>
        <v>0</v>
      </c>
      <c r="B3029" s="8">
        <v>0</v>
      </c>
      <c r="C3029" s="9">
        <v>1.94</v>
      </c>
      <c r="D3029" s="13">
        <f t="shared" si="47"/>
        <v>1.94</v>
      </c>
    </row>
    <row r="3030" spans="1:4" x14ac:dyDescent="0.25">
      <c r="A3030" s="15">
        <f>Sheet2!A3030</f>
        <v>0</v>
      </c>
      <c r="B3030" s="8">
        <v>3.91</v>
      </c>
      <c r="C3030" s="9">
        <v>0</v>
      </c>
      <c r="D3030" s="13">
        <f t="shared" si="47"/>
        <v>3.91</v>
      </c>
    </row>
    <row r="3031" spans="1:4" x14ac:dyDescent="0.25">
      <c r="A3031" s="15">
        <f>Sheet2!A3031</f>
        <v>0</v>
      </c>
      <c r="B3031" s="8">
        <v>0</v>
      </c>
      <c r="C3031" s="9">
        <v>1.23</v>
      </c>
      <c r="D3031" s="13">
        <f t="shared" si="47"/>
        <v>1.23</v>
      </c>
    </row>
    <row r="3032" spans="1:4" x14ac:dyDescent="0.25">
      <c r="A3032" s="15">
        <f>Sheet2!A3032</f>
        <v>0</v>
      </c>
      <c r="B3032" s="8">
        <v>0</v>
      </c>
      <c r="C3032" s="9">
        <v>2.23</v>
      </c>
      <c r="D3032" s="13">
        <f t="shared" si="47"/>
        <v>2.23</v>
      </c>
    </row>
    <row r="3033" spans="1:4" x14ac:dyDescent="0.25">
      <c r="A3033" s="15">
        <f>Sheet2!A3033</f>
        <v>0</v>
      </c>
      <c r="B3033" s="8">
        <v>0</v>
      </c>
      <c r="C3033" s="9">
        <v>2.0299999999999998</v>
      </c>
      <c r="D3033" s="13">
        <f t="shared" si="47"/>
        <v>2.0299999999999998</v>
      </c>
    </row>
    <row r="3034" spans="1:4" x14ac:dyDescent="0.25">
      <c r="A3034" s="15">
        <f>Sheet2!A3034</f>
        <v>0</v>
      </c>
      <c r="B3034" s="8">
        <v>0</v>
      </c>
      <c r="C3034" s="9">
        <v>1.02</v>
      </c>
      <c r="D3034" s="13">
        <f t="shared" si="47"/>
        <v>1.02</v>
      </c>
    </row>
    <row r="3035" spans="1:4" x14ac:dyDescent="0.25">
      <c r="A3035" s="15">
        <f>Sheet2!A3035</f>
        <v>0</v>
      </c>
      <c r="B3035" s="8">
        <v>3.93</v>
      </c>
      <c r="C3035" s="9">
        <v>0</v>
      </c>
      <c r="D3035" s="13">
        <f t="shared" si="47"/>
        <v>3.93</v>
      </c>
    </row>
    <row r="3036" spans="1:4" x14ac:dyDescent="0.25">
      <c r="A3036" s="15">
        <f>Sheet2!A3036</f>
        <v>0</v>
      </c>
      <c r="B3036" s="8">
        <v>0</v>
      </c>
      <c r="C3036" s="9">
        <v>0.23</v>
      </c>
      <c r="D3036" s="13">
        <f t="shared" si="47"/>
        <v>0.23</v>
      </c>
    </row>
    <row r="3037" spans="1:4" x14ac:dyDescent="0.25">
      <c r="A3037" s="15">
        <f>Sheet2!A3037</f>
        <v>0</v>
      </c>
      <c r="B3037" s="8">
        <v>0</v>
      </c>
      <c r="C3037" s="9">
        <v>1.1599999999999999</v>
      </c>
      <c r="D3037" s="13">
        <f t="shared" si="47"/>
        <v>1.1599999999999999</v>
      </c>
    </row>
    <row r="3038" spans="1:4" x14ac:dyDescent="0.25">
      <c r="A3038" s="15">
        <f>Sheet2!A3038</f>
        <v>0</v>
      </c>
      <c r="B3038" s="8">
        <v>0</v>
      </c>
      <c r="C3038" s="9">
        <v>1.17</v>
      </c>
      <c r="D3038" s="13">
        <f t="shared" si="47"/>
        <v>1.17</v>
      </c>
    </row>
    <row r="3039" spans="1:4" x14ac:dyDescent="0.25">
      <c r="A3039" s="15">
        <f>Sheet2!A3039</f>
        <v>0</v>
      </c>
      <c r="B3039" s="8">
        <v>0</v>
      </c>
      <c r="C3039" s="9">
        <v>1.1599999999999999</v>
      </c>
      <c r="D3039" s="13">
        <f t="shared" si="47"/>
        <v>1.1599999999999999</v>
      </c>
    </row>
    <row r="3040" spans="1:4" x14ac:dyDescent="0.25">
      <c r="A3040" s="15">
        <f>Sheet2!A3040</f>
        <v>0</v>
      </c>
      <c r="B3040" s="8">
        <v>0</v>
      </c>
      <c r="C3040" s="9">
        <v>0.99</v>
      </c>
      <c r="D3040" s="13">
        <f t="shared" si="47"/>
        <v>0.99</v>
      </c>
    </row>
    <row r="3041" spans="1:4" x14ac:dyDescent="0.25">
      <c r="A3041" s="15">
        <f>Sheet2!A3041</f>
        <v>0</v>
      </c>
      <c r="B3041" s="8">
        <v>0</v>
      </c>
      <c r="C3041" s="9">
        <v>0.27</v>
      </c>
      <c r="D3041" s="13">
        <f t="shared" si="47"/>
        <v>0.27</v>
      </c>
    </row>
    <row r="3042" spans="1:4" x14ac:dyDescent="0.25">
      <c r="A3042" s="15">
        <f>Sheet2!A3042</f>
        <v>0</v>
      </c>
      <c r="B3042" s="8">
        <v>0</v>
      </c>
      <c r="C3042" s="9">
        <v>1.37</v>
      </c>
      <c r="D3042" s="13">
        <f t="shared" si="47"/>
        <v>1.37</v>
      </c>
    </row>
    <row r="3043" spans="1:4" x14ac:dyDescent="0.25">
      <c r="A3043" s="15">
        <f>Sheet2!A3043</f>
        <v>0</v>
      </c>
      <c r="B3043" s="8">
        <v>0</v>
      </c>
      <c r="C3043" s="9">
        <v>1.75</v>
      </c>
      <c r="D3043" s="13">
        <f t="shared" si="47"/>
        <v>1.75</v>
      </c>
    </row>
    <row r="3044" spans="1:4" x14ac:dyDescent="0.25">
      <c r="A3044" s="15">
        <f>Sheet2!A3044</f>
        <v>0</v>
      </c>
      <c r="B3044" s="8">
        <v>0</v>
      </c>
      <c r="C3044" s="9">
        <v>1.22</v>
      </c>
      <c r="D3044" s="13">
        <f t="shared" si="47"/>
        <v>1.22</v>
      </c>
    </row>
    <row r="3045" spans="1:4" x14ac:dyDescent="0.25">
      <c r="A3045" s="15">
        <f>Sheet2!A3045</f>
        <v>0</v>
      </c>
      <c r="B3045" s="8">
        <v>0</v>
      </c>
      <c r="C3045" s="9">
        <v>0.22</v>
      </c>
      <c r="D3045" s="13">
        <f t="shared" si="47"/>
        <v>0.22</v>
      </c>
    </row>
    <row r="3046" spans="1:4" x14ac:dyDescent="0.25">
      <c r="A3046" s="15">
        <f>Sheet2!A3046</f>
        <v>0</v>
      </c>
      <c r="B3046" s="8">
        <v>5.88</v>
      </c>
      <c r="C3046" s="9">
        <v>0</v>
      </c>
      <c r="D3046" s="13">
        <f t="shared" si="47"/>
        <v>5.88</v>
      </c>
    </row>
    <row r="3047" spans="1:4" x14ac:dyDescent="0.25">
      <c r="A3047" s="15">
        <f>Sheet2!A3047</f>
        <v>0</v>
      </c>
      <c r="B3047" s="8">
        <v>0</v>
      </c>
      <c r="C3047" s="9">
        <v>1.69</v>
      </c>
      <c r="D3047" s="13">
        <f t="shared" si="47"/>
        <v>1.69</v>
      </c>
    </row>
    <row r="3048" spans="1:4" x14ac:dyDescent="0.25">
      <c r="A3048" s="15">
        <f>Sheet2!A3048</f>
        <v>0</v>
      </c>
      <c r="B3048" s="8">
        <v>0</v>
      </c>
      <c r="C3048" s="9">
        <v>2.4300000000000002</v>
      </c>
      <c r="D3048" s="13">
        <f t="shared" si="47"/>
        <v>2.4300000000000002</v>
      </c>
    </row>
    <row r="3049" spans="1:4" x14ac:dyDescent="0.25">
      <c r="A3049" s="15">
        <f>Sheet2!A3049</f>
        <v>0</v>
      </c>
      <c r="B3049" s="8">
        <v>0</v>
      </c>
      <c r="C3049" s="9">
        <v>1.59</v>
      </c>
      <c r="D3049" s="13">
        <f t="shared" si="47"/>
        <v>1.59</v>
      </c>
    </row>
    <row r="3050" spans="1:4" x14ac:dyDescent="0.25">
      <c r="A3050" s="15">
        <f>Sheet2!A3050</f>
        <v>0</v>
      </c>
      <c r="B3050" s="8">
        <v>6.93</v>
      </c>
      <c r="C3050" s="9">
        <v>0</v>
      </c>
      <c r="D3050" s="13">
        <f t="shared" si="47"/>
        <v>6.93</v>
      </c>
    </row>
    <row r="3051" spans="1:4" x14ac:dyDescent="0.25">
      <c r="A3051" s="15">
        <f>Sheet2!A3051</f>
        <v>0</v>
      </c>
      <c r="B3051" s="8">
        <v>6.45</v>
      </c>
      <c r="C3051" s="9">
        <v>0</v>
      </c>
      <c r="D3051" s="13">
        <f t="shared" si="47"/>
        <v>6.45</v>
      </c>
    </row>
    <row r="3052" spans="1:4" x14ac:dyDescent="0.25">
      <c r="A3052" s="15">
        <f>Sheet2!A3052</f>
        <v>0</v>
      </c>
      <c r="B3052" s="8">
        <v>6.05</v>
      </c>
      <c r="C3052" s="9">
        <v>0</v>
      </c>
      <c r="D3052" s="13">
        <f t="shared" si="47"/>
        <v>6.05</v>
      </c>
    </row>
    <row r="3053" spans="1:4" x14ac:dyDescent="0.25">
      <c r="A3053" s="15">
        <f>Sheet2!A3053</f>
        <v>0</v>
      </c>
      <c r="B3053" s="8">
        <v>5.79</v>
      </c>
      <c r="C3053" s="9">
        <v>0</v>
      </c>
      <c r="D3053" s="13">
        <f t="shared" si="47"/>
        <v>5.79</v>
      </c>
    </row>
    <row r="3054" spans="1:4" x14ac:dyDescent="0.25">
      <c r="A3054" s="15">
        <f>Sheet2!A3054</f>
        <v>0</v>
      </c>
      <c r="B3054" s="8">
        <v>6.08</v>
      </c>
      <c r="C3054" s="9">
        <v>0</v>
      </c>
      <c r="D3054" s="13">
        <f t="shared" si="47"/>
        <v>6.08</v>
      </c>
    </row>
    <row r="3055" spans="1:4" x14ac:dyDescent="0.25">
      <c r="A3055" s="15">
        <f>Sheet2!A3055</f>
        <v>0</v>
      </c>
      <c r="B3055" s="8">
        <v>5.0999999999999996</v>
      </c>
      <c r="C3055" s="9">
        <v>0</v>
      </c>
      <c r="D3055" s="13">
        <f t="shared" si="47"/>
        <v>5.0999999999999996</v>
      </c>
    </row>
    <row r="3056" spans="1:4" x14ac:dyDescent="0.25">
      <c r="A3056" s="15">
        <f>Sheet2!A3056</f>
        <v>0</v>
      </c>
      <c r="B3056" s="8">
        <v>1.55</v>
      </c>
      <c r="C3056" s="9">
        <v>0</v>
      </c>
      <c r="D3056" s="13">
        <f t="shared" si="47"/>
        <v>1.55</v>
      </c>
    </row>
    <row r="3057" spans="1:4" x14ac:dyDescent="0.25">
      <c r="A3057" s="15">
        <f>Sheet2!A3057</f>
        <v>0</v>
      </c>
      <c r="B3057" s="8">
        <v>1.23</v>
      </c>
      <c r="C3057" s="9">
        <v>0</v>
      </c>
      <c r="D3057" s="13">
        <f t="shared" si="47"/>
        <v>1.23</v>
      </c>
    </row>
    <row r="3058" spans="1:4" x14ac:dyDescent="0.25">
      <c r="A3058" s="15">
        <f>Sheet2!A3058</f>
        <v>0</v>
      </c>
      <c r="B3058" s="8">
        <v>1.34</v>
      </c>
      <c r="C3058" s="9">
        <v>0</v>
      </c>
      <c r="D3058" s="13">
        <f t="shared" si="47"/>
        <v>1.34</v>
      </c>
    </row>
    <row r="3059" spans="1:4" x14ac:dyDescent="0.25">
      <c r="A3059" s="15">
        <f>Sheet2!A3059</f>
        <v>0</v>
      </c>
      <c r="B3059" s="8">
        <v>0</v>
      </c>
      <c r="C3059" s="9">
        <v>0.83</v>
      </c>
      <c r="D3059" s="13">
        <f t="shared" si="47"/>
        <v>0.83</v>
      </c>
    </row>
    <row r="3060" spans="1:4" x14ac:dyDescent="0.25">
      <c r="A3060" s="15">
        <f>Sheet2!A3060</f>
        <v>0</v>
      </c>
      <c r="B3060" s="8">
        <v>0</v>
      </c>
      <c r="C3060" s="9">
        <v>1.4</v>
      </c>
      <c r="D3060" s="13">
        <f t="shared" si="47"/>
        <v>1.4</v>
      </c>
    </row>
    <row r="3061" spans="1:4" x14ac:dyDescent="0.25">
      <c r="A3061" s="15">
        <f>Sheet2!A3061</f>
        <v>0</v>
      </c>
      <c r="B3061" s="8">
        <v>0</v>
      </c>
      <c r="C3061" s="9">
        <v>0.75</v>
      </c>
      <c r="D3061" s="13">
        <f t="shared" si="47"/>
        <v>0.75</v>
      </c>
    </row>
    <row r="3062" spans="1:4" x14ac:dyDescent="0.25">
      <c r="A3062" s="15">
        <f>Sheet2!A3062</f>
        <v>0</v>
      </c>
      <c r="B3062" s="8">
        <v>2.93</v>
      </c>
      <c r="C3062" s="9">
        <v>0</v>
      </c>
      <c r="D3062" s="13">
        <f t="shared" si="47"/>
        <v>2.93</v>
      </c>
    </row>
    <row r="3063" spans="1:4" x14ac:dyDescent="0.25">
      <c r="A3063" s="15">
        <f>Sheet2!A3063</f>
        <v>0</v>
      </c>
      <c r="B3063" s="8">
        <v>0</v>
      </c>
      <c r="C3063" s="9">
        <v>1.84</v>
      </c>
      <c r="D3063" s="13">
        <f t="shared" si="47"/>
        <v>1.84</v>
      </c>
    </row>
    <row r="3064" spans="1:4" x14ac:dyDescent="0.25">
      <c r="A3064" s="15">
        <f>Sheet2!A3064</f>
        <v>0</v>
      </c>
      <c r="B3064" s="8">
        <v>0</v>
      </c>
      <c r="C3064" s="9">
        <v>1.17</v>
      </c>
      <c r="D3064" s="13">
        <f t="shared" si="47"/>
        <v>1.17</v>
      </c>
    </row>
    <row r="3065" spans="1:4" x14ac:dyDescent="0.25">
      <c r="A3065" s="15">
        <f>Sheet2!A3065</f>
        <v>0</v>
      </c>
      <c r="B3065" s="8">
        <v>0</v>
      </c>
      <c r="C3065" s="9">
        <v>0.47</v>
      </c>
      <c r="D3065" s="13">
        <f t="shared" si="47"/>
        <v>0.47</v>
      </c>
    </row>
    <row r="3066" spans="1:4" x14ac:dyDescent="0.25">
      <c r="A3066" s="15">
        <f>Sheet2!A3066</f>
        <v>0</v>
      </c>
      <c r="B3066" s="8">
        <v>4.0999999999999996</v>
      </c>
      <c r="C3066" s="9">
        <v>0</v>
      </c>
      <c r="D3066" s="13">
        <f t="shared" si="47"/>
        <v>4.0999999999999996</v>
      </c>
    </row>
    <row r="3067" spans="1:4" x14ac:dyDescent="0.25">
      <c r="A3067" s="15">
        <f>Sheet2!A3067</f>
        <v>0</v>
      </c>
      <c r="B3067" s="8">
        <v>0</v>
      </c>
      <c r="C3067" s="9">
        <v>0.98</v>
      </c>
      <c r="D3067" s="13">
        <f t="shared" si="47"/>
        <v>0.98</v>
      </c>
    </row>
    <row r="3068" spans="1:4" x14ac:dyDescent="0.25">
      <c r="A3068" s="15">
        <f>Sheet2!A3068</f>
        <v>0</v>
      </c>
      <c r="B3068" s="8">
        <v>0</v>
      </c>
      <c r="C3068" s="9">
        <v>1.44</v>
      </c>
      <c r="D3068" s="13">
        <f t="shared" si="47"/>
        <v>1.44</v>
      </c>
    </row>
    <row r="3069" spans="1:4" x14ac:dyDescent="0.25">
      <c r="A3069" s="15">
        <f>Sheet2!A3069</f>
        <v>0</v>
      </c>
      <c r="B3069" s="8">
        <v>0</v>
      </c>
      <c r="C3069" s="9">
        <v>0.71</v>
      </c>
      <c r="D3069" s="13">
        <f t="shared" si="47"/>
        <v>0.71</v>
      </c>
    </row>
    <row r="3070" spans="1:4" x14ac:dyDescent="0.25">
      <c r="A3070" s="15">
        <f>Sheet2!A3070</f>
        <v>0</v>
      </c>
      <c r="B3070" s="8">
        <v>1.46</v>
      </c>
      <c r="C3070" s="9">
        <v>0</v>
      </c>
      <c r="D3070" s="13">
        <f t="shared" si="47"/>
        <v>1.46</v>
      </c>
    </row>
    <row r="3071" spans="1:4" x14ac:dyDescent="0.25">
      <c r="A3071" s="15">
        <f>Sheet2!A3071</f>
        <v>0</v>
      </c>
      <c r="B3071" s="8">
        <v>1.63</v>
      </c>
      <c r="C3071" s="9">
        <v>0</v>
      </c>
      <c r="D3071" s="13">
        <f t="shared" si="47"/>
        <v>1.63</v>
      </c>
    </row>
    <row r="3072" spans="1:4" x14ac:dyDescent="0.25">
      <c r="A3072" s="15">
        <f>Sheet2!A3072</f>
        <v>0</v>
      </c>
      <c r="B3072" s="8">
        <v>1.01</v>
      </c>
      <c r="C3072" s="9">
        <v>0</v>
      </c>
      <c r="D3072" s="13">
        <f t="shared" si="47"/>
        <v>1.01</v>
      </c>
    </row>
    <row r="3073" spans="1:4" x14ac:dyDescent="0.25">
      <c r="A3073" s="15">
        <f>Sheet2!A3073</f>
        <v>0</v>
      </c>
      <c r="B3073" s="8">
        <v>2.36</v>
      </c>
      <c r="C3073" s="9">
        <v>0</v>
      </c>
      <c r="D3073" s="13">
        <f t="shared" si="47"/>
        <v>2.36</v>
      </c>
    </row>
    <row r="3074" spans="1:4" x14ac:dyDescent="0.25">
      <c r="A3074" s="15">
        <f>Sheet2!A3074</f>
        <v>0</v>
      </c>
      <c r="B3074" s="8">
        <v>3.38</v>
      </c>
      <c r="C3074" s="9">
        <v>0</v>
      </c>
      <c r="D3074" s="13">
        <f t="shared" si="47"/>
        <v>3.38</v>
      </c>
    </row>
    <row r="3075" spans="1:4" x14ac:dyDescent="0.25">
      <c r="A3075" s="15">
        <f>Sheet2!A3075</f>
        <v>0</v>
      </c>
      <c r="B3075" s="8">
        <v>2.98</v>
      </c>
      <c r="C3075" s="9">
        <v>0</v>
      </c>
      <c r="D3075" s="13">
        <f t="shared" ref="D3075:D3138" si="48">B3075+C3075</f>
        <v>2.98</v>
      </c>
    </row>
    <row r="3076" spans="1:4" x14ac:dyDescent="0.25">
      <c r="A3076" s="15">
        <f>Sheet2!A3076</f>
        <v>0</v>
      </c>
      <c r="B3076" s="8">
        <v>2.67</v>
      </c>
      <c r="C3076" s="9">
        <v>0</v>
      </c>
      <c r="D3076" s="13">
        <f t="shared" si="48"/>
        <v>2.67</v>
      </c>
    </row>
    <row r="3077" spans="1:4" x14ac:dyDescent="0.25">
      <c r="A3077" s="15">
        <f>Sheet2!A3077</f>
        <v>0</v>
      </c>
      <c r="B3077" s="8">
        <v>2.86</v>
      </c>
      <c r="C3077" s="9">
        <v>0</v>
      </c>
      <c r="D3077" s="13">
        <f t="shared" si="48"/>
        <v>2.86</v>
      </c>
    </row>
    <row r="3078" spans="1:4" x14ac:dyDescent="0.25">
      <c r="A3078" s="15">
        <f>Sheet2!A3078</f>
        <v>0</v>
      </c>
      <c r="B3078" s="8">
        <v>2.93</v>
      </c>
      <c r="C3078" s="9">
        <v>0</v>
      </c>
      <c r="D3078" s="13">
        <f t="shared" si="48"/>
        <v>2.93</v>
      </c>
    </row>
    <row r="3079" spans="1:4" x14ac:dyDescent="0.25">
      <c r="A3079" s="15">
        <f>Sheet2!A3079</f>
        <v>0</v>
      </c>
      <c r="B3079" s="8">
        <v>2.76</v>
      </c>
      <c r="C3079" s="9">
        <v>0</v>
      </c>
      <c r="D3079" s="13">
        <f t="shared" si="48"/>
        <v>2.76</v>
      </c>
    </row>
    <row r="3080" spans="1:4" x14ac:dyDescent="0.25">
      <c r="A3080" s="15">
        <f>Sheet2!A3080</f>
        <v>0</v>
      </c>
      <c r="B3080" s="8">
        <v>3.26</v>
      </c>
      <c r="C3080" s="9">
        <v>0</v>
      </c>
      <c r="D3080" s="13">
        <f t="shared" si="48"/>
        <v>3.26</v>
      </c>
    </row>
    <row r="3081" spans="1:4" x14ac:dyDescent="0.25">
      <c r="A3081" s="15">
        <f>Sheet2!A3081</f>
        <v>0</v>
      </c>
      <c r="B3081" s="8">
        <v>3.94</v>
      </c>
      <c r="C3081" s="9">
        <v>0</v>
      </c>
      <c r="D3081" s="13">
        <f t="shared" si="48"/>
        <v>3.94</v>
      </c>
    </row>
    <row r="3082" spans="1:4" x14ac:dyDescent="0.25">
      <c r="A3082" s="15">
        <f>Sheet2!A3082</f>
        <v>0</v>
      </c>
      <c r="B3082" s="8">
        <v>0</v>
      </c>
      <c r="C3082" s="9">
        <v>0.87</v>
      </c>
      <c r="D3082" s="13">
        <f t="shared" si="48"/>
        <v>0.87</v>
      </c>
    </row>
    <row r="3083" spans="1:4" x14ac:dyDescent="0.25">
      <c r="A3083" s="15">
        <f>Sheet2!A3083</f>
        <v>0</v>
      </c>
      <c r="B3083" s="8">
        <v>0</v>
      </c>
      <c r="C3083" s="9">
        <v>1.3</v>
      </c>
      <c r="D3083" s="13">
        <f t="shared" si="48"/>
        <v>1.3</v>
      </c>
    </row>
    <row r="3084" spans="1:4" x14ac:dyDescent="0.25">
      <c r="A3084" s="15">
        <f>Sheet2!A3084</f>
        <v>0</v>
      </c>
      <c r="B3084" s="8">
        <v>0</v>
      </c>
      <c r="C3084" s="9">
        <v>1.21</v>
      </c>
      <c r="D3084" s="13">
        <f t="shared" si="48"/>
        <v>1.21</v>
      </c>
    </row>
    <row r="3085" spans="1:4" x14ac:dyDescent="0.25">
      <c r="A3085" s="15">
        <f>Sheet2!A3085</f>
        <v>0</v>
      </c>
      <c r="B3085" s="8">
        <v>0</v>
      </c>
      <c r="C3085" s="9">
        <v>1.1499999999999999</v>
      </c>
      <c r="D3085" s="13">
        <f t="shared" si="48"/>
        <v>1.1499999999999999</v>
      </c>
    </row>
    <row r="3086" spans="1:4" x14ac:dyDescent="0.25">
      <c r="A3086" s="15">
        <f>Sheet2!A3086</f>
        <v>0</v>
      </c>
      <c r="B3086" s="8">
        <v>0</v>
      </c>
      <c r="C3086" s="9">
        <v>1.87</v>
      </c>
      <c r="D3086" s="13">
        <f t="shared" si="48"/>
        <v>1.87</v>
      </c>
    </row>
    <row r="3087" spans="1:4" x14ac:dyDescent="0.25">
      <c r="A3087" s="15">
        <f>Sheet2!A3087</f>
        <v>0</v>
      </c>
      <c r="B3087" s="8">
        <v>0</v>
      </c>
      <c r="C3087" s="9">
        <v>1.99</v>
      </c>
      <c r="D3087" s="13">
        <f t="shared" si="48"/>
        <v>1.99</v>
      </c>
    </row>
    <row r="3088" spans="1:4" x14ac:dyDescent="0.25">
      <c r="A3088" s="15">
        <f>Sheet2!A3088</f>
        <v>0</v>
      </c>
      <c r="B3088" s="8">
        <v>0</v>
      </c>
      <c r="C3088" s="9">
        <v>1.52</v>
      </c>
      <c r="D3088" s="13">
        <f t="shared" si="48"/>
        <v>1.52</v>
      </c>
    </row>
    <row r="3089" spans="1:4" x14ac:dyDescent="0.25">
      <c r="A3089" s="15">
        <f>Sheet2!A3089</f>
        <v>0</v>
      </c>
      <c r="B3089" s="8">
        <v>0</v>
      </c>
      <c r="C3089" s="9">
        <v>1.28</v>
      </c>
      <c r="D3089" s="13">
        <f t="shared" si="48"/>
        <v>1.28</v>
      </c>
    </row>
    <row r="3090" spans="1:4" x14ac:dyDescent="0.25">
      <c r="A3090" s="15">
        <f>Sheet2!A3090</f>
        <v>0</v>
      </c>
      <c r="B3090" s="8">
        <v>5.72</v>
      </c>
      <c r="C3090" s="9">
        <v>0</v>
      </c>
      <c r="D3090" s="13">
        <f t="shared" si="48"/>
        <v>5.72</v>
      </c>
    </row>
    <row r="3091" spans="1:4" x14ac:dyDescent="0.25">
      <c r="A3091" s="15">
        <f>Sheet2!A3091</f>
        <v>0</v>
      </c>
      <c r="B3091" s="8">
        <v>0</v>
      </c>
      <c r="C3091" s="9">
        <v>0.99</v>
      </c>
      <c r="D3091" s="13">
        <f t="shared" si="48"/>
        <v>0.99</v>
      </c>
    </row>
    <row r="3092" spans="1:4" x14ac:dyDescent="0.25">
      <c r="A3092" s="15">
        <f>Sheet2!A3092</f>
        <v>0</v>
      </c>
      <c r="B3092" s="8">
        <v>0</v>
      </c>
      <c r="C3092" s="9">
        <v>1.53</v>
      </c>
      <c r="D3092" s="13">
        <f t="shared" si="48"/>
        <v>1.53</v>
      </c>
    </row>
    <row r="3093" spans="1:4" x14ac:dyDescent="0.25">
      <c r="A3093" s="15">
        <f>Sheet2!A3093</f>
        <v>0</v>
      </c>
      <c r="B3093" s="8">
        <v>0</v>
      </c>
      <c r="C3093" s="9">
        <v>0.6</v>
      </c>
      <c r="D3093" s="13">
        <f t="shared" si="48"/>
        <v>0.6</v>
      </c>
    </row>
    <row r="3094" spans="1:4" x14ac:dyDescent="0.25">
      <c r="A3094" s="15">
        <f>Sheet2!A3094</f>
        <v>0</v>
      </c>
      <c r="B3094" s="8">
        <v>6</v>
      </c>
      <c r="C3094" s="9">
        <v>0</v>
      </c>
      <c r="D3094" s="13">
        <f t="shared" si="48"/>
        <v>6</v>
      </c>
    </row>
    <row r="3095" spans="1:4" x14ac:dyDescent="0.25">
      <c r="A3095" s="15">
        <f>Sheet2!A3095</f>
        <v>0</v>
      </c>
      <c r="B3095" s="8">
        <v>0</v>
      </c>
      <c r="C3095" s="9">
        <v>1.59</v>
      </c>
      <c r="D3095" s="13">
        <f t="shared" si="48"/>
        <v>1.59</v>
      </c>
    </row>
    <row r="3096" spans="1:4" x14ac:dyDescent="0.25">
      <c r="A3096" s="15">
        <f>Sheet2!A3096</f>
        <v>0</v>
      </c>
      <c r="B3096" s="8">
        <v>0</v>
      </c>
      <c r="C3096" s="9">
        <v>1.9</v>
      </c>
      <c r="D3096" s="13">
        <f t="shared" si="48"/>
        <v>1.9</v>
      </c>
    </row>
    <row r="3097" spans="1:4" x14ac:dyDescent="0.25">
      <c r="A3097" s="15">
        <f>Sheet2!A3097</f>
        <v>0</v>
      </c>
      <c r="B3097" s="8">
        <v>7.75</v>
      </c>
      <c r="C3097" s="9">
        <v>0</v>
      </c>
      <c r="D3097" s="13">
        <f t="shared" si="48"/>
        <v>7.75</v>
      </c>
    </row>
    <row r="3098" spans="1:4" x14ac:dyDescent="0.25">
      <c r="A3098" s="15">
        <f>Sheet2!A3098</f>
        <v>0</v>
      </c>
      <c r="B3098" s="8">
        <v>7.34</v>
      </c>
      <c r="C3098" s="9">
        <v>0</v>
      </c>
      <c r="D3098" s="13">
        <f t="shared" si="48"/>
        <v>7.34</v>
      </c>
    </row>
    <row r="3099" spans="1:4" x14ac:dyDescent="0.25">
      <c r="A3099" s="15">
        <f>Sheet2!A3099</f>
        <v>0</v>
      </c>
      <c r="B3099" s="8">
        <v>6.56</v>
      </c>
      <c r="C3099" s="9">
        <v>0</v>
      </c>
      <c r="D3099" s="13">
        <f t="shared" si="48"/>
        <v>6.56</v>
      </c>
    </row>
    <row r="3100" spans="1:4" x14ac:dyDescent="0.25">
      <c r="A3100" s="15">
        <f>Sheet2!A3100</f>
        <v>0</v>
      </c>
      <c r="B3100" s="8">
        <v>6.14</v>
      </c>
      <c r="C3100" s="9">
        <v>0</v>
      </c>
      <c r="D3100" s="13">
        <f t="shared" si="48"/>
        <v>6.14</v>
      </c>
    </row>
    <row r="3101" spans="1:4" x14ac:dyDescent="0.25">
      <c r="A3101" s="15">
        <f>Sheet2!A3101</f>
        <v>0</v>
      </c>
      <c r="B3101" s="8">
        <v>6.19</v>
      </c>
      <c r="C3101" s="9">
        <v>0</v>
      </c>
      <c r="D3101" s="13">
        <f t="shared" si="48"/>
        <v>6.19</v>
      </c>
    </row>
    <row r="3102" spans="1:4" x14ac:dyDescent="0.25">
      <c r="A3102" s="15">
        <f>Sheet2!A3102</f>
        <v>0</v>
      </c>
      <c r="B3102" s="8">
        <v>6.85</v>
      </c>
      <c r="C3102" s="9">
        <v>0</v>
      </c>
      <c r="D3102" s="13">
        <f t="shared" si="48"/>
        <v>6.85</v>
      </c>
    </row>
    <row r="3103" spans="1:4" x14ac:dyDescent="0.25">
      <c r="A3103" s="15">
        <f>Sheet2!A3103</f>
        <v>0</v>
      </c>
      <c r="B3103" s="8">
        <v>6.15</v>
      </c>
      <c r="C3103" s="9">
        <v>0</v>
      </c>
      <c r="D3103" s="13">
        <f t="shared" si="48"/>
        <v>6.15</v>
      </c>
    </row>
    <row r="3104" spans="1:4" x14ac:dyDescent="0.25">
      <c r="A3104" s="15">
        <f>Sheet2!A3104</f>
        <v>0</v>
      </c>
      <c r="B3104" s="8">
        <v>4.63</v>
      </c>
      <c r="C3104" s="9">
        <v>0</v>
      </c>
      <c r="D3104" s="13">
        <f t="shared" si="48"/>
        <v>4.63</v>
      </c>
    </row>
    <row r="3105" spans="1:4" x14ac:dyDescent="0.25">
      <c r="A3105" s="15">
        <f>Sheet2!A3105</f>
        <v>0</v>
      </c>
      <c r="B3105" s="8">
        <v>2.41</v>
      </c>
      <c r="C3105" s="9">
        <v>0</v>
      </c>
      <c r="D3105" s="13">
        <f t="shared" si="48"/>
        <v>2.41</v>
      </c>
    </row>
    <row r="3106" spans="1:4" x14ac:dyDescent="0.25">
      <c r="A3106" s="15">
        <f>Sheet2!A3106</f>
        <v>0</v>
      </c>
      <c r="B3106" s="8">
        <v>0.96</v>
      </c>
      <c r="C3106" s="9">
        <v>0</v>
      </c>
      <c r="D3106" s="13">
        <f t="shared" si="48"/>
        <v>0.96</v>
      </c>
    </row>
    <row r="3107" spans="1:4" x14ac:dyDescent="0.25">
      <c r="A3107" s="15">
        <f>Sheet2!A3107</f>
        <v>0</v>
      </c>
      <c r="B3107" s="8">
        <v>1.81</v>
      </c>
      <c r="C3107" s="9">
        <v>0</v>
      </c>
      <c r="D3107" s="13">
        <f t="shared" si="48"/>
        <v>1.81</v>
      </c>
    </row>
    <row r="3108" spans="1:4" x14ac:dyDescent="0.25">
      <c r="A3108" s="15">
        <f>Sheet2!A3108</f>
        <v>0</v>
      </c>
      <c r="B3108" s="8">
        <v>1.67</v>
      </c>
      <c r="C3108" s="9">
        <v>0</v>
      </c>
      <c r="D3108" s="13">
        <f t="shared" si="48"/>
        <v>1.67</v>
      </c>
    </row>
    <row r="3109" spans="1:4" x14ac:dyDescent="0.25">
      <c r="A3109" s="15">
        <f>Sheet2!A3109</f>
        <v>0</v>
      </c>
      <c r="B3109" s="8">
        <v>1.25</v>
      </c>
      <c r="C3109" s="9">
        <v>0</v>
      </c>
      <c r="D3109" s="13">
        <f t="shared" si="48"/>
        <v>1.25</v>
      </c>
    </row>
    <row r="3110" spans="1:4" x14ac:dyDescent="0.25">
      <c r="A3110" s="15">
        <f>Sheet2!A3110</f>
        <v>0</v>
      </c>
      <c r="B3110" s="8">
        <v>1.42</v>
      </c>
      <c r="C3110" s="9">
        <v>0</v>
      </c>
      <c r="D3110" s="13">
        <f t="shared" si="48"/>
        <v>1.42</v>
      </c>
    </row>
    <row r="3111" spans="1:4" x14ac:dyDescent="0.25">
      <c r="A3111" s="15">
        <f>Sheet2!A3111</f>
        <v>0</v>
      </c>
      <c r="B3111" s="8">
        <v>0</v>
      </c>
      <c r="C3111" s="9">
        <v>1.07</v>
      </c>
      <c r="D3111" s="13">
        <f t="shared" si="48"/>
        <v>1.07</v>
      </c>
    </row>
    <row r="3112" spans="1:4" x14ac:dyDescent="0.25">
      <c r="A3112" s="15">
        <f>Sheet2!A3112</f>
        <v>0</v>
      </c>
      <c r="B3112" s="8">
        <v>4.7699999999999996</v>
      </c>
      <c r="C3112" s="9">
        <v>0</v>
      </c>
      <c r="D3112" s="13">
        <f t="shared" si="48"/>
        <v>4.7699999999999996</v>
      </c>
    </row>
    <row r="3113" spans="1:4" x14ac:dyDescent="0.25">
      <c r="A3113" s="15">
        <f>Sheet2!A3113</f>
        <v>0</v>
      </c>
      <c r="B3113" s="8">
        <v>4.8499999999999996</v>
      </c>
      <c r="C3113" s="9">
        <v>0</v>
      </c>
      <c r="D3113" s="13">
        <f t="shared" si="48"/>
        <v>4.8499999999999996</v>
      </c>
    </row>
    <row r="3114" spans="1:4" x14ac:dyDescent="0.25">
      <c r="A3114" s="15">
        <f>Sheet2!A3114</f>
        <v>0</v>
      </c>
      <c r="B3114" s="8">
        <v>5.05</v>
      </c>
      <c r="C3114" s="9">
        <v>0</v>
      </c>
      <c r="D3114" s="13">
        <f t="shared" si="48"/>
        <v>5.05</v>
      </c>
    </row>
    <row r="3115" spans="1:4" x14ac:dyDescent="0.25">
      <c r="A3115" s="15">
        <f>Sheet2!A3115</f>
        <v>0</v>
      </c>
      <c r="B3115" s="8">
        <v>0</v>
      </c>
      <c r="C3115" s="9">
        <v>1.1499999999999999</v>
      </c>
      <c r="D3115" s="13">
        <f t="shared" si="48"/>
        <v>1.1499999999999999</v>
      </c>
    </row>
    <row r="3116" spans="1:4" x14ac:dyDescent="0.25">
      <c r="A3116" s="15">
        <f>Sheet2!A3116</f>
        <v>0</v>
      </c>
      <c r="B3116" s="8">
        <v>0</v>
      </c>
      <c r="C3116" s="9">
        <v>2.44</v>
      </c>
      <c r="D3116" s="13">
        <f t="shared" si="48"/>
        <v>2.44</v>
      </c>
    </row>
    <row r="3117" spans="1:4" x14ac:dyDescent="0.25">
      <c r="A3117" s="15">
        <f>Sheet2!A3117</f>
        <v>0</v>
      </c>
      <c r="B3117" s="8">
        <v>0</v>
      </c>
      <c r="C3117" s="9">
        <v>1</v>
      </c>
      <c r="D3117" s="13">
        <f t="shared" si="48"/>
        <v>1</v>
      </c>
    </row>
    <row r="3118" spans="1:4" x14ac:dyDescent="0.25">
      <c r="A3118" s="15">
        <f>Sheet2!A3118</f>
        <v>0</v>
      </c>
      <c r="B3118" s="8">
        <v>5.34</v>
      </c>
      <c r="C3118" s="9">
        <v>0</v>
      </c>
      <c r="D3118" s="13">
        <f t="shared" si="48"/>
        <v>5.34</v>
      </c>
    </row>
    <row r="3119" spans="1:4" x14ac:dyDescent="0.25">
      <c r="A3119" s="15">
        <f>Sheet2!A3119</f>
        <v>0</v>
      </c>
      <c r="B3119" s="8">
        <v>2.61</v>
      </c>
      <c r="C3119" s="9">
        <v>0</v>
      </c>
      <c r="D3119" s="13">
        <f t="shared" si="48"/>
        <v>2.61</v>
      </c>
    </row>
    <row r="3120" spans="1:4" x14ac:dyDescent="0.25">
      <c r="A3120" s="15">
        <f>Sheet2!A3120</f>
        <v>0</v>
      </c>
      <c r="B3120" s="8">
        <v>2.6</v>
      </c>
      <c r="C3120" s="9">
        <v>0</v>
      </c>
      <c r="D3120" s="13">
        <f t="shared" si="48"/>
        <v>2.6</v>
      </c>
    </row>
    <row r="3121" spans="1:4" x14ac:dyDescent="0.25">
      <c r="A3121" s="15">
        <f>Sheet2!A3121</f>
        <v>0</v>
      </c>
      <c r="B3121" s="8">
        <v>4.17</v>
      </c>
      <c r="C3121" s="9">
        <v>0</v>
      </c>
      <c r="D3121" s="13">
        <f t="shared" si="48"/>
        <v>4.17</v>
      </c>
    </row>
    <row r="3122" spans="1:4" x14ac:dyDescent="0.25">
      <c r="A3122" s="15">
        <f>Sheet2!A3122</f>
        <v>0</v>
      </c>
      <c r="B3122" s="8">
        <v>3.74</v>
      </c>
      <c r="C3122" s="9">
        <v>0</v>
      </c>
      <c r="D3122" s="13">
        <f t="shared" si="48"/>
        <v>3.74</v>
      </c>
    </row>
    <row r="3123" spans="1:4" x14ac:dyDescent="0.25">
      <c r="A3123" s="15">
        <f>Sheet2!A3123</f>
        <v>0</v>
      </c>
      <c r="B3123" s="8">
        <v>3.51</v>
      </c>
      <c r="C3123" s="9">
        <v>0</v>
      </c>
      <c r="D3123" s="13">
        <f t="shared" si="48"/>
        <v>3.51</v>
      </c>
    </row>
    <row r="3124" spans="1:4" x14ac:dyDescent="0.25">
      <c r="A3124" s="15">
        <f>Sheet2!A3124</f>
        <v>0</v>
      </c>
      <c r="B3124" s="8">
        <v>3.37</v>
      </c>
      <c r="C3124" s="9">
        <v>0</v>
      </c>
      <c r="D3124" s="13">
        <f t="shared" si="48"/>
        <v>3.37</v>
      </c>
    </row>
    <row r="3125" spans="1:4" x14ac:dyDescent="0.25">
      <c r="A3125" s="15">
        <f>Sheet2!A3125</f>
        <v>0</v>
      </c>
      <c r="B3125" s="8">
        <v>3.6</v>
      </c>
      <c r="C3125" s="9">
        <v>0</v>
      </c>
      <c r="D3125" s="13">
        <f t="shared" si="48"/>
        <v>3.6</v>
      </c>
    </row>
    <row r="3126" spans="1:4" x14ac:dyDescent="0.25">
      <c r="A3126" s="15">
        <f>Sheet2!A3126</f>
        <v>0</v>
      </c>
      <c r="B3126" s="8">
        <v>3.42</v>
      </c>
      <c r="C3126" s="9">
        <v>0</v>
      </c>
      <c r="D3126" s="13">
        <f t="shared" si="48"/>
        <v>3.42</v>
      </c>
    </row>
    <row r="3127" spans="1:4" x14ac:dyDescent="0.25">
      <c r="A3127" s="15">
        <f>Sheet2!A3127</f>
        <v>0</v>
      </c>
      <c r="B3127" s="8">
        <v>3.52</v>
      </c>
      <c r="C3127" s="9">
        <v>0</v>
      </c>
      <c r="D3127" s="13">
        <f t="shared" si="48"/>
        <v>3.52</v>
      </c>
    </row>
    <row r="3128" spans="1:4" x14ac:dyDescent="0.25">
      <c r="A3128" s="15">
        <f>Sheet2!A3128</f>
        <v>0</v>
      </c>
      <c r="B3128" s="8">
        <v>1.4</v>
      </c>
      <c r="C3128" s="9">
        <v>0</v>
      </c>
      <c r="D3128" s="13">
        <f t="shared" si="48"/>
        <v>1.4</v>
      </c>
    </row>
    <row r="3129" spans="1:4" x14ac:dyDescent="0.25">
      <c r="A3129" s="15">
        <f>Sheet2!A3129</f>
        <v>0</v>
      </c>
      <c r="B3129" s="8">
        <v>1.0900000000000001</v>
      </c>
      <c r="C3129" s="9">
        <v>0</v>
      </c>
      <c r="D3129" s="13">
        <f t="shared" si="48"/>
        <v>1.0900000000000001</v>
      </c>
    </row>
    <row r="3130" spans="1:4" x14ac:dyDescent="0.25">
      <c r="A3130" s="15">
        <f>Sheet2!A3130</f>
        <v>0</v>
      </c>
      <c r="B3130" s="8">
        <v>2.09</v>
      </c>
      <c r="C3130" s="9">
        <v>0</v>
      </c>
      <c r="D3130" s="13">
        <f t="shared" si="48"/>
        <v>2.09</v>
      </c>
    </row>
    <row r="3131" spans="1:4" x14ac:dyDescent="0.25">
      <c r="A3131" s="15">
        <f>Sheet2!A3131</f>
        <v>0</v>
      </c>
      <c r="B3131" s="8">
        <v>2.5099999999999998</v>
      </c>
      <c r="C3131" s="9">
        <v>0</v>
      </c>
      <c r="D3131" s="13">
        <f t="shared" si="48"/>
        <v>2.5099999999999998</v>
      </c>
    </row>
    <row r="3132" spans="1:4" x14ac:dyDescent="0.25">
      <c r="A3132" s="15">
        <f>Sheet2!A3132</f>
        <v>0</v>
      </c>
      <c r="B3132" s="8">
        <v>3.53</v>
      </c>
      <c r="C3132" s="9">
        <v>0</v>
      </c>
      <c r="D3132" s="13">
        <f t="shared" si="48"/>
        <v>3.53</v>
      </c>
    </row>
    <row r="3133" spans="1:4" x14ac:dyDescent="0.25">
      <c r="A3133" s="15">
        <f>Sheet2!A3133</f>
        <v>0</v>
      </c>
      <c r="B3133" s="8">
        <v>4.13</v>
      </c>
      <c r="C3133" s="9">
        <v>0</v>
      </c>
      <c r="D3133" s="13">
        <f t="shared" si="48"/>
        <v>4.13</v>
      </c>
    </row>
    <row r="3134" spans="1:4" x14ac:dyDescent="0.25">
      <c r="A3134" s="15">
        <f>Sheet2!A3134</f>
        <v>0</v>
      </c>
      <c r="B3134" s="8">
        <v>3.19</v>
      </c>
      <c r="C3134" s="9">
        <v>0</v>
      </c>
      <c r="D3134" s="13">
        <f t="shared" si="48"/>
        <v>3.19</v>
      </c>
    </row>
    <row r="3135" spans="1:4" x14ac:dyDescent="0.25">
      <c r="A3135" s="15">
        <f>Sheet2!A3135</f>
        <v>0</v>
      </c>
      <c r="B3135" s="8">
        <v>5.48</v>
      </c>
      <c r="C3135" s="9">
        <v>0</v>
      </c>
      <c r="D3135" s="13">
        <f t="shared" si="48"/>
        <v>5.48</v>
      </c>
    </row>
    <row r="3136" spans="1:4" x14ac:dyDescent="0.25">
      <c r="A3136" s="15">
        <f>Sheet2!A3136</f>
        <v>0</v>
      </c>
      <c r="B3136" s="8">
        <v>3.85</v>
      </c>
      <c r="C3136" s="9">
        <v>0</v>
      </c>
      <c r="D3136" s="13">
        <f t="shared" si="48"/>
        <v>3.85</v>
      </c>
    </row>
    <row r="3137" spans="1:4" x14ac:dyDescent="0.25">
      <c r="A3137" s="15">
        <f>Sheet2!A3137</f>
        <v>0</v>
      </c>
      <c r="B3137" s="8">
        <v>2.7</v>
      </c>
      <c r="C3137" s="9">
        <v>0</v>
      </c>
      <c r="D3137" s="13">
        <f t="shared" si="48"/>
        <v>2.7</v>
      </c>
    </row>
    <row r="3138" spans="1:4" x14ac:dyDescent="0.25">
      <c r="A3138" s="15">
        <f>Sheet2!A3138</f>
        <v>0</v>
      </c>
      <c r="B3138" s="8">
        <v>4.2699999999999996</v>
      </c>
      <c r="C3138" s="9">
        <v>0</v>
      </c>
      <c r="D3138" s="13">
        <f t="shared" si="48"/>
        <v>4.2699999999999996</v>
      </c>
    </row>
    <row r="3139" spans="1:4" x14ac:dyDescent="0.25">
      <c r="A3139" s="15">
        <f>Sheet2!A3139</f>
        <v>0</v>
      </c>
      <c r="B3139" s="8">
        <v>3.84</v>
      </c>
      <c r="C3139" s="9">
        <v>0</v>
      </c>
      <c r="D3139" s="13">
        <f t="shared" ref="D3139:D3202" si="49">B3139+C3139</f>
        <v>3.84</v>
      </c>
    </row>
    <row r="3140" spans="1:4" x14ac:dyDescent="0.25">
      <c r="A3140" s="15">
        <f>Sheet2!A3140</f>
        <v>0</v>
      </c>
      <c r="B3140" s="8">
        <v>2.74</v>
      </c>
      <c r="C3140" s="9">
        <v>0</v>
      </c>
      <c r="D3140" s="13">
        <f t="shared" si="49"/>
        <v>2.74</v>
      </c>
    </row>
    <row r="3141" spans="1:4" x14ac:dyDescent="0.25">
      <c r="A3141" s="15">
        <f>Sheet2!A3141</f>
        <v>0</v>
      </c>
      <c r="B3141" s="8">
        <v>3.76</v>
      </c>
      <c r="C3141" s="9">
        <v>0</v>
      </c>
      <c r="D3141" s="13">
        <f t="shared" si="49"/>
        <v>3.76</v>
      </c>
    </row>
    <row r="3142" spans="1:4" x14ac:dyDescent="0.25">
      <c r="A3142" s="15">
        <f>Sheet2!A3142</f>
        <v>0</v>
      </c>
      <c r="B3142" s="8">
        <v>3.53</v>
      </c>
      <c r="C3142" s="9">
        <v>0</v>
      </c>
      <c r="D3142" s="13">
        <f t="shared" si="49"/>
        <v>3.53</v>
      </c>
    </row>
    <row r="3143" spans="1:4" x14ac:dyDescent="0.25">
      <c r="A3143" s="15">
        <f>Sheet2!A3143</f>
        <v>0</v>
      </c>
      <c r="B3143" s="8">
        <v>3.28</v>
      </c>
      <c r="C3143" s="9">
        <v>0</v>
      </c>
      <c r="D3143" s="13">
        <f t="shared" si="49"/>
        <v>3.28</v>
      </c>
    </row>
    <row r="3144" spans="1:4" x14ac:dyDescent="0.25">
      <c r="A3144" s="15">
        <f>Sheet2!A3144</f>
        <v>0</v>
      </c>
      <c r="B3144" s="8">
        <v>4.76</v>
      </c>
      <c r="C3144" s="9">
        <v>0</v>
      </c>
      <c r="D3144" s="13">
        <f t="shared" si="49"/>
        <v>4.76</v>
      </c>
    </row>
    <row r="3145" spans="1:4" x14ac:dyDescent="0.25">
      <c r="A3145" s="15">
        <f>Sheet2!A3145</f>
        <v>0</v>
      </c>
      <c r="B3145" s="8">
        <v>4.07</v>
      </c>
      <c r="C3145" s="9">
        <v>0</v>
      </c>
      <c r="D3145" s="13">
        <f t="shared" si="49"/>
        <v>4.07</v>
      </c>
    </row>
    <row r="3146" spans="1:4" x14ac:dyDescent="0.25">
      <c r="A3146" s="15">
        <f>Sheet2!A3146</f>
        <v>0</v>
      </c>
      <c r="B3146" s="8">
        <v>4.1500000000000004</v>
      </c>
      <c r="C3146" s="9">
        <v>0</v>
      </c>
      <c r="D3146" s="13">
        <f t="shared" si="49"/>
        <v>4.1500000000000004</v>
      </c>
    </row>
    <row r="3147" spans="1:4" x14ac:dyDescent="0.25">
      <c r="A3147" s="15">
        <f>Sheet2!A3147</f>
        <v>0</v>
      </c>
      <c r="B3147" s="8">
        <v>3.5</v>
      </c>
      <c r="C3147" s="9">
        <v>0</v>
      </c>
      <c r="D3147" s="13">
        <f t="shared" si="49"/>
        <v>3.5</v>
      </c>
    </row>
    <row r="3148" spans="1:4" x14ac:dyDescent="0.25">
      <c r="A3148" s="15">
        <f>Sheet2!A3148</f>
        <v>0</v>
      </c>
      <c r="B3148" s="8">
        <v>3.68</v>
      </c>
      <c r="C3148" s="9">
        <v>0</v>
      </c>
      <c r="D3148" s="13">
        <f t="shared" si="49"/>
        <v>3.68</v>
      </c>
    </row>
    <row r="3149" spans="1:4" x14ac:dyDescent="0.25">
      <c r="A3149" s="15">
        <f>Sheet2!A3149</f>
        <v>0</v>
      </c>
      <c r="B3149" s="8">
        <v>3.3</v>
      </c>
      <c r="C3149" s="9">
        <v>0</v>
      </c>
      <c r="D3149" s="13">
        <f t="shared" si="49"/>
        <v>3.3</v>
      </c>
    </row>
    <row r="3150" spans="1:4" x14ac:dyDescent="0.25">
      <c r="A3150" s="15">
        <f>Sheet2!A3150</f>
        <v>0</v>
      </c>
      <c r="B3150" s="8">
        <v>3.23</v>
      </c>
      <c r="C3150" s="9">
        <v>0</v>
      </c>
      <c r="D3150" s="13">
        <f t="shared" si="49"/>
        <v>3.23</v>
      </c>
    </row>
    <row r="3151" spans="1:4" x14ac:dyDescent="0.25">
      <c r="A3151" s="15">
        <f>Sheet2!A3151</f>
        <v>0</v>
      </c>
      <c r="B3151" s="8">
        <v>3.3</v>
      </c>
      <c r="C3151" s="9">
        <v>0</v>
      </c>
      <c r="D3151" s="13">
        <f t="shared" si="49"/>
        <v>3.3</v>
      </c>
    </row>
    <row r="3152" spans="1:4" x14ac:dyDescent="0.25">
      <c r="A3152" s="15">
        <f>Sheet2!A3152</f>
        <v>0</v>
      </c>
      <c r="B3152" s="8">
        <v>1.61</v>
      </c>
      <c r="C3152" s="9">
        <v>0</v>
      </c>
      <c r="D3152" s="13">
        <f t="shared" si="49"/>
        <v>1.61</v>
      </c>
    </row>
    <row r="3153" spans="1:4" x14ac:dyDescent="0.25">
      <c r="A3153" s="15">
        <f>Sheet2!A3153</f>
        <v>0</v>
      </c>
      <c r="B3153" s="8">
        <v>0.93</v>
      </c>
      <c r="C3153" s="9">
        <v>0</v>
      </c>
      <c r="D3153" s="13">
        <f t="shared" si="49"/>
        <v>0.93</v>
      </c>
    </row>
    <row r="3154" spans="1:4" x14ac:dyDescent="0.25">
      <c r="A3154" s="15">
        <f>Sheet2!A3154</f>
        <v>0</v>
      </c>
      <c r="B3154" s="8">
        <v>0.92</v>
      </c>
      <c r="C3154" s="9">
        <v>0</v>
      </c>
      <c r="D3154" s="13">
        <f t="shared" si="49"/>
        <v>0.92</v>
      </c>
    </row>
    <row r="3155" spans="1:4" x14ac:dyDescent="0.25">
      <c r="A3155" s="15">
        <f>Sheet2!A3155</f>
        <v>0</v>
      </c>
      <c r="B3155" s="8">
        <v>3.34</v>
      </c>
      <c r="C3155" s="9">
        <v>0</v>
      </c>
      <c r="D3155" s="13">
        <f t="shared" si="49"/>
        <v>3.34</v>
      </c>
    </row>
    <row r="3156" spans="1:4" x14ac:dyDescent="0.25">
      <c r="A3156" s="15">
        <f>Sheet2!A3156</f>
        <v>0</v>
      </c>
      <c r="B3156" s="8">
        <v>2.42</v>
      </c>
      <c r="C3156" s="9">
        <v>0</v>
      </c>
      <c r="D3156" s="13">
        <f t="shared" si="49"/>
        <v>2.42</v>
      </c>
    </row>
    <row r="3157" spans="1:4" x14ac:dyDescent="0.25">
      <c r="A3157" s="15">
        <f>Sheet2!A3157</f>
        <v>0</v>
      </c>
      <c r="B3157" s="8">
        <v>2.6</v>
      </c>
      <c r="C3157" s="9">
        <v>0</v>
      </c>
      <c r="D3157" s="13">
        <f t="shared" si="49"/>
        <v>2.6</v>
      </c>
    </row>
    <row r="3158" spans="1:4" x14ac:dyDescent="0.25">
      <c r="A3158" s="15">
        <f>Sheet2!A3158</f>
        <v>0</v>
      </c>
      <c r="B3158" s="8">
        <v>1.29</v>
      </c>
      <c r="C3158" s="9">
        <v>0</v>
      </c>
      <c r="D3158" s="13">
        <f t="shared" si="49"/>
        <v>1.29</v>
      </c>
    </row>
    <row r="3159" spans="1:4" x14ac:dyDescent="0.25">
      <c r="A3159" s="15">
        <f>Sheet2!A3159</f>
        <v>0</v>
      </c>
      <c r="B3159" s="8">
        <v>0.84</v>
      </c>
      <c r="C3159" s="9">
        <v>0</v>
      </c>
      <c r="D3159" s="13">
        <f t="shared" si="49"/>
        <v>0.84</v>
      </c>
    </row>
    <row r="3160" spans="1:4" x14ac:dyDescent="0.25">
      <c r="A3160" s="15">
        <f>Sheet2!A3160</f>
        <v>0</v>
      </c>
      <c r="B3160" s="8">
        <v>0.96</v>
      </c>
      <c r="C3160" s="9">
        <v>0</v>
      </c>
      <c r="D3160" s="13">
        <f t="shared" si="49"/>
        <v>0.96</v>
      </c>
    </row>
    <row r="3161" spans="1:4" x14ac:dyDescent="0.25">
      <c r="A3161" s="15">
        <f>Sheet2!A3161</f>
        <v>0</v>
      </c>
      <c r="B3161" s="8">
        <v>1.05</v>
      </c>
      <c r="C3161" s="9">
        <v>0</v>
      </c>
      <c r="D3161" s="13">
        <f t="shared" si="49"/>
        <v>1.05</v>
      </c>
    </row>
    <row r="3162" spans="1:4" x14ac:dyDescent="0.25">
      <c r="A3162" s="15">
        <f>Sheet2!A3162</f>
        <v>0</v>
      </c>
      <c r="B3162" s="8">
        <v>1.1200000000000001</v>
      </c>
      <c r="C3162" s="9">
        <v>0</v>
      </c>
      <c r="D3162" s="13">
        <f t="shared" si="49"/>
        <v>1.1200000000000001</v>
      </c>
    </row>
    <row r="3163" spans="1:4" x14ac:dyDescent="0.25">
      <c r="A3163" s="15">
        <f>Sheet2!A3163</f>
        <v>0</v>
      </c>
      <c r="B3163" s="8">
        <v>1.93</v>
      </c>
      <c r="C3163" s="9">
        <v>0</v>
      </c>
      <c r="D3163" s="13">
        <f t="shared" si="49"/>
        <v>1.93</v>
      </c>
    </row>
    <row r="3164" spans="1:4" x14ac:dyDescent="0.25">
      <c r="A3164" s="15">
        <f>Sheet2!A3164</f>
        <v>0</v>
      </c>
      <c r="B3164" s="8">
        <v>1.43</v>
      </c>
      <c r="C3164" s="9">
        <v>0</v>
      </c>
      <c r="D3164" s="13">
        <f t="shared" si="49"/>
        <v>1.43</v>
      </c>
    </row>
    <row r="3165" spans="1:4" x14ac:dyDescent="0.25">
      <c r="A3165" s="15">
        <f>Sheet2!A3165</f>
        <v>0</v>
      </c>
      <c r="B3165" s="8">
        <v>1.84</v>
      </c>
      <c r="C3165" s="9">
        <v>0</v>
      </c>
      <c r="D3165" s="13">
        <f t="shared" si="49"/>
        <v>1.84</v>
      </c>
    </row>
    <row r="3166" spans="1:4" x14ac:dyDescent="0.25">
      <c r="A3166" s="15">
        <f>Sheet2!A3166</f>
        <v>0</v>
      </c>
      <c r="B3166" s="8">
        <v>1.48</v>
      </c>
      <c r="C3166" s="9">
        <v>0</v>
      </c>
      <c r="D3166" s="13">
        <f t="shared" si="49"/>
        <v>1.48</v>
      </c>
    </row>
    <row r="3167" spans="1:4" x14ac:dyDescent="0.25">
      <c r="A3167" s="15">
        <f>Sheet2!A3167</f>
        <v>0</v>
      </c>
      <c r="B3167" s="8">
        <v>2.52</v>
      </c>
      <c r="C3167" s="9">
        <v>0</v>
      </c>
      <c r="D3167" s="13">
        <f t="shared" si="49"/>
        <v>2.52</v>
      </c>
    </row>
    <row r="3168" spans="1:4" x14ac:dyDescent="0.25">
      <c r="A3168" s="15">
        <f>Sheet2!A3168</f>
        <v>0</v>
      </c>
      <c r="B3168" s="8">
        <v>2.71</v>
      </c>
      <c r="C3168" s="9">
        <v>0</v>
      </c>
      <c r="D3168" s="13">
        <f t="shared" si="49"/>
        <v>2.71</v>
      </c>
    </row>
    <row r="3169" spans="1:4" x14ac:dyDescent="0.25">
      <c r="A3169" s="15">
        <f>Sheet2!A3169</f>
        <v>0</v>
      </c>
      <c r="B3169" s="8">
        <v>4.1399999999999997</v>
      </c>
      <c r="C3169" s="9">
        <v>0</v>
      </c>
      <c r="D3169" s="13">
        <f t="shared" si="49"/>
        <v>4.1399999999999997</v>
      </c>
    </row>
    <row r="3170" spans="1:4" x14ac:dyDescent="0.25">
      <c r="A3170" s="15">
        <f>Sheet2!A3170</f>
        <v>0</v>
      </c>
      <c r="B3170" s="8">
        <v>3.93</v>
      </c>
      <c r="C3170" s="9">
        <v>0</v>
      </c>
      <c r="D3170" s="13">
        <f t="shared" si="49"/>
        <v>3.93</v>
      </c>
    </row>
    <row r="3171" spans="1:4" x14ac:dyDescent="0.25">
      <c r="A3171" s="15">
        <f>Sheet2!A3171</f>
        <v>0</v>
      </c>
      <c r="B3171" s="8">
        <v>4.4400000000000004</v>
      </c>
      <c r="C3171" s="9">
        <v>0</v>
      </c>
      <c r="D3171" s="13">
        <f t="shared" si="49"/>
        <v>4.4400000000000004</v>
      </c>
    </row>
    <row r="3172" spans="1:4" x14ac:dyDescent="0.25">
      <c r="A3172" s="15">
        <f>Sheet2!A3172</f>
        <v>0</v>
      </c>
      <c r="B3172" s="8">
        <v>3.31</v>
      </c>
      <c r="C3172" s="9">
        <v>0</v>
      </c>
      <c r="D3172" s="13">
        <f t="shared" si="49"/>
        <v>3.31</v>
      </c>
    </row>
    <row r="3173" spans="1:4" x14ac:dyDescent="0.25">
      <c r="A3173" s="15">
        <f>Sheet2!A3173</f>
        <v>0</v>
      </c>
      <c r="B3173" s="8">
        <v>3.28</v>
      </c>
      <c r="C3173" s="9">
        <v>0</v>
      </c>
      <c r="D3173" s="13">
        <f t="shared" si="49"/>
        <v>3.28</v>
      </c>
    </row>
    <row r="3174" spans="1:4" x14ac:dyDescent="0.25">
      <c r="A3174" s="15">
        <f>Sheet2!A3174</f>
        <v>0</v>
      </c>
      <c r="B3174" s="8">
        <v>3.81</v>
      </c>
      <c r="C3174" s="9">
        <v>0</v>
      </c>
      <c r="D3174" s="13">
        <f t="shared" si="49"/>
        <v>3.81</v>
      </c>
    </row>
    <row r="3175" spans="1:4" x14ac:dyDescent="0.25">
      <c r="A3175" s="15">
        <f>Sheet2!A3175</f>
        <v>0</v>
      </c>
      <c r="B3175" s="8">
        <v>3.35</v>
      </c>
      <c r="C3175" s="9">
        <v>0</v>
      </c>
      <c r="D3175" s="13">
        <f t="shared" si="49"/>
        <v>3.35</v>
      </c>
    </row>
    <row r="3176" spans="1:4" x14ac:dyDescent="0.25">
      <c r="A3176" s="15">
        <f>Sheet2!A3176</f>
        <v>0</v>
      </c>
      <c r="B3176" s="8">
        <v>0.95</v>
      </c>
      <c r="C3176" s="9">
        <v>0</v>
      </c>
      <c r="D3176" s="13">
        <f t="shared" si="49"/>
        <v>0.95</v>
      </c>
    </row>
    <row r="3177" spans="1:4" x14ac:dyDescent="0.25">
      <c r="A3177" s="15">
        <f>Sheet2!A3177</f>
        <v>0</v>
      </c>
      <c r="B3177" s="8">
        <v>0.93</v>
      </c>
      <c r="C3177" s="9">
        <v>0</v>
      </c>
      <c r="D3177" s="13">
        <f t="shared" si="49"/>
        <v>0.93</v>
      </c>
    </row>
    <row r="3178" spans="1:4" x14ac:dyDescent="0.25">
      <c r="A3178" s="15">
        <f>Sheet2!A3178</f>
        <v>0</v>
      </c>
      <c r="B3178" s="8">
        <v>1.1100000000000001</v>
      </c>
      <c r="C3178" s="9">
        <v>0</v>
      </c>
      <c r="D3178" s="13">
        <f t="shared" si="49"/>
        <v>1.1100000000000001</v>
      </c>
    </row>
    <row r="3179" spans="1:4" x14ac:dyDescent="0.25">
      <c r="A3179" s="15">
        <f>Sheet2!A3179</f>
        <v>0</v>
      </c>
      <c r="B3179" s="8">
        <v>1.71</v>
      </c>
      <c r="C3179" s="9">
        <v>0</v>
      </c>
      <c r="D3179" s="13">
        <f t="shared" si="49"/>
        <v>1.71</v>
      </c>
    </row>
    <row r="3180" spans="1:4" x14ac:dyDescent="0.25">
      <c r="A3180" s="15">
        <f>Sheet2!A3180</f>
        <v>0</v>
      </c>
      <c r="B3180" s="8">
        <v>0</v>
      </c>
      <c r="C3180" s="9">
        <v>0.68</v>
      </c>
      <c r="D3180" s="13">
        <f t="shared" si="49"/>
        <v>0.68</v>
      </c>
    </row>
    <row r="3181" spans="1:4" x14ac:dyDescent="0.25">
      <c r="A3181" s="15">
        <f>Sheet2!A3181</f>
        <v>0</v>
      </c>
      <c r="B3181" s="8">
        <v>0</v>
      </c>
      <c r="C3181" s="9">
        <v>0.24</v>
      </c>
      <c r="D3181" s="13">
        <f t="shared" si="49"/>
        <v>0.24</v>
      </c>
    </row>
    <row r="3182" spans="1:4" x14ac:dyDescent="0.25">
      <c r="A3182" s="15">
        <f>Sheet2!A3182</f>
        <v>0</v>
      </c>
      <c r="B3182" s="8">
        <v>2.39</v>
      </c>
      <c r="C3182" s="9">
        <v>0</v>
      </c>
      <c r="D3182" s="13">
        <f t="shared" si="49"/>
        <v>2.39</v>
      </c>
    </row>
    <row r="3183" spans="1:4" x14ac:dyDescent="0.25">
      <c r="A3183" s="15">
        <f>Sheet2!A3183</f>
        <v>0</v>
      </c>
      <c r="B3183" s="8">
        <v>3.01</v>
      </c>
      <c r="C3183" s="9">
        <v>0</v>
      </c>
      <c r="D3183" s="13">
        <f t="shared" si="49"/>
        <v>3.01</v>
      </c>
    </row>
    <row r="3184" spans="1:4" x14ac:dyDescent="0.25">
      <c r="A3184" s="15">
        <f>Sheet2!A3184</f>
        <v>0</v>
      </c>
      <c r="B3184" s="8">
        <v>3.67</v>
      </c>
      <c r="C3184" s="9">
        <v>0</v>
      </c>
      <c r="D3184" s="13">
        <f t="shared" si="49"/>
        <v>3.67</v>
      </c>
    </row>
    <row r="3185" spans="1:4" x14ac:dyDescent="0.25">
      <c r="A3185" s="15">
        <f>Sheet2!A3185</f>
        <v>0</v>
      </c>
      <c r="B3185" s="8">
        <v>2.96</v>
      </c>
      <c r="C3185" s="9">
        <v>0</v>
      </c>
      <c r="D3185" s="13">
        <f t="shared" si="49"/>
        <v>2.96</v>
      </c>
    </row>
    <row r="3186" spans="1:4" x14ac:dyDescent="0.25">
      <c r="A3186" s="15">
        <f>Sheet2!A3186</f>
        <v>0</v>
      </c>
      <c r="B3186" s="8">
        <v>3.78</v>
      </c>
      <c r="C3186" s="9">
        <v>0</v>
      </c>
      <c r="D3186" s="13">
        <f t="shared" si="49"/>
        <v>3.78</v>
      </c>
    </row>
    <row r="3187" spans="1:4" x14ac:dyDescent="0.25">
      <c r="A3187" s="15">
        <f>Sheet2!A3187</f>
        <v>0</v>
      </c>
      <c r="B3187" s="8">
        <v>0</v>
      </c>
      <c r="C3187" s="9">
        <v>0.74</v>
      </c>
      <c r="D3187" s="13">
        <f t="shared" si="49"/>
        <v>0.74</v>
      </c>
    </row>
    <row r="3188" spans="1:4" x14ac:dyDescent="0.25">
      <c r="A3188" s="15">
        <f>Sheet2!A3188</f>
        <v>0</v>
      </c>
      <c r="B3188" s="8">
        <v>2.99</v>
      </c>
      <c r="C3188" s="9">
        <v>0</v>
      </c>
      <c r="D3188" s="13">
        <f t="shared" si="49"/>
        <v>2.99</v>
      </c>
    </row>
    <row r="3189" spans="1:4" x14ac:dyDescent="0.25">
      <c r="A3189" s="15">
        <f>Sheet2!A3189</f>
        <v>0</v>
      </c>
      <c r="B3189" s="8">
        <v>2.93</v>
      </c>
      <c r="C3189" s="9">
        <v>0</v>
      </c>
      <c r="D3189" s="13">
        <f t="shared" si="49"/>
        <v>2.93</v>
      </c>
    </row>
    <row r="3190" spans="1:4" x14ac:dyDescent="0.25">
      <c r="A3190" s="15">
        <f>Sheet2!A3190</f>
        <v>0</v>
      </c>
      <c r="B3190" s="8">
        <v>2.83</v>
      </c>
      <c r="C3190" s="9">
        <v>0</v>
      </c>
      <c r="D3190" s="13">
        <f t="shared" si="49"/>
        <v>2.83</v>
      </c>
    </row>
    <row r="3191" spans="1:4" x14ac:dyDescent="0.25">
      <c r="A3191" s="15">
        <f>Sheet2!A3191</f>
        <v>0</v>
      </c>
      <c r="B3191" s="8">
        <v>2.78</v>
      </c>
      <c r="C3191" s="9">
        <v>0</v>
      </c>
      <c r="D3191" s="13">
        <f t="shared" si="49"/>
        <v>2.78</v>
      </c>
    </row>
    <row r="3192" spans="1:4" x14ac:dyDescent="0.25">
      <c r="A3192" s="15">
        <f>Sheet2!A3192</f>
        <v>0</v>
      </c>
      <c r="B3192" s="8">
        <v>3.27</v>
      </c>
      <c r="C3192" s="9">
        <v>0</v>
      </c>
      <c r="D3192" s="13">
        <f t="shared" si="49"/>
        <v>3.27</v>
      </c>
    </row>
    <row r="3193" spans="1:4" x14ac:dyDescent="0.25">
      <c r="A3193" s="15">
        <f>Sheet2!A3193</f>
        <v>0</v>
      </c>
      <c r="B3193" s="8">
        <v>3.05</v>
      </c>
      <c r="C3193" s="9">
        <v>0</v>
      </c>
      <c r="D3193" s="13">
        <f t="shared" si="49"/>
        <v>3.05</v>
      </c>
    </row>
    <row r="3194" spans="1:4" x14ac:dyDescent="0.25">
      <c r="A3194" s="15">
        <f>Sheet2!A3194</f>
        <v>0</v>
      </c>
      <c r="B3194" s="8">
        <v>3.08</v>
      </c>
      <c r="C3194" s="9">
        <v>0</v>
      </c>
      <c r="D3194" s="13">
        <f t="shared" si="49"/>
        <v>3.08</v>
      </c>
    </row>
    <row r="3195" spans="1:4" x14ac:dyDescent="0.25">
      <c r="A3195" s="15">
        <f>Sheet2!A3195</f>
        <v>0</v>
      </c>
      <c r="B3195" s="8">
        <v>2.82</v>
      </c>
      <c r="C3195" s="9">
        <v>0</v>
      </c>
      <c r="D3195" s="13">
        <f t="shared" si="49"/>
        <v>2.82</v>
      </c>
    </row>
    <row r="3196" spans="1:4" x14ac:dyDescent="0.25">
      <c r="A3196" s="15">
        <f>Sheet2!A3196</f>
        <v>0</v>
      </c>
      <c r="B3196" s="8">
        <v>2.59</v>
      </c>
      <c r="C3196" s="9">
        <v>0</v>
      </c>
      <c r="D3196" s="13">
        <f t="shared" si="49"/>
        <v>2.59</v>
      </c>
    </row>
    <row r="3197" spans="1:4" x14ac:dyDescent="0.25">
      <c r="A3197" s="15">
        <f>Sheet2!A3197</f>
        <v>0</v>
      </c>
      <c r="B3197" s="8">
        <v>2.4700000000000002</v>
      </c>
      <c r="C3197" s="9">
        <v>0</v>
      </c>
      <c r="D3197" s="13">
        <f t="shared" si="49"/>
        <v>2.4700000000000002</v>
      </c>
    </row>
    <row r="3198" spans="1:4" x14ac:dyDescent="0.25">
      <c r="A3198" s="15">
        <f>Sheet2!A3198</f>
        <v>0</v>
      </c>
      <c r="B3198" s="8">
        <v>2.93</v>
      </c>
      <c r="C3198" s="9">
        <v>0</v>
      </c>
      <c r="D3198" s="13">
        <f t="shared" si="49"/>
        <v>2.93</v>
      </c>
    </row>
    <row r="3199" spans="1:4" x14ac:dyDescent="0.25">
      <c r="A3199" s="15">
        <f>Sheet2!A3199</f>
        <v>0</v>
      </c>
      <c r="B3199" s="8">
        <v>2.77</v>
      </c>
      <c r="C3199" s="9">
        <v>0</v>
      </c>
      <c r="D3199" s="13">
        <f t="shared" si="49"/>
        <v>2.77</v>
      </c>
    </row>
    <row r="3200" spans="1:4" x14ac:dyDescent="0.25">
      <c r="A3200" s="15">
        <f>Sheet2!A3200</f>
        <v>0</v>
      </c>
      <c r="B3200" s="8">
        <v>0.88</v>
      </c>
      <c r="C3200" s="9">
        <v>0</v>
      </c>
      <c r="D3200" s="13">
        <f t="shared" si="49"/>
        <v>0.88</v>
      </c>
    </row>
    <row r="3201" spans="1:4" x14ac:dyDescent="0.25">
      <c r="A3201" s="15">
        <f>Sheet2!A3201</f>
        <v>0</v>
      </c>
      <c r="B3201" s="8">
        <v>1.07</v>
      </c>
      <c r="C3201" s="9">
        <v>0</v>
      </c>
      <c r="D3201" s="13">
        <f t="shared" si="49"/>
        <v>1.07</v>
      </c>
    </row>
    <row r="3202" spans="1:4" x14ac:dyDescent="0.25">
      <c r="A3202" s="15">
        <f>Sheet2!A3202</f>
        <v>0</v>
      </c>
      <c r="B3202" s="8">
        <v>0</v>
      </c>
      <c r="C3202" s="9">
        <v>0.63</v>
      </c>
      <c r="D3202" s="13">
        <f t="shared" si="49"/>
        <v>0.63</v>
      </c>
    </row>
    <row r="3203" spans="1:4" x14ac:dyDescent="0.25">
      <c r="A3203" s="15">
        <f>Sheet2!A3203</f>
        <v>0</v>
      </c>
      <c r="B3203" s="8">
        <v>1.0900000000000001</v>
      </c>
      <c r="C3203" s="9">
        <v>0</v>
      </c>
      <c r="D3203" s="13">
        <f t="shared" ref="D3203:D3266" si="50">B3203+C3203</f>
        <v>1.0900000000000001</v>
      </c>
    </row>
    <row r="3204" spans="1:4" x14ac:dyDescent="0.25">
      <c r="A3204" s="15">
        <f>Sheet2!A3204</f>
        <v>0</v>
      </c>
      <c r="B3204" s="8">
        <v>1.2</v>
      </c>
      <c r="C3204" s="9">
        <v>0</v>
      </c>
      <c r="D3204" s="13">
        <f t="shared" si="50"/>
        <v>1.2</v>
      </c>
    </row>
    <row r="3205" spans="1:4" x14ac:dyDescent="0.25">
      <c r="A3205" s="15">
        <f>Sheet2!A3205</f>
        <v>0</v>
      </c>
      <c r="B3205" s="8">
        <v>0</v>
      </c>
      <c r="C3205" s="9">
        <v>0.53</v>
      </c>
      <c r="D3205" s="13">
        <f t="shared" si="50"/>
        <v>0.53</v>
      </c>
    </row>
    <row r="3206" spans="1:4" x14ac:dyDescent="0.25">
      <c r="A3206" s="15">
        <f>Sheet2!A3206</f>
        <v>0</v>
      </c>
      <c r="B3206" s="8">
        <v>0</v>
      </c>
      <c r="C3206" s="9">
        <v>0.84</v>
      </c>
      <c r="D3206" s="13">
        <f t="shared" si="50"/>
        <v>0.84</v>
      </c>
    </row>
    <row r="3207" spans="1:4" x14ac:dyDescent="0.25">
      <c r="A3207" s="15">
        <f>Sheet2!A3207</f>
        <v>0</v>
      </c>
      <c r="B3207" s="8">
        <v>0</v>
      </c>
      <c r="C3207" s="9">
        <v>0.43</v>
      </c>
      <c r="D3207" s="13">
        <f t="shared" si="50"/>
        <v>0.43</v>
      </c>
    </row>
    <row r="3208" spans="1:4" x14ac:dyDescent="0.25">
      <c r="A3208" s="15">
        <f>Sheet2!A3208</f>
        <v>0</v>
      </c>
      <c r="B3208" s="8">
        <v>1.99</v>
      </c>
      <c r="C3208" s="9">
        <v>0</v>
      </c>
      <c r="D3208" s="13">
        <f t="shared" si="50"/>
        <v>1.99</v>
      </c>
    </row>
    <row r="3209" spans="1:4" x14ac:dyDescent="0.25">
      <c r="A3209" s="15">
        <f>Sheet2!A3209</f>
        <v>0</v>
      </c>
      <c r="B3209" s="8">
        <v>2.29</v>
      </c>
      <c r="C3209" s="9">
        <v>0</v>
      </c>
      <c r="D3209" s="13">
        <f t="shared" si="50"/>
        <v>2.29</v>
      </c>
    </row>
    <row r="3210" spans="1:4" x14ac:dyDescent="0.25">
      <c r="A3210" s="15">
        <f>Sheet2!A3210</f>
        <v>0</v>
      </c>
      <c r="B3210" s="8">
        <v>2.14</v>
      </c>
      <c r="C3210" s="9">
        <v>0</v>
      </c>
      <c r="D3210" s="13">
        <f t="shared" si="50"/>
        <v>2.14</v>
      </c>
    </row>
    <row r="3211" spans="1:4" x14ac:dyDescent="0.25">
      <c r="A3211" s="15">
        <f>Sheet2!A3211</f>
        <v>0</v>
      </c>
      <c r="B3211" s="8">
        <v>0</v>
      </c>
      <c r="C3211" s="9">
        <v>0.86</v>
      </c>
      <c r="D3211" s="13">
        <f t="shared" si="50"/>
        <v>0.86</v>
      </c>
    </row>
    <row r="3212" spans="1:4" x14ac:dyDescent="0.25">
      <c r="A3212" s="15">
        <f>Sheet2!A3212</f>
        <v>0</v>
      </c>
      <c r="B3212" s="8">
        <v>0</v>
      </c>
      <c r="C3212" s="9">
        <v>1.83</v>
      </c>
      <c r="D3212" s="13">
        <f t="shared" si="50"/>
        <v>1.83</v>
      </c>
    </row>
    <row r="3213" spans="1:4" x14ac:dyDescent="0.25">
      <c r="A3213" s="15">
        <f>Sheet2!A3213</f>
        <v>0</v>
      </c>
      <c r="B3213" s="8">
        <v>0</v>
      </c>
      <c r="C3213" s="9">
        <v>0.73</v>
      </c>
      <c r="D3213" s="13">
        <f t="shared" si="50"/>
        <v>0.73</v>
      </c>
    </row>
    <row r="3214" spans="1:4" x14ac:dyDescent="0.25">
      <c r="A3214" s="15">
        <f>Sheet2!A3214</f>
        <v>0</v>
      </c>
      <c r="B3214" s="8">
        <v>2.54</v>
      </c>
      <c r="C3214" s="9">
        <v>0</v>
      </c>
      <c r="D3214" s="13">
        <f t="shared" si="50"/>
        <v>2.54</v>
      </c>
    </row>
    <row r="3215" spans="1:4" x14ac:dyDescent="0.25">
      <c r="A3215" s="15">
        <f>Sheet2!A3215</f>
        <v>0</v>
      </c>
      <c r="B3215" s="8">
        <v>0</v>
      </c>
      <c r="C3215" s="9">
        <v>0.79</v>
      </c>
      <c r="D3215" s="13">
        <f t="shared" si="50"/>
        <v>0.79</v>
      </c>
    </row>
    <row r="3216" spans="1:4" x14ac:dyDescent="0.25">
      <c r="A3216" s="15">
        <f>Sheet2!A3216</f>
        <v>0</v>
      </c>
      <c r="B3216" s="8">
        <v>0</v>
      </c>
      <c r="C3216" s="9">
        <v>0.4</v>
      </c>
      <c r="D3216" s="13">
        <f t="shared" si="50"/>
        <v>0.4</v>
      </c>
    </row>
    <row r="3217" spans="1:4" x14ac:dyDescent="0.25">
      <c r="A3217" s="15">
        <f>Sheet2!A3217</f>
        <v>0</v>
      </c>
      <c r="B3217" s="8">
        <v>3.96</v>
      </c>
      <c r="C3217" s="9">
        <v>0</v>
      </c>
      <c r="D3217" s="13">
        <f t="shared" si="50"/>
        <v>3.96</v>
      </c>
    </row>
    <row r="3218" spans="1:4" x14ac:dyDescent="0.25">
      <c r="A3218" s="15">
        <f>Sheet2!A3218</f>
        <v>0</v>
      </c>
      <c r="B3218" s="8">
        <v>3.74</v>
      </c>
      <c r="C3218" s="9">
        <v>0</v>
      </c>
      <c r="D3218" s="13">
        <f t="shared" si="50"/>
        <v>3.74</v>
      </c>
    </row>
    <row r="3219" spans="1:4" x14ac:dyDescent="0.25">
      <c r="A3219" s="15">
        <f>Sheet2!A3219</f>
        <v>0</v>
      </c>
      <c r="B3219" s="8">
        <v>3.62</v>
      </c>
      <c r="C3219" s="9">
        <v>0</v>
      </c>
      <c r="D3219" s="13">
        <f t="shared" si="50"/>
        <v>3.62</v>
      </c>
    </row>
    <row r="3220" spans="1:4" x14ac:dyDescent="0.25">
      <c r="A3220" s="15">
        <f>Sheet2!A3220</f>
        <v>0</v>
      </c>
      <c r="B3220" s="8">
        <v>3.62</v>
      </c>
      <c r="C3220" s="9">
        <v>0</v>
      </c>
      <c r="D3220" s="13">
        <f t="shared" si="50"/>
        <v>3.62</v>
      </c>
    </row>
    <row r="3221" spans="1:4" x14ac:dyDescent="0.25">
      <c r="A3221" s="15">
        <f>Sheet2!A3221</f>
        <v>0</v>
      </c>
      <c r="B3221" s="8">
        <v>3.28</v>
      </c>
      <c r="C3221" s="9">
        <v>0</v>
      </c>
      <c r="D3221" s="13">
        <f t="shared" si="50"/>
        <v>3.28</v>
      </c>
    </row>
    <row r="3222" spans="1:4" x14ac:dyDescent="0.25">
      <c r="A3222" s="15">
        <f>Sheet2!A3222</f>
        <v>0</v>
      </c>
      <c r="B3222" s="8">
        <v>3.86</v>
      </c>
      <c r="C3222" s="9">
        <v>0</v>
      </c>
      <c r="D3222" s="13">
        <f t="shared" si="50"/>
        <v>3.86</v>
      </c>
    </row>
    <row r="3223" spans="1:4" x14ac:dyDescent="0.25">
      <c r="A3223" s="15">
        <f>Sheet2!A3223</f>
        <v>0</v>
      </c>
      <c r="B3223" s="8">
        <v>3.19</v>
      </c>
      <c r="C3223" s="9">
        <v>0</v>
      </c>
      <c r="D3223" s="13">
        <f t="shared" si="50"/>
        <v>3.19</v>
      </c>
    </row>
    <row r="3224" spans="1:4" x14ac:dyDescent="0.25">
      <c r="A3224" s="15">
        <f>Sheet2!A3224</f>
        <v>0</v>
      </c>
      <c r="B3224" s="8">
        <v>0.87</v>
      </c>
      <c r="C3224" s="9">
        <v>0</v>
      </c>
      <c r="D3224" s="13">
        <f t="shared" si="50"/>
        <v>0.87</v>
      </c>
    </row>
    <row r="3225" spans="1:4" x14ac:dyDescent="0.25">
      <c r="A3225" s="15">
        <f>Sheet2!A3225</f>
        <v>0</v>
      </c>
      <c r="B3225" s="8">
        <v>0</v>
      </c>
      <c r="C3225" s="9">
        <v>0.54</v>
      </c>
      <c r="D3225" s="13">
        <f t="shared" si="50"/>
        <v>0.54</v>
      </c>
    </row>
    <row r="3226" spans="1:4" x14ac:dyDescent="0.25">
      <c r="A3226" s="15">
        <f>Sheet2!A3226</f>
        <v>0</v>
      </c>
      <c r="B3226" s="8">
        <v>0</v>
      </c>
      <c r="C3226" s="9">
        <v>0.89</v>
      </c>
      <c r="D3226" s="13">
        <f t="shared" si="50"/>
        <v>0.89</v>
      </c>
    </row>
    <row r="3227" spans="1:4" x14ac:dyDescent="0.25">
      <c r="A3227" s="15">
        <f>Sheet2!A3227</f>
        <v>0</v>
      </c>
      <c r="B3227" s="8">
        <v>0</v>
      </c>
      <c r="C3227" s="9">
        <v>0.28999999999999998</v>
      </c>
      <c r="D3227" s="13">
        <f t="shared" si="50"/>
        <v>0.28999999999999998</v>
      </c>
    </row>
    <row r="3228" spans="1:4" x14ac:dyDescent="0.25">
      <c r="A3228" s="15">
        <f>Sheet2!A3228</f>
        <v>0</v>
      </c>
      <c r="B3228" s="8">
        <v>1.3</v>
      </c>
      <c r="C3228" s="9">
        <v>0</v>
      </c>
      <c r="D3228" s="13">
        <f t="shared" si="50"/>
        <v>1.3</v>
      </c>
    </row>
    <row r="3229" spans="1:4" x14ac:dyDescent="0.25">
      <c r="A3229" s="15">
        <f>Sheet2!A3229</f>
        <v>0</v>
      </c>
      <c r="B3229" s="8">
        <v>0</v>
      </c>
      <c r="C3229" s="9">
        <v>0.64</v>
      </c>
      <c r="D3229" s="13">
        <f t="shared" si="50"/>
        <v>0.64</v>
      </c>
    </row>
    <row r="3230" spans="1:4" x14ac:dyDescent="0.25">
      <c r="A3230" s="15">
        <f>Sheet2!A3230</f>
        <v>0</v>
      </c>
      <c r="B3230" s="8">
        <v>0</v>
      </c>
      <c r="C3230" s="9">
        <v>0.87</v>
      </c>
      <c r="D3230" s="13">
        <f t="shared" si="50"/>
        <v>0.87</v>
      </c>
    </row>
    <row r="3231" spans="1:4" x14ac:dyDescent="0.25">
      <c r="A3231" s="15">
        <f>Sheet2!A3231</f>
        <v>0</v>
      </c>
      <c r="B3231" s="8">
        <v>0</v>
      </c>
      <c r="C3231" s="9">
        <v>1.08</v>
      </c>
      <c r="D3231" s="13">
        <f t="shared" si="50"/>
        <v>1.08</v>
      </c>
    </row>
    <row r="3232" spans="1:4" x14ac:dyDescent="0.25">
      <c r="A3232" s="15">
        <f>Sheet2!A3232</f>
        <v>0</v>
      </c>
      <c r="B3232" s="8">
        <v>3.96</v>
      </c>
      <c r="C3232" s="9">
        <v>0</v>
      </c>
      <c r="D3232" s="13">
        <f t="shared" si="50"/>
        <v>3.96</v>
      </c>
    </row>
    <row r="3233" spans="1:4" x14ac:dyDescent="0.25">
      <c r="A3233" s="15">
        <f>Sheet2!A3233</f>
        <v>0</v>
      </c>
      <c r="B3233" s="8">
        <v>0</v>
      </c>
      <c r="C3233" s="9">
        <v>0.57999999999999996</v>
      </c>
      <c r="D3233" s="13">
        <f t="shared" si="50"/>
        <v>0.57999999999999996</v>
      </c>
    </row>
    <row r="3234" spans="1:4" x14ac:dyDescent="0.25">
      <c r="A3234" s="15">
        <f>Sheet2!A3234</f>
        <v>0</v>
      </c>
      <c r="B3234" s="8">
        <v>0</v>
      </c>
      <c r="C3234" s="9">
        <v>1.32</v>
      </c>
      <c r="D3234" s="13">
        <f t="shared" si="50"/>
        <v>1.32</v>
      </c>
    </row>
    <row r="3235" spans="1:4" x14ac:dyDescent="0.25">
      <c r="A3235" s="15">
        <f>Sheet2!A3235</f>
        <v>0</v>
      </c>
      <c r="B3235" s="8">
        <v>0</v>
      </c>
      <c r="C3235" s="9">
        <v>1.62</v>
      </c>
      <c r="D3235" s="13">
        <f t="shared" si="50"/>
        <v>1.62</v>
      </c>
    </row>
    <row r="3236" spans="1:4" x14ac:dyDescent="0.25">
      <c r="A3236" s="15">
        <f>Sheet2!A3236</f>
        <v>0</v>
      </c>
      <c r="B3236" s="8">
        <v>0</v>
      </c>
      <c r="C3236" s="9">
        <v>3.03</v>
      </c>
      <c r="D3236" s="13">
        <f t="shared" si="50"/>
        <v>3.03</v>
      </c>
    </row>
    <row r="3237" spans="1:4" x14ac:dyDescent="0.25">
      <c r="A3237" s="15">
        <f>Sheet2!A3237</f>
        <v>0</v>
      </c>
      <c r="B3237" s="8">
        <v>0</v>
      </c>
      <c r="C3237" s="9">
        <v>3.42</v>
      </c>
      <c r="D3237" s="13">
        <f t="shared" si="50"/>
        <v>3.42</v>
      </c>
    </row>
    <row r="3238" spans="1:4" x14ac:dyDescent="0.25">
      <c r="A3238" s="15">
        <f>Sheet2!A3238</f>
        <v>0</v>
      </c>
      <c r="B3238" s="8">
        <v>0</v>
      </c>
      <c r="C3238" s="9">
        <v>0.93</v>
      </c>
      <c r="D3238" s="13">
        <f t="shared" si="50"/>
        <v>0.93</v>
      </c>
    </row>
    <row r="3239" spans="1:4" x14ac:dyDescent="0.25">
      <c r="A3239" s="15">
        <f>Sheet2!A3239</f>
        <v>0</v>
      </c>
      <c r="B3239" s="8">
        <v>0</v>
      </c>
      <c r="C3239" s="9">
        <v>1.53</v>
      </c>
      <c r="D3239" s="13">
        <f t="shared" si="50"/>
        <v>1.53</v>
      </c>
    </row>
    <row r="3240" spans="1:4" x14ac:dyDescent="0.25">
      <c r="A3240" s="15">
        <f>Sheet2!A3240</f>
        <v>0</v>
      </c>
      <c r="B3240" s="8">
        <v>0</v>
      </c>
      <c r="C3240" s="9">
        <v>2.61</v>
      </c>
      <c r="D3240" s="13">
        <f t="shared" si="50"/>
        <v>2.61</v>
      </c>
    </row>
    <row r="3241" spans="1:4" x14ac:dyDescent="0.25">
      <c r="A3241" s="15">
        <f>Sheet2!A3241</f>
        <v>0</v>
      </c>
      <c r="B3241" s="8">
        <v>0</v>
      </c>
      <c r="C3241" s="9">
        <v>2.84</v>
      </c>
      <c r="D3241" s="13">
        <f t="shared" si="50"/>
        <v>2.84</v>
      </c>
    </row>
    <row r="3242" spans="1:4" x14ac:dyDescent="0.25">
      <c r="A3242" s="15">
        <f>Sheet2!A3242</f>
        <v>0</v>
      </c>
      <c r="B3242" s="8">
        <v>0</v>
      </c>
      <c r="C3242" s="9">
        <v>0.91</v>
      </c>
      <c r="D3242" s="13">
        <f t="shared" si="50"/>
        <v>0.91</v>
      </c>
    </row>
    <row r="3243" spans="1:4" x14ac:dyDescent="0.25">
      <c r="A3243" s="15">
        <f>Sheet2!A3243</f>
        <v>0</v>
      </c>
      <c r="B3243" s="8">
        <v>4.6900000000000004</v>
      </c>
      <c r="C3243" s="9">
        <v>0</v>
      </c>
      <c r="D3243" s="13">
        <f t="shared" si="50"/>
        <v>4.6900000000000004</v>
      </c>
    </row>
    <row r="3244" spans="1:4" x14ac:dyDescent="0.25">
      <c r="A3244" s="15">
        <f>Sheet2!A3244</f>
        <v>0</v>
      </c>
      <c r="B3244" s="8">
        <v>4.63</v>
      </c>
      <c r="C3244" s="9">
        <v>0</v>
      </c>
      <c r="D3244" s="13">
        <f t="shared" si="50"/>
        <v>4.63</v>
      </c>
    </row>
    <row r="3245" spans="1:4" x14ac:dyDescent="0.25">
      <c r="A3245" s="15">
        <f>Sheet2!A3245</f>
        <v>0</v>
      </c>
      <c r="B3245" s="8">
        <v>4.72</v>
      </c>
      <c r="C3245" s="9">
        <v>0</v>
      </c>
      <c r="D3245" s="13">
        <f t="shared" si="50"/>
        <v>4.72</v>
      </c>
    </row>
    <row r="3246" spans="1:4" x14ac:dyDescent="0.25">
      <c r="A3246" s="15">
        <f>Sheet2!A3246</f>
        <v>0</v>
      </c>
      <c r="B3246" s="8">
        <v>4.75</v>
      </c>
      <c r="C3246" s="9">
        <v>0</v>
      </c>
      <c r="D3246" s="13">
        <f t="shared" si="50"/>
        <v>4.75</v>
      </c>
    </row>
    <row r="3247" spans="1:4" x14ac:dyDescent="0.25">
      <c r="A3247" s="15">
        <f>Sheet2!A3247</f>
        <v>0</v>
      </c>
      <c r="B3247" s="8">
        <v>3.34</v>
      </c>
      <c r="C3247" s="9">
        <v>0</v>
      </c>
      <c r="D3247" s="13">
        <f t="shared" si="50"/>
        <v>3.34</v>
      </c>
    </row>
    <row r="3248" spans="1:4" x14ac:dyDescent="0.25">
      <c r="A3248" s="15">
        <f>Sheet2!A3248</f>
        <v>0</v>
      </c>
      <c r="B3248" s="8">
        <v>0</v>
      </c>
      <c r="C3248" s="9">
        <v>0.89</v>
      </c>
      <c r="D3248" s="13">
        <f t="shared" si="50"/>
        <v>0.89</v>
      </c>
    </row>
    <row r="3249" spans="1:4" x14ac:dyDescent="0.25">
      <c r="A3249" s="15">
        <f>Sheet2!A3249</f>
        <v>0</v>
      </c>
      <c r="B3249" s="8">
        <v>0</v>
      </c>
      <c r="C3249" s="9">
        <v>0.46</v>
      </c>
      <c r="D3249" s="13">
        <f t="shared" si="50"/>
        <v>0.46</v>
      </c>
    </row>
    <row r="3250" spans="1:4" x14ac:dyDescent="0.25">
      <c r="A3250" s="15">
        <f>Sheet2!A3250</f>
        <v>0</v>
      </c>
      <c r="B3250" s="8">
        <v>3.51</v>
      </c>
      <c r="C3250" s="9">
        <v>0</v>
      </c>
      <c r="D3250" s="13">
        <f t="shared" si="50"/>
        <v>3.51</v>
      </c>
    </row>
    <row r="3251" spans="1:4" x14ac:dyDescent="0.25">
      <c r="A3251" s="15">
        <f>Sheet2!A3251</f>
        <v>0</v>
      </c>
      <c r="B3251" s="8">
        <v>0</v>
      </c>
      <c r="C3251" s="9">
        <v>0.55000000000000004</v>
      </c>
      <c r="D3251" s="13">
        <f t="shared" si="50"/>
        <v>0.55000000000000004</v>
      </c>
    </row>
    <row r="3252" spans="1:4" x14ac:dyDescent="0.25">
      <c r="A3252" s="15">
        <f>Sheet2!A3252</f>
        <v>0</v>
      </c>
      <c r="B3252" s="8">
        <v>0</v>
      </c>
      <c r="C3252" s="9">
        <v>1.9</v>
      </c>
      <c r="D3252" s="13">
        <f t="shared" si="50"/>
        <v>1.9</v>
      </c>
    </row>
    <row r="3253" spans="1:4" x14ac:dyDescent="0.25">
      <c r="A3253" s="15">
        <f>Sheet2!A3253</f>
        <v>0</v>
      </c>
      <c r="B3253" s="8">
        <v>0</v>
      </c>
      <c r="C3253" s="9">
        <v>2.12</v>
      </c>
      <c r="D3253" s="13">
        <f t="shared" si="50"/>
        <v>2.12</v>
      </c>
    </row>
    <row r="3254" spans="1:4" x14ac:dyDescent="0.25">
      <c r="A3254" s="15">
        <f>Sheet2!A3254</f>
        <v>0</v>
      </c>
      <c r="B3254" s="8">
        <v>0</v>
      </c>
      <c r="C3254" s="9">
        <v>0.92</v>
      </c>
      <c r="D3254" s="13">
        <f t="shared" si="50"/>
        <v>0.92</v>
      </c>
    </row>
    <row r="3255" spans="1:4" x14ac:dyDescent="0.25">
      <c r="A3255" s="15">
        <f>Sheet2!A3255</f>
        <v>0</v>
      </c>
      <c r="B3255" s="8">
        <v>0</v>
      </c>
      <c r="C3255" s="9">
        <v>1.21</v>
      </c>
      <c r="D3255" s="13">
        <f t="shared" si="50"/>
        <v>1.21</v>
      </c>
    </row>
    <row r="3256" spans="1:4" x14ac:dyDescent="0.25">
      <c r="A3256" s="15">
        <f>Sheet2!A3256</f>
        <v>0</v>
      </c>
      <c r="B3256" s="8">
        <v>0</v>
      </c>
      <c r="C3256" s="9">
        <v>2.96</v>
      </c>
      <c r="D3256" s="13">
        <f t="shared" si="50"/>
        <v>2.96</v>
      </c>
    </row>
    <row r="3257" spans="1:4" x14ac:dyDescent="0.25">
      <c r="A3257" s="15">
        <f>Sheet2!A3257</f>
        <v>0</v>
      </c>
      <c r="B3257" s="8">
        <v>0</v>
      </c>
      <c r="C3257" s="9">
        <v>0.61</v>
      </c>
      <c r="D3257" s="13">
        <f t="shared" si="50"/>
        <v>0.61</v>
      </c>
    </row>
    <row r="3258" spans="1:4" x14ac:dyDescent="0.25">
      <c r="A3258" s="15">
        <f>Sheet2!A3258</f>
        <v>0</v>
      </c>
      <c r="B3258" s="8">
        <v>3.09</v>
      </c>
      <c r="C3258" s="9">
        <v>0</v>
      </c>
      <c r="D3258" s="13">
        <f t="shared" si="50"/>
        <v>3.09</v>
      </c>
    </row>
    <row r="3259" spans="1:4" x14ac:dyDescent="0.25">
      <c r="A3259" s="15">
        <f>Sheet2!A3259</f>
        <v>0</v>
      </c>
      <c r="B3259" s="8">
        <v>0</v>
      </c>
      <c r="C3259" s="9">
        <v>0.97</v>
      </c>
      <c r="D3259" s="13">
        <f t="shared" si="50"/>
        <v>0.97</v>
      </c>
    </row>
    <row r="3260" spans="1:4" x14ac:dyDescent="0.25">
      <c r="A3260" s="15">
        <f>Sheet2!A3260</f>
        <v>0</v>
      </c>
      <c r="B3260" s="8">
        <v>0</v>
      </c>
      <c r="C3260" s="9">
        <v>1.43</v>
      </c>
      <c r="D3260" s="13">
        <f t="shared" si="50"/>
        <v>1.43</v>
      </c>
    </row>
    <row r="3261" spans="1:4" x14ac:dyDescent="0.25">
      <c r="A3261" s="15">
        <f>Sheet2!A3261</f>
        <v>0</v>
      </c>
      <c r="B3261" s="8">
        <v>0</v>
      </c>
      <c r="C3261" s="9">
        <v>1.66</v>
      </c>
      <c r="D3261" s="13">
        <f t="shared" si="50"/>
        <v>1.66</v>
      </c>
    </row>
    <row r="3262" spans="1:4" x14ac:dyDescent="0.25">
      <c r="A3262" s="15">
        <f>Sheet2!A3262</f>
        <v>0</v>
      </c>
      <c r="B3262" s="8">
        <v>0</v>
      </c>
      <c r="C3262" s="9">
        <v>0.79</v>
      </c>
      <c r="D3262" s="13">
        <f t="shared" si="50"/>
        <v>0.79</v>
      </c>
    </row>
    <row r="3263" spans="1:4" x14ac:dyDescent="0.25">
      <c r="A3263" s="15">
        <f>Sheet2!A3263</f>
        <v>0</v>
      </c>
      <c r="B3263" s="8">
        <v>0</v>
      </c>
      <c r="C3263" s="9">
        <v>1.61</v>
      </c>
      <c r="D3263" s="13">
        <f t="shared" si="50"/>
        <v>1.61</v>
      </c>
    </row>
    <row r="3264" spans="1:4" x14ac:dyDescent="0.25">
      <c r="A3264" s="15">
        <f>Sheet2!A3264</f>
        <v>0</v>
      </c>
      <c r="B3264" s="8">
        <v>0</v>
      </c>
      <c r="C3264" s="9">
        <v>2.36</v>
      </c>
      <c r="D3264" s="13">
        <f t="shared" si="50"/>
        <v>2.36</v>
      </c>
    </row>
    <row r="3265" spans="1:4" x14ac:dyDescent="0.25">
      <c r="A3265" s="15">
        <f>Sheet2!A3265</f>
        <v>0</v>
      </c>
      <c r="B3265" s="8">
        <v>0</v>
      </c>
      <c r="C3265" s="9">
        <v>2.5299999999999998</v>
      </c>
      <c r="D3265" s="13">
        <f t="shared" si="50"/>
        <v>2.5299999999999998</v>
      </c>
    </row>
    <row r="3266" spans="1:4" x14ac:dyDescent="0.25">
      <c r="A3266" s="15">
        <f>Sheet2!A3266</f>
        <v>0</v>
      </c>
      <c r="B3266" s="8">
        <v>0</v>
      </c>
      <c r="C3266" s="9">
        <v>1.04</v>
      </c>
      <c r="D3266" s="13">
        <f t="shared" si="50"/>
        <v>1.04</v>
      </c>
    </row>
    <row r="3267" spans="1:4" x14ac:dyDescent="0.25">
      <c r="A3267" s="15">
        <f>Sheet2!A3267</f>
        <v>0</v>
      </c>
      <c r="B3267" s="8">
        <v>4.9800000000000004</v>
      </c>
      <c r="C3267" s="9">
        <v>0</v>
      </c>
      <c r="D3267" s="13">
        <f t="shared" ref="D3267:D3330" si="51">B3267+C3267</f>
        <v>4.9800000000000004</v>
      </c>
    </row>
    <row r="3268" spans="1:4" x14ac:dyDescent="0.25">
      <c r="A3268" s="15">
        <f>Sheet2!A3268</f>
        <v>0</v>
      </c>
      <c r="B3268" s="8">
        <v>4.41</v>
      </c>
      <c r="C3268" s="9">
        <v>0</v>
      </c>
      <c r="D3268" s="13">
        <f t="shared" si="51"/>
        <v>4.41</v>
      </c>
    </row>
    <row r="3269" spans="1:4" x14ac:dyDescent="0.25">
      <c r="A3269" s="15">
        <f>Sheet2!A3269</f>
        <v>0</v>
      </c>
      <c r="B3269" s="8">
        <v>4.1500000000000004</v>
      </c>
      <c r="C3269" s="9">
        <v>0</v>
      </c>
      <c r="D3269" s="13">
        <f t="shared" si="51"/>
        <v>4.1500000000000004</v>
      </c>
    </row>
    <row r="3270" spans="1:4" x14ac:dyDescent="0.25">
      <c r="A3270" s="15">
        <f>Sheet2!A3270</f>
        <v>0</v>
      </c>
      <c r="B3270" s="8">
        <v>4.3600000000000003</v>
      </c>
      <c r="C3270" s="9">
        <v>0</v>
      </c>
      <c r="D3270" s="13">
        <f t="shared" si="51"/>
        <v>4.3600000000000003</v>
      </c>
    </row>
    <row r="3271" spans="1:4" x14ac:dyDescent="0.25">
      <c r="A3271" s="15">
        <f>Sheet2!A3271</f>
        <v>0</v>
      </c>
      <c r="B3271" s="8">
        <v>0</v>
      </c>
      <c r="C3271" s="9">
        <v>0.33</v>
      </c>
      <c r="D3271" s="13">
        <f t="shared" si="51"/>
        <v>0.33</v>
      </c>
    </row>
    <row r="3272" spans="1:4" x14ac:dyDescent="0.25">
      <c r="A3272" s="15">
        <f>Sheet2!A3272</f>
        <v>0</v>
      </c>
      <c r="B3272" s="8">
        <v>2.5499999999999998</v>
      </c>
      <c r="C3272" s="9">
        <v>0</v>
      </c>
      <c r="D3272" s="13">
        <f t="shared" si="51"/>
        <v>2.5499999999999998</v>
      </c>
    </row>
    <row r="3273" spans="1:4" x14ac:dyDescent="0.25">
      <c r="A3273" s="15">
        <f>Sheet2!A3273</f>
        <v>0</v>
      </c>
      <c r="B3273" s="8">
        <v>3.26</v>
      </c>
      <c r="C3273" s="9">
        <v>0</v>
      </c>
      <c r="D3273" s="13">
        <f t="shared" si="51"/>
        <v>3.26</v>
      </c>
    </row>
    <row r="3274" spans="1:4" x14ac:dyDescent="0.25">
      <c r="A3274" s="15">
        <f>Sheet2!A3274</f>
        <v>0</v>
      </c>
      <c r="B3274" s="8">
        <v>3.33</v>
      </c>
      <c r="C3274" s="9">
        <v>0</v>
      </c>
      <c r="D3274" s="13">
        <f t="shared" si="51"/>
        <v>3.33</v>
      </c>
    </row>
    <row r="3275" spans="1:4" x14ac:dyDescent="0.25">
      <c r="A3275" s="15">
        <f>Sheet2!A3275</f>
        <v>0</v>
      </c>
      <c r="B3275" s="8">
        <v>0</v>
      </c>
      <c r="C3275" s="9">
        <v>0.85</v>
      </c>
      <c r="D3275" s="13">
        <f t="shared" si="51"/>
        <v>0.85</v>
      </c>
    </row>
    <row r="3276" spans="1:4" x14ac:dyDescent="0.25">
      <c r="A3276" s="15">
        <f>Sheet2!A3276</f>
        <v>0</v>
      </c>
      <c r="B3276" s="8">
        <v>0</v>
      </c>
      <c r="C3276" s="9">
        <v>2.15</v>
      </c>
      <c r="D3276" s="13">
        <f t="shared" si="51"/>
        <v>2.15</v>
      </c>
    </row>
    <row r="3277" spans="1:4" x14ac:dyDescent="0.25">
      <c r="A3277" s="15">
        <f>Sheet2!A3277</f>
        <v>0</v>
      </c>
      <c r="B3277" s="8">
        <v>0</v>
      </c>
      <c r="C3277" s="9">
        <v>2.19</v>
      </c>
      <c r="D3277" s="13">
        <f t="shared" si="51"/>
        <v>2.19</v>
      </c>
    </row>
    <row r="3278" spans="1:4" x14ac:dyDescent="0.25">
      <c r="A3278" s="15">
        <f>Sheet2!A3278</f>
        <v>0</v>
      </c>
      <c r="B3278" s="8">
        <v>0</v>
      </c>
      <c r="C3278" s="9">
        <v>2.08</v>
      </c>
      <c r="D3278" s="13">
        <f t="shared" si="51"/>
        <v>2.08</v>
      </c>
    </row>
    <row r="3279" spans="1:4" x14ac:dyDescent="0.25">
      <c r="A3279" s="15">
        <f>Sheet2!A3279</f>
        <v>0</v>
      </c>
      <c r="B3279" s="8">
        <v>0</v>
      </c>
      <c r="C3279" s="9">
        <v>1.1599999999999999</v>
      </c>
      <c r="D3279" s="13">
        <f t="shared" si="51"/>
        <v>1.1599999999999999</v>
      </c>
    </row>
    <row r="3280" spans="1:4" x14ac:dyDescent="0.25">
      <c r="A3280" s="15">
        <f>Sheet2!A3280</f>
        <v>0</v>
      </c>
      <c r="B3280" s="8">
        <v>4.7699999999999996</v>
      </c>
      <c r="C3280" s="9">
        <v>0</v>
      </c>
      <c r="D3280" s="13">
        <f t="shared" si="51"/>
        <v>4.7699999999999996</v>
      </c>
    </row>
    <row r="3281" spans="1:4" x14ac:dyDescent="0.25">
      <c r="A3281" s="15">
        <f>Sheet2!A3281</f>
        <v>0</v>
      </c>
      <c r="B3281" s="8">
        <v>0</v>
      </c>
      <c r="C3281" s="9">
        <v>0.84</v>
      </c>
      <c r="D3281" s="13">
        <f t="shared" si="51"/>
        <v>0.84</v>
      </c>
    </row>
    <row r="3282" spans="1:4" x14ac:dyDescent="0.25">
      <c r="A3282" s="15">
        <f>Sheet2!A3282</f>
        <v>0</v>
      </c>
      <c r="B3282" s="8">
        <v>0</v>
      </c>
      <c r="C3282" s="9">
        <v>1.39</v>
      </c>
      <c r="D3282" s="13">
        <f t="shared" si="51"/>
        <v>1.39</v>
      </c>
    </row>
    <row r="3283" spans="1:4" x14ac:dyDescent="0.25">
      <c r="A3283" s="15">
        <f>Sheet2!A3283</f>
        <v>0</v>
      </c>
      <c r="B3283" s="8">
        <v>0</v>
      </c>
      <c r="C3283" s="9">
        <v>1.84</v>
      </c>
      <c r="D3283" s="13">
        <f t="shared" si="51"/>
        <v>1.84</v>
      </c>
    </row>
    <row r="3284" spans="1:4" x14ac:dyDescent="0.25">
      <c r="A3284" s="15">
        <f>Sheet2!A3284</f>
        <v>0</v>
      </c>
      <c r="B3284" s="8">
        <v>0</v>
      </c>
      <c r="C3284" s="9">
        <v>1.66</v>
      </c>
      <c r="D3284" s="13">
        <f t="shared" si="51"/>
        <v>1.66</v>
      </c>
    </row>
    <row r="3285" spans="1:4" x14ac:dyDescent="0.25">
      <c r="A3285" s="15">
        <f>Sheet2!A3285</f>
        <v>0</v>
      </c>
      <c r="B3285" s="8">
        <v>0</v>
      </c>
      <c r="C3285" s="9">
        <v>0.73</v>
      </c>
      <c r="D3285" s="13">
        <f t="shared" si="51"/>
        <v>0.73</v>
      </c>
    </row>
    <row r="3286" spans="1:4" x14ac:dyDescent="0.25">
      <c r="A3286" s="15">
        <f>Sheet2!A3286</f>
        <v>0</v>
      </c>
      <c r="B3286" s="8">
        <v>4.1900000000000004</v>
      </c>
      <c r="C3286" s="9">
        <v>0</v>
      </c>
      <c r="D3286" s="13">
        <f t="shared" si="51"/>
        <v>4.1900000000000004</v>
      </c>
    </row>
    <row r="3287" spans="1:4" x14ac:dyDescent="0.25">
      <c r="A3287" s="15">
        <f>Sheet2!A3287</f>
        <v>0</v>
      </c>
      <c r="B3287" s="8">
        <v>0</v>
      </c>
      <c r="C3287" s="9">
        <v>1.71</v>
      </c>
      <c r="D3287" s="13">
        <f t="shared" si="51"/>
        <v>1.71</v>
      </c>
    </row>
    <row r="3288" spans="1:4" x14ac:dyDescent="0.25">
      <c r="A3288" s="15">
        <f>Sheet2!A3288</f>
        <v>0</v>
      </c>
      <c r="B3288" s="8">
        <v>0</v>
      </c>
      <c r="C3288" s="9">
        <v>2.82</v>
      </c>
      <c r="D3288" s="13">
        <f t="shared" si="51"/>
        <v>2.82</v>
      </c>
    </row>
    <row r="3289" spans="1:4" x14ac:dyDescent="0.25">
      <c r="A3289" s="15">
        <f>Sheet2!A3289</f>
        <v>0</v>
      </c>
      <c r="B3289" s="8">
        <v>0</v>
      </c>
      <c r="C3289" s="9">
        <v>1.18</v>
      </c>
      <c r="D3289" s="13">
        <f t="shared" si="51"/>
        <v>1.18</v>
      </c>
    </row>
    <row r="3290" spans="1:4" x14ac:dyDescent="0.25">
      <c r="A3290" s="15">
        <f>Sheet2!A3290</f>
        <v>0</v>
      </c>
      <c r="B3290" s="8">
        <v>4.9400000000000004</v>
      </c>
      <c r="C3290" s="9">
        <v>0</v>
      </c>
      <c r="D3290" s="13">
        <f t="shared" si="51"/>
        <v>4.9400000000000004</v>
      </c>
    </row>
    <row r="3291" spans="1:4" x14ac:dyDescent="0.25">
      <c r="A3291" s="15">
        <f>Sheet2!A3291</f>
        <v>0</v>
      </c>
      <c r="B3291" s="8">
        <v>0</v>
      </c>
      <c r="C3291" s="9">
        <v>1.43</v>
      </c>
      <c r="D3291" s="13">
        <f t="shared" si="51"/>
        <v>1.43</v>
      </c>
    </row>
    <row r="3292" spans="1:4" x14ac:dyDescent="0.25">
      <c r="A3292" s="15">
        <f>Sheet2!A3292</f>
        <v>0</v>
      </c>
      <c r="B3292" s="8">
        <v>0</v>
      </c>
      <c r="C3292" s="9">
        <v>1.01</v>
      </c>
      <c r="D3292" s="13">
        <f t="shared" si="51"/>
        <v>1.01</v>
      </c>
    </row>
    <row r="3293" spans="1:4" x14ac:dyDescent="0.25">
      <c r="A3293" s="15">
        <f>Sheet2!A3293</f>
        <v>0</v>
      </c>
      <c r="B3293" s="8">
        <v>5.28</v>
      </c>
      <c r="C3293" s="9">
        <v>0</v>
      </c>
      <c r="D3293" s="13">
        <f t="shared" si="51"/>
        <v>5.28</v>
      </c>
    </row>
    <row r="3294" spans="1:4" x14ac:dyDescent="0.25">
      <c r="A3294" s="15">
        <f>Sheet2!A3294</f>
        <v>0</v>
      </c>
      <c r="B3294" s="8">
        <v>4.9400000000000004</v>
      </c>
      <c r="C3294" s="9">
        <v>0</v>
      </c>
      <c r="D3294" s="13">
        <f t="shared" si="51"/>
        <v>4.9400000000000004</v>
      </c>
    </row>
    <row r="3295" spans="1:4" x14ac:dyDescent="0.25">
      <c r="A3295" s="15">
        <f>Sheet2!A3295</f>
        <v>0</v>
      </c>
      <c r="B3295" s="8">
        <v>5.15</v>
      </c>
      <c r="C3295" s="9">
        <v>0</v>
      </c>
      <c r="D3295" s="13">
        <f t="shared" si="51"/>
        <v>5.15</v>
      </c>
    </row>
    <row r="3296" spans="1:4" x14ac:dyDescent="0.25">
      <c r="A3296" s="15">
        <f>Sheet2!A3296</f>
        <v>0</v>
      </c>
      <c r="B3296" s="8">
        <v>3.55</v>
      </c>
      <c r="C3296" s="9">
        <v>0</v>
      </c>
      <c r="D3296" s="13">
        <f t="shared" si="51"/>
        <v>3.55</v>
      </c>
    </row>
    <row r="3297" spans="1:4" x14ac:dyDescent="0.25">
      <c r="A3297" s="15">
        <f>Sheet2!A3297</f>
        <v>0</v>
      </c>
      <c r="B3297" s="8">
        <v>2.2400000000000002</v>
      </c>
      <c r="C3297" s="9">
        <v>0</v>
      </c>
      <c r="D3297" s="13">
        <f t="shared" si="51"/>
        <v>2.2400000000000002</v>
      </c>
    </row>
    <row r="3298" spans="1:4" x14ac:dyDescent="0.25">
      <c r="A3298" s="15">
        <f>Sheet2!A3298</f>
        <v>0</v>
      </c>
      <c r="B3298" s="8">
        <v>3.87</v>
      </c>
      <c r="C3298" s="9">
        <v>0</v>
      </c>
      <c r="D3298" s="13">
        <f t="shared" si="51"/>
        <v>3.87</v>
      </c>
    </row>
    <row r="3299" spans="1:4" x14ac:dyDescent="0.25">
      <c r="A3299" s="15">
        <f>Sheet2!A3299</f>
        <v>0</v>
      </c>
      <c r="B3299" s="8">
        <v>3.05</v>
      </c>
      <c r="C3299" s="9">
        <v>0</v>
      </c>
      <c r="D3299" s="13">
        <f t="shared" si="51"/>
        <v>3.05</v>
      </c>
    </row>
    <row r="3300" spans="1:4" x14ac:dyDescent="0.25">
      <c r="A3300" s="15">
        <f>Sheet2!A3300</f>
        <v>0</v>
      </c>
      <c r="B3300" s="8">
        <v>0</v>
      </c>
      <c r="C3300" s="9">
        <v>1.62</v>
      </c>
      <c r="D3300" s="13">
        <f t="shared" si="51"/>
        <v>1.62</v>
      </c>
    </row>
    <row r="3301" spans="1:4" x14ac:dyDescent="0.25">
      <c r="A3301" s="15">
        <f>Sheet2!A3301</f>
        <v>0</v>
      </c>
      <c r="B3301" s="8">
        <v>0</v>
      </c>
      <c r="C3301" s="9">
        <v>2.11</v>
      </c>
      <c r="D3301" s="13">
        <f t="shared" si="51"/>
        <v>2.11</v>
      </c>
    </row>
    <row r="3302" spans="1:4" x14ac:dyDescent="0.25">
      <c r="A3302" s="15">
        <f>Sheet2!A3302</f>
        <v>0</v>
      </c>
      <c r="B3302" s="8">
        <v>0</v>
      </c>
      <c r="C3302" s="9">
        <v>2.2999999999999998</v>
      </c>
      <c r="D3302" s="13">
        <f t="shared" si="51"/>
        <v>2.2999999999999998</v>
      </c>
    </row>
    <row r="3303" spans="1:4" x14ac:dyDescent="0.25">
      <c r="A3303" s="15">
        <f>Sheet2!A3303</f>
        <v>0</v>
      </c>
      <c r="B3303" s="8">
        <v>0</v>
      </c>
      <c r="C3303" s="9">
        <v>0.98</v>
      </c>
      <c r="D3303" s="13">
        <f t="shared" si="51"/>
        <v>0.98</v>
      </c>
    </row>
    <row r="3304" spans="1:4" x14ac:dyDescent="0.25">
      <c r="A3304" s="15">
        <f>Sheet2!A3304</f>
        <v>0</v>
      </c>
      <c r="B3304" s="8">
        <v>0</v>
      </c>
      <c r="C3304" s="9">
        <v>0.51</v>
      </c>
      <c r="D3304" s="13">
        <f t="shared" si="51"/>
        <v>0.51</v>
      </c>
    </row>
    <row r="3305" spans="1:4" x14ac:dyDescent="0.25">
      <c r="A3305" s="15">
        <f>Sheet2!A3305</f>
        <v>0</v>
      </c>
      <c r="B3305" s="8">
        <v>0</v>
      </c>
      <c r="C3305" s="9">
        <v>1.31</v>
      </c>
      <c r="D3305" s="13">
        <f t="shared" si="51"/>
        <v>1.31</v>
      </c>
    </row>
    <row r="3306" spans="1:4" x14ac:dyDescent="0.25">
      <c r="A3306" s="15">
        <f>Sheet2!A3306</f>
        <v>0</v>
      </c>
      <c r="B3306" s="8">
        <v>0</v>
      </c>
      <c r="C3306" s="9">
        <v>2.7</v>
      </c>
      <c r="D3306" s="13">
        <f t="shared" si="51"/>
        <v>2.7</v>
      </c>
    </row>
    <row r="3307" spans="1:4" x14ac:dyDescent="0.25">
      <c r="A3307" s="15">
        <f>Sheet2!A3307</f>
        <v>0</v>
      </c>
      <c r="B3307" s="8">
        <v>0</v>
      </c>
      <c r="C3307" s="9">
        <v>0.72</v>
      </c>
      <c r="D3307" s="13">
        <f t="shared" si="51"/>
        <v>0.72</v>
      </c>
    </row>
    <row r="3308" spans="1:4" x14ac:dyDescent="0.25">
      <c r="A3308" s="15">
        <f>Sheet2!A3308</f>
        <v>0</v>
      </c>
      <c r="B3308" s="8">
        <v>0</v>
      </c>
      <c r="C3308" s="9">
        <v>0.93</v>
      </c>
      <c r="D3308" s="13">
        <f t="shared" si="51"/>
        <v>0.93</v>
      </c>
    </row>
    <row r="3309" spans="1:4" x14ac:dyDescent="0.25">
      <c r="A3309" s="15">
        <f>Sheet2!A3309</f>
        <v>0</v>
      </c>
      <c r="B3309" s="8">
        <v>0</v>
      </c>
      <c r="C3309" s="9">
        <v>2.17</v>
      </c>
      <c r="D3309" s="13">
        <f t="shared" si="51"/>
        <v>2.17</v>
      </c>
    </row>
    <row r="3310" spans="1:4" x14ac:dyDescent="0.25">
      <c r="A3310" s="15">
        <f>Sheet2!A3310</f>
        <v>0</v>
      </c>
      <c r="B3310" s="8">
        <v>0</v>
      </c>
      <c r="C3310" s="9">
        <v>3.31</v>
      </c>
      <c r="D3310" s="13">
        <f t="shared" si="51"/>
        <v>3.31</v>
      </c>
    </row>
    <row r="3311" spans="1:4" x14ac:dyDescent="0.25">
      <c r="A3311" s="15">
        <f>Sheet2!A3311</f>
        <v>0</v>
      </c>
      <c r="B3311" s="8">
        <v>0</v>
      </c>
      <c r="C3311" s="9">
        <v>1.08</v>
      </c>
      <c r="D3311" s="13">
        <f t="shared" si="51"/>
        <v>1.08</v>
      </c>
    </row>
    <row r="3312" spans="1:4" x14ac:dyDescent="0.25">
      <c r="A3312" s="15">
        <f>Sheet2!A3312</f>
        <v>0</v>
      </c>
      <c r="B3312" s="8">
        <v>0</v>
      </c>
      <c r="C3312" s="9">
        <v>1.69</v>
      </c>
      <c r="D3312" s="13">
        <f t="shared" si="51"/>
        <v>1.69</v>
      </c>
    </row>
    <row r="3313" spans="1:4" x14ac:dyDescent="0.25">
      <c r="A3313" s="15">
        <f>Sheet2!A3313</f>
        <v>0</v>
      </c>
      <c r="B3313" s="8">
        <v>0</v>
      </c>
      <c r="C3313" s="9">
        <v>3.11</v>
      </c>
      <c r="D3313" s="13">
        <f t="shared" si="51"/>
        <v>3.11</v>
      </c>
    </row>
    <row r="3314" spans="1:4" x14ac:dyDescent="0.25">
      <c r="A3314" s="15">
        <f>Sheet2!A3314</f>
        <v>0</v>
      </c>
      <c r="B3314" s="8">
        <v>0</v>
      </c>
      <c r="C3314" s="9">
        <v>2.94</v>
      </c>
      <c r="D3314" s="13">
        <f t="shared" si="51"/>
        <v>2.94</v>
      </c>
    </row>
    <row r="3315" spans="1:4" x14ac:dyDescent="0.25">
      <c r="A3315" s="15">
        <f>Sheet2!A3315</f>
        <v>0</v>
      </c>
      <c r="B3315" s="8">
        <v>0</v>
      </c>
      <c r="C3315" s="9">
        <v>1.05</v>
      </c>
      <c r="D3315" s="13">
        <f t="shared" si="51"/>
        <v>1.05</v>
      </c>
    </row>
    <row r="3316" spans="1:4" x14ac:dyDescent="0.25">
      <c r="A3316" s="15">
        <f>Sheet2!A3316</f>
        <v>0</v>
      </c>
      <c r="B3316" s="8">
        <v>0</v>
      </c>
      <c r="C3316" s="9">
        <v>1.21</v>
      </c>
      <c r="D3316" s="13">
        <f t="shared" si="51"/>
        <v>1.21</v>
      </c>
    </row>
    <row r="3317" spans="1:4" x14ac:dyDescent="0.25">
      <c r="A3317" s="15">
        <f>Sheet2!A3317</f>
        <v>0</v>
      </c>
      <c r="B3317" s="8">
        <v>0</v>
      </c>
      <c r="C3317" s="9">
        <v>2.67</v>
      </c>
      <c r="D3317" s="13">
        <f t="shared" si="51"/>
        <v>2.67</v>
      </c>
    </row>
    <row r="3318" spans="1:4" x14ac:dyDescent="0.25">
      <c r="A3318" s="15">
        <f>Sheet2!A3318</f>
        <v>0</v>
      </c>
      <c r="B3318" s="8">
        <v>0</v>
      </c>
      <c r="C3318" s="9">
        <v>2.72</v>
      </c>
      <c r="D3318" s="13">
        <f t="shared" si="51"/>
        <v>2.72</v>
      </c>
    </row>
    <row r="3319" spans="1:4" x14ac:dyDescent="0.25">
      <c r="A3319" s="15">
        <f>Sheet2!A3319</f>
        <v>0</v>
      </c>
      <c r="B3319" s="8">
        <v>0</v>
      </c>
      <c r="C3319" s="9">
        <v>0.87</v>
      </c>
      <c r="D3319" s="13">
        <f t="shared" si="51"/>
        <v>0.87</v>
      </c>
    </row>
    <row r="3320" spans="1:4" x14ac:dyDescent="0.25">
      <c r="A3320" s="15">
        <f>Sheet2!A3320</f>
        <v>0</v>
      </c>
      <c r="B3320" s="8">
        <v>4.9000000000000004</v>
      </c>
      <c r="C3320" s="9">
        <v>0</v>
      </c>
      <c r="D3320" s="13">
        <f t="shared" si="51"/>
        <v>4.9000000000000004</v>
      </c>
    </row>
    <row r="3321" spans="1:4" x14ac:dyDescent="0.25">
      <c r="A3321" s="15">
        <f>Sheet2!A3321</f>
        <v>0</v>
      </c>
      <c r="B3321" s="8">
        <v>0</v>
      </c>
      <c r="C3321" s="9">
        <v>1.56</v>
      </c>
      <c r="D3321" s="13">
        <f t="shared" si="51"/>
        <v>1.56</v>
      </c>
    </row>
    <row r="3322" spans="1:4" x14ac:dyDescent="0.25">
      <c r="A3322" s="15">
        <f>Sheet2!A3322</f>
        <v>0</v>
      </c>
      <c r="B3322" s="8">
        <v>0</v>
      </c>
      <c r="C3322" s="9">
        <v>2.13</v>
      </c>
      <c r="D3322" s="13">
        <f t="shared" si="51"/>
        <v>2.13</v>
      </c>
    </row>
    <row r="3323" spans="1:4" x14ac:dyDescent="0.25">
      <c r="A3323" s="15">
        <f>Sheet2!A3323</f>
        <v>0</v>
      </c>
      <c r="B3323" s="8">
        <v>0</v>
      </c>
      <c r="C3323" s="9">
        <v>0.92</v>
      </c>
      <c r="D3323" s="13">
        <f t="shared" si="51"/>
        <v>0.92</v>
      </c>
    </row>
    <row r="3324" spans="1:4" x14ac:dyDescent="0.25">
      <c r="A3324" s="15">
        <f>Sheet2!A3324</f>
        <v>0</v>
      </c>
      <c r="B3324" s="8">
        <v>7</v>
      </c>
      <c r="C3324" s="9">
        <v>0</v>
      </c>
      <c r="D3324" s="13">
        <f t="shared" si="51"/>
        <v>7</v>
      </c>
    </row>
    <row r="3325" spans="1:4" x14ac:dyDescent="0.25">
      <c r="A3325" s="15">
        <f>Sheet2!A3325</f>
        <v>0</v>
      </c>
      <c r="B3325" s="8">
        <v>0</v>
      </c>
      <c r="C3325" s="9">
        <v>1.91</v>
      </c>
      <c r="D3325" s="13">
        <f t="shared" si="51"/>
        <v>1.91</v>
      </c>
    </row>
    <row r="3326" spans="1:4" x14ac:dyDescent="0.25">
      <c r="A3326" s="15">
        <f>Sheet2!A3326</f>
        <v>0</v>
      </c>
      <c r="B3326" s="8">
        <v>0</v>
      </c>
      <c r="C3326" s="9">
        <v>3.17</v>
      </c>
      <c r="D3326" s="13">
        <f t="shared" si="51"/>
        <v>3.17</v>
      </c>
    </row>
    <row r="3327" spans="1:4" x14ac:dyDescent="0.25">
      <c r="A3327" s="15">
        <f>Sheet2!A3327</f>
        <v>0</v>
      </c>
      <c r="B3327" s="8">
        <v>0</v>
      </c>
      <c r="C3327" s="9">
        <v>2.89</v>
      </c>
      <c r="D3327" s="13">
        <f t="shared" si="51"/>
        <v>2.89</v>
      </c>
    </row>
    <row r="3328" spans="1:4" x14ac:dyDescent="0.25">
      <c r="A3328" s="15">
        <f>Sheet2!A3328</f>
        <v>0</v>
      </c>
      <c r="B3328" s="8">
        <v>0</v>
      </c>
      <c r="C3328" s="9">
        <v>1.89</v>
      </c>
      <c r="D3328" s="13">
        <f t="shared" si="51"/>
        <v>1.89</v>
      </c>
    </row>
    <row r="3329" spans="1:4" x14ac:dyDescent="0.25">
      <c r="A3329" s="15">
        <f>Sheet2!A3329</f>
        <v>0</v>
      </c>
      <c r="B3329" s="8">
        <v>0</v>
      </c>
      <c r="C3329" s="9">
        <v>2.41</v>
      </c>
      <c r="D3329" s="13">
        <f t="shared" si="51"/>
        <v>2.41</v>
      </c>
    </row>
    <row r="3330" spans="1:4" x14ac:dyDescent="0.25">
      <c r="A3330" s="15">
        <f>Sheet2!A3330</f>
        <v>0</v>
      </c>
      <c r="B3330" s="8">
        <v>0</v>
      </c>
      <c r="C3330" s="9">
        <v>0.44</v>
      </c>
      <c r="D3330" s="13">
        <f t="shared" si="51"/>
        <v>0.44</v>
      </c>
    </row>
    <row r="3331" spans="1:4" x14ac:dyDescent="0.25">
      <c r="A3331" s="15">
        <f>Sheet2!A3331</f>
        <v>0</v>
      </c>
      <c r="B3331" s="8">
        <v>0</v>
      </c>
      <c r="C3331" s="9">
        <v>1.55</v>
      </c>
      <c r="D3331" s="13">
        <f t="shared" ref="D3331:D3394" si="52">B3331+C3331</f>
        <v>1.55</v>
      </c>
    </row>
    <row r="3332" spans="1:4" x14ac:dyDescent="0.25">
      <c r="A3332" s="15">
        <f>Sheet2!A3332</f>
        <v>0</v>
      </c>
      <c r="B3332" s="8">
        <v>0</v>
      </c>
      <c r="C3332" s="9">
        <v>1.61</v>
      </c>
      <c r="D3332" s="13">
        <f t="shared" si="52"/>
        <v>1.61</v>
      </c>
    </row>
    <row r="3333" spans="1:4" x14ac:dyDescent="0.25">
      <c r="A3333" s="15">
        <f>Sheet2!A3333</f>
        <v>0</v>
      </c>
      <c r="B3333" s="8">
        <v>0</v>
      </c>
      <c r="C3333" s="9">
        <v>2.78</v>
      </c>
      <c r="D3333" s="13">
        <f t="shared" si="52"/>
        <v>2.78</v>
      </c>
    </row>
    <row r="3334" spans="1:4" x14ac:dyDescent="0.25">
      <c r="A3334" s="15">
        <f>Sheet2!A3334</f>
        <v>0</v>
      </c>
      <c r="B3334" s="8">
        <v>0</v>
      </c>
      <c r="C3334" s="9">
        <v>3.17</v>
      </c>
      <c r="D3334" s="13">
        <f t="shared" si="52"/>
        <v>3.17</v>
      </c>
    </row>
    <row r="3335" spans="1:4" x14ac:dyDescent="0.25">
      <c r="A3335" s="15">
        <f>Sheet2!A3335</f>
        <v>0</v>
      </c>
      <c r="B3335" s="8">
        <v>0</v>
      </c>
      <c r="C3335" s="9">
        <v>2.82</v>
      </c>
      <c r="D3335" s="13">
        <f t="shared" si="52"/>
        <v>2.82</v>
      </c>
    </row>
    <row r="3336" spans="1:4" x14ac:dyDescent="0.25">
      <c r="A3336" s="15">
        <f>Sheet2!A3336</f>
        <v>0</v>
      </c>
      <c r="B3336" s="8">
        <v>0</v>
      </c>
      <c r="C3336" s="9">
        <v>2.39</v>
      </c>
      <c r="D3336" s="13">
        <f t="shared" si="52"/>
        <v>2.39</v>
      </c>
    </row>
    <row r="3337" spans="1:4" x14ac:dyDescent="0.25">
      <c r="A3337" s="15">
        <f>Sheet2!A3337</f>
        <v>0</v>
      </c>
      <c r="B3337" s="8">
        <v>0</v>
      </c>
      <c r="C3337" s="9">
        <v>0.83</v>
      </c>
      <c r="D3337" s="13">
        <f t="shared" si="52"/>
        <v>0.83</v>
      </c>
    </row>
    <row r="3338" spans="1:4" x14ac:dyDescent="0.25">
      <c r="A3338" s="15">
        <f>Sheet2!A3338</f>
        <v>0</v>
      </c>
      <c r="B3338" s="8">
        <v>7.37</v>
      </c>
      <c r="C3338" s="9">
        <v>0</v>
      </c>
      <c r="D3338" s="13">
        <f t="shared" si="52"/>
        <v>7.37</v>
      </c>
    </row>
    <row r="3339" spans="1:4" x14ac:dyDescent="0.25">
      <c r="A3339" s="15">
        <f>Sheet2!A3339</f>
        <v>0</v>
      </c>
      <c r="B3339" s="8">
        <v>0</v>
      </c>
      <c r="C3339" s="9">
        <v>1.73</v>
      </c>
      <c r="D3339" s="13">
        <f t="shared" si="52"/>
        <v>1.73</v>
      </c>
    </row>
    <row r="3340" spans="1:4" x14ac:dyDescent="0.25">
      <c r="A3340" s="15">
        <f>Sheet2!A3340</f>
        <v>0</v>
      </c>
      <c r="B3340" s="8">
        <v>0</v>
      </c>
      <c r="C3340" s="9">
        <v>2.5099999999999998</v>
      </c>
      <c r="D3340" s="13">
        <f t="shared" si="52"/>
        <v>2.5099999999999998</v>
      </c>
    </row>
    <row r="3341" spans="1:4" x14ac:dyDescent="0.25">
      <c r="A3341" s="15">
        <f>Sheet2!A3341</f>
        <v>0</v>
      </c>
      <c r="B3341" s="8">
        <v>0</v>
      </c>
      <c r="C3341" s="9">
        <v>0.51</v>
      </c>
      <c r="D3341" s="13">
        <f t="shared" si="52"/>
        <v>0.51</v>
      </c>
    </row>
    <row r="3342" spans="1:4" x14ac:dyDescent="0.25">
      <c r="A3342" s="15">
        <f>Sheet2!A3342</f>
        <v>0</v>
      </c>
      <c r="B3342" s="8">
        <v>7.47</v>
      </c>
      <c r="C3342" s="9">
        <v>0</v>
      </c>
      <c r="D3342" s="13">
        <f t="shared" si="52"/>
        <v>7.47</v>
      </c>
    </row>
    <row r="3343" spans="1:4" x14ac:dyDescent="0.25">
      <c r="A3343" s="15">
        <f>Sheet2!A3343</f>
        <v>0</v>
      </c>
      <c r="B3343" s="8">
        <v>0</v>
      </c>
      <c r="C3343" s="9">
        <v>0.74</v>
      </c>
      <c r="D3343" s="13">
        <f t="shared" si="52"/>
        <v>0.74</v>
      </c>
    </row>
    <row r="3344" spans="1:4" x14ac:dyDescent="0.25">
      <c r="A3344" s="15">
        <f>Sheet2!A3344</f>
        <v>0</v>
      </c>
      <c r="B3344" s="8">
        <v>0</v>
      </c>
      <c r="C3344" s="9">
        <v>1.78</v>
      </c>
      <c r="D3344" s="13">
        <f t="shared" si="52"/>
        <v>1.78</v>
      </c>
    </row>
    <row r="3345" spans="1:4" x14ac:dyDescent="0.25">
      <c r="A3345" s="15">
        <f>Sheet2!A3345</f>
        <v>0</v>
      </c>
      <c r="B3345" s="8">
        <v>0</v>
      </c>
      <c r="C3345" s="9">
        <v>1.97</v>
      </c>
      <c r="D3345" s="13">
        <f t="shared" si="52"/>
        <v>1.97</v>
      </c>
    </row>
    <row r="3346" spans="1:4" x14ac:dyDescent="0.25">
      <c r="A3346" s="15">
        <f>Sheet2!A3346</f>
        <v>0</v>
      </c>
      <c r="B3346" s="8">
        <v>0</v>
      </c>
      <c r="C3346" s="9">
        <v>2.29</v>
      </c>
      <c r="D3346" s="13">
        <f t="shared" si="52"/>
        <v>2.29</v>
      </c>
    </row>
    <row r="3347" spans="1:4" x14ac:dyDescent="0.25">
      <c r="A3347" s="15">
        <f>Sheet2!A3347</f>
        <v>0</v>
      </c>
      <c r="B3347" s="8">
        <v>0</v>
      </c>
      <c r="C3347" s="9">
        <v>0.31</v>
      </c>
      <c r="D3347" s="13">
        <f t="shared" si="52"/>
        <v>0.31</v>
      </c>
    </row>
    <row r="3348" spans="1:4" x14ac:dyDescent="0.25">
      <c r="A3348" s="15">
        <f>Sheet2!A3348</f>
        <v>0</v>
      </c>
      <c r="B3348" s="8">
        <v>0</v>
      </c>
      <c r="C3348" s="9">
        <v>2.4500000000000002</v>
      </c>
      <c r="D3348" s="13">
        <f t="shared" si="52"/>
        <v>2.4500000000000002</v>
      </c>
    </row>
    <row r="3349" spans="1:4" x14ac:dyDescent="0.25">
      <c r="A3349" s="15">
        <f>Sheet2!A3349</f>
        <v>0</v>
      </c>
      <c r="B3349" s="8">
        <v>0</v>
      </c>
      <c r="C3349" s="9">
        <v>2.94</v>
      </c>
      <c r="D3349" s="13">
        <f t="shared" si="52"/>
        <v>2.94</v>
      </c>
    </row>
    <row r="3350" spans="1:4" x14ac:dyDescent="0.25">
      <c r="A3350" s="15">
        <f>Sheet2!A3350</f>
        <v>0</v>
      </c>
      <c r="B3350" s="8">
        <v>0</v>
      </c>
      <c r="C3350" s="9">
        <v>2.31</v>
      </c>
      <c r="D3350" s="13">
        <f t="shared" si="52"/>
        <v>2.31</v>
      </c>
    </row>
    <row r="3351" spans="1:4" x14ac:dyDescent="0.25">
      <c r="A3351" s="15">
        <f>Sheet2!A3351</f>
        <v>0</v>
      </c>
      <c r="B3351" s="8">
        <v>0</v>
      </c>
      <c r="C3351" s="9">
        <v>2.63</v>
      </c>
      <c r="D3351" s="13">
        <f t="shared" si="52"/>
        <v>2.63</v>
      </c>
    </row>
    <row r="3352" spans="1:4" x14ac:dyDescent="0.25">
      <c r="A3352" s="15">
        <f>Sheet2!A3352</f>
        <v>0</v>
      </c>
      <c r="B3352" s="8">
        <v>0</v>
      </c>
      <c r="C3352" s="9">
        <v>3.13</v>
      </c>
      <c r="D3352" s="13">
        <f t="shared" si="52"/>
        <v>3.13</v>
      </c>
    </row>
    <row r="3353" spans="1:4" x14ac:dyDescent="0.25">
      <c r="A3353" s="15">
        <f>Sheet2!A3353</f>
        <v>0</v>
      </c>
      <c r="B3353" s="8">
        <v>0</v>
      </c>
      <c r="C3353" s="9">
        <v>2.5</v>
      </c>
      <c r="D3353" s="13">
        <f t="shared" si="52"/>
        <v>2.5</v>
      </c>
    </row>
    <row r="3354" spans="1:4" x14ac:dyDescent="0.25">
      <c r="A3354" s="15">
        <f>Sheet2!A3354</f>
        <v>0</v>
      </c>
      <c r="B3354" s="8">
        <v>0</v>
      </c>
      <c r="C3354" s="9">
        <v>2.06</v>
      </c>
      <c r="D3354" s="13">
        <f t="shared" si="52"/>
        <v>2.06</v>
      </c>
    </row>
    <row r="3355" spans="1:4" x14ac:dyDescent="0.25">
      <c r="A3355" s="15">
        <f>Sheet2!A3355</f>
        <v>0</v>
      </c>
      <c r="B3355" s="8">
        <v>0</v>
      </c>
      <c r="C3355" s="9">
        <v>1.23</v>
      </c>
      <c r="D3355" s="13">
        <f t="shared" si="52"/>
        <v>1.23</v>
      </c>
    </row>
    <row r="3356" spans="1:4" x14ac:dyDescent="0.25">
      <c r="A3356" s="15">
        <f>Sheet2!A3356</f>
        <v>0</v>
      </c>
      <c r="B3356" s="8">
        <v>0</v>
      </c>
      <c r="C3356" s="9">
        <v>1.0900000000000001</v>
      </c>
      <c r="D3356" s="13">
        <f t="shared" si="52"/>
        <v>1.0900000000000001</v>
      </c>
    </row>
    <row r="3357" spans="1:4" x14ac:dyDescent="0.25">
      <c r="A3357" s="15">
        <f>Sheet2!A3357</f>
        <v>0</v>
      </c>
      <c r="B3357" s="8">
        <v>0</v>
      </c>
      <c r="C3357" s="9">
        <v>1.56</v>
      </c>
      <c r="D3357" s="13">
        <f t="shared" si="52"/>
        <v>1.56</v>
      </c>
    </row>
    <row r="3358" spans="1:4" x14ac:dyDescent="0.25">
      <c r="A3358" s="15">
        <f>Sheet2!A3358</f>
        <v>0</v>
      </c>
      <c r="B3358" s="8">
        <v>0</v>
      </c>
      <c r="C3358" s="9">
        <v>1.91</v>
      </c>
      <c r="D3358" s="13">
        <f t="shared" si="52"/>
        <v>1.91</v>
      </c>
    </row>
    <row r="3359" spans="1:4" x14ac:dyDescent="0.25">
      <c r="A3359" s="15">
        <f>Sheet2!A3359</f>
        <v>0</v>
      </c>
      <c r="B3359" s="8">
        <v>0</v>
      </c>
      <c r="C3359" s="9">
        <v>1.82</v>
      </c>
      <c r="D3359" s="13">
        <f t="shared" si="52"/>
        <v>1.82</v>
      </c>
    </row>
    <row r="3360" spans="1:4" x14ac:dyDescent="0.25">
      <c r="A3360" s="15">
        <f>Sheet2!A3360</f>
        <v>0</v>
      </c>
      <c r="B3360" s="8">
        <v>0</v>
      </c>
      <c r="C3360" s="9">
        <v>0.82</v>
      </c>
      <c r="D3360" s="13">
        <f t="shared" si="52"/>
        <v>0.82</v>
      </c>
    </row>
    <row r="3361" spans="1:4" x14ac:dyDescent="0.25">
      <c r="A3361" s="15">
        <f>Sheet2!A3361</f>
        <v>0</v>
      </c>
      <c r="B3361" s="8">
        <v>0</v>
      </c>
      <c r="C3361" s="9">
        <v>1.69</v>
      </c>
      <c r="D3361" s="13">
        <f t="shared" si="52"/>
        <v>1.69</v>
      </c>
    </row>
    <row r="3362" spans="1:4" x14ac:dyDescent="0.25">
      <c r="A3362" s="15">
        <f>Sheet2!A3362</f>
        <v>0</v>
      </c>
      <c r="B3362" s="8">
        <v>0</v>
      </c>
      <c r="C3362" s="9">
        <v>2.77</v>
      </c>
      <c r="D3362" s="13">
        <f t="shared" si="52"/>
        <v>2.77</v>
      </c>
    </row>
    <row r="3363" spans="1:4" x14ac:dyDescent="0.25">
      <c r="A3363" s="15">
        <f>Sheet2!A3363</f>
        <v>0</v>
      </c>
      <c r="B3363" s="8">
        <v>0</v>
      </c>
      <c r="C3363" s="9">
        <v>2.97</v>
      </c>
      <c r="D3363" s="13">
        <f t="shared" si="52"/>
        <v>2.97</v>
      </c>
    </row>
    <row r="3364" spans="1:4" x14ac:dyDescent="0.25">
      <c r="A3364" s="15">
        <f>Sheet2!A3364</f>
        <v>0</v>
      </c>
      <c r="B3364" s="8">
        <v>0</v>
      </c>
      <c r="C3364" s="9">
        <v>1.08</v>
      </c>
      <c r="D3364" s="13">
        <f t="shared" si="52"/>
        <v>1.08</v>
      </c>
    </row>
    <row r="3365" spans="1:4" x14ac:dyDescent="0.25">
      <c r="A3365" s="15">
        <f>Sheet2!A3365</f>
        <v>0</v>
      </c>
      <c r="B3365" s="8">
        <v>0</v>
      </c>
      <c r="C3365" s="9">
        <v>0.64</v>
      </c>
      <c r="D3365" s="13">
        <f t="shared" si="52"/>
        <v>0.64</v>
      </c>
    </row>
    <row r="3366" spans="1:4" x14ac:dyDescent="0.25">
      <c r="A3366" s="15">
        <f>Sheet2!A3366</f>
        <v>0</v>
      </c>
      <c r="B3366" s="8">
        <v>0</v>
      </c>
      <c r="C3366" s="9">
        <v>2.69</v>
      </c>
      <c r="D3366" s="13">
        <f t="shared" si="52"/>
        <v>2.69</v>
      </c>
    </row>
    <row r="3367" spans="1:4" x14ac:dyDescent="0.25">
      <c r="A3367" s="15">
        <f>Sheet2!A3367</f>
        <v>0</v>
      </c>
      <c r="B3367" s="8">
        <v>0</v>
      </c>
      <c r="C3367" s="9">
        <v>0.94</v>
      </c>
      <c r="D3367" s="13">
        <f t="shared" si="52"/>
        <v>0.94</v>
      </c>
    </row>
    <row r="3368" spans="1:4" x14ac:dyDescent="0.25">
      <c r="A3368" s="15">
        <f>Sheet2!A3368</f>
        <v>0</v>
      </c>
      <c r="B3368" s="8">
        <v>0</v>
      </c>
      <c r="C3368" s="9">
        <v>1.08</v>
      </c>
      <c r="D3368" s="13">
        <f t="shared" si="52"/>
        <v>1.08</v>
      </c>
    </row>
    <row r="3369" spans="1:4" x14ac:dyDescent="0.25">
      <c r="A3369" s="15">
        <f>Sheet2!A3369</f>
        <v>0</v>
      </c>
      <c r="B3369" s="8">
        <v>10.64</v>
      </c>
      <c r="C3369" s="9">
        <v>0</v>
      </c>
      <c r="D3369" s="13">
        <f t="shared" si="52"/>
        <v>10.64</v>
      </c>
    </row>
    <row r="3370" spans="1:4" x14ac:dyDescent="0.25">
      <c r="A3370" s="15">
        <f>Sheet2!A3370</f>
        <v>0</v>
      </c>
      <c r="B3370" s="8">
        <v>9.56</v>
      </c>
      <c r="C3370" s="9">
        <v>0</v>
      </c>
      <c r="D3370" s="13">
        <f t="shared" si="52"/>
        <v>9.56</v>
      </c>
    </row>
    <row r="3371" spans="1:4" x14ac:dyDescent="0.25">
      <c r="A3371" s="15">
        <f>Sheet2!A3371</f>
        <v>0</v>
      </c>
      <c r="B3371" s="8">
        <v>0</v>
      </c>
      <c r="C3371" s="9">
        <v>1.42</v>
      </c>
      <c r="D3371" s="13">
        <f t="shared" si="52"/>
        <v>1.42</v>
      </c>
    </row>
    <row r="3372" spans="1:4" x14ac:dyDescent="0.25">
      <c r="A3372" s="15">
        <f>Sheet2!A3372</f>
        <v>0</v>
      </c>
      <c r="B3372" s="8">
        <v>0</v>
      </c>
      <c r="C3372" s="9">
        <v>2.63</v>
      </c>
      <c r="D3372" s="13">
        <f t="shared" si="52"/>
        <v>2.63</v>
      </c>
    </row>
    <row r="3373" spans="1:4" x14ac:dyDescent="0.25">
      <c r="A3373" s="15">
        <f>Sheet2!A3373</f>
        <v>0</v>
      </c>
      <c r="B3373" s="8">
        <v>0</v>
      </c>
      <c r="C3373" s="9">
        <v>1.37</v>
      </c>
      <c r="D3373" s="13">
        <f t="shared" si="52"/>
        <v>1.37</v>
      </c>
    </row>
    <row r="3374" spans="1:4" x14ac:dyDescent="0.25">
      <c r="A3374" s="15">
        <f>Sheet2!A3374</f>
        <v>0</v>
      </c>
      <c r="B3374" s="8">
        <v>11.57</v>
      </c>
      <c r="C3374" s="9">
        <v>0</v>
      </c>
      <c r="D3374" s="13">
        <f t="shared" si="52"/>
        <v>11.57</v>
      </c>
    </row>
    <row r="3375" spans="1:4" x14ac:dyDescent="0.25">
      <c r="A3375" s="15">
        <f>Sheet2!A3375</f>
        <v>0</v>
      </c>
      <c r="B3375" s="8">
        <v>0</v>
      </c>
      <c r="C3375" s="9">
        <v>2.2200000000000002</v>
      </c>
      <c r="D3375" s="13">
        <f t="shared" si="52"/>
        <v>2.2200000000000002</v>
      </c>
    </row>
    <row r="3376" spans="1:4" x14ac:dyDescent="0.25">
      <c r="A3376" s="15">
        <f>Sheet2!A3376</f>
        <v>0</v>
      </c>
      <c r="B3376" s="8">
        <v>0</v>
      </c>
      <c r="C3376" s="9">
        <v>1.46</v>
      </c>
      <c r="D3376" s="13">
        <f t="shared" si="52"/>
        <v>1.46</v>
      </c>
    </row>
    <row r="3377" spans="1:4" x14ac:dyDescent="0.25">
      <c r="A3377" s="15">
        <f>Sheet2!A3377</f>
        <v>0</v>
      </c>
      <c r="B3377" s="8">
        <v>0</v>
      </c>
      <c r="C3377" s="9">
        <v>0.9</v>
      </c>
      <c r="D3377" s="13">
        <f t="shared" si="52"/>
        <v>0.9</v>
      </c>
    </row>
    <row r="3378" spans="1:4" x14ac:dyDescent="0.25">
      <c r="A3378" s="15">
        <f>Sheet2!A3378</f>
        <v>0</v>
      </c>
      <c r="B3378" s="8">
        <v>0</v>
      </c>
      <c r="C3378" s="9">
        <v>1.96</v>
      </c>
      <c r="D3378" s="13">
        <f t="shared" si="52"/>
        <v>1.96</v>
      </c>
    </row>
    <row r="3379" spans="1:4" x14ac:dyDescent="0.25">
      <c r="A3379" s="15">
        <f>Sheet2!A3379</f>
        <v>0</v>
      </c>
      <c r="B3379" s="8">
        <v>0</v>
      </c>
      <c r="C3379" s="9">
        <v>1.01</v>
      </c>
      <c r="D3379" s="13">
        <f t="shared" si="52"/>
        <v>1.01</v>
      </c>
    </row>
    <row r="3380" spans="1:4" x14ac:dyDescent="0.25">
      <c r="A3380" s="15">
        <f>Sheet2!A3380</f>
        <v>0</v>
      </c>
      <c r="B3380" s="8">
        <v>0</v>
      </c>
      <c r="C3380" s="9">
        <v>2.63</v>
      </c>
      <c r="D3380" s="13">
        <f t="shared" si="52"/>
        <v>2.63</v>
      </c>
    </row>
    <row r="3381" spans="1:4" x14ac:dyDescent="0.25">
      <c r="A3381" s="15">
        <f>Sheet2!A3381</f>
        <v>0</v>
      </c>
      <c r="B3381" s="8">
        <v>0</v>
      </c>
      <c r="C3381" s="9">
        <v>2.95</v>
      </c>
      <c r="D3381" s="13">
        <f t="shared" si="52"/>
        <v>2.95</v>
      </c>
    </row>
    <row r="3382" spans="1:4" x14ac:dyDescent="0.25">
      <c r="A3382" s="15">
        <f>Sheet2!A3382</f>
        <v>0</v>
      </c>
      <c r="B3382" s="8">
        <v>0</v>
      </c>
      <c r="C3382" s="9">
        <v>2.11</v>
      </c>
      <c r="D3382" s="13">
        <f t="shared" si="52"/>
        <v>2.11</v>
      </c>
    </row>
    <row r="3383" spans="1:4" x14ac:dyDescent="0.25">
      <c r="A3383" s="15">
        <f>Sheet2!A3383</f>
        <v>0</v>
      </c>
      <c r="B3383" s="8">
        <v>0</v>
      </c>
      <c r="C3383" s="9">
        <v>0.55000000000000004</v>
      </c>
      <c r="D3383" s="13">
        <f t="shared" si="52"/>
        <v>0.55000000000000004</v>
      </c>
    </row>
    <row r="3384" spans="1:4" x14ac:dyDescent="0.25">
      <c r="A3384" s="15">
        <f>Sheet2!A3384</f>
        <v>0</v>
      </c>
      <c r="B3384" s="8">
        <v>0</v>
      </c>
      <c r="C3384" s="9">
        <v>0.82</v>
      </c>
      <c r="D3384" s="13">
        <f t="shared" si="52"/>
        <v>0.82</v>
      </c>
    </row>
    <row r="3385" spans="1:4" x14ac:dyDescent="0.25">
      <c r="A3385" s="15">
        <f>Sheet2!A3385</f>
        <v>0</v>
      </c>
      <c r="B3385" s="8">
        <v>0</v>
      </c>
      <c r="C3385" s="9">
        <v>3.19</v>
      </c>
      <c r="D3385" s="13">
        <f t="shared" si="52"/>
        <v>3.19</v>
      </c>
    </row>
    <row r="3386" spans="1:4" x14ac:dyDescent="0.25">
      <c r="A3386" s="15">
        <f>Sheet2!A3386</f>
        <v>0</v>
      </c>
      <c r="B3386" s="8">
        <v>0</v>
      </c>
      <c r="C3386" s="9">
        <v>3.72</v>
      </c>
      <c r="D3386" s="13">
        <f t="shared" si="52"/>
        <v>3.72</v>
      </c>
    </row>
    <row r="3387" spans="1:4" x14ac:dyDescent="0.25">
      <c r="A3387" s="15">
        <f>Sheet2!A3387</f>
        <v>0</v>
      </c>
      <c r="B3387" s="8">
        <v>0</v>
      </c>
      <c r="C3387" s="9">
        <v>0.87</v>
      </c>
      <c r="D3387" s="13">
        <f t="shared" si="52"/>
        <v>0.87</v>
      </c>
    </row>
    <row r="3388" spans="1:4" x14ac:dyDescent="0.25">
      <c r="A3388" s="15">
        <f>Sheet2!A3388</f>
        <v>0</v>
      </c>
      <c r="B3388" s="8">
        <v>10.6</v>
      </c>
      <c r="C3388" s="9">
        <v>0</v>
      </c>
      <c r="D3388" s="13">
        <f t="shared" si="52"/>
        <v>10.6</v>
      </c>
    </row>
    <row r="3389" spans="1:4" x14ac:dyDescent="0.25">
      <c r="A3389" s="15">
        <f>Sheet2!A3389</f>
        <v>0</v>
      </c>
      <c r="B3389" s="8">
        <v>0</v>
      </c>
      <c r="C3389" s="9">
        <v>1.76</v>
      </c>
      <c r="D3389" s="13">
        <f t="shared" si="52"/>
        <v>1.76</v>
      </c>
    </row>
    <row r="3390" spans="1:4" x14ac:dyDescent="0.25">
      <c r="A3390" s="15">
        <f>Sheet2!A3390</f>
        <v>0</v>
      </c>
      <c r="B3390" s="8">
        <v>0</v>
      </c>
      <c r="C3390" s="9">
        <v>2.84</v>
      </c>
      <c r="D3390" s="13">
        <f t="shared" si="52"/>
        <v>2.84</v>
      </c>
    </row>
    <row r="3391" spans="1:4" x14ac:dyDescent="0.25">
      <c r="A3391" s="15">
        <f>Sheet2!A3391</f>
        <v>0</v>
      </c>
      <c r="B3391" s="8">
        <v>0</v>
      </c>
      <c r="C3391" s="9">
        <v>1.2</v>
      </c>
      <c r="D3391" s="13">
        <f t="shared" si="52"/>
        <v>1.2</v>
      </c>
    </row>
    <row r="3392" spans="1:4" x14ac:dyDescent="0.25">
      <c r="A3392" s="15">
        <f>Sheet2!A3392</f>
        <v>0</v>
      </c>
      <c r="B3392" s="8">
        <v>9.31</v>
      </c>
      <c r="C3392" s="9">
        <v>0</v>
      </c>
      <c r="D3392" s="13">
        <f t="shared" si="52"/>
        <v>9.31</v>
      </c>
    </row>
    <row r="3393" spans="1:4" x14ac:dyDescent="0.25">
      <c r="A3393" s="15">
        <f>Sheet2!A3393</f>
        <v>0</v>
      </c>
      <c r="B3393" s="8">
        <v>0</v>
      </c>
      <c r="C3393" s="9">
        <v>0.89</v>
      </c>
      <c r="D3393" s="13">
        <f t="shared" si="52"/>
        <v>0.89</v>
      </c>
    </row>
    <row r="3394" spans="1:4" x14ac:dyDescent="0.25">
      <c r="A3394" s="15">
        <f>Sheet2!A3394</f>
        <v>0</v>
      </c>
      <c r="B3394" s="8">
        <v>0</v>
      </c>
      <c r="C3394" s="9">
        <v>1.54</v>
      </c>
      <c r="D3394" s="13">
        <f t="shared" si="52"/>
        <v>1.54</v>
      </c>
    </row>
    <row r="3395" spans="1:4" x14ac:dyDescent="0.25">
      <c r="A3395" s="15">
        <f>Sheet2!A3395</f>
        <v>0</v>
      </c>
      <c r="B3395" s="8">
        <v>0</v>
      </c>
      <c r="C3395" s="9">
        <v>1.1299999999999999</v>
      </c>
      <c r="D3395" s="13">
        <f t="shared" ref="D3395:D3458" si="53">B3395+C3395</f>
        <v>1.1299999999999999</v>
      </c>
    </row>
    <row r="3396" spans="1:4" x14ac:dyDescent="0.25">
      <c r="A3396" s="15">
        <f>Sheet2!A3396</f>
        <v>0</v>
      </c>
      <c r="B3396" s="8">
        <v>0</v>
      </c>
      <c r="C3396" s="9">
        <v>1.59</v>
      </c>
      <c r="D3396" s="13">
        <f t="shared" si="53"/>
        <v>1.59</v>
      </c>
    </row>
    <row r="3397" spans="1:4" x14ac:dyDescent="0.25">
      <c r="A3397" s="15">
        <f>Sheet2!A3397</f>
        <v>0</v>
      </c>
      <c r="B3397" s="8">
        <v>0</v>
      </c>
      <c r="C3397" s="9">
        <v>0.77</v>
      </c>
      <c r="D3397" s="13">
        <f t="shared" si="53"/>
        <v>0.77</v>
      </c>
    </row>
    <row r="3398" spans="1:4" x14ac:dyDescent="0.25">
      <c r="A3398" s="15">
        <f>Sheet2!A3398</f>
        <v>0</v>
      </c>
      <c r="B3398" s="8">
        <v>0</v>
      </c>
      <c r="C3398" s="9">
        <v>1.9</v>
      </c>
      <c r="D3398" s="13">
        <f t="shared" si="53"/>
        <v>1.9</v>
      </c>
    </row>
    <row r="3399" spans="1:4" x14ac:dyDescent="0.25">
      <c r="A3399" s="15">
        <f>Sheet2!A3399</f>
        <v>0</v>
      </c>
      <c r="B3399" s="8">
        <v>0</v>
      </c>
      <c r="C3399" s="9">
        <v>3.76</v>
      </c>
      <c r="D3399" s="13">
        <f t="shared" si="53"/>
        <v>3.76</v>
      </c>
    </row>
    <row r="3400" spans="1:4" x14ac:dyDescent="0.25">
      <c r="A3400" s="15">
        <f>Sheet2!A3400</f>
        <v>0</v>
      </c>
      <c r="B3400" s="8">
        <v>0</v>
      </c>
      <c r="C3400" s="9">
        <v>3.7</v>
      </c>
      <c r="D3400" s="13">
        <f t="shared" si="53"/>
        <v>3.7</v>
      </c>
    </row>
    <row r="3401" spans="1:4" x14ac:dyDescent="0.25">
      <c r="A3401" s="15">
        <f>Sheet2!A3401</f>
        <v>0</v>
      </c>
      <c r="B3401" s="8">
        <v>0</v>
      </c>
      <c r="C3401" s="9">
        <v>1.3</v>
      </c>
      <c r="D3401" s="13">
        <f t="shared" si="53"/>
        <v>1.3</v>
      </c>
    </row>
    <row r="3402" spans="1:4" x14ac:dyDescent="0.25">
      <c r="A3402" s="15">
        <f>Sheet2!A3402</f>
        <v>0</v>
      </c>
      <c r="B3402" s="8">
        <v>0</v>
      </c>
      <c r="C3402" s="9">
        <v>2.61</v>
      </c>
      <c r="D3402" s="13">
        <f t="shared" si="53"/>
        <v>2.61</v>
      </c>
    </row>
    <row r="3403" spans="1:4" x14ac:dyDescent="0.25">
      <c r="A3403" s="15">
        <f>Sheet2!A3403</f>
        <v>0</v>
      </c>
      <c r="B3403" s="8">
        <v>0</v>
      </c>
      <c r="C3403" s="9">
        <v>3.93</v>
      </c>
      <c r="D3403" s="13">
        <f t="shared" si="53"/>
        <v>3.93</v>
      </c>
    </row>
    <row r="3404" spans="1:4" x14ac:dyDescent="0.25">
      <c r="A3404" s="15">
        <f>Sheet2!A3404</f>
        <v>0</v>
      </c>
      <c r="B3404" s="8">
        <v>0</v>
      </c>
      <c r="C3404" s="9">
        <v>3.9</v>
      </c>
      <c r="D3404" s="13">
        <f t="shared" si="53"/>
        <v>3.9</v>
      </c>
    </row>
    <row r="3405" spans="1:4" x14ac:dyDescent="0.25">
      <c r="A3405" s="15">
        <f>Sheet2!A3405</f>
        <v>0</v>
      </c>
      <c r="B3405" s="8">
        <v>0</v>
      </c>
      <c r="C3405" s="9">
        <v>1.27</v>
      </c>
      <c r="D3405" s="13">
        <f t="shared" si="53"/>
        <v>1.27</v>
      </c>
    </row>
    <row r="3406" spans="1:4" x14ac:dyDescent="0.25">
      <c r="A3406" s="15">
        <f>Sheet2!A3406</f>
        <v>0</v>
      </c>
      <c r="B3406" s="8">
        <v>0</v>
      </c>
      <c r="C3406" s="9">
        <v>2.02</v>
      </c>
      <c r="D3406" s="13">
        <f t="shared" si="53"/>
        <v>2.02</v>
      </c>
    </row>
    <row r="3407" spans="1:4" x14ac:dyDescent="0.25">
      <c r="A3407" s="15">
        <f>Sheet2!A3407</f>
        <v>0</v>
      </c>
      <c r="B3407" s="8">
        <v>0</v>
      </c>
      <c r="C3407" s="9">
        <v>3.52</v>
      </c>
      <c r="D3407" s="13">
        <f t="shared" si="53"/>
        <v>3.52</v>
      </c>
    </row>
    <row r="3408" spans="1:4" x14ac:dyDescent="0.25">
      <c r="A3408" s="15">
        <f>Sheet2!A3408</f>
        <v>0</v>
      </c>
      <c r="B3408" s="8">
        <v>0</v>
      </c>
      <c r="C3408" s="9">
        <v>3.41</v>
      </c>
      <c r="D3408" s="13">
        <f t="shared" si="53"/>
        <v>3.41</v>
      </c>
    </row>
    <row r="3409" spans="1:4" x14ac:dyDescent="0.25">
      <c r="A3409" s="15">
        <f>Sheet2!A3409</f>
        <v>0</v>
      </c>
      <c r="B3409" s="8">
        <v>0</v>
      </c>
      <c r="C3409" s="9">
        <v>1.07</v>
      </c>
      <c r="D3409" s="13">
        <f t="shared" si="53"/>
        <v>1.07</v>
      </c>
    </row>
    <row r="3410" spans="1:4" x14ac:dyDescent="0.25">
      <c r="A3410" s="15">
        <f>Sheet2!A3410</f>
        <v>0</v>
      </c>
      <c r="B3410" s="8">
        <v>0</v>
      </c>
      <c r="C3410" s="9">
        <v>1.72</v>
      </c>
      <c r="D3410" s="13">
        <f t="shared" si="53"/>
        <v>1.72</v>
      </c>
    </row>
    <row r="3411" spans="1:4" x14ac:dyDescent="0.25">
      <c r="A3411" s="15">
        <f>Sheet2!A3411</f>
        <v>0</v>
      </c>
      <c r="B3411" s="8">
        <v>0</v>
      </c>
      <c r="C3411" s="9">
        <v>2.83</v>
      </c>
      <c r="D3411" s="13">
        <f t="shared" si="53"/>
        <v>2.83</v>
      </c>
    </row>
    <row r="3412" spans="1:4" x14ac:dyDescent="0.25">
      <c r="A3412" s="15">
        <f>Sheet2!A3412</f>
        <v>0</v>
      </c>
      <c r="B3412" s="8">
        <v>0</v>
      </c>
      <c r="C3412" s="9">
        <v>2.77</v>
      </c>
      <c r="D3412" s="13">
        <f t="shared" si="53"/>
        <v>2.77</v>
      </c>
    </row>
    <row r="3413" spans="1:4" x14ac:dyDescent="0.25">
      <c r="A3413" s="15">
        <f>Sheet2!A3413</f>
        <v>0</v>
      </c>
      <c r="B3413" s="8">
        <v>0</v>
      </c>
      <c r="C3413" s="9">
        <v>0.97</v>
      </c>
      <c r="D3413" s="13">
        <f t="shared" si="53"/>
        <v>0.97</v>
      </c>
    </row>
    <row r="3414" spans="1:4" x14ac:dyDescent="0.25">
      <c r="A3414" s="15">
        <f>Sheet2!A3414</f>
        <v>0</v>
      </c>
      <c r="B3414" s="8">
        <v>10.06</v>
      </c>
      <c r="C3414" s="9">
        <v>0</v>
      </c>
      <c r="D3414" s="13">
        <f t="shared" si="53"/>
        <v>10.06</v>
      </c>
    </row>
    <row r="3415" spans="1:4" x14ac:dyDescent="0.25">
      <c r="A3415" s="15">
        <f>Sheet2!A3415</f>
        <v>0</v>
      </c>
      <c r="B3415" s="8">
        <v>0</v>
      </c>
      <c r="C3415" s="9">
        <v>1.6</v>
      </c>
      <c r="D3415" s="13">
        <f t="shared" si="53"/>
        <v>1.6</v>
      </c>
    </row>
    <row r="3416" spans="1:4" x14ac:dyDescent="0.25">
      <c r="A3416" s="15">
        <f>Sheet2!A3416</f>
        <v>0</v>
      </c>
      <c r="B3416" s="8">
        <v>0</v>
      </c>
      <c r="C3416" s="9">
        <v>1.53</v>
      </c>
      <c r="D3416" s="13">
        <f t="shared" si="53"/>
        <v>1.53</v>
      </c>
    </row>
    <row r="3417" spans="1:4" x14ac:dyDescent="0.25">
      <c r="A3417" s="15">
        <f>Sheet2!A3417</f>
        <v>0</v>
      </c>
      <c r="B3417" s="8">
        <v>0</v>
      </c>
      <c r="C3417" s="9">
        <v>2.2000000000000002</v>
      </c>
      <c r="D3417" s="13">
        <f t="shared" si="53"/>
        <v>2.2000000000000002</v>
      </c>
    </row>
    <row r="3418" spans="1:4" x14ac:dyDescent="0.25">
      <c r="A3418" s="15">
        <f>Sheet2!A3418</f>
        <v>0</v>
      </c>
      <c r="B3418" s="8">
        <v>0</v>
      </c>
      <c r="C3418" s="9">
        <v>2.15</v>
      </c>
      <c r="D3418" s="13">
        <f t="shared" si="53"/>
        <v>2.15</v>
      </c>
    </row>
    <row r="3419" spans="1:4" x14ac:dyDescent="0.25">
      <c r="A3419" s="15">
        <f>Sheet2!A3419</f>
        <v>0</v>
      </c>
      <c r="B3419" s="8">
        <v>0</v>
      </c>
      <c r="C3419" s="9">
        <v>0.71</v>
      </c>
      <c r="D3419" s="13">
        <f t="shared" si="53"/>
        <v>0.71</v>
      </c>
    </row>
    <row r="3420" spans="1:4" x14ac:dyDescent="0.25">
      <c r="A3420" s="15">
        <f>Sheet2!A3420</f>
        <v>0</v>
      </c>
      <c r="B3420" s="8">
        <v>11.81</v>
      </c>
      <c r="C3420" s="9">
        <v>0</v>
      </c>
      <c r="D3420" s="13">
        <f t="shared" si="53"/>
        <v>11.81</v>
      </c>
    </row>
    <row r="3421" spans="1:4" x14ac:dyDescent="0.25">
      <c r="A3421" s="15">
        <f>Sheet2!A3421</f>
        <v>0</v>
      </c>
      <c r="B3421" s="8">
        <v>0</v>
      </c>
      <c r="C3421" s="9">
        <v>0.87</v>
      </c>
      <c r="D3421" s="13">
        <f t="shared" si="53"/>
        <v>0.87</v>
      </c>
    </row>
    <row r="3422" spans="1:4" x14ac:dyDescent="0.25">
      <c r="A3422" s="15">
        <f>Sheet2!A3422</f>
        <v>0</v>
      </c>
      <c r="B3422" s="8">
        <v>0</v>
      </c>
      <c r="C3422" s="9">
        <v>1.29</v>
      </c>
      <c r="D3422" s="13">
        <f t="shared" si="53"/>
        <v>1.29</v>
      </c>
    </row>
    <row r="3423" spans="1:4" x14ac:dyDescent="0.25">
      <c r="A3423" s="15">
        <f>Sheet2!A3423</f>
        <v>0</v>
      </c>
      <c r="B3423" s="8">
        <v>0</v>
      </c>
      <c r="C3423" s="9">
        <v>2.25</v>
      </c>
      <c r="D3423" s="13">
        <f t="shared" si="53"/>
        <v>2.25</v>
      </c>
    </row>
    <row r="3424" spans="1:4" x14ac:dyDescent="0.25">
      <c r="A3424" s="15">
        <f>Sheet2!A3424</f>
        <v>0</v>
      </c>
      <c r="B3424" s="8">
        <v>0</v>
      </c>
      <c r="C3424" s="9">
        <v>3.81</v>
      </c>
      <c r="D3424" s="13">
        <f t="shared" si="53"/>
        <v>3.81</v>
      </c>
    </row>
    <row r="3425" spans="1:4" x14ac:dyDescent="0.25">
      <c r="A3425" s="15">
        <f>Sheet2!A3425</f>
        <v>0</v>
      </c>
      <c r="B3425" s="8">
        <v>0</v>
      </c>
      <c r="C3425" s="9">
        <v>1.02</v>
      </c>
      <c r="D3425" s="13">
        <f t="shared" si="53"/>
        <v>1.02</v>
      </c>
    </row>
    <row r="3426" spans="1:4" x14ac:dyDescent="0.25">
      <c r="A3426" s="15">
        <f>Sheet2!A3426</f>
        <v>0</v>
      </c>
      <c r="B3426" s="8">
        <v>12.86</v>
      </c>
      <c r="C3426" s="9">
        <v>0</v>
      </c>
      <c r="D3426" s="13">
        <f t="shared" si="53"/>
        <v>12.86</v>
      </c>
    </row>
    <row r="3427" spans="1:4" x14ac:dyDescent="0.25">
      <c r="A3427" s="15">
        <f>Sheet2!A3427</f>
        <v>0</v>
      </c>
      <c r="B3427" s="8">
        <v>0</v>
      </c>
      <c r="C3427" s="9">
        <v>1.71</v>
      </c>
      <c r="D3427" s="13">
        <f t="shared" si="53"/>
        <v>1.71</v>
      </c>
    </row>
    <row r="3428" spans="1:4" x14ac:dyDescent="0.25">
      <c r="A3428" s="15">
        <f>Sheet2!A3428</f>
        <v>0</v>
      </c>
      <c r="B3428" s="8">
        <v>0</v>
      </c>
      <c r="C3428" s="9">
        <v>3.66</v>
      </c>
      <c r="D3428" s="13">
        <f t="shared" si="53"/>
        <v>3.66</v>
      </c>
    </row>
    <row r="3429" spans="1:4" x14ac:dyDescent="0.25">
      <c r="A3429" s="15">
        <f>Sheet2!A3429</f>
        <v>0</v>
      </c>
      <c r="B3429" s="8">
        <v>8.44</v>
      </c>
      <c r="C3429" s="9">
        <v>0</v>
      </c>
      <c r="D3429" s="13">
        <f t="shared" si="53"/>
        <v>8.44</v>
      </c>
    </row>
    <row r="3430" spans="1:4" x14ac:dyDescent="0.25">
      <c r="A3430" s="15">
        <f>Sheet2!A3430</f>
        <v>0</v>
      </c>
      <c r="B3430" s="8">
        <v>12.77</v>
      </c>
      <c r="C3430" s="9">
        <v>0</v>
      </c>
      <c r="D3430" s="13">
        <f t="shared" si="53"/>
        <v>12.77</v>
      </c>
    </row>
    <row r="3431" spans="1:4" x14ac:dyDescent="0.25">
      <c r="A3431" s="15">
        <f>Sheet2!A3431</f>
        <v>0</v>
      </c>
      <c r="B3431" s="8">
        <v>0</v>
      </c>
      <c r="C3431" s="9">
        <v>2.13</v>
      </c>
      <c r="D3431" s="13">
        <f t="shared" si="53"/>
        <v>2.13</v>
      </c>
    </row>
    <row r="3432" spans="1:4" x14ac:dyDescent="0.25">
      <c r="A3432" s="15">
        <f>Sheet2!A3432</f>
        <v>0</v>
      </c>
      <c r="B3432" s="8">
        <v>0</v>
      </c>
      <c r="C3432" s="9">
        <v>2.2000000000000002</v>
      </c>
      <c r="D3432" s="13">
        <f t="shared" si="53"/>
        <v>2.2000000000000002</v>
      </c>
    </row>
    <row r="3433" spans="1:4" x14ac:dyDescent="0.25">
      <c r="A3433" s="15">
        <f>Sheet2!A3433</f>
        <v>0</v>
      </c>
      <c r="B3433" s="8">
        <v>0</v>
      </c>
      <c r="C3433" s="9">
        <v>2.93</v>
      </c>
      <c r="D3433" s="13">
        <f t="shared" si="53"/>
        <v>2.93</v>
      </c>
    </row>
    <row r="3434" spans="1:4" x14ac:dyDescent="0.25">
      <c r="A3434" s="15">
        <f>Sheet2!A3434</f>
        <v>0</v>
      </c>
      <c r="B3434" s="8">
        <v>0</v>
      </c>
      <c r="C3434" s="9">
        <v>2.96</v>
      </c>
      <c r="D3434" s="13">
        <f t="shared" si="53"/>
        <v>2.96</v>
      </c>
    </row>
    <row r="3435" spans="1:4" x14ac:dyDescent="0.25">
      <c r="A3435" s="15">
        <f>Sheet2!A3435</f>
        <v>0</v>
      </c>
      <c r="B3435" s="8">
        <v>0</v>
      </c>
      <c r="C3435" s="9">
        <v>0.66</v>
      </c>
      <c r="D3435" s="13">
        <f t="shared" si="53"/>
        <v>0.66</v>
      </c>
    </row>
    <row r="3436" spans="1:4" x14ac:dyDescent="0.25">
      <c r="A3436" s="15">
        <f>Sheet2!A3436</f>
        <v>0</v>
      </c>
      <c r="B3436" s="8">
        <v>10.45</v>
      </c>
      <c r="C3436" s="9">
        <v>0</v>
      </c>
      <c r="D3436" s="13">
        <f t="shared" si="53"/>
        <v>10.45</v>
      </c>
    </row>
    <row r="3437" spans="1:4" x14ac:dyDescent="0.25">
      <c r="A3437" s="15">
        <f>Sheet2!A3437</f>
        <v>0</v>
      </c>
      <c r="B3437" s="8">
        <v>0</v>
      </c>
      <c r="C3437" s="9">
        <v>1.88</v>
      </c>
      <c r="D3437" s="13">
        <f t="shared" si="53"/>
        <v>1.88</v>
      </c>
    </row>
    <row r="3438" spans="1:4" x14ac:dyDescent="0.25">
      <c r="A3438" s="15">
        <f>Sheet2!A3438</f>
        <v>0</v>
      </c>
      <c r="B3438" s="8">
        <v>0</v>
      </c>
      <c r="C3438" s="9">
        <v>2.78</v>
      </c>
      <c r="D3438" s="13">
        <f t="shared" si="53"/>
        <v>2.78</v>
      </c>
    </row>
    <row r="3439" spans="1:4" x14ac:dyDescent="0.25">
      <c r="A3439" s="15">
        <f>Sheet2!A3439</f>
        <v>0</v>
      </c>
      <c r="B3439" s="8">
        <v>0</v>
      </c>
      <c r="C3439" s="9">
        <v>1.32</v>
      </c>
      <c r="D3439" s="13">
        <f t="shared" si="53"/>
        <v>1.32</v>
      </c>
    </row>
    <row r="3440" spans="1:4" x14ac:dyDescent="0.25">
      <c r="A3440" s="15">
        <f>Sheet2!A3440</f>
        <v>0</v>
      </c>
      <c r="B3440" s="8">
        <v>8.61</v>
      </c>
      <c r="C3440" s="9">
        <v>0</v>
      </c>
      <c r="D3440" s="13">
        <f t="shared" si="53"/>
        <v>8.61</v>
      </c>
    </row>
    <row r="3441" spans="1:4" x14ac:dyDescent="0.25">
      <c r="A3441" s="15">
        <f>Sheet2!A3441</f>
        <v>0</v>
      </c>
      <c r="B3441" s="8">
        <v>0</v>
      </c>
      <c r="C3441" s="9">
        <v>1.76</v>
      </c>
      <c r="D3441" s="13">
        <f t="shared" si="53"/>
        <v>1.76</v>
      </c>
    </row>
    <row r="3442" spans="1:4" x14ac:dyDescent="0.25">
      <c r="A3442" s="15">
        <f>Sheet2!A3442</f>
        <v>0</v>
      </c>
      <c r="B3442" s="8">
        <v>0</v>
      </c>
      <c r="C3442" s="9">
        <v>2.8</v>
      </c>
      <c r="D3442" s="13">
        <f t="shared" si="53"/>
        <v>2.8</v>
      </c>
    </row>
    <row r="3443" spans="1:4" x14ac:dyDescent="0.25">
      <c r="A3443" s="15">
        <f>Sheet2!A3443</f>
        <v>0</v>
      </c>
      <c r="B3443" s="8">
        <v>0</v>
      </c>
      <c r="C3443" s="9">
        <v>1.68</v>
      </c>
      <c r="D3443" s="13">
        <f t="shared" si="53"/>
        <v>1.68</v>
      </c>
    </row>
    <row r="3444" spans="1:4" x14ac:dyDescent="0.25">
      <c r="A3444" s="15">
        <f>Sheet2!A3444</f>
        <v>0</v>
      </c>
      <c r="B3444" s="8">
        <v>0</v>
      </c>
      <c r="C3444" s="9">
        <v>2.1800000000000002</v>
      </c>
      <c r="D3444" s="13">
        <f t="shared" si="53"/>
        <v>2.1800000000000002</v>
      </c>
    </row>
    <row r="3445" spans="1:4" x14ac:dyDescent="0.25">
      <c r="A3445" s="15">
        <f>Sheet2!A3445</f>
        <v>0</v>
      </c>
      <c r="B3445" s="8">
        <v>0</v>
      </c>
      <c r="C3445" s="9">
        <v>1.19</v>
      </c>
      <c r="D3445" s="13">
        <f t="shared" si="53"/>
        <v>1.19</v>
      </c>
    </row>
    <row r="3446" spans="1:4" x14ac:dyDescent="0.25">
      <c r="A3446" s="15">
        <f>Sheet2!A3446</f>
        <v>0</v>
      </c>
      <c r="B3446" s="8">
        <v>13.45</v>
      </c>
      <c r="C3446" s="9">
        <v>0</v>
      </c>
      <c r="D3446" s="13">
        <f t="shared" si="53"/>
        <v>13.45</v>
      </c>
    </row>
    <row r="3447" spans="1:4" x14ac:dyDescent="0.25">
      <c r="A3447" s="15">
        <f>Sheet2!A3447</f>
        <v>0</v>
      </c>
      <c r="B3447" s="8">
        <v>0</v>
      </c>
      <c r="C3447" s="9">
        <v>1.96</v>
      </c>
      <c r="D3447" s="13">
        <f t="shared" si="53"/>
        <v>1.96</v>
      </c>
    </row>
    <row r="3448" spans="1:4" x14ac:dyDescent="0.25">
      <c r="A3448" s="15">
        <f>Sheet2!A3448</f>
        <v>0</v>
      </c>
      <c r="B3448" s="8">
        <v>0</v>
      </c>
      <c r="C3448" s="9">
        <v>2.19</v>
      </c>
      <c r="D3448" s="13">
        <f t="shared" si="53"/>
        <v>2.19</v>
      </c>
    </row>
    <row r="3449" spans="1:4" x14ac:dyDescent="0.25">
      <c r="A3449" s="15">
        <f>Sheet2!A3449</f>
        <v>0</v>
      </c>
      <c r="B3449" s="8">
        <v>0</v>
      </c>
      <c r="C3449" s="9">
        <v>2.37</v>
      </c>
      <c r="D3449" s="13">
        <f t="shared" si="53"/>
        <v>2.37</v>
      </c>
    </row>
    <row r="3450" spans="1:4" x14ac:dyDescent="0.25">
      <c r="A3450" s="15">
        <f>Sheet2!A3450</f>
        <v>0</v>
      </c>
      <c r="B3450" s="8">
        <v>0</v>
      </c>
      <c r="C3450" s="9">
        <v>3.06</v>
      </c>
      <c r="D3450" s="13">
        <f t="shared" si="53"/>
        <v>3.06</v>
      </c>
    </row>
    <row r="3451" spans="1:4" x14ac:dyDescent="0.25">
      <c r="A3451" s="15">
        <f>Sheet2!A3451</f>
        <v>0</v>
      </c>
      <c r="B3451" s="8">
        <v>0</v>
      </c>
      <c r="C3451" s="9">
        <v>0.22</v>
      </c>
      <c r="D3451" s="13">
        <f t="shared" si="53"/>
        <v>0.22</v>
      </c>
    </row>
    <row r="3452" spans="1:4" x14ac:dyDescent="0.25">
      <c r="A3452" s="15">
        <f>Sheet2!A3452</f>
        <v>0</v>
      </c>
      <c r="B3452" s="8">
        <v>0</v>
      </c>
      <c r="C3452" s="9">
        <v>1.97</v>
      </c>
      <c r="D3452" s="13">
        <f t="shared" si="53"/>
        <v>1.97</v>
      </c>
    </row>
    <row r="3453" spans="1:4" x14ac:dyDescent="0.25">
      <c r="A3453" s="15">
        <f>Sheet2!A3453</f>
        <v>0</v>
      </c>
      <c r="B3453" s="8">
        <v>0</v>
      </c>
      <c r="C3453" s="9">
        <v>2.06</v>
      </c>
      <c r="D3453" s="13">
        <f t="shared" si="53"/>
        <v>2.06</v>
      </c>
    </row>
    <row r="3454" spans="1:4" x14ac:dyDescent="0.25">
      <c r="A3454" s="15">
        <f>Sheet2!A3454</f>
        <v>0</v>
      </c>
      <c r="B3454" s="8">
        <v>0</v>
      </c>
      <c r="C3454" s="9">
        <v>3.53</v>
      </c>
      <c r="D3454" s="13">
        <f t="shared" si="53"/>
        <v>3.53</v>
      </c>
    </row>
    <row r="3455" spans="1:4" x14ac:dyDescent="0.25">
      <c r="A3455" s="15">
        <f>Sheet2!A3455</f>
        <v>0</v>
      </c>
      <c r="B3455" s="8">
        <v>0</v>
      </c>
      <c r="C3455" s="9">
        <v>3.73</v>
      </c>
      <c r="D3455" s="13">
        <f t="shared" si="53"/>
        <v>3.73</v>
      </c>
    </row>
    <row r="3456" spans="1:4" x14ac:dyDescent="0.25">
      <c r="A3456" s="15">
        <f>Sheet2!A3456</f>
        <v>0</v>
      </c>
      <c r="B3456" s="8">
        <v>0</v>
      </c>
      <c r="C3456" s="9">
        <v>2.77</v>
      </c>
      <c r="D3456" s="13">
        <f t="shared" si="53"/>
        <v>2.77</v>
      </c>
    </row>
    <row r="3457" spans="1:4" x14ac:dyDescent="0.25">
      <c r="A3457" s="15">
        <f>Sheet2!A3457</f>
        <v>0</v>
      </c>
      <c r="B3457" s="8">
        <v>0</v>
      </c>
      <c r="C3457" s="9">
        <v>1.31</v>
      </c>
      <c r="D3457" s="13">
        <f t="shared" si="53"/>
        <v>1.31</v>
      </c>
    </row>
    <row r="3458" spans="1:4" x14ac:dyDescent="0.25">
      <c r="A3458" s="15">
        <f>Sheet2!A3458</f>
        <v>0</v>
      </c>
      <c r="B3458" s="8">
        <v>10.16</v>
      </c>
      <c r="C3458" s="9">
        <v>0</v>
      </c>
      <c r="D3458" s="13">
        <f t="shared" si="53"/>
        <v>10.16</v>
      </c>
    </row>
    <row r="3459" spans="1:4" x14ac:dyDescent="0.25">
      <c r="A3459" s="15">
        <f>Sheet2!A3459</f>
        <v>0</v>
      </c>
      <c r="B3459" s="8">
        <v>0</v>
      </c>
      <c r="C3459" s="9">
        <v>1.65</v>
      </c>
      <c r="D3459" s="13">
        <f t="shared" ref="D3459:D3522" si="54">B3459+C3459</f>
        <v>1.65</v>
      </c>
    </row>
    <row r="3460" spans="1:4" x14ac:dyDescent="0.25">
      <c r="A3460" s="15">
        <f>Sheet2!A3460</f>
        <v>0</v>
      </c>
      <c r="B3460" s="8">
        <v>0</v>
      </c>
      <c r="C3460" s="9">
        <v>2.77</v>
      </c>
      <c r="D3460" s="13">
        <f t="shared" si="54"/>
        <v>2.77</v>
      </c>
    </row>
    <row r="3461" spans="1:4" x14ac:dyDescent="0.25">
      <c r="A3461" s="15">
        <f>Sheet2!A3461</f>
        <v>0</v>
      </c>
      <c r="B3461" s="8">
        <v>0</v>
      </c>
      <c r="C3461" s="9">
        <v>0.99</v>
      </c>
      <c r="D3461" s="13">
        <f t="shared" si="54"/>
        <v>0.99</v>
      </c>
    </row>
    <row r="3462" spans="1:4" x14ac:dyDescent="0.25">
      <c r="A3462" s="15">
        <f>Sheet2!A3462</f>
        <v>0</v>
      </c>
      <c r="B3462" s="8">
        <v>9.7200000000000006</v>
      </c>
      <c r="C3462" s="9">
        <v>0</v>
      </c>
      <c r="D3462" s="13">
        <f t="shared" si="54"/>
        <v>9.7200000000000006</v>
      </c>
    </row>
    <row r="3463" spans="1:4" x14ac:dyDescent="0.25">
      <c r="A3463" s="15">
        <f>Sheet2!A3463</f>
        <v>0</v>
      </c>
      <c r="B3463" s="8">
        <v>0</v>
      </c>
      <c r="C3463" s="9">
        <v>1.49</v>
      </c>
      <c r="D3463" s="13">
        <f t="shared" si="54"/>
        <v>1.49</v>
      </c>
    </row>
    <row r="3464" spans="1:4" x14ac:dyDescent="0.25">
      <c r="A3464" s="15">
        <f>Sheet2!A3464</f>
        <v>0</v>
      </c>
      <c r="B3464" s="8">
        <v>0</v>
      </c>
      <c r="C3464" s="9">
        <v>1.36</v>
      </c>
      <c r="D3464" s="13">
        <f t="shared" si="54"/>
        <v>1.36</v>
      </c>
    </row>
    <row r="3465" spans="1:4" x14ac:dyDescent="0.25">
      <c r="A3465" s="15">
        <f>Sheet2!A3465</f>
        <v>0</v>
      </c>
      <c r="B3465" s="8">
        <v>0</v>
      </c>
      <c r="C3465" s="9">
        <v>0.7</v>
      </c>
      <c r="D3465" s="13">
        <f t="shared" si="54"/>
        <v>0.7</v>
      </c>
    </row>
    <row r="3466" spans="1:4" x14ac:dyDescent="0.25">
      <c r="A3466" s="15">
        <f>Sheet2!A3466</f>
        <v>0</v>
      </c>
      <c r="B3466" s="8">
        <v>12.54</v>
      </c>
      <c r="C3466" s="9">
        <v>0</v>
      </c>
      <c r="D3466" s="13">
        <f t="shared" si="54"/>
        <v>12.54</v>
      </c>
    </row>
    <row r="3467" spans="1:4" x14ac:dyDescent="0.25">
      <c r="A3467" s="15">
        <f>Sheet2!A3467</f>
        <v>0</v>
      </c>
      <c r="B3467" s="8">
        <v>0</v>
      </c>
      <c r="C3467" s="9">
        <v>1.1200000000000001</v>
      </c>
      <c r="D3467" s="13">
        <f t="shared" si="54"/>
        <v>1.1200000000000001</v>
      </c>
    </row>
    <row r="3468" spans="1:4" x14ac:dyDescent="0.25">
      <c r="A3468" s="15">
        <f>Sheet2!A3468</f>
        <v>0</v>
      </c>
      <c r="B3468" s="8">
        <v>0</v>
      </c>
      <c r="C3468" s="9">
        <v>2.15</v>
      </c>
      <c r="D3468" s="13">
        <f t="shared" si="54"/>
        <v>2.15</v>
      </c>
    </row>
    <row r="3469" spans="1:4" x14ac:dyDescent="0.25">
      <c r="A3469" s="15">
        <f>Sheet2!A3469</f>
        <v>0</v>
      </c>
      <c r="B3469" s="8">
        <v>0</v>
      </c>
      <c r="C3469" s="9">
        <v>2.4900000000000002</v>
      </c>
      <c r="D3469" s="13">
        <f t="shared" si="54"/>
        <v>2.4900000000000002</v>
      </c>
    </row>
    <row r="3470" spans="1:4" x14ac:dyDescent="0.25">
      <c r="A3470" s="15">
        <f>Sheet2!A3470</f>
        <v>0</v>
      </c>
      <c r="B3470" s="8">
        <v>0</v>
      </c>
      <c r="C3470" s="9">
        <v>3.54</v>
      </c>
      <c r="D3470" s="13">
        <f t="shared" si="54"/>
        <v>3.54</v>
      </c>
    </row>
    <row r="3471" spans="1:4" x14ac:dyDescent="0.25">
      <c r="A3471" s="15">
        <f>Sheet2!A3471</f>
        <v>0</v>
      </c>
      <c r="B3471" s="8">
        <v>0</v>
      </c>
      <c r="C3471" s="9">
        <v>1.19</v>
      </c>
      <c r="D3471" s="13">
        <f t="shared" si="54"/>
        <v>1.19</v>
      </c>
    </row>
    <row r="3472" spans="1:4" x14ac:dyDescent="0.25">
      <c r="A3472" s="15">
        <f>Sheet2!A3472</f>
        <v>0</v>
      </c>
      <c r="B3472" s="8">
        <v>14.77</v>
      </c>
      <c r="C3472" s="9">
        <v>0</v>
      </c>
      <c r="D3472" s="13">
        <f t="shared" si="54"/>
        <v>14.77</v>
      </c>
    </row>
    <row r="3473" spans="1:4" x14ac:dyDescent="0.25">
      <c r="A3473" s="15">
        <f>Sheet2!A3473</f>
        <v>0</v>
      </c>
      <c r="B3473" s="8">
        <v>0</v>
      </c>
      <c r="C3473" s="9">
        <v>2.4300000000000002</v>
      </c>
      <c r="D3473" s="13">
        <f t="shared" si="54"/>
        <v>2.4300000000000002</v>
      </c>
    </row>
    <row r="3474" spans="1:4" x14ac:dyDescent="0.25">
      <c r="A3474" s="15">
        <f>Sheet2!A3474</f>
        <v>0</v>
      </c>
      <c r="B3474" s="8">
        <v>0</v>
      </c>
      <c r="C3474" s="9">
        <v>2.78</v>
      </c>
      <c r="D3474" s="13">
        <f t="shared" si="54"/>
        <v>2.78</v>
      </c>
    </row>
    <row r="3475" spans="1:4" x14ac:dyDescent="0.25">
      <c r="A3475" s="15">
        <f>Sheet2!A3475</f>
        <v>0</v>
      </c>
      <c r="B3475" s="8">
        <v>0</v>
      </c>
      <c r="C3475" s="9">
        <v>3.22</v>
      </c>
      <c r="D3475" s="13">
        <f t="shared" si="54"/>
        <v>3.22</v>
      </c>
    </row>
    <row r="3476" spans="1:4" x14ac:dyDescent="0.25">
      <c r="A3476" s="15">
        <f>Sheet2!A3476</f>
        <v>0</v>
      </c>
      <c r="B3476" s="8">
        <v>0</v>
      </c>
      <c r="C3476" s="9">
        <v>3.02</v>
      </c>
      <c r="D3476" s="13">
        <f t="shared" si="54"/>
        <v>3.02</v>
      </c>
    </row>
    <row r="3477" spans="1:4" x14ac:dyDescent="0.25">
      <c r="A3477" s="15">
        <f>Sheet2!A3477</f>
        <v>0</v>
      </c>
      <c r="B3477" s="8">
        <v>0</v>
      </c>
      <c r="C3477" s="9">
        <v>0.79</v>
      </c>
      <c r="D3477" s="13">
        <f t="shared" si="54"/>
        <v>0.79</v>
      </c>
    </row>
    <row r="3478" spans="1:4" x14ac:dyDescent="0.25">
      <c r="A3478" s="15">
        <f>Sheet2!A3478</f>
        <v>0</v>
      </c>
      <c r="B3478" s="8">
        <v>13.93</v>
      </c>
      <c r="C3478" s="9">
        <v>0</v>
      </c>
      <c r="D3478" s="13">
        <f t="shared" si="54"/>
        <v>13.93</v>
      </c>
    </row>
    <row r="3479" spans="1:4" x14ac:dyDescent="0.25">
      <c r="A3479" s="15">
        <f>Sheet2!A3479</f>
        <v>0</v>
      </c>
      <c r="B3479" s="8">
        <v>0</v>
      </c>
      <c r="C3479" s="9">
        <v>1.2</v>
      </c>
      <c r="D3479" s="13">
        <f t="shared" si="54"/>
        <v>1.2</v>
      </c>
    </row>
    <row r="3480" spans="1:4" x14ac:dyDescent="0.25">
      <c r="A3480" s="15">
        <f>Sheet2!A3480</f>
        <v>0</v>
      </c>
      <c r="B3480" s="8">
        <v>0</v>
      </c>
      <c r="C3480" s="9">
        <v>3</v>
      </c>
      <c r="D3480" s="13">
        <f t="shared" si="54"/>
        <v>3</v>
      </c>
    </row>
    <row r="3481" spans="1:4" x14ac:dyDescent="0.25">
      <c r="A3481" s="15">
        <f>Sheet2!A3481</f>
        <v>0</v>
      </c>
      <c r="B3481" s="8">
        <v>0</v>
      </c>
      <c r="C3481" s="9">
        <v>1.05</v>
      </c>
      <c r="D3481" s="13">
        <f t="shared" si="54"/>
        <v>1.05</v>
      </c>
    </row>
    <row r="3482" spans="1:4" x14ac:dyDescent="0.25">
      <c r="A3482" s="15">
        <f>Sheet2!A3482</f>
        <v>0</v>
      </c>
      <c r="B3482" s="8">
        <v>10.029999999999999</v>
      </c>
      <c r="C3482" s="9">
        <v>0</v>
      </c>
      <c r="D3482" s="13">
        <f t="shared" si="54"/>
        <v>10.029999999999999</v>
      </c>
    </row>
    <row r="3483" spans="1:4" x14ac:dyDescent="0.25">
      <c r="A3483" s="15">
        <f>Sheet2!A3483</f>
        <v>0</v>
      </c>
      <c r="B3483" s="8">
        <v>0</v>
      </c>
      <c r="C3483" s="9">
        <v>1.87</v>
      </c>
      <c r="D3483" s="13">
        <f t="shared" si="54"/>
        <v>1.87</v>
      </c>
    </row>
    <row r="3484" spans="1:4" x14ac:dyDescent="0.25">
      <c r="A3484" s="15">
        <f>Sheet2!A3484</f>
        <v>0</v>
      </c>
      <c r="B3484" s="8">
        <v>0</v>
      </c>
      <c r="C3484" s="9">
        <v>2.77</v>
      </c>
      <c r="D3484" s="13">
        <f t="shared" si="54"/>
        <v>2.77</v>
      </c>
    </row>
    <row r="3485" spans="1:4" x14ac:dyDescent="0.25">
      <c r="A3485" s="15">
        <f>Sheet2!A3485</f>
        <v>0</v>
      </c>
      <c r="B3485" s="8">
        <v>0</v>
      </c>
      <c r="C3485" s="9">
        <v>2.78</v>
      </c>
      <c r="D3485" s="13">
        <f t="shared" si="54"/>
        <v>2.78</v>
      </c>
    </row>
    <row r="3486" spans="1:4" x14ac:dyDescent="0.25">
      <c r="A3486" s="15">
        <f>Sheet2!A3486</f>
        <v>0</v>
      </c>
      <c r="B3486" s="8">
        <v>0</v>
      </c>
      <c r="C3486" s="9">
        <v>2.84</v>
      </c>
      <c r="D3486" s="13">
        <f t="shared" si="54"/>
        <v>2.84</v>
      </c>
    </row>
    <row r="3487" spans="1:4" x14ac:dyDescent="0.25">
      <c r="A3487" s="15">
        <f>Sheet2!A3487</f>
        <v>0</v>
      </c>
      <c r="B3487" s="8">
        <v>0</v>
      </c>
      <c r="C3487" s="9">
        <v>1.24</v>
      </c>
      <c r="D3487" s="13">
        <f t="shared" si="54"/>
        <v>1.24</v>
      </c>
    </row>
    <row r="3488" spans="1:4" x14ac:dyDescent="0.25">
      <c r="A3488" s="15">
        <f>Sheet2!A3488</f>
        <v>0</v>
      </c>
      <c r="B3488" s="8">
        <v>0</v>
      </c>
      <c r="C3488" s="9">
        <v>1.03</v>
      </c>
      <c r="D3488" s="13">
        <f t="shared" si="54"/>
        <v>1.03</v>
      </c>
    </row>
    <row r="3489" spans="1:4" x14ac:dyDescent="0.25">
      <c r="A3489" s="15">
        <f>Sheet2!A3489</f>
        <v>0</v>
      </c>
      <c r="B3489" s="8">
        <v>0</v>
      </c>
      <c r="C3489" s="9">
        <v>2.42</v>
      </c>
      <c r="D3489" s="13">
        <f t="shared" si="54"/>
        <v>2.42</v>
      </c>
    </row>
    <row r="3490" spans="1:4" x14ac:dyDescent="0.25">
      <c r="A3490" s="15">
        <f>Sheet2!A3490</f>
        <v>0</v>
      </c>
      <c r="B3490" s="8">
        <v>0</v>
      </c>
      <c r="C3490" s="9">
        <v>2.44</v>
      </c>
      <c r="D3490" s="13">
        <f t="shared" si="54"/>
        <v>2.44</v>
      </c>
    </row>
    <row r="3491" spans="1:4" x14ac:dyDescent="0.25">
      <c r="A3491" s="15">
        <f>Sheet2!A3491</f>
        <v>0</v>
      </c>
      <c r="B3491" s="8">
        <v>0</v>
      </c>
      <c r="C3491" s="9">
        <v>1.77</v>
      </c>
      <c r="D3491" s="13">
        <f t="shared" si="54"/>
        <v>1.77</v>
      </c>
    </row>
    <row r="3492" spans="1:4" x14ac:dyDescent="0.25">
      <c r="A3492" s="15">
        <f>Sheet2!A3492</f>
        <v>0</v>
      </c>
      <c r="B3492" s="8">
        <v>0</v>
      </c>
      <c r="C3492" s="9">
        <v>2.57</v>
      </c>
      <c r="D3492" s="13">
        <f t="shared" si="54"/>
        <v>2.57</v>
      </c>
    </row>
    <row r="3493" spans="1:4" x14ac:dyDescent="0.25">
      <c r="A3493" s="15">
        <f>Sheet2!A3493</f>
        <v>0</v>
      </c>
      <c r="B3493" s="8">
        <v>0</v>
      </c>
      <c r="C3493" s="9">
        <v>0.97</v>
      </c>
      <c r="D3493" s="13">
        <f t="shared" si="54"/>
        <v>0.97</v>
      </c>
    </row>
    <row r="3494" spans="1:4" x14ac:dyDescent="0.25">
      <c r="A3494" s="15">
        <f>Sheet2!A3494</f>
        <v>0</v>
      </c>
      <c r="B3494" s="8">
        <v>0</v>
      </c>
      <c r="C3494" s="9">
        <v>1.85</v>
      </c>
      <c r="D3494" s="13">
        <f t="shared" si="54"/>
        <v>1.85</v>
      </c>
    </row>
    <row r="3495" spans="1:4" x14ac:dyDescent="0.25">
      <c r="A3495" s="15">
        <f>Sheet2!A3495</f>
        <v>0</v>
      </c>
      <c r="B3495" s="8">
        <v>0</v>
      </c>
      <c r="C3495" s="9">
        <v>3.59</v>
      </c>
      <c r="D3495" s="13">
        <f t="shared" si="54"/>
        <v>3.59</v>
      </c>
    </row>
    <row r="3496" spans="1:4" x14ac:dyDescent="0.25">
      <c r="A3496" s="15">
        <f>Sheet2!A3496</f>
        <v>0</v>
      </c>
      <c r="B3496" s="8">
        <v>0</v>
      </c>
      <c r="C3496" s="9">
        <v>3.4</v>
      </c>
      <c r="D3496" s="13">
        <f t="shared" si="54"/>
        <v>3.4</v>
      </c>
    </row>
    <row r="3497" spans="1:4" x14ac:dyDescent="0.25">
      <c r="A3497" s="15">
        <f>Sheet2!A3497</f>
        <v>0</v>
      </c>
      <c r="B3497" s="8">
        <v>0</v>
      </c>
      <c r="C3497" s="9">
        <v>4.37</v>
      </c>
      <c r="D3497" s="13">
        <f t="shared" si="54"/>
        <v>4.37</v>
      </c>
    </row>
    <row r="3498" spans="1:4" x14ac:dyDescent="0.25">
      <c r="A3498" s="15">
        <f>Sheet2!A3498</f>
        <v>0</v>
      </c>
      <c r="B3498" s="8">
        <v>0</v>
      </c>
      <c r="C3498" s="9">
        <v>2.97</v>
      </c>
      <c r="D3498" s="13">
        <f t="shared" si="54"/>
        <v>2.97</v>
      </c>
    </row>
    <row r="3499" spans="1:4" x14ac:dyDescent="0.25">
      <c r="A3499" s="15">
        <f>Sheet2!A3499</f>
        <v>0</v>
      </c>
      <c r="B3499" s="8">
        <v>0</v>
      </c>
      <c r="C3499" s="9">
        <v>1.05</v>
      </c>
      <c r="D3499" s="13">
        <f t="shared" si="54"/>
        <v>1.05</v>
      </c>
    </row>
    <row r="3500" spans="1:4" x14ac:dyDescent="0.25">
      <c r="A3500" s="15">
        <f>Sheet2!A3500</f>
        <v>0</v>
      </c>
      <c r="B3500" s="8">
        <v>13.38</v>
      </c>
      <c r="C3500" s="9">
        <v>0</v>
      </c>
      <c r="D3500" s="13">
        <f t="shared" si="54"/>
        <v>13.38</v>
      </c>
    </row>
    <row r="3501" spans="1:4" x14ac:dyDescent="0.25">
      <c r="A3501" s="15">
        <f>Sheet2!A3501</f>
        <v>0</v>
      </c>
      <c r="B3501" s="8">
        <v>0</v>
      </c>
      <c r="C3501" s="9">
        <v>1.59</v>
      </c>
      <c r="D3501" s="13">
        <f t="shared" si="54"/>
        <v>1.59</v>
      </c>
    </row>
    <row r="3502" spans="1:4" x14ac:dyDescent="0.25">
      <c r="A3502" s="15">
        <f>Sheet2!A3502</f>
        <v>0</v>
      </c>
      <c r="B3502" s="8">
        <v>0</v>
      </c>
      <c r="C3502" s="9">
        <v>2.98</v>
      </c>
      <c r="D3502" s="13">
        <f t="shared" si="54"/>
        <v>2.98</v>
      </c>
    </row>
    <row r="3503" spans="1:4" x14ac:dyDescent="0.25">
      <c r="A3503" s="15">
        <f>Sheet2!A3503</f>
        <v>0</v>
      </c>
      <c r="B3503" s="8">
        <v>0</v>
      </c>
      <c r="C3503" s="9">
        <v>3.59</v>
      </c>
      <c r="D3503" s="13">
        <f t="shared" si="54"/>
        <v>3.59</v>
      </c>
    </row>
    <row r="3504" spans="1:4" x14ac:dyDescent="0.25">
      <c r="A3504" s="15">
        <f>Sheet2!A3504</f>
        <v>0</v>
      </c>
      <c r="B3504" s="8">
        <v>0</v>
      </c>
      <c r="C3504" s="9">
        <v>3.24</v>
      </c>
      <c r="D3504" s="13">
        <f t="shared" si="54"/>
        <v>3.24</v>
      </c>
    </row>
    <row r="3505" spans="1:4" x14ac:dyDescent="0.25">
      <c r="A3505" s="15">
        <f>Sheet2!A3505</f>
        <v>0</v>
      </c>
      <c r="B3505" s="8">
        <v>0</v>
      </c>
      <c r="C3505" s="9">
        <v>2.96</v>
      </c>
      <c r="D3505" s="13">
        <f t="shared" si="54"/>
        <v>2.96</v>
      </c>
    </row>
    <row r="3506" spans="1:4" x14ac:dyDescent="0.25">
      <c r="A3506" s="15">
        <f>Sheet2!A3506</f>
        <v>0</v>
      </c>
      <c r="B3506" s="8">
        <v>0</v>
      </c>
      <c r="C3506" s="9">
        <v>2.75</v>
      </c>
      <c r="D3506" s="13">
        <f t="shared" si="54"/>
        <v>2.75</v>
      </c>
    </row>
    <row r="3507" spans="1:4" x14ac:dyDescent="0.25">
      <c r="A3507" s="15">
        <f>Sheet2!A3507</f>
        <v>0</v>
      </c>
      <c r="B3507" s="8">
        <v>0</v>
      </c>
      <c r="C3507" s="9">
        <v>1.18</v>
      </c>
      <c r="D3507" s="13">
        <f t="shared" si="54"/>
        <v>1.18</v>
      </c>
    </row>
    <row r="3508" spans="1:4" x14ac:dyDescent="0.25">
      <c r="A3508" s="15">
        <f>Sheet2!A3508</f>
        <v>0</v>
      </c>
      <c r="B3508" s="8">
        <v>0</v>
      </c>
      <c r="C3508" s="9">
        <v>1.35</v>
      </c>
      <c r="D3508" s="13">
        <f t="shared" si="54"/>
        <v>1.35</v>
      </c>
    </row>
    <row r="3509" spans="1:4" x14ac:dyDescent="0.25">
      <c r="A3509" s="15">
        <f>Sheet2!A3509</f>
        <v>0</v>
      </c>
      <c r="B3509" s="8">
        <v>0</v>
      </c>
      <c r="C3509" s="9">
        <v>2.81</v>
      </c>
      <c r="D3509" s="13">
        <f t="shared" si="54"/>
        <v>2.81</v>
      </c>
    </row>
    <row r="3510" spans="1:4" x14ac:dyDescent="0.25">
      <c r="A3510" s="15">
        <f>Sheet2!A3510</f>
        <v>0</v>
      </c>
      <c r="B3510" s="8">
        <v>0</v>
      </c>
      <c r="C3510" s="9">
        <v>2.69</v>
      </c>
      <c r="D3510" s="13">
        <f t="shared" si="54"/>
        <v>2.69</v>
      </c>
    </row>
    <row r="3511" spans="1:4" x14ac:dyDescent="0.25">
      <c r="A3511" s="15">
        <f>Sheet2!A3511</f>
        <v>0</v>
      </c>
      <c r="B3511" s="8">
        <v>0</v>
      </c>
      <c r="C3511" s="9">
        <v>0.92</v>
      </c>
      <c r="D3511" s="13">
        <f t="shared" si="54"/>
        <v>0.92</v>
      </c>
    </row>
    <row r="3512" spans="1:4" x14ac:dyDescent="0.25">
      <c r="A3512" s="15">
        <f>Sheet2!A3512</f>
        <v>0</v>
      </c>
      <c r="B3512" s="8">
        <v>0</v>
      </c>
      <c r="C3512" s="9">
        <v>0.36</v>
      </c>
      <c r="D3512" s="13">
        <f t="shared" si="54"/>
        <v>0.36</v>
      </c>
    </row>
    <row r="3513" spans="1:4" x14ac:dyDescent="0.25">
      <c r="A3513" s="15">
        <f>Sheet2!A3513</f>
        <v>0</v>
      </c>
      <c r="B3513" s="8">
        <v>0</v>
      </c>
      <c r="C3513" s="9">
        <v>0.95</v>
      </c>
      <c r="D3513" s="13">
        <f t="shared" si="54"/>
        <v>0.95</v>
      </c>
    </row>
    <row r="3514" spans="1:4" x14ac:dyDescent="0.25">
      <c r="A3514" s="15">
        <f>Sheet2!A3514</f>
        <v>0</v>
      </c>
      <c r="B3514" s="8">
        <v>0</v>
      </c>
      <c r="C3514" s="9">
        <v>1.35</v>
      </c>
      <c r="D3514" s="13">
        <f t="shared" si="54"/>
        <v>1.35</v>
      </c>
    </row>
    <row r="3515" spans="1:4" x14ac:dyDescent="0.25">
      <c r="A3515" s="15">
        <f>Sheet2!A3515</f>
        <v>0</v>
      </c>
      <c r="B3515" s="8">
        <v>0</v>
      </c>
      <c r="C3515" s="9">
        <v>2.0699999999999998</v>
      </c>
      <c r="D3515" s="13">
        <f t="shared" si="54"/>
        <v>2.0699999999999998</v>
      </c>
    </row>
    <row r="3516" spans="1:4" x14ac:dyDescent="0.25">
      <c r="A3516" s="15">
        <f>Sheet2!A3516</f>
        <v>0</v>
      </c>
      <c r="B3516" s="8">
        <v>0</v>
      </c>
      <c r="C3516" s="9">
        <v>1.97</v>
      </c>
      <c r="D3516" s="13">
        <f t="shared" si="54"/>
        <v>1.97</v>
      </c>
    </row>
    <row r="3517" spans="1:4" x14ac:dyDescent="0.25">
      <c r="A3517" s="15">
        <f>Sheet2!A3517</f>
        <v>0</v>
      </c>
      <c r="B3517" s="8">
        <v>0</v>
      </c>
      <c r="C3517" s="9">
        <v>1.03</v>
      </c>
      <c r="D3517" s="13">
        <f t="shared" si="54"/>
        <v>1.03</v>
      </c>
    </row>
    <row r="3518" spans="1:4" x14ac:dyDescent="0.25">
      <c r="A3518" s="15">
        <f>Sheet2!A3518</f>
        <v>0</v>
      </c>
      <c r="B3518" s="8">
        <v>0</v>
      </c>
      <c r="C3518" s="9">
        <v>1.31</v>
      </c>
      <c r="D3518" s="13">
        <f t="shared" si="54"/>
        <v>1.31</v>
      </c>
    </row>
    <row r="3519" spans="1:4" x14ac:dyDescent="0.25">
      <c r="A3519" s="15">
        <f>Sheet2!A3519</f>
        <v>0</v>
      </c>
      <c r="B3519" s="8">
        <v>0</v>
      </c>
      <c r="C3519" s="9">
        <v>3.86</v>
      </c>
      <c r="D3519" s="13">
        <f t="shared" si="54"/>
        <v>3.86</v>
      </c>
    </row>
    <row r="3520" spans="1:4" x14ac:dyDescent="0.25">
      <c r="A3520" s="15">
        <f>Sheet2!A3520</f>
        <v>0</v>
      </c>
      <c r="B3520" s="8">
        <v>0</v>
      </c>
      <c r="C3520" s="9">
        <v>3.95</v>
      </c>
      <c r="D3520" s="13">
        <f t="shared" si="54"/>
        <v>3.95</v>
      </c>
    </row>
    <row r="3521" spans="1:4" x14ac:dyDescent="0.25">
      <c r="A3521" s="15">
        <f>Sheet2!A3521</f>
        <v>0</v>
      </c>
      <c r="B3521" s="8">
        <v>0</v>
      </c>
      <c r="C3521" s="9">
        <v>3.56</v>
      </c>
      <c r="D3521" s="13">
        <f t="shared" si="54"/>
        <v>3.56</v>
      </c>
    </row>
    <row r="3522" spans="1:4" x14ac:dyDescent="0.25">
      <c r="A3522" s="15">
        <f>Sheet2!A3522</f>
        <v>0</v>
      </c>
      <c r="B3522" s="8">
        <v>0</v>
      </c>
      <c r="C3522" s="9">
        <v>3.96</v>
      </c>
      <c r="D3522" s="13">
        <f t="shared" si="54"/>
        <v>3.96</v>
      </c>
    </row>
    <row r="3523" spans="1:4" x14ac:dyDescent="0.25">
      <c r="A3523" s="15">
        <f>Sheet2!A3523</f>
        <v>0</v>
      </c>
      <c r="B3523" s="8">
        <v>0</v>
      </c>
      <c r="C3523" s="9">
        <v>1.0900000000000001</v>
      </c>
      <c r="D3523" s="13">
        <f t="shared" ref="D3523:D3586" si="55">B3523+C3523</f>
        <v>1.0900000000000001</v>
      </c>
    </row>
    <row r="3524" spans="1:4" x14ac:dyDescent="0.25">
      <c r="A3524" s="15">
        <f>Sheet2!A3524</f>
        <v>0</v>
      </c>
      <c r="B3524" s="8">
        <v>0</v>
      </c>
      <c r="C3524" s="9">
        <v>3.13</v>
      </c>
      <c r="D3524" s="13">
        <f t="shared" si="55"/>
        <v>3.13</v>
      </c>
    </row>
    <row r="3525" spans="1:4" x14ac:dyDescent="0.25">
      <c r="A3525" s="15">
        <f>Sheet2!A3525</f>
        <v>0</v>
      </c>
      <c r="B3525" s="8">
        <v>0</v>
      </c>
      <c r="C3525" s="9">
        <v>4.3499999999999996</v>
      </c>
      <c r="D3525" s="13">
        <f t="shared" si="55"/>
        <v>4.3499999999999996</v>
      </c>
    </row>
    <row r="3526" spans="1:4" x14ac:dyDescent="0.25">
      <c r="A3526" s="15">
        <f>Sheet2!A3526</f>
        <v>0</v>
      </c>
      <c r="B3526" s="8">
        <v>0</v>
      </c>
      <c r="C3526" s="9">
        <v>4.37</v>
      </c>
      <c r="D3526" s="13">
        <f t="shared" si="55"/>
        <v>4.37</v>
      </c>
    </row>
    <row r="3527" spans="1:4" x14ac:dyDescent="0.25">
      <c r="A3527" s="15">
        <f>Sheet2!A3527</f>
        <v>0</v>
      </c>
      <c r="B3527" s="8">
        <v>0</v>
      </c>
      <c r="C3527" s="9">
        <v>1.85</v>
      </c>
      <c r="D3527" s="13">
        <f t="shared" si="55"/>
        <v>1.85</v>
      </c>
    </row>
    <row r="3528" spans="1:4" x14ac:dyDescent="0.25">
      <c r="A3528" s="15">
        <f>Sheet2!A3528</f>
        <v>0</v>
      </c>
      <c r="B3528" s="8">
        <v>13.78</v>
      </c>
      <c r="C3528" s="9">
        <v>0</v>
      </c>
      <c r="D3528" s="13">
        <f t="shared" si="55"/>
        <v>13.78</v>
      </c>
    </row>
    <row r="3529" spans="1:4" x14ac:dyDescent="0.25">
      <c r="A3529" s="15">
        <f>Sheet2!A3529</f>
        <v>0</v>
      </c>
      <c r="B3529" s="8">
        <v>0</v>
      </c>
      <c r="C3529" s="9">
        <v>2.0499999999999998</v>
      </c>
      <c r="D3529" s="13">
        <f t="shared" si="55"/>
        <v>2.0499999999999998</v>
      </c>
    </row>
    <row r="3530" spans="1:4" x14ac:dyDescent="0.25">
      <c r="A3530" s="15">
        <f>Sheet2!A3530</f>
        <v>0</v>
      </c>
      <c r="B3530" s="8">
        <v>0</v>
      </c>
      <c r="C3530" s="9">
        <v>2.87</v>
      </c>
      <c r="D3530" s="13">
        <f t="shared" si="55"/>
        <v>2.87</v>
      </c>
    </row>
    <row r="3531" spans="1:4" x14ac:dyDescent="0.25">
      <c r="A3531" s="15">
        <f>Sheet2!A3531</f>
        <v>0</v>
      </c>
      <c r="B3531" s="8">
        <v>0</v>
      </c>
      <c r="C3531" s="9">
        <v>1.96</v>
      </c>
      <c r="D3531" s="13">
        <f t="shared" si="55"/>
        <v>1.96</v>
      </c>
    </row>
    <row r="3532" spans="1:4" x14ac:dyDescent="0.25">
      <c r="A3532" s="15">
        <f>Sheet2!A3532</f>
        <v>0</v>
      </c>
      <c r="B3532" s="8">
        <v>11.11</v>
      </c>
      <c r="C3532" s="9">
        <v>0</v>
      </c>
      <c r="D3532" s="13">
        <f t="shared" si="55"/>
        <v>11.11</v>
      </c>
    </row>
    <row r="3533" spans="1:4" x14ac:dyDescent="0.25">
      <c r="A3533" s="15">
        <f>Sheet2!A3533</f>
        <v>0</v>
      </c>
      <c r="B3533" s="8">
        <v>0</v>
      </c>
      <c r="C3533" s="9">
        <v>1.4</v>
      </c>
      <c r="D3533" s="13">
        <f t="shared" si="55"/>
        <v>1.4</v>
      </c>
    </row>
    <row r="3534" spans="1:4" x14ac:dyDescent="0.25">
      <c r="A3534" s="15">
        <f>Sheet2!A3534</f>
        <v>0</v>
      </c>
      <c r="B3534" s="8">
        <v>0</v>
      </c>
      <c r="C3534" s="9">
        <v>2.78</v>
      </c>
      <c r="D3534" s="13">
        <f t="shared" si="55"/>
        <v>2.78</v>
      </c>
    </row>
    <row r="3535" spans="1:4" x14ac:dyDescent="0.25">
      <c r="A3535" s="15">
        <f>Sheet2!A3535</f>
        <v>0</v>
      </c>
      <c r="B3535" s="8">
        <v>0</v>
      </c>
      <c r="C3535" s="9">
        <v>2.12</v>
      </c>
      <c r="D3535" s="13">
        <f t="shared" si="55"/>
        <v>2.12</v>
      </c>
    </row>
    <row r="3536" spans="1:4" x14ac:dyDescent="0.25">
      <c r="A3536" s="15">
        <f>Sheet2!A3536</f>
        <v>0</v>
      </c>
      <c r="B3536" s="8">
        <v>11.78</v>
      </c>
      <c r="C3536" s="9">
        <v>0</v>
      </c>
      <c r="D3536" s="13">
        <f t="shared" si="55"/>
        <v>11.78</v>
      </c>
    </row>
    <row r="3537" spans="1:4" x14ac:dyDescent="0.25">
      <c r="A3537" s="15">
        <f>Sheet2!A3537</f>
        <v>0</v>
      </c>
      <c r="B3537" s="8">
        <v>0</v>
      </c>
      <c r="C3537" s="9">
        <v>0.54</v>
      </c>
      <c r="D3537" s="13">
        <f t="shared" si="55"/>
        <v>0.54</v>
      </c>
    </row>
    <row r="3538" spans="1:4" x14ac:dyDescent="0.25">
      <c r="A3538" s="15">
        <f>Sheet2!A3538</f>
        <v>0</v>
      </c>
      <c r="B3538" s="8">
        <v>0</v>
      </c>
      <c r="C3538" s="9">
        <v>1.1000000000000001</v>
      </c>
      <c r="D3538" s="13">
        <f t="shared" si="55"/>
        <v>1.1000000000000001</v>
      </c>
    </row>
    <row r="3539" spans="1:4" x14ac:dyDescent="0.25">
      <c r="A3539" s="15">
        <f>Sheet2!A3539</f>
        <v>0</v>
      </c>
      <c r="B3539" s="8">
        <v>0</v>
      </c>
      <c r="C3539" s="9">
        <v>2.19</v>
      </c>
      <c r="D3539" s="13">
        <f t="shared" si="55"/>
        <v>2.19</v>
      </c>
    </row>
    <row r="3540" spans="1:4" x14ac:dyDescent="0.25">
      <c r="A3540" s="15">
        <f>Sheet2!A3540</f>
        <v>0</v>
      </c>
      <c r="B3540" s="8">
        <v>0</v>
      </c>
      <c r="C3540" s="9">
        <v>2.1800000000000002</v>
      </c>
      <c r="D3540" s="13">
        <f t="shared" si="55"/>
        <v>2.1800000000000002</v>
      </c>
    </row>
    <row r="3541" spans="1:4" x14ac:dyDescent="0.25">
      <c r="A3541" s="15">
        <f>Sheet2!A3541</f>
        <v>0</v>
      </c>
      <c r="B3541" s="8">
        <v>0</v>
      </c>
      <c r="C3541" s="9">
        <v>1.1299999999999999</v>
      </c>
      <c r="D3541" s="13">
        <f t="shared" si="55"/>
        <v>1.1299999999999999</v>
      </c>
    </row>
    <row r="3542" spans="1:4" x14ac:dyDescent="0.25">
      <c r="A3542" s="15">
        <f>Sheet2!A3542</f>
        <v>0</v>
      </c>
      <c r="B3542" s="8">
        <v>18.079999999999998</v>
      </c>
      <c r="C3542" s="9">
        <v>0</v>
      </c>
      <c r="D3542" s="13">
        <f t="shared" si="55"/>
        <v>18.079999999999998</v>
      </c>
    </row>
    <row r="3543" spans="1:4" x14ac:dyDescent="0.25">
      <c r="A3543" s="15">
        <f>Sheet2!A3543</f>
        <v>0</v>
      </c>
      <c r="B3543" s="8">
        <v>0</v>
      </c>
      <c r="C3543" s="9">
        <v>1.22</v>
      </c>
      <c r="D3543" s="13">
        <f t="shared" si="55"/>
        <v>1.22</v>
      </c>
    </row>
    <row r="3544" spans="1:4" x14ac:dyDescent="0.25">
      <c r="A3544" s="15">
        <f>Sheet2!A3544</f>
        <v>0</v>
      </c>
      <c r="B3544" s="8">
        <v>0</v>
      </c>
      <c r="C3544" s="9">
        <v>2.0499999999999998</v>
      </c>
      <c r="D3544" s="13">
        <f t="shared" si="55"/>
        <v>2.0499999999999998</v>
      </c>
    </row>
    <row r="3545" spans="1:4" x14ac:dyDescent="0.25">
      <c r="A3545" s="15">
        <f>Sheet2!A3545</f>
        <v>0</v>
      </c>
      <c r="B3545" s="8">
        <v>0</v>
      </c>
      <c r="C3545" s="9">
        <v>1.1000000000000001</v>
      </c>
      <c r="D3545" s="13">
        <f t="shared" si="55"/>
        <v>1.1000000000000001</v>
      </c>
    </row>
    <row r="3546" spans="1:4" x14ac:dyDescent="0.25">
      <c r="A3546" s="15">
        <f>Sheet2!A3546</f>
        <v>0</v>
      </c>
      <c r="B3546" s="8">
        <v>0</v>
      </c>
      <c r="C3546" s="9">
        <v>1.7</v>
      </c>
      <c r="D3546" s="13">
        <f t="shared" si="55"/>
        <v>1.7</v>
      </c>
    </row>
    <row r="3547" spans="1:4" x14ac:dyDescent="0.25">
      <c r="A3547" s="15">
        <f>Sheet2!A3547</f>
        <v>0</v>
      </c>
      <c r="B3547" s="8">
        <v>0</v>
      </c>
      <c r="C3547" s="9">
        <v>3.09</v>
      </c>
      <c r="D3547" s="13">
        <f t="shared" si="55"/>
        <v>3.09</v>
      </c>
    </row>
    <row r="3548" spans="1:4" x14ac:dyDescent="0.25">
      <c r="A3548" s="15">
        <f>Sheet2!A3548</f>
        <v>0</v>
      </c>
      <c r="B3548" s="8">
        <v>0</v>
      </c>
      <c r="C3548" s="9">
        <v>3.96</v>
      </c>
      <c r="D3548" s="13">
        <f t="shared" si="55"/>
        <v>3.96</v>
      </c>
    </row>
    <row r="3549" spans="1:4" x14ac:dyDescent="0.25">
      <c r="A3549" s="15">
        <f>Sheet2!A3549</f>
        <v>0</v>
      </c>
      <c r="B3549" s="8">
        <v>0</v>
      </c>
      <c r="C3549" s="9">
        <v>4.37</v>
      </c>
      <c r="D3549" s="13">
        <f t="shared" si="55"/>
        <v>4.37</v>
      </c>
    </row>
    <row r="3550" spans="1:4" x14ac:dyDescent="0.25">
      <c r="A3550" s="15">
        <f>Sheet2!A3550</f>
        <v>0</v>
      </c>
      <c r="B3550" s="8">
        <v>0</v>
      </c>
      <c r="C3550" s="9">
        <v>4.3099999999999996</v>
      </c>
      <c r="D3550" s="13">
        <f t="shared" si="55"/>
        <v>4.3099999999999996</v>
      </c>
    </row>
    <row r="3551" spans="1:4" x14ac:dyDescent="0.25">
      <c r="A3551" s="15">
        <f>Sheet2!A3551</f>
        <v>0</v>
      </c>
      <c r="B3551" s="8">
        <v>0</v>
      </c>
      <c r="C3551" s="9">
        <v>4.33</v>
      </c>
      <c r="D3551" s="13">
        <f t="shared" si="55"/>
        <v>4.33</v>
      </c>
    </row>
    <row r="3552" spans="1:4" x14ac:dyDescent="0.25">
      <c r="A3552" s="15">
        <f>Sheet2!A3552</f>
        <v>0</v>
      </c>
      <c r="B3552" s="8">
        <v>0</v>
      </c>
      <c r="C3552" s="9">
        <v>3.97</v>
      </c>
      <c r="D3552" s="13">
        <f t="shared" si="55"/>
        <v>3.97</v>
      </c>
    </row>
    <row r="3553" spans="1:4" x14ac:dyDescent="0.25">
      <c r="A3553" s="15">
        <f>Sheet2!A3553</f>
        <v>0</v>
      </c>
      <c r="B3553" s="8">
        <v>0</v>
      </c>
      <c r="C3553" s="9">
        <v>3.39</v>
      </c>
      <c r="D3553" s="13">
        <f t="shared" si="55"/>
        <v>3.39</v>
      </c>
    </row>
    <row r="3554" spans="1:4" x14ac:dyDescent="0.25">
      <c r="A3554" s="15">
        <f>Sheet2!A3554</f>
        <v>0</v>
      </c>
      <c r="B3554" s="8">
        <v>0</v>
      </c>
      <c r="C3554" s="9">
        <v>2.76</v>
      </c>
      <c r="D3554" s="13">
        <f t="shared" si="55"/>
        <v>2.76</v>
      </c>
    </row>
    <row r="3555" spans="1:4" x14ac:dyDescent="0.25">
      <c r="A3555" s="15">
        <f>Sheet2!A3555</f>
        <v>0</v>
      </c>
      <c r="B3555" s="8">
        <v>0</v>
      </c>
      <c r="C3555" s="9">
        <v>2.96</v>
      </c>
      <c r="D3555" s="13">
        <f t="shared" si="55"/>
        <v>2.96</v>
      </c>
    </row>
    <row r="3556" spans="1:4" x14ac:dyDescent="0.25">
      <c r="A3556" s="15">
        <f>Sheet2!A3556</f>
        <v>0</v>
      </c>
      <c r="B3556" s="8">
        <v>0</v>
      </c>
      <c r="C3556" s="9">
        <v>0.37</v>
      </c>
      <c r="D3556" s="13">
        <f t="shared" si="55"/>
        <v>0.37</v>
      </c>
    </row>
    <row r="3557" spans="1:4" x14ac:dyDescent="0.25">
      <c r="A3557" s="15">
        <f>Sheet2!A3557</f>
        <v>0</v>
      </c>
      <c r="B3557" s="8">
        <v>0</v>
      </c>
      <c r="C3557" s="9">
        <v>2.06</v>
      </c>
      <c r="D3557" s="13">
        <f t="shared" si="55"/>
        <v>2.06</v>
      </c>
    </row>
    <row r="3558" spans="1:4" x14ac:dyDescent="0.25">
      <c r="A3558" s="15">
        <f>Sheet2!A3558</f>
        <v>0</v>
      </c>
      <c r="B3558" s="8">
        <v>0</v>
      </c>
      <c r="C3558" s="9">
        <v>2.7</v>
      </c>
      <c r="D3558" s="13">
        <f t="shared" si="55"/>
        <v>2.7</v>
      </c>
    </row>
    <row r="3559" spans="1:4" x14ac:dyDescent="0.25">
      <c r="A3559" s="15">
        <f>Sheet2!A3559</f>
        <v>0</v>
      </c>
      <c r="B3559" s="8">
        <v>0</v>
      </c>
      <c r="C3559" s="9">
        <v>1.94</v>
      </c>
      <c r="D3559" s="13">
        <f t="shared" si="55"/>
        <v>1.94</v>
      </c>
    </row>
    <row r="3560" spans="1:4" x14ac:dyDescent="0.25">
      <c r="A3560" s="15">
        <f>Sheet2!A3560</f>
        <v>0</v>
      </c>
      <c r="B3560" s="8">
        <v>0</v>
      </c>
      <c r="C3560" s="9">
        <v>1.55</v>
      </c>
      <c r="D3560" s="13">
        <f t="shared" si="55"/>
        <v>1.55</v>
      </c>
    </row>
    <row r="3561" spans="1:4" x14ac:dyDescent="0.25">
      <c r="A3561" s="15">
        <f>Sheet2!A3561</f>
        <v>0</v>
      </c>
      <c r="B3561" s="8">
        <v>0</v>
      </c>
      <c r="C3561" s="9">
        <v>1.01</v>
      </c>
      <c r="D3561" s="13">
        <f t="shared" si="55"/>
        <v>1.01</v>
      </c>
    </row>
    <row r="3562" spans="1:4" x14ac:dyDescent="0.25">
      <c r="A3562" s="15">
        <f>Sheet2!A3562</f>
        <v>0</v>
      </c>
      <c r="B3562" s="8">
        <v>0</v>
      </c>
      <c r="C3562" s="9">
        <v>1.51</v>
      </c>
      <c r="D3562" s="13">
        <f t="shared" si="55"/>
        <v>1.51</v>
      </c>
    </row>
    <row r="3563" spans="1:4" x14ac:dyDescent="0.25">
      <c r="A3563" s="15">
        <f>Sheet2!A3563</f>
        <v>0</v>
      </c>
      <c r="B3563" s="8">
        <v>0</v>
      </c>
      <c r="C3563" s="9">
        <v>1.78</v>
      </c>
      <c r="D3563" s="13">
        <f t="shared" si="55"/>
        <v>1.78</v>
      </c>
    </row>
    <row r="3564" spans="1:4" x14ac:dyDescent="0.25">
      <c r="A3564" s="15">
        <f>Sheet2!A3564</f>
        <v>0</v>
      </c>
      <c r="B3564" s="8">
        <v>0</v>
      </c>
      <c r="C3564" s="9">
        <v>1.49</v>
      </c>
      <c r="D3564" s="13">
        <f t="shared" si="55"/>
        <v>1.49</v>
      </c>
    </row>
    <row r="3565" spans="1:4" x14ac:dyDescent="0.25">
      <c r="A3565" s="15">
        <f>Sheet2!A3565</f>
        <v>0</v>
      </c>
      <c r="B3565" s="8">
        <v>0</v>
      </c>
      <c r="C3565" s="9">
        <v>3.58</v>
      </c>
      <c r="D3565" s="13">
        <f t="shared" si="55"/>
        <v>3.58</v>
      </c>
    </row>
    <row r="3566" spans="1:4" x14ac:dyDescent="0.25">
      <c r="A3566" s="15">
        <f>Sheet2!A3566</f>
        <v>0</v>
      </c>
      <c r="B3566" s="8">
        <v>0</v>
      </c>
      <c r="C3566" s="9">
        <v>3.69</v>
      </c>
      <c r="D3566" s="13">
        <f t="shared" si="55"/>
        <v>3.69</v>
      </c>
    </row>
    <row r="3567" spans="1:4" x14ac:dyDescent="0.25">
      <c r="A3567" s="15">
        <f>Sheet2!A3567</f>
        <v>0</v>
      </c>
      <c r="B3567" s="8">
        <v>0</v>
      </c>
      <c r="C3567" s="9">
        <v>3.89</v>
      </c>
      <c r="D3567" s="13">
        <f t="shared" si="55"/>
        <v>3.89</v>
      </c>
    </row>
    <row r="3568" spans="1:4" x14ac:dyDescent="0.25">
      <c r="A3568" s="15">
        <f>Sheet2!A3568</f>
        <v>0</v>
      </c>
      <c r="B3568" s="8">
        <v>0</v>
      </c>
      <c r="C3568" s="9">
        <v>3.77</v>
      </c>
      <c r="D3568" s="13">
        <f t="shared" si="55"/>
        <v>3.77</v>
      </c>
    </row>
    <row r="3569" spans="1:4" x14ac:dyDescent="0.25">
      <c r="A3569" s="15">
        <f>Sheet2!A3569</f>
        <v>0</v>
      </c>
      <c r="B3569" s="8">
        <v>0</v>
      </c>
      <c r="C3569" s="9">
        <v>1.71</v>
      </c>
      <c r="D3569" s="13">
        <f t="shared" si="55"/>
        <v>1.71</v>
      </c>
    </row>
    <row r="3570" spans="1:4" x14ac:dyDescent="0.25">
      <c r="A3570" s="15">
        <f>Sheet2!A3570</f>
        <v>0</v>
      </c>
      <c r="B3570" s="8">
        <v>0</v>
      </c>
      <c r="C3570" s="9">
        <v>2.14</v>
      </c>
      <c r="D3570" s="13">
        <f t="shared" si="55"/>
        <v>2.14</v>
      </c>
    </row>
    <row r="3571" spans="1:4" x14ac:dyDescent="0.25">
      <c r="A3571" s="15">
        <f>Sheet2!A3571</f>
        <v>0</v>
      </c>
      <c r="B3571" s="8">
        <v>0</v>
      </c>
      <c r="C3571" s="9">
        <v>4.3899999999999997</v>
      </c>
      <c r="D3571" s="13">
        <f t="shared" si="55"/>
        <v>4.3899999999999997</v>
      </c>
    </row>
    <row r="3572" spans="1:4" x14ac:dyDescent="0.25">
      <c r="A3572" s="15">
        <f>Sheet2!A3572</f>
        <v>0</v>
      </c>
      <c r="B3572" s="8">
        <v>0</v>
      </c>
      <c r="C3572" s="9">
        <v>4.46</v>
      </c>
      <c r="D3572" s="13">
        <f t="shared" si="55"/>
        <v>4.46</v>
      </c>
    </row>
    <row r="3573" spans="1:4" x14ac:dyDescent="0.25">
      <c r="A3573" s="15">
        <f>Sheet2!A3573</f>
        <v>0</v>
      </c>
      <c r="B3573" s="8">
        <v>0</v>
      </c>
      <c r="C3573" s="9">
        <v>4.34</v>
      </c>
      <c r="D3573" s="13">
        <f t="shared" si="55"/>
        <v>4.34</v>
      </c>
    </row>
    <row r="3574" spans="1:4" x14ac:dyDescent="0.25">
      <c r="A3574" s="15">
        <f>Sheet2!A3574</f>
        <v>0</v>
      </c>
      <c r="B3574" s="8">
        <v>0</v>
      </c>
      <c r="C3574" s="9">
        <v>4.21</v>
      </c>
      <c r="D3574" s="13">
        <f t="shared" si="55"/>
        <v>4.21</v>
      </c>
    </row>
    <row r="3575" spans="1:4" x14ac:dyDescent="0.25">
      <c r="A3575" s="15">
        <f>Sheet2!A3575</f>
        <v>0</v>
      </c>
      <c r="B3575" s="8">
        <v>0</v>
      </c>
      <c r="C3575" s="9">
        <v>1.26</v>
      </c>
      <c r="D3575" s="13">
        <f t="shared" si="55"/>
        <v>1.26</v>
      </c>
    </row>
    <row r="3576" spans="1:4" x14ac:dyDescent="0.25">
      <c r="A3576" s="15">
        <f>Sheet2!A3576</f>
        <v>0</v>
      </c>
      <c r="B3576" s="8">
        <v>0</v>
      </c>
      <c r="C3576" s="9">
        <v>2.08</v>
      </c>
      <c r="D3576" s="13">
        <f t="shared" si="55"/>
        <v>2.08</v>
      </c>
    </row>
    <row r="3577" spans="1:4" x14ac:dyDescent="0.25">
      <c r="A3577" s="15">
        <f>Sheet2!A3577</f>
        <v>0</v>
      </c>
      <c r="B3577" s="8">
        <v>0</v>
      </c>
      <c r="C3577" s="9">
        <v>3</v>
      </c>
      <c r="D3577" s="13">
        <f t="shared" si="55"/>
        <v>3</v>
      </c>
    </row>
    <row r="3578" spans="1:4" x14ac:dyDescent="0.25">
      <c r="A3578" s="15">
        <f>Sheet2!A3578</f>
        <v>0</v>
      </c>
      <c r="B3578" s="8">
        <v>0</v>
      </c>
      <c r="C3578" s="9">
        <v>2.62</v>
      </c>
      <c r="D3578" s="13">
        <f t="shared" si="55"/>
        <v>2.62</v>
      </c>
    </row>
    <row r="3579" spans="1:4" x14ac:dyDescent="0.25">
      <c r="A3579" s="15">
        <f>Sheet2!A3579</f>
        <v>0</v>
      </c>
      <c r="B3579" s="8">
        <v>0</v>
      </c>
      <c r="C3579" s="9">
        <v>2.94</v>
      </c>
      <c r="D3579" s="13">
        <f t="shared" si="55"/>
        <v>2.94</v>
      </c>
    </row>
    <row r="3580" spans="1:4" x14ac:dyDescent="0.25">
      <c r="A3580" s="15">
        <f>Sheet2!A3580</f>
        <v>0</v>
      </c>
      <c r="B3580" s="8">
        <v>0</v>
      </c>
      <c r="C3580" s="9">
        <v>2.92</v>
      </c>
      <c r="D3580" s="13">
        <f t="shared" si="55"/>
        <v>2.92</v>
      </c>
    </row>
    <row r="3581" spans="1:4" x14ac:dyDescent="0.25">
      <c r="A3581" s="15">
        <f>Sheet2!A3581</f>
        <v>0</v>
      </c>
      <c r="B3581" s="8">
        <v>0</v>
      </c>
      <c r="C3581" s="9">
        <v>2.86</v>
      </c>
      <c r="D3581" s="13">
        <f t="shared" si="55"/>
        <v>2.86</v>
      </c>
    </row>
    <row r="3582" spans="1:4" x14ac:dyDescent="0.25">
      <c r="A3582" s="15">
        <f>Sheet2!A3582</f>
        <v>0</v>
      </c>
      <c r="B3582" s="8">
        <v>0</v>
      </c>
      <c r="C3582" s="9">
        <v>2.89</v>
      </c>
      <c r="D3582" s="13">
        <f t="shared" si="55"/>
        <v>2.89</v>
      </c>
    </row>
    <row r="3583" spans="1:4" x14ac:dyDescent="0.25">
      <c r="A3583" s="15">
        <f>Sheet2!A3583</f>
        <v>0</v>
      </c>
      <c r="B3583" s="8">
        <v>0</v>
      </c>
      <c r="C3583" s="9">
        <v>3.14</v>
      </c>
      <c r="D3583" s="13">
        <f t="shared" si="55"/>
        <v>3.14</v>
      </c>
    </row>
    <row r="3584" spans="1:4" x14ac:dyDescent="0.25">
      <c r="A3584" s="15">
        <f>Sheet2!A3584</f>
        <v>0</v>
      </c>
      <c r="B3584" s="8">
        <v>0</v>
      </c>
      <c r="C3584" s="9">
        <v>2.2400000000000002</v>
      </c>
      <c r="D3584" s="13">
        <f t="shared" si="55"/>
        <v>2.2400000000000002</v>
      </c>
    </row>
    <row r="3585" spans="1:4" x14ac:dyDescent="0.25">
      <c r="A3585" s="15">
        <f>Sheet2!A3585</f>
        <v>0</v>
      </c>
      <c r="B3585" s="8">
        <v>0</v>
      </c>
      <c r="C3585" s="9">
        <v>0.7</v>
      </c>
      <c r="D3585" s="13">
        <f t="shared" si="55"/>
        <v>0.7</v>
      </c>
    </row>
    <row r="3586" spans="1:4" x14ac:dyDescent="0.25">
      <c r="A3586" s="15">
        <f>Sheet2!A3586</f>
        <v>0</v>
      </c>
      <c r="B3586" s="8">
        <v>0</v>
      </c>
      <c r="C3586" s="9">
        <v>1.07</v>
      </c>
      <c r="D3586" s="13">
        <f t="shared" si="55"/>
        <v>1.07</v>
      </c>
    </row>
    <row r="3587" spans="1:4" x14ac:dyDescent="0.25">
      <c r="A3587" s="15">
        <f>Sheet2!A3587</f>
        <v>0</v>
      </c>
      <c r="B3587" s="8">
        <v>0</v>
      </c>
      <c r="C3587" s="9">
        <v>3.19</v>
      </c>
      <c r="D3587" s="13">
        <f t="shared" ref="D3587:D3650" si="56">B3587+C3587</f>
        <v>3.19</v>
      </c>
    </row>
    <row r="3588" spans="1:4" x14ac:dyDescent="0.25">
      <c r="A3588" s="15">
        <f>Sheet2!A3588</f>
        <v>0</v>
      </c>
      <c r="B3588" s="8">
        <v>0</v>
      </c>
      <c r="C3588" s="9">
        <v>1.9</v>
      </c>
      <c r="D3588" s="13">
        <f t="shared" si="56"/>
        <v>1.9</v>
      </c>
    </row>
    <row r="3589" spans="1:4" x14ac:dyDescent="0.25">
      <c r="A3589" s="15">
        <f>Sheet2!A3589</f>
        <v>0</v>
      </c>
      <c r="B3589" s="8">
        <v>0</v>
      </c>
      <c r="C3589" s="9">
        <v>1.17</v>
      </c>
      <c r="D3589" s="13">
        <f t="shared" si="56"/>
        <v>1.17</v>
      </c>
    </row>
    <row r="3590" spans="1:4" x14ac:dyDescent="0.25">
      <c r="A3590" s="15">
        <f>Sheet2!A3590</f>
        <v>0</v>
      </c>
      <c r="B3590" s="8">
        <v>0</v>
      </c>
      <c r="C3590" s="9">
        <v>2.25</v>
      </c>
      <c r="D3590" s="13">
        <f t="shared" si="56"/>
        <v>2.25</v>
      </c>
    </row>
    <row r="3591" spans="1:4" x14ac:dyDescent="0.25">
      <c r="A3591" s="15">
        <f>Sheet2!A3591</f>
        <v>0</v>
      </c>
      <c r="B3591" s="8">
        <v>0</v>
      </c>
      <c r="C3591" s="9">
        <v>4.29</v>
      </c>
      <c r="D3591" s="13">
        <f t="shared" si="56"/>
        <v>4.29</v>
      </c>
    </row>
    <row r="3592" spans="1:4" x14ac:dyDescent="0.25">
      <c r="A3592" s="15">
        <f>Sheet2!A3592</f>
        <v>0</v>
      </c>
      <c r="B3592" s="8">
        <v>0</v>
      </c>
      <c r="C3592" s="9">
        <v>3.9</v>
      </c>
      <c r="D3592" s="13">
        <f t="shared" si="56"/>
        <v>3.9</v>
      </c>
    </row>
    <row r="3593" spans="1:4" x14ac:dyDescent="0.25">
      <c r="A3593" s="15">
        <f>Sheet2!A3593</f>
        <v>0</v>
      </c>
      <c r="B3593" s="8">
        <v>0</v>
      </c>
      <c r="C3593" s="9">
        <v>1.46</v>
      </c>
      <c r="D3593" s="13">
        <f t="shared" si="56"/>
        <v>1.46</v>
      </c>
    </row>
    <row r="3594" spans="1:4" x14ac:dyDescent="0.25">
      <c r="A3594" s="15">
        <f>Sheet2!A3594</f>
        <v>0</v>
      </c>
      <c r="B3594" s="8">
        <v>0</v>
      </c>
      <c r="C3594" s="9">
        <v>0.98</v>
      </c>
      <c r="D3594" s="13">
        <f t="shared" si="56"/>
        <v>0.98</v>
      </c>
    </row>
    <row r="3595" spans="1:4" x14ac:dyDescent="0.25">
      <c r="A3595" s="15">
        <f>Sheet2!A3595</f>
        <v>0</v>
      </c>
      <c r="B3595" s="8">
        <v>0</v>
      </c>
      <c r="C3595" s="9">
        <v>4.22</v>
      </c>
      <c r="D3595" s="13">
        <f t="shared" si="56"/>
        <v>4.22</v>
      </c>
    </row>
    <row r="3596" spans="1:4" x14ac:dyDescent="0.25">
      <c r="A3596" s="15">
        <f>Sheet2!A3596</f>
        <v>0</v>
      </c>
      <c r="B3596" s="8">
        <v>0</v>
      </c>
      <c r="C3596" s="9">
        <v>4.33</v>
      </c>
      <c r="D3596" s="13">
        <f t="shared" si="56"/>
        <v>4.33</v>
      </c>
    </row>
    <row r="3597" spans="1:4" x14ac:dyDescent="0.25">
      <c r="A3597" s="15">
        <f>Sheet2!A3597</f>
        <v>0</v>
      </c>
      <c r="B3597" s="8">
        <v>0</v>
      </c>
      <c r="C3597" s="9">
        <v>1.53</v>
      </c>
      <c r="D3597" s="13">
        <f t="shared" si="56"/>
        <v>1.53</v>
      </c>
    </row>
    <row r="3598" spans="1:4" x14ac:dyDescent="0.25">
      <c r="A3598" s="15">
        <f>Sheet2!A3598</f>
        <v>0</v>
      </c>
      <c r="B3598" s="8">
        <v>0</v>
      </c>
      <c r="C3598" s="9">
        <v>2.67</v>
      </c>
      <c r="D3598" s="13">
        <f t="shared" si="56"/>
        <v>2.67</v>
      </c>
    </row>
    <row r="3599" spans="1:4" x14ac:dyDescent="0.25">
      <c r="A3599" s="15">
        <f>Sheet2!A3599</f>
        <v>0</v>
      </c>
      <c r="B3599" s="8">
        <v>0</v>
      </c>
      <c r="C3599" s="9">
        <v>2.85</v>
      </c>
      <c r="D3599" s="13">
        <f t="shared" si="56"/>
        <v>2.85</v>
      </c>
    </row>
    <row r="3600" spans="1:4" x14ac:dyDescent="0.25">
      <c r="A3600" s="15">
        <f>Sheet2!A3600</f>
        <v>0</v>
      </c>
      <c r="B3600" s="8">
        <v>0</v>
      </c>
      <c r="C3600" s="9">
        <v>2.84</v>
      </c>
      <c r="D3600" s="13">
        <f t="shared" si="56"/>
        <v>2.84</v>
      </c>
    </row>
    <row r="3601" spans="1:4" x14ac:dyDescent="0.25">
      <c r="A3601" s="15">
        <f>Sheet2!A3601</f>
        <v>0</v>
      </c>
      <c r="B3601" s="8">
        <v>0</v>
      </c>
      <c r="C3601" s="9">
        <v>2.96</v>
      </c>
      <c r="D3601" s="13">
        <f t="shared" si="56"/>
        <v>2.96</v>
      </c>
    </row>
    <row r="3602" spans="1:4" x14ac:dyDescent="0.25">
      <c r="A3602" s="15">
        <f>Sheet2!A3602</f>
        <v>0</v>
      </c>
      <c r="B3602" s="8">
        <v>11.68</v>
      </c>
      <c r="C3602" s="9">
        <v>0</v>
      </c>
      <c r="D3602" s="13">
        <f t="shared" si="56"/>
        <v>11.68</v>
      </c>
    </row>
    <row r="3603" spans="1:4" x14ac:dyDescent="0.25">
      <c r="A3603" s="15">
        <f>Sheet2!A3603</f>
        <v>0</v>
      </c>
      <c r="B3603" s="8">
        <v>0</v>
      </c>
      <c r="C3603" s="9">
        <v>1.48</v>
      </c>
      <c r="D3603" s="13">
        <f t="shared" si="56"/>
        <v>1.48</v>
      </c>
    </row>
    <row r="3604" spans="1:4" x14ac:dyDescent="0.25">
      <c r="A3604" s="15">
        <f>Sheet2!A3604</f>
        <v>0</v>
      </c>
      <c r="B3604" s="8">
        <v>0</v>
      </c>
      <c r="C3604" s="9">
        <v>2.91</v>
      </c>
      <c r="D3604" s="13">
        <f t="shared" si="56"/>
        <v>2.91</v>
      </c>
    </row>
    <row r="3605" spans="1:4" x14ac:dyDescent="0.25">
      <c r="A3605" s="15">
        <f>Sheet2!A3605</f>
        <v>0</v>
      </c>
      <c r="B3605" s="8">
        <v>0</v>
      </c>
      <c r="C3605" s="9">
        <v>2.81</v>
      </c>
      <c r="D3605" s="13">
        <f t="shared" si="56"/>
        <v>2.81</v>
      </c>
    </row>
    <row r="3606" spans="1:4" x14ac:dyDescent="0.25">
      <c r="A3606" s="15">
        <f>Sheet2!A3606</f>
        <v>0</v>
      </c>
      <c r="B3606" s="8">
        <v>0</v>
      </c>
      <c r="C3606" s="9">
        <v>2.71</v>
      </c>
      <c r="D3606" s="13">
        <f t="shared" si="56"/>
        <v>2.71</v>
      </c>
    </row>
    <row r="3607" spans="1:4" x14ac:dyDescent="0.25">
      <c r="A3607" s="15">
        <f>Sheet2!A3607</f>
        <v>0</v>
      </c>
      <c r="B3607" s="8">
        <v>0</v>
      </c>
      <c r="C3607" s="9">
        <v>0.73</v>
      </c>
      <c r="D3607" s="13">
        <f t="shared" si="56"/>
        <v>0.73</v>
      </c>
    </row>
    <row r="3608" spans="1:4" x14ac:dyDescent="0.25">
      <c r="A3608" s="15">
        <f>Sheet2!A3608</f>
        <v>0</v>
      </c>
      <c r="B3608" s="8">
        <v>0</v>
      </c>
      <c r="C3608" s="9">
        <v>2.2400000000000002</v>
      </c>
      <c r="D3608" s="13">
        <f t="shared" si="56"/>
        <v>2.2400000000000002</v>
      </c>
    </row>
    <row r="3609" spans="1:4" x14ac:dyDescent="0.25">
      <c r="A3609" s="15">
        <f>Sheet2!A3609</f>
        <v>0</v>
      </c>
      <c r="B3609" s="8">
        <v>0</v>
      </c>
      <c r="C3609" s="9">
        <v>0.84</v>
      </c>
      <c r="D3609" s="13">
        <f t="shared" si="56"/>
        <v>0.84</v>
      </c>
    </row>
    <row r="3610" spans="1:4" x14ac:dyDescent="0.25">
      <c r="A3610" s="15">
        <f>Sheet2!A3610</f>
        <v>0</v>
      </c>
      <c r="B3610" s="8">
        <v>0</v>
      </c>
      <c r="C3610" s="9">
        <v>2.64</v>
      </c>
      <c r="D3610" s="13">
        <f t="shared" si="56"/>
        <v>2.64</v>
      </c>
    </row>
    <row r="3611" spans="1:4" x14ac:dyDescent="0.25">
      <c r="A3611" s="15">
        <f>Sheet2!A3611</f>
        <v>0</v>
      </c>
      <c r="B3611" s="8">
        <v>0</v>
      </c>
      <c r="C3611" s="9">
        <v>2.2400000000000002</v>
      </c>
      <c r="D3611" s="13">
        <f t="shared" si="56"/>
        <v>2.2400000000000002</v>
      </c>
    </row>
    <row r="3612" spans="1:4" x14ac:dyDescent="0.25">
      <c r="A3612" s="15">
        <f>Sheet2!A3612</f>
        <v>0</v>
      </c>
      <c r="B3612" s="8">
        <v>0</v>
      </c>
      <c r="C3612" s="9">
        <v>0.73</v>
      </c>
      <c r="D3612" s="13">
        <f t="shared" si="56"/>
        <v>0.73</v>
      </c>
    </row>
    <row r="3613" spans="1:4" x14ac:dyDescent="0.25">
      <c r="A3613" s="15">
        <f>Sheet2!A3613</f>
        <v>0</v>
      </c>
      <c r="B3613" s="8">
        <v>0</v>
      </c>
      <c r="C3613" s="9">
        <v>0.68</v>
      </c>
      <c r="D3613" s="13">
        <f t="shared" si="56"/>
        <v>0.68</v>
      </c>
    </row>
    <row r="3614" spans="1:4" x14ac:dyDescent="0.25">
      <c r="A3614" s="15">
        <f>Sheet2!A3614</f>
        <v>0</v>
      </c>
      <c r="B3614" s="8">
        <v>0</v>
      </c>
      <c r="C3614" s="9">
        <v>1.86</v>
      </c>
      <c r="D3614" s="13">
        <f t="shared" si="56"/>
        <v>1.86</v>
      </c>
    </row>
    <row r="3615" spans="1:4" x14ac:dyDescent="0.25">
      <c r="A3615" s="15">
        <f>Sheet2!A3615</f>
        <v>0</v>
      </c>
      <c r="B3615" s="8">
        <v>0</v>
      </c>
      <c r="C3615" s="9">
        <v>2.46</v>
      </c>
      <c r="D3615" s="13">
        <f t="shared" si="56"/>
        <v>2.46</v>
      </c>
    </row>
    <row r="3616" spans="1:4" x14ac:dyDescent="0.25">
      <c r="A3616" s="15">
        <f>Sheet2!A3616</f>
        <v>0</v>
      </c>
      <c r="B3616" s="8">
        <v>0</v>
      </c>
      <c r="C3616" s="9">
        <v>2.4900000000000002</v>
      </c>
      <c r="D3616" s="13">
        <f t="shared" si="56"/>
        <v>2.4900000000000002</v>
      </c>
    </row>
    <row r="3617" spans="1:4" x14ac:dyDescent="0.25">
      <c r="A3617" s="15">
        <f>Sheet2!A3617</f>
        <v>0</v>
      </c>
      <c r="B3617" s="8">
        <v>0</v>
      </c>
      <c r="C3617" s="9">
        <v>1.2</v>
      </c>
      <c r="D3617" s="13">
        <f t="shared" si="56"/>
        <v>1.2</v>
      </c>
    </row>
    <row r="3618" spans="1:4" x14ac:dyDescent="0.25">
      <c r="A3618" s="15">
        <f>Sheet2!A3618</f>
        <v>0</v>
      </c>
      <c r="B3618" s="8">
        <v>12.7</v>
      </c>
      <c r="C3618" s="9">
        <v>0</v>
      </c>
      <c r="D3618" s="13">
        <f t="shared" si="56"/>
        <v>12.7</v>
      </c>
    </row>
    <row r="3619" spans="1:4" x14ac:dyDescent="0.25">
      <c r="A3619" s="15">
        <f>Sheet2!A3619</f>
        <v>0</v>
      </c>
      <c r="B3619" s="8">
        <v>0</v>
      </c>
      <c r="C3619" s="9">
        <v>1.75</v>
      </c>
      <c r="D3619" s="13">
        <f t="shared" si="56"/>
        <v>1.75</v>
      </c>
    </row>
    <row r="3620" spans="1:4" x14ac:dyDescent="0.25">
      <c r="A3620" s="15">
        <f>Sheet2!A3620</f>
        <v>0</v>
      </c>
      <c r="B3620" s="8">
        <v>0</v>
      </c>
      <c r="C3620" s="9">
        <v>3.14</v>
      </c>
      <c r="D3620" s="13">
        <f t="shared" si="56"/>
        <v>3.14</v>
      </c>
    </row>
    <row r="3621" spans="1:4" x14ac:dyDescent="0.25">
      <c r="A3621" s="15">
        <f>Sheet2!A3621</f>
        <v>0</v>
      </c>
      <c r="B3621" s="8">
        <v>0</v>
      </c>
      <c r="C3621" s="9">
        <v>3.83</v>
      </c>
      <c r="D3621" s="13">
        <f t="shared" si="56"/>
        <v>3.83</v>
      </c>
    </row>
    <row r="3622" spans="1:4" x14ac:dyDescent="0.25">
      <c r="A3622" s="15">
        <f>Sheet2!A3622</f>
        <v>0</v>
      </c>
      <c r="B3622" s="8">
        <v>0</v>
      </c>
      <c r="C3622" s="9">
        <v>4.0199999999999996</v>
      </c>
      <c r="D3622" s="13">
        <f t="shared" si="56"/>
        <v>4.0199999999999996</v>
      </c>
    </row>
    <row r="3623" spans="1:4" x14ac:dyDescent="0.25">
      <c r="A3623" s="15">
        <f>Sheet2!A3623</f>
        <v>0</v>
      </c>
      <c r="B3623" s="8">
        <v>0</v>
      </c>
      <c r="C3623" s="9">
        <v>1.57</v>
      </c>
      <c r="D3623" s="13">
        <f t="shared" si="56"/>
        <v>1.57</v>
      </c>
    </row>
    <row r="3624" spans="1:4" x14ac:dyDescent="0.25">
      <c r="A3624" s="15">
        <f>Sheet2!A3624</f>
        <v>0</v>
      </c>
      <c r="B3624" s="8">
        <v>11.75</v>
      </c>
      <c r="C3624" s="9">
        <v>0</v>
      </c>
      <c r="D3624" s="13">
        <f t="shared" si="56"/>
        <v>11.75</v>
      </c>
    </row>
    <row r="3625" spans="1:4" x14ac:dyDescent="0.25">
      <c r="A3625" s="15">
        <f>Sheet2!A3625</f>
        <v>0</v>
      </c>
      <c r="B3625" s="8">
        <v>0</v>
      </c>
      <c r="C3625" s="9">
        <v>1.89</v>
      </c>
      <c r="D3625" s="13">
        <f t="shared" si="56"/>
        <v>1.89</v>
      </c>
    </row>
    <row r="3626" spans="1:4" x14ac:dyDescent="0.25">
      <c r="A3626" s="15">
        <f>Sheet2!A3626</f>
        <v>0</v>
      </c>
      <c r="B3626" s="8">
        <v>0</v>
      </c>
      <c r="C3626" s="9">
        <v>2.83</v>
      </c>
      <c r="D3626" s="13">
        <f t="shared" si="56"/>
        <v>2.83</v>
      </c>
    </row>
    <row r="3627" spans="1:4" x14ac:dyDescent="0.25">
      <c r="A3627" s="15">
        <f>Sheet2!A3627</f>
        <v>0</v>
      </c>
      <c r="B3627" s="8">
        <v>0</v>
      </c>
      <c r="C3627" s="9">
        <v>2.92</v>
      </c>
      <c r="D3627" s="13">
        <f t="shared" si="56"/>
        <v>2.92</v>
      </c>
    </row>
    <row r="3628" spans="1:4" x14ac:dyDescent="0.25">
      <c r="A3628" s="15">
        <f>Sheet2!A3628</f>
        <v>0</v>
      </c>
      <c r="B3628" s="8">
        <v>0</v>
      </c>
      <c r="C3628" s="9">
        <v>2.86</v>
      </c>
      <c r="D3628" s="13">
        <f t="shared" si="56"/>
        <v>2.86</v>
      </c>
    </row>
    <row r="3629" spans="1:4" x14ac:dyDescent="0.25">
      <c r="A3629" s="15">
        <f>Sheet2!A3629</f>
        <v>0</v>
      </c>
      <c r="B3629" s="8">
        <v>0</v>
      </c>
      <c r="C3629" s="9">
        <v>0.66</v>
      </c>
      <c r="D3629" s="13">
        <f t="shared" si="56"/>
        <v>0.66</v>
      </c>
    </row>
    <row r="3630" spans="1:4" x14ac:dyDescent="0.25">
      <c r="A3630" s="15">
        <f>Sheet2!A3630</f>
        <v>0</v>
      </c>
      <c r="B3630" s="8">
        <v>10.65</v>
      </c>
      <c r="C3630" s="9">
        <v>0</v>
      </c>
      <c r="D3630" s="13">
        <f t="shared" si="56"/>
        <v>10.65</v>
      </c>
    </row>
    <row r="3631" spans="1:4" x14ac:dyDescent="0.25">
      <c r="A3631" s="15">
        <f>Sheet2!A3631</f>
        <v>0</v>
      </c>
      <c r="B3631" s="8">
        <v>0</v>
      </c>
      <c r="C3631" s="9">
        <v>1.56</v>
      </c>
      <c r="D3631" s="13">
        <f t="shared" si="56"/>
        <v>1.56</v>
      </c>
    </row>
    <row r="3632" spans="1:4" x14ac:dyDescent="0.25">
      <c r="A3632" s="15">
        <f>Sheet2!A3632</f>
        <v>0</v>
      </c>
      <c r="B3632" s="8">
        <v>0</v>
      </c>
      <c r="C3632" s="9">
        <v>2.0299999999999998</v>
      </c>
      <c r="D3632" s="13">
        <f t="shared" si="56"/>
        <v>2.0299999999999998</v>
      </c>
    </row>
    <row r="3633" spans="1:4" x14ac:dyDescent="0.25">
      <c r="A3633" s="15">
        <f>Sheet2!A3633</f>
        <v>0</v>
      </c>
      <c r="B3633" s="8">
        <v>0</v>
      </c>
      <c r="C3633" s="9">
        <v>0.92</v>
      </c>
      <c r="D3633" s="13">
        <f t="shared" si="56"/>
        <v>0.92</v>
      </c>
    </row>
    <row r="3634" spans="1:4" x14ac:dyDescent="0.25">
      <c r="A3634" s="15">
        <f>Sheet2!A3634</f>
        <v>0</v>
      </c>
      <c r="B3634" s="8">
        <v>13.38</v>
      </c>
      <c r="C3634" s="9">
        <v>0</v>
      </c>
      <c r="D3634" s="13">
        <f t="shared" si="56"/>
        <v>13.38</v>
      </c>
    </row>
    <row r="3635" spans="1:4" x14ac:dyDescent="0.25">
      <c r="A3635" s="15">
        <f>Sheet2!A3635</f>
        <v>0</v>
      </c>
      <c r="B3635" s="8">
        <v>0</v>
      </c>
      <c r="C3635" s="9">
        <v>0.64</v>
      </c>
      <c r="D3635" s="13">
        <f t="shared" si="56"/>
        <v>0.64</v>
      </c>
    </row>
    <row r="3636" spans="1:4" x14ac:dyDescent="0.25">
      <c r="A3636" s="15">
        <f>Sheet2!A3636</f>
        <v>0</v>
      </c>
      <c r="B3636" s="8">
        <v>0</v>
      </c>
      <c r="C3636" s="9">
        <v>1.87</v>
      </c>
      <c r="D3636" s="13">
        <f t="shared" si="56"/>
        <v>1.87</v>
      </c>
    </row>
    <row r="3637" spans="1:4" x14ac:dyDescent="0.25">
      <c r="A3637" s="15">
        <f>Sheet2!A3637</f>
        <v>0</v>
      </c>
      <c r="B3637" s="8">
        <v>0</v>
      </c>
      <c r="C3637" s="9">
        <v>1.25</v>
      </c>
      <c r="D3637" s="13">
        <f t="shared" si="56"/>
        <v>1.25</v>
      </c>
    </row>
    <row r="3638" spans="1:4" x14ac:dyDescent="0.25">
      <c r="A3638" s="15">
        <f>Sheet2!A3638</f>
        <v>0</v>
      </c>
      <c r="B3638" s="8">
        <v>13.45</v>
      </c>
      <c r="C3638" s="9">
        <v>0</v>
      </c>
      <c r="D3638" s="13">
        <f t="shared" si="56"/>
        <v>13.45</v>
      </c>
    </row>
    <row r="3639" spans="1:4" x14ac:dyDescent="0.25">
      <c r="A3639" s="15">
        <f>Sheet2!A3639</f>
        <v>0</v>
      </c>
      <c r="B3639" s="8">
        <v>0</v>
      </c>
      <c r="C3639" s="9">
        <v>0.69</v>
      </c>
      <c r="D3639" s="13">
        <f t="shared" si="56"/>
        <v>0.69</v>
      </c>
    </row>
    <row r="3640" spans="1:4" x14ac:dyDescent="0.25">
      <c r="A3640" s="15">
        <f>Sheet2!A3640</f>
        <v>0</v>
      </c>
      <c r="B3640" s="8">
        <v>0</v>
      </c>
      <c r="C3640" s="9">
        <v>2.4300000000000002</v>
      </c>
      <c r="D3640" s="13">
        <f t="shared" si="56"/>
        <v>2.4300000000000002</v>
      </c>
    </row>
    <row r="3641" spans="1:4" x14ac:dyDescent="0.25">
      <c r="A3641" s="15">
        <f>Sheet2!A3641</f>
        <v>0</v>
      </c>
      <c r="B3641" s="8">
        <v>0</v>
      </c>
      <c r="C3641" s="9">
        <v>1.34</v>
      </c>
      <c r="D3641" s="13">
        <f t="shared" si="56"/>
        <v>1.34</v>
      </c>
    </row>
    <row r="3642" spans="1:4" x14ac:dyDescent="0.25">
      <c r="A3642" s="15">
        <f>Sheet2!A3642</f>
        <v>0</v>
      </c>
      <c r="B3642" s="8">
        <v>0</v>
      </c>
      <c r="C3642" s="9">
        <v>1.07</v>
      </c>
      <c r="D3642" s="13">
        <f t="shared" si="56"/>
        <v>1.07</v>
      </c>
    </row>
    <row r="3643" spans="1:4" x14ac:dyDescent="0.25">
      <c r="A3643" s="15">
        <f>Sheet2!A3643</f>
        <v>0</v>
      </c>
      <c r="B3643" s="8">
        <v>0</v>
      </c>
      <c r="C3643" s="9">
        <v>2.59</v>
      </c>
      <c r="D3643" s="13">
        <f t="shared" si="56"/>
        <v>2.59</v>
      </c>
    </row>
    <row r="3644" spans="1:4" x14ac:dyDescent="0.25">
      <c r="A3644" s="15">
        <f>Sheet2!A3644</f>
        <v>0</v>
      </c>
      <c r="B3644" s="8">
        <v>0</v>
      </c>
      <c r="C3644" s="9">
        <v>4.1399999999999997</v>
      </c>
      <c r="D3644" s="13">
        <f t="shared" si="56"/>
        <v>4.1399999999999997</v>
      </c>
    </row>
    <row r="3645" spans="1:4" x14ac:dyDescent="0.25">
      <c r="A3645" s="15">
        <f>Sheet2!A3645</f>
        <v>0</v>
      </c>
      <c r="B3645" s="8">
        <v>0</v>
      </c>
      <c r="C3645" s="9">
        <v>4.45</v>
      </c>
      <c r="D3645" s="13">
        <f t="shared" si="56"/>
        <v>4.45</v>
      </c>
    </row>
    <row r="3646" spans="1:4" x14ac:dyDescent="0.25">
      <c r="A3646" s="15">
        <f>Sheet2!A3646</f>
        <v>0</v>
      </c>
      <c r="B3646" s="8">
        <v>0</v>
      </c>
      <c r="C3646" s="9">
        <v>1</v>
      </c>
      <c r="D3646" s="13">
        <f t="shared" si="56"/>
        <v>1</v>
      </c>
    </row>
    <row r="3647" spans="1:4" x14ac:dyDescent="0.25">
      <c r="A3647" s="15">
        <f>Sheet2!A3647</f>
        <v>0</v>
      </c>
      <c r="B3647" s="8">
        <v>0</v>
      </c>
      <c r="C3647" s="9">
        <v>1.73</v>
      </c>
      <c r="D3647" s="13">
        <f t="shared" si="56"/>
        <v>1.73</v>
      </c>
    </row>
    <row r="3648" spans="1:4" x14ac:dyDescent="0.25">
      <c r="A3648" s="15">
        <f>Sheet2!A3648</f>
        <v>0</v>
      </c>
      <c r="B3648" s="8">
        <v>0</v>
      </c>
      <c r="C3648" s="9">
        <v>4.1500000000000004</v>
      </c>
      <c r="D3648" s="13">
        <f t="shared" si="56"/>
        <v>4.1500000000000004</v>
      </c>
    </row>
    <row r="3649" spans="1:4" x14ac:dyDescent="0.25">
      <c r="A3649" s="15">
        <f>Sheet2!A3649</f>
        <v>0</v>
      </c>
      <c r="B3649" s="8">
        <v>0</v>
      </c>
      <c r="C3649" s="9">
        <v>2.0699999999999998</v>
      </c>
      <c r="D3649" s="13">
        <f t="shared" si="56"/>
        <v>2.0699999999999998</v>
      </c>
    </row>
    <row r="3650" spans="1:4" x14ac:dyDescent="0.25">
      <c r="A3650" s="15">
        <f>Sheet2!A3650</f>
        <v>0</v>
      </c>
      <c r="B3650" s="8">
        <v>8.18</v>
      </c>
      <c r="C3650" s="9">
        <v>0</v>
      </c>
      <c r="D3650" s="13">
        <f t="shared" si="56"/>
        <v>8.18</v>
      </c>
    </row>
    <row r="3651" spans="1:4" x14ac:dyDescent="0.25">
      <c r="A3651" s="15">
        <f>Sheet2!A3651</f>
        <v>0</v>
      </c>
      <c r="B3651" s="8">
        <v>0</v>
      </c>
      <c r="C3651" s="9">
        <v>3.05</v>
      </c>
      <c r="D3651" s="13">
        <f t="shared" ref="D3651:D3714" si="57">B3651+C3651</f>
        <v>3.05</v>
      </c>
    </row>
    <row r="3652" spans="1:4" x14ac:dyDescent="0.25">
      <c r="A3652" s="15">
        <f>Sheet2!A3652</f>
        <v>0</v>
      </c>
      <c r="B3652" s="8">
        <v>0</v>
      </c>
      <c r="C3652" s="9">
        <v>3.04</v>
      </c>
      <c r="D3652" s="13">
        <f t="shared" si="57"/>
        <v>3.04</v>
      </c>
    </row>
    <row r="3653" spans="1:4" x14ac:dyDescent="0.25">
      <c r="A3653" s="15">
        <f>Sheet2!A3653</f>
        <v>0</v>
      </c>
      <c r="B3653" s="8">
        <v>0</v>
      </c>
      <c r="C3653" s="9">
        <v>2.97</v>
      </c>
      <c r="D3653" s="13">
        <f t="shared" si="57"/>
        <v>2.97</v>
      </c>
    </row>
    <row r="3654" spans="1:4" x14ac:dyDescent="0.25">
      <c r="A3654" s="15">
        <f>Sheet2!A3654</f>
        <v>0</v>
      </c>
      <c r="B3654" s="8">
        <v>0</v>
      </c>
      <c r="C3654" s="9">
        <v>2.91</v>
      </c>
      <c r="D3654" s="13">
        <f t="shared" si="57"/>
        <v>2.91</v>
      </c>
    </row>
    <row r="3655" spans="1:4" x14ac:dyDescent="0.25">
      <c r="A3655" s="15">
        <f>Sheet2!A3655</f>
        <v>0</v>
      </c>
      <c r="B3655" s="8">
        <v>0</v>
      </c>
      <c r="C3655" s="9">
        <v>0.55000000000000004</v>
      </c>
      <c r="D3655" s="13">
        <f t="shared" si="57"/>
        <v>0.55000000000000004</v>
      </c>
    </row>
    <row r="3656" spans="1:4" x14ac:dyDescent="0.25">
      <c r="A3656" s="15">
        <f>Sheet2!A3656</f>
        <v>0</v>
      </c>
      <c r="B3656" s="8">
        <v>7.12</v>
      </c>
      <c r="C3656" s="9">
        <v>0</v>
      </c>
      <c r="D3656" s="13">
        <f t="shared" si="57"/>
        <v>7.12</v>
      </c>
    </row>
    <row r="3657" spans="1:4" x14ac:dyDescent="0.25">
      <c r="A3657" s="15">
        <f>Sheet2!A3657</f>
        <v>0</v>
      </c>
      <c r="B3657" s="8">
        <v>0</v>
      </c>
      <c r="C3657" s="9">
        <v>0.74</v>
      </c>
      <c r="D3657" s="13">
        <f t="shared" si="57"/>
        <v>0.74</v>
      </c>
    </row>
    <row r="3658" spans="1:4" x14ac:dyDescent="0.25">
      <c r="A3658" s="15">
        <f>Sheet2!A3658</f>
        <v>0</v>
      </c>
      <c r="B3658" s="8">
        <v>0</v>
      </c>
      <c r="C3658" s="9">
        <v>3.4</v>
      </c>
      <c r="D3658" s="13">
        <f t="shared" si="57"/>
        <v>3.4</v>
      </c>
    </row>
    <row r="3659" spans="1:4" x14ac:dyDescent="0.25">
      <c r="A3659" s="15">
        <f>Sheet2!A3659</f>
        <v>0</v>
      </c>
      <c r="B3659" s="8">
        <v>0</v>
      </c>
      <c r="C3659" s="9">
        <v>2.0099999999999998</v>
      </c>
      <c r="D3659" s="13">
        <f t="shared" si="57"/>
        <v>2.0099999999999998</v>
      </c>
    </row>
    <row r="3660" spans="1:4" x14ac:dyDescent="0.25">
      <c r="A3660" s="15">
        <f>Sheet2!A3660</f>
        <v>0</v>
      </c>
      <c r="B3660" s="8">
        <v>16.420000000000002</v>
      </c>
      <c r="C3660" s="9">
        <v>0</v>
      </c>
      <c r="D3660" s="13">
        <f t="shared" si="57"/>
        <v>16.420000000000002</v>
      </c>
    </row>
    <row r="3661" spans="1:4" x14ac:dyDescent="0.25">
      <c r="A3661" s="15">
        <f>Sheet2!A3661</f>
        <v>0</v>
      </c>
      <c r="B3661" s="8">
        <v>0</v>
      </c>
      <c r="C3661" s="9">
        <v>1.98</v>
      </c>
      <c r="D3661" s="13">
        <f t="shared" si="57"/>
        <v>1.98</v>
      </c>
    </row>
    <row r="3662" spans="1:4" x14ac:dyDescent="0.25">
      <c r="A3662" s="15">
        <f>Sheet2!A3662</f>
        <v>0</v>
      </c>
      <c r="B3662" s="8">
        <v>0</v>
      </c>
      <c r="C3662" s="9">
        <v>3.48</v>
      </c>
      <c r="D3662" s="13">
        <f t="shared" si="57"/>
        <v>3.48</v>
      </c>
    </row>
    <row r="3663" spans="1:4" x14ac:dyDescent="0.25">
      <c r="A3663" s="15">
        <f>Sheet2!A3663</f>
        <v>0</v>
      </c>
      <c r="B3663" s="8">
        <v>0</v>
      </c>
      <c r="C3663" s="9">
        <v>3.72</v>
      </c>
      <c r="D3663" s="13">
        <f t="shared" si="57"/>
        <v>3.72</v>
      </c>
    </row>
    <row r="3664" spans="1:4" x14ac:dyDescent="0.25">
      <c r="A3664" s="15">
        <f>Sheet2!A3664</f>
        <v>0</v>
      </c>
      <c r="B3664" s="8">
        <v>0</v>
      </c>
      <c r="C3664" s="9">
        <v>3.82</v>
      </c>
      <c r="D3664" s="13">
        <f t="shared" si="57"/>
        <v>3.82</v>
      </c>
    </row>
    <row r="3665" spans="1:4" x14ac:dyDescent="0.25">
      <c r="A3665" s="15">
        <f>Sheet2!A3665</f>
        <v>0</v>
      </c>
      <c r="B3665" s="8">
        <v>0</v>
      </c>
      <c r="C3665" s="9">
        <v>1.98</v>
      </c>
      <c r="D3665" s="13">
        <f t="shared" si="57"/>
        <v>1.98</v>
      </c>
    </row>
    <row r="3666" spans="1:4" x14ac:dyDescent="0.25">
      <c r="A3666" s="15">
        <f>Sheet2!A3666</f>
        <v>0</v>
      </c>
      <c r="B3666" s="8">
        <v>15.9</v>
      </c>
      <c r="C3666" s="9">
        <v>0</v>
      </c>
      <c r="D3666" s="13">
        <f t="shared" si="57"/>
        <v>15.9</v>
      </c>
    </row>
    <row r="3667" spans="1:4" x14ac:dyDescent="0.25">
      <c r="A3667" s="15">
        <f>Sheet2!A3667</f>
        <v>0</v>
      </c>
      <c r="B3667" s="8">
        <v>0</v>
      </c>
      <c r="C3667" s="9">
        <v>3.24</v>
      </c>
      <c r="D3667" s="13">
        <f t="shared" si="57"/>
        <v>3.24</v>
      </c>
    </row>
    <row r="3668" spans="1:4" x14ac:dyDescent="0.25">
      <c r="A3668" s="15">
        <f>Sheet2!A3668</f>
        <v>0</v>
      </c>
      <c r="B3668" s="8">
        <v>0</v>
      </c>
      <c r="C3668" s="9">
        <v>3.44</v>
      </c>
      <c r="D3668" s="13">
        <f t="shared" si="57"/>
        <v>3.44</v>
      </c>
    </row>
    <row r="3669" spans="1:4" x14ac:dyDescent="0.25">
      <c r="A3669" s="15">
        <f>Sheet2!A3669</f>
        <v>0</v>
      </c>
      <c r="B3669" s="8">
        <v>0</v>
      </c>
      <c r="C3669" s="9">
        <v>1.38</v>
      </c>
      <c r="D3669" s="13">
        <f t="shared" si="57"/>
        <v>1.38</v>
      </c>
    </row>
    <row r="3670" spans="1:4" x14ac:dyDescent="0.25">
      <c r="A3670" s="15">
        <f>Sheet2!A3670</f>
        <v>0</v>
      </c>
      <c r="B3670" s="8">
        <v>0</v>
      </c>
      <c r="C3670" s="9">
        <v>1.56</v>
      </c>
      <c r="D3670" s="13">
        <f t="shared" si="57"/>
        <v>1.56</v>
      </c>
    </row>
    <row r="3671" spans="1:4" x14ac:dyDescent="0.25">
      <c r="A3671" s="15">
        <f>Sheet2!A3671</f>
        <v>0</v>
      </c>
      <c r="B3671" s="8">
        <v>0</v>
      </c>
      <c r="C3671" s="9">
        <v>1.45</v>
      </c>
      <c r="D3671" s="13">
        <f t="shared" si="57"/>
        <v>1.45</v>
      </c>
    </row>
    <row r="3672" spans="1:4" x14ac:dyDescent="0.25">
      <c r="A3672" s="15">
        <f>Sheet2!A3672</f>
        <v>0</v>
      </c>
      <c r="B3672" s="8">
        <v>0</v>
      </c>
      <c r="C3672" s="9">
        <v>2.34</v>
      </c>
      <c r="D3672" s="13">
        <f t="shared" si="57"/>
        <v>2.34</v>
      </c>
    </row>
    <row r="3673" spans="1:4" x14ac:dyDescent="0.25">
      <c r="A3673" s="15">
        <f>Sheet2!A3673</f>
        <v>0</v>
      </c>
      <c r="B3673" s="8">
        <v>0</v>
      </c>
      <c r="C3673" s="9">
        <v>1.1399999999999999</v>
      </c>
      <c r="D3673" s="13">
        <f t="shared" si="57"/>
        <v>1.1399999999999999</v>
      </c>
    </row>
    <row r="3674" spans="1:4" x14ac:dyDescent="0.25">
      <c r="A3674" s="15">
        <f>Sheet2!A3674</f>
        <v>0</v>
      </c>
      <c r="B3674" s="8">
        <v>9.3800000000000008</v>
      </c>
      <c r="C3674" s="9">
        <v>0</v>
      </c>
      <c r="D3674" s="13">
        <f t="shared" si="57"/>
        <v>9.3800000000000008</v>
      </c>
    </row>
    <row r="3675" spans="1:4" x14ac:dyDescent="0.25">
      <c r="A3675" s="15">
        <f>Sheet2!A3675</f>
        <v>0</v>
      </c>
      <c r="B3675" s="8">
        <v>0</v>
      </c>
      <c r="C3675" s="9">
        <v>1.67</v>
      </c>
      <c r="D3675" s="13">
        <f t="shared" si="57"/>
        <v>1.67</v>
      </c>
    </row>
    <row r="3676" spans="1:4" x14ac:dyDescent="0.25">
      <c r="A3676" s="15">
        <f>Sheet2!A3676</f>
        <v>0</v>
      </c>
      <c r="B3676" s="8">
        <v>0</v>
      </c>
      <c r="C3676" s="9">
        <v>2.81</v>
      </c>
      <c r="D3676" s="13">
        <f t="shared" si="57"/>
        <v>2.81</v>
      </c>
    </row>
    <row r="3677" spans="1:4" x14ac:dyDescent="0.25">
      <c r="A3677" s="15">
        <f>Sheet2!A3677</f>
        <v>0</v>
      </c>
      <c r="B3677" s="8">
        <v>0</v>
      </c>
      <c r="C3677" s="9">
        <v>1.1299999999999999</v>
      </c>
      <c r="D3677" s="13">
        <f t="shared" si="57"/>
        <v>1.1299999999999999</v>
      </c>
    </row>
    <row r="3678" spans="1:4" x14ac:dyDescent="0.25">
      <c r="A3678" s="15">
        <f>Sheet2!A3678</f>
        <v>0</v>
      </c>
      <c r="B3678" s="8">
        <v>8.91</v>
      </c>
      <c r="C3678" s="9">
        <v>0</v>
      </c>
      <c r="D3678" s="13">
        <f t="shared" si="57"/>
        <v>8.91</v>
      </c>
    </row>
    <row r="3679" spans="1:4" x14ac:dyDescent="0.25">
      <c r="A3679" s="15">
        <f>Sheet2!A3679</f>
        <v>0</v>
      </c>
      <c r="B3679" s="8">
        <v>0</v>
      </c>
      <c r="C3679" s="9">
        <v>1.38</v>
      </c>
      <c r="D3679" s="13">
        <f t="shared" si="57"/>
        <v>1.38</v>
      </c>
    </row>
    <row r="3680" spans="1:4" x14ac:dyDescent="0.25">
      <c r="A3680" s="15">
        <f>Sheet2!A3680</f>
        <v>0</v>
      </c>
      <c r="B3680" s="8">
        <v>0</v>
      </c>
      <c r="C3680" s="9">
        <v>2.56</v>
      </c>
      <c r="D3680" s="13">
        <f t="shared" si="57"/>
        <v>2.56</v>
      </c>
    </row>
    <row r="3681" spans="1:4" x14ac:dyDescent="0.25">
      <c r="A3681" s="15">
        <f>Sheet2!A3681</f>
        <v>0</v>
      </c>
      <c r="B3681" s="8">
        <v>0</v>
      </c>
      <c r="C3681" s="9">
        <v>2.1800000000000002</v>
      </c>
      <c r="D3681" s="13">
        <f t="shared" si="57"/>
        <v>2.1800000000000002</v>
      </c>
    </row>
    <row r="3682" spans="1:4" x14ac:dyDescent="0.25">
      <c r="A3682" s="15">
        <f>Sheet2!A3682</f>
        <v>0</v>
      </c>
      <c r="B3682" s="8">
        <v>0</v>
      </c>
      <c r="C3682" s="9">
        <v>2.19</v>
      </c>
      <c r="D3682" s="13">
        <f t="shared" si="57"/>
        <v>2.19</v>
      </c>
    </row>
    <row r="3683" spans="1:4" x14ac:dyDescent="0.25">
      <c r="A3683" s="15">
        <f>Sheet2!A3683</f>
        <v>0</v>
      </c>
      <c r="B3683" s="8">
        <v>0</v>
      </c>
      <c r="C3683" s="9">
        <v>0.84</v>
      </c>
      <c r="D3683" s="13">
        <f t="shared" si="57"/>
        <v>0.84</v>
      </c>
    </row>
    <row r="3684" spans="1:4" x14ac:dyDescent="0.25">
      <c r="A3684" s="15">
        <f>Sheet2!A3684</f>
        <v>0</v>
      </c>
      <c r="B3684" s="8">
        <v>11.04</v>
      </c>
      <c r="C3684" s="9">
        <v>0</v>
      </c>
      <c r="D3684" s="13">
        <f t="shared" si="57"/>
        <v>11.04</v>
      </c>
    </row>
    <row r="3685" spans="1:4" x14ac:dyDescent="0.25">
      <c r="A3685" s="15">
        <f>Sheet2!A3685</f>
        <v>0</v>
      </c>
      <c r="B3685" s="8">
        <v>0</v>
      </c>
      <c r="C3685" s="9">
        <v>1.36</v>
      </c>
      <c r="D3685" s="13">
        <f t="shared" si="57"/>
        <v>1.36</v>
      </c>
    </row>
    <row r="3686" spans="1:4" x14ac:dyDescent="0.25">
      <c r="A3686" s="15">
        <f>Sheet2!A3686</f>
        <v>0</v>
      </c>
      <c r="B3686" s="8">
        <v>0</v>
      </c>
      <c r="C3686" s="9">
        <v>3.1</v>
      </c>
      <c r="D3686" s="13">
        <f t="shared" si="57"/>
        <v>3.1</v>
      </c>
    </row>
    <row r="3687" spans="1:4" x14ac:dyDescent="0.25">
      <c r="A3687" s="15">
        <f>Sheet2!A3687</f>
        <v>0</v>
      </c>
      <c r="B3687" s="8">
        <v>0</v>
      </c>
      <c r="C3687" s="9">
        <v>1.4</v>
      </c>
      <c r="D3687" s="13">
        <f t="shared" si="57"/>
        <v>1.4</v>
      </c>
    </row>
    <row r="3688" spans="1:4" x14ac:dyDescent="0.25">
      <c r="A3688" s="15">
        <f>Sheet2!A3688</f>
        <v>0</v>
      </c>
      <c r="B3688" s="8">
        <v>5.22</v>
      </c>
      <c r="C3688" s="9">
        <v>0</v>
      </c>
      <c r="D3688" s="13">
        <f t="shared" si="57"/>
        <v>5.22</v>
      </c>
    </row>
    <row r="3689" spans="1:4" x14ac:dyDescent="0.25">
      <c r="A3689" s="15">
        <f>Sheet2!A3689</f>
        <v>0</v>
      </c>
      <c r="B3689" s="8">
        <v>0</v>
      </c>
      <c r="C3689" s="9">
        <v>1.73</v>
      </c>
      <c r="D3689" s="13">
        <f t="shared" si="57"/>
        <v>1.73</v>
      </c>
    </row>
    <row r="3690" spans="1:4" x14ac:dyDescent="0.25">
      <c r="A3690" s="15">
        <f>Sheet2!A3690</f>
        <v>0</v>
      </c>
      <c r="B3690" s="8">
        <v>0</v>
      </c>
      <c r="C3690" s="9">
        <v>2.84</v>
      </c>
      <c r="D3690" s="13">
        <f t="shared" si="57"/>
        <v>2.84</v>
      </c>
    </row>
    <row r="3691" spans="1:4" x14ac:dyDescent="0.25">
      <c r="A3691" s="15">
        <f>Sheet2!A3691</f>
        <v>0</v>
      </c>
      <c r="B3691" s="8">
        <v>0</v>
      </c>
      <c r="C3691" s="9">
        <v>2.4300000000000002</v>
      </c>
      <c r="D3691" s="13">
        <f t="shared" si="57"/>
        <v>2.4300000000000002</v>
      </c>
    </row>
    <row r="3692" spans="1:4" x14ac:dyDescent="0.25">
      <c r="A3692" s="15">
        <f>Sheet2!A3692</f>
        <v>0</v>
      </c>
      <c r="B3692" s="8">
        <v>0</v>
      </c>
      <c r="C3692" s="9">
        <v>2.21</v>
      </c>
      <c r="D3692" s="13">
        <f t="shared" si="57"/>
        <v>2.21</v>
      </c>
    </row>
    <row r="3693" spans="1:4" x14ac:dyDescent="0.25">
      <c r="A3693" s="15">
        <f>Sheet2!A3693</f>
        <v>0</v>
      </c>
      <c r="B3693" s="8">
        <v>0</v>
      </c>
      <c r="C3693" s="9">
        <v>0.79</v>
      </c>
      <c r="D3693" s="13">
        <f t="shared" si="57"/>
        <v>0.79</v>
      </c>
    </row>
    <row r="3694" spans="1:4" x14ac:dyDescent="0.25">
      <c r="A3694" s="15">
        <f>Sheet2!A3694</f>
        <v>0</v>
      </c>
      <c r="B3694" s="8">
        <v>11.57</v>
      </c>
      <c r="C3694" s="9">
        <v>0</v>
      </c>
      <c r="D3694" s="13">
        <f t="shared" si="57"/>
        <v>11.57</v>
      </c>
    </row>
    <row r="3695" spans="1:4" x14ac:dyDescent="0.25">
      <c r="A3695" s="15">
        <f>Sheet2!A3695</f>
        <v>0</v>
      </c>
      <c r="B3695" s="8">
        <v>0</v>
      </c>
      <c r="C3695" s="9">
        <v>2.08</v>
      </c>
      <c r="D3695" s="13">
        <f t="shared" si="57"/>
        <v>2.08</v>
      </c>
    </row>
    <row r="3696" spans="1:4" x14ac:dyDescent="0.25">
      <c r="A3696" s="15">
        <f>Sheet2!A3696</f>
        <v>0</v>
      </c>
      <c r="B3696" s="8">
        <v>0</v>
      </c>
      <c r="C3696" s="9">
        <v>3.45</v>
      </c>
      <c r="D3696" s="13">
        <f t="shared" si="57"/>
        <v>3.45</v>
      </c>
    </row>
    <row r="3697" spans="1:4" x14ac:dyDescent="0.25">
      <c r="A3697" s="15">
        <f>Sheet2!A3697</f>
        <v>0</v>
      </c>
      <c r="B3697" s="8">
        <v>0</v>
      </c>
      <c r="C3697" s="9">
        <v>3.16</v>
      </c>
      <c r="D3697" s="13">
        <f t="shared" si="57"/>
        <v>3.16</v>
      </c>
    </row>
    <row r="3698" spans="1:4" x14ac:dyDescent="0.25">
      <c r="A3698" s="15">
        <f>Sheet2!A3698</f>
        <v>0</v>
      </c>
      <c r="B3698" s="8">
        <v>0</v>
      </c>
      <c r="C3698" s="9">
        <v>3.24</v>
      </c>
      <c r="D3698" s="13">
        <f t="shared" si="57"/>
        <v>3.24</v>
      </c>
    </row>
    <row r="3699" spans="1:4" x14ac:dyDescent="0.25">
      <c r="A3699" s="15">
        <f>Sheet2!A3699</f>
        <v>0</v>
      </c>
      <c r="B3699" s="8">
        <v>0</v>
      </c>
      <c r="C3699" s="9">
        <v>1.1000000000000001</v>
      </c>
      <c r="D3699" s="13">
        <f t="shared" si="57"/>
        <v>1.1000000000000001</v>
      </c>
    </row>
    <row r="3700" spans="1:4" x14ac:dyDescent="0.25">
      <c r="A3700" s="15">
        <f>Sheet2!A3700</f>
        <v>0</v>
      </c>
      <c r="B3700" s="8">
        <v>7.13</v>
      </c>
      <c r="C3700" s="9">
        <v>0</v>
      </c>
      <c r="D3700" s="13">
        <f t="shared" si="57"/>
        <v>7.13</v>
      </c>
    </row>
    <row r="3701" spans="1:4" x14ac:dyDescent="0.25">
      <c r="A3701" s="15">
        <f>Sheet2!A3701</f>
        <v>0</v>
      </c>
      <c r="B3701" s="8">
        <v>0</v>
      </c>
      <c r="C3701" s="9">
        <v>1.3</v>
      </c>
      <c r="D3701" s="13">
        <f t="shared" si="57"/>
        <v>1.3</v>
      </c>
    </row>
    <row r="3702" spans="1:4" x14ac:dyDescent="0.25">
      <c r="A3702" s="15">
        <f>Sheet2!A3702</f>
        <v>0</v>
      </c>
      <c r="B3702" s="8">
        <v>0</v>
      </c>
      <c r="C3702" s="9">
        <v>2.78</v>
      </c>
      <c r="D3702" s="13">
        <f t="shared" si="57"/>
        <v>2.78</v>
      </c>
    </row>
    <row r="3703" spans="1:4" x14ac:dyDescent="0.25">
      <c r="A3703" s="15">
        <f>Sheet2!A3703</f>
        <v>0</v>
      </c>
      <c r="B3703" s="8">
        <v>0</v>
      </c>
      <c r="C3703" s="9">
        <v>0.65</v>
      </c>
      <c r="D3703" s="13">
        <f t="shared" si="57"/>
        <v>0.65</v>
      </c>
    </row>
    <row r="3704" spans="1:4" x14ac:dyDescent="0.25">
      <c r="A3704" s="15">
        <f>Sheet2!A3704</f>
        <v>0</v>
      </c>
      <c r="B3704" s="8">
        <v>3.77</v>
      </c>
      <c r="C3704" s="9">
        <v>0</v>
      </c>
      <c r="D3704" s="13">
        <f t="shared" si="57"/>
        <v>3.77</v>
      </c>
    </row>
    <row r="3705" spans="1:4" x14ac:dyDescent="0.25">
      <c r="A3705" s="15">
        <f>Sheet2!A3705</f>
        <v>0</v>
      </c>
      <c r="B3705" s="8">
        <v>0</v>
      </c>
      <c r="C3705" s="9">
        <v>0.89</v>
      </c>
      <c r="D3705" s="13">
        <f t="shared" si="57"/>
        <v>0.89</v>
      </c>
    </row>
    <row r="3706" spans="1:4" x14ac:dyDescent="0.25">
      <c r="A3706" s="15">
        <f>Sheet2!A3706</f>
        <v>0</v>
      </c>
      <c r="B3706" s="8">
        <v>0</v>
      </c>
      <c r="C3706" s="9">
        <v>2.02</v>
      </c>
      <c r="D3706" s="13">
        <f t="shared" si="57"/>
        <v>2.02</v>
      </c>
    </row>
    <row r="3707" spans="1:4" x14ac:dyDescent="0.25">
      <c r="A3707" s="15">
        <f>Sheet2!A3707</f>
        <v>0</v>
      </c>
      <c r="B3707" s="8">
        <v>0</v>
      </c>
      <c r="C3707" s="9">
        <v>0.71</v>
      </c>
      <c r="D3707" s="13">
        <f t="shared" si="57"/>
        <v>0.71</v>
      </c>
    </row>
    <row r="3708" spans="1:4" x14ac:dyDescent="0.25">
      <c r="A3708" s="15">
        <f>Sheet2!A3708</f>
        <v>0</v>
      </c>
      <c r="B3708" s="8">
        <v>12.01</v>
      </c>
      <c r="C3708" s="9">
        <v>0</v>
      </c>
      <c r="D3708" s="13">
        <f t="shared" si="57"/>
        <v>12.01</v>
      </c>
    </row>
    <row r="3709" spans="1:4" x14ac:dyDescent="0.25">
      <c r="A3709" s="15">
        <f>Sheet2!A3709</f>
        <v>0</v>
      </c>
      <c r="B3709" s="8">
        <v>0</v>
      </c>
      <c r="C3709" s="9">
        <v>0.67</v>
      </c>
      <c r="D3709" s="13">
        <f t="shared" si="57"/>
        <v>0.67</v>
      </c>
    </row>
    <row r="3710" spans="1:4" x14ac:dyDescent="0.25">
      <c r="A3710" s="15">
        <f>Sheet2!A3710</f>
        <v>0</v>
      </c>
      <c r="B3710" s="8">
        <v>0</v>
      </c>
      <c r="C3710" s="9">
        <v>2</v>
      </c>
      <c r="D3710" s="13">
        <f t="shared" si="57"/>
        <v>2</v>
      </c>
    </row>
    <row r="3711" spans="1:4" x14ac:dyDescent="0.25">
      <c r="A3711" s="15">
        <f>Sheet2!A3711</f>
        <v>0</v>
      </c>
      <c r="B3711" s="8">
        <v>0</v>
      </c>
      <c r="C3711" s="9">
        <v>0.82</v>
      </c>
      <c r="D3711" s="13">
        <f t="shared" si="57"/>
        <v>0.82</v>
      </c>
    </row>
    <row r="3712" spans="1:4" x14ac:dyDescent="0.25">
      <c r="A3712" s="15">
        <f>Sheet2!A3712</f>
        <v>0</v>
      </c>
      <c r="B3712" s="8">
        <v>11.68</v>
      </c>
      <c r="C3712" s="9">
        <v>0</v>
      </c>
      <c r="D3712" s="13">
        <f t="shared" si="57"/>
        <v>11.68</v>
      </c>
    </row>
    <row r="3713" spans="1:4" x14ac:dyDescent="0.25">
      <c r="A3713" s="15">
        <f>Sheet2!A3713</f>
        <v>0</v>
      </c>
      <c r="B3713" s="8">
        <v>0</v>
      </c>
      <c r="C3713" s="9">
        <v>0.81</v>
      </c>
      <c r="D3713" s="13">
        <f t="shared" si="57"/>
        <v>0.81</v>
      </c>
    </row>
    <row r="3714" spans="1:4" x14ac:dyDescent="0.25">
      <c r="A3714" s="15">
        <f>Sheet2!A3714</f>
        <v>0</v>
      </c>
      <c r="B3714" s="8">
        <v>0</v>
      </c>
      <c r="C3714" s="9">
        <v>3.71</v>
      </c>
      <c r="D3714" s="13">
        <f t="shared" si="57"/>
        <v>3.71</v>
      </c>
    </row>
    <row r="3715" spans="1:4" x14ac:dyDescent="0.25">
      <c r="A3715" s="15">
        <f>Sheet2!A3715</f>
        <v>0</v>
      </c>
      <c r="B3715" s="8">
        <v>0</v>
      </c>
      <c r="C3715" s="9">
        <v>1.65</v>
      </c>
      <c r="D3715" s="13">
        <f t="shared" ref="D3715:D3778" si="58">B3715+C3715</f>
        <v>1.65</v>
      </c>
    </row>
    <row r="3716" spans="1:4" x14ac:dyDescent="0.25">
      <c r="A3716" s="15">
        <f>Sheet2!A3716</f>
        <v>0</v>
      </c>
      <c r="B3716" s="8">
        <v>9.98</v>
      </c>
      <c r="C3716" s="9">
        <v>0</v>
      </c>
      <c r="D3716" s="13">
        <f t="shared" si="58"/>
        <v>9.98</v>
      </c>
    </row>
    <row r="3717" spans="1:4" x14ac:dyDescent="0.25">
      <c r="A3717" s="15">
        <f>Sheet2!A3717</f>
        <v>0</v>
      </c>
      <c r="B3717" s="8">
        <v>0</v>
      </c>
      <c r="C3717" s="9">
        <v>1.81</v>
      </c>
      <c r="D3717" s="13">
        <f t="shared" si="58"/>
        <v>1.81</v>
      </c>
    </row>
    <row r="3718" spans="1:4" x14ac:dyDescent="0.25">
      <c r="A3718" s="15">
        <f>Sheet2!A3718</f>
        <v>0</v>
      </c>
      <c r="B3718" s="8">
        <v>0</v>
      </c>
      <c r="C3718" s="9">
        <v>3.02</v>
      </c>
      <c r="D3718" s="13">
        <f t="shared" si="58"/>
        <v>3.02</v>
      </c>
    </row>
    <row r="3719" spans="1:4" x14ac:dyDescent="0.25">
      <c r="A3719" s="15">
        <f>Sheet2!A3719</f>
        <v>0</v>
      </c>
      <c r="B3719" s="8">
        <v>0</v>
      </c>
      <c r="C3719" s="9">
        <v>2.99</v>
      </c>
      <c r="D3719" s="13">
        <f t="shared" si="58"/>
        <v>2.99</v>
      </c>
    </row>
    <row r="3720" spans="1:4" x14ac:dyDescent="0.25">
      <c r="A3720" s="15">
        <f>Sheet2!A3720</f>
        <v>0</v>
      </c>
      <c r="B3720" s="8">
        <v>0</v>
      </c>
      <c r="C3720" s="9">
        <v>3.2</v>
      </c>
      <c r="D3720" s="13">
        <f t="shared" si="58"/>
        <v>3.2</v>
      </c>
    </row>
    <row r="3721" spans="1:4" x14ac:dyDescent="0.25">
      <c r="A3721" s="15">
        <f>Sheet2!A3721</f>
        <v>0</v>
      </c>
      <c r="B3721" s="8">
        <v>0</v>
      </c>
      <c r="C3721" s="9">
        <v>1.3</v>
      </c>
      <c r="D3721" s="13">
        <f t="shared" si="58"/>
        <v>1.3</v>
      </c>
    </row>
    <row r="3722" spans="1:4" x14ac:dyDescent="0.25">
      <c r="A3722" s="15">
        <f>Sheet2!A3722</f>
        <v>0</v>
      </c>
      <c r="B3722" s="8">
        <v>11.78</v>
      </c>
      <c r="C3722" s="9">
        <v>0</v>
      </c>
      <c r="D3722" s="13">
        <f t="shared" si="58"/>
        <v>11.78</v>
      </c>
    </row>
    <row r="3723" spans="1:4" x14ac:dyDescent="0.25">
      <c r="A3723" s="15">
        <f>Sheet2!A3723</f>
        <v>0</v>
      </c>
      <c r="B3723" s="8">
        <v>0</v>
      </c>
      <c r="C3723" s="9">
        <v>2.16</v>
      </c>
      <c r="D3723" s="13">
        <f t="shared" si="58"/>
        <v>2.16</v>
      </c>
    </row>
    <row r="3724" spans="1:4" x14ac:dyDescent="0.25">
      <c r="A3724" s="15">
        <f>Sheet2!A3724</f>
        <v>0</v>
      </c>
      <c r="B3724" s="8">
        <v>0</v>
      </c>
      <c r="C3724" s="9">
        <v>2.93</v>
      </c>
      <c r="D3724" s="13">
        <f t="shared" si="58"/>
        <v>2.93</v>
      </c>
    </row>
    <row r="3725" spans="1:4" x14ac:dyDescent="0.25">
      <c r="A3725" s="15">
        <f>Sheet2!A3725</f>
        <v>0</v>
      </c>
      <c r="B3725" s="8">
        <v>0</v>
      </c>
      <c r="C3725" s="9">
        <v>0.79</v>
      </c>
      <c r="D3725" s="13">
        <f t="shared" si="58"/>
        <v>0.79</v>
      </c>
    </row>
    <row r="3726" spans="1:4" x14ac:dyDescent="0.25">
      <c r="A3726" s="15">
        <f>Sheet2!A3726</f>
        <v>0</v>
      </c>
      <c r="B3726" s="8">
        <v>10.18</v>
      </c>
      <c r="C3726" s="9">
        <v>0</v>
      </c>
      <c r="D3726" s="13">
        <f t="shared" si="58"/>
        <v>10.18</v>
      </c>
    </row>
    <row r="3727" spans="1:4" x14ac:dyDescent="0.25">
      <c r="A3727" s="15">
        <f>Sheet2!A3727</f>
        <v>0</v>
      </c>
      <c r="B3727" s="8">
        <v>0</v>
      </c>
      <c r="C3727" s="9">
        <v>1.55</v>
      </c>
      <c r="D3727" s="13">
        <f t="shared" si="58"/>
        <v>1.55</v>
      </c>
    </row>
    <row r="3728" spans="1:4" x14ac:dyDescent="0.25">
      <c r="A3728" s="15">
        <f>Sheet2!A3728</f>
        <v>0</v>
      </c>
      <c r="B3728" s="8">
        <v>0</v>
      </c>
      <c r="C3728" s="9">
        <v>1.8</v>
      </c>
      <c r="D3728" s="13">
        <f t="shared" si="58"/>
        <v>1.8</v>
      </c>
    </row>
    <row r="3729" spans="1:4" x14ac:dyDescent="0.25">
      <c r="A3729" s="15">
        <f>Sheet2!A3729</f>
        <v>0</v>
      </c>
      <c r="B3729" s="8">
        <v>0</v>
      </c>
      <c r="C3729" s="9">
        <v>1.01</v>
      </c>
      <c r="D3729" s="13">
        <f t="shared" si="58"/>
        <v>1.01</v>
      </c>
    </row>
    <row r="3730" spans="1:4" x14ac:dyDescent="0.25">
      <c r="A3730" s="15">
        <f>Sheet2!A3730</f>
        <v>0</v>
      </c>
      <c r="B3730" s="8">
        <v>13.2</v>
      </c>
      <c r="C3730" s="9">
        <v>0</v>
      </c>
      <c r="D3730" s="13">
        <f t="shared" si="58"/>
        <v>13.2</v>
      </c>
    </row>
    <row r="3731" spans="1:4" x14ac:dyDescent="0.25">
      <c r="A3731" s="15">
        <f>Sheet2!A3731</f>
        <v>0</v>
      </c>
      <c r="B3731" s="8">
        <v>0</v>
      </c>
      <c r="C3731" s="9">
        <v>1.58</v>
      </c>
      <c r="D3731" s="13">
        <f t="shared" si="58"/>
        <v>1.58</v>
      </c>
    </row>
    <row r="3732" spans="1:4" x14ac:dyDescent="0.25">
      <c r="A3732" s="15">
        <f>Sheet2!A3732</f>
        <v>0</v>
      </c>
      <c r="B3732" s="8">
        <v>0</v>
      </c>
      <c r="C3732" s="9">
        <v>2.11</v>
      </c>
      <c r="D3732" s="13">
        <f t="shared" si="58"/>
        <v>2.11</v>
      </c>
    </row>
    <row r="3733" spans="1:4" x14ac:dyDescent="0.25">
      <c r="A3733" s="15">
        <f>Sheet2!A3733</f>
        <v>0</v>
      </c>
      <c r="B3733" s="8">
        <v>0</v>
      </c>
      <c r="C3733" s="9">
        <v>2.37</v>
      </c>
      <c r="D3733" s="13">
        <f t="shared" si="58"/>
        <v>2.37</v>
      </c>
    </row>
    <row r="3734" spans="1:4" x14ac:dyDescent="0.25">
      <c r="A3734" s="15">
        <f>Sheet2!A3734</f>
        <v>0</v>
      </c>
      <c r="B3734" s="8">
        <v>0</v>
      </c>
      <c r="C3734" s="9">
        <v>2.5499999999999998</v>
      </c>
      <c r="D3734" s="13">
        <f t="shared" si="58"/>
        <v>2.5499999999999998</v>
      </c>
    </row>
    <row r="3735" spans="1:4" x14ac:dyDescent="0.25">
      <c r="A3735" s="15">
        <f>Sheet2!A3735</f>
        <v>0</v>
      </c>
      <c r="B3735" s="8">
        <v>0</v>
      </c>
      <c r="C3735" s="9">
        <v>0.95</v>
      </c>
      <c r="D3735" s="13">
        <f t="shared" si="58"/>
        <v>0.95</v>
      </c>
    </row>
    <row r="3736" spans="1:4" x14ac:dyDescent="0.25">
      <c r="A3736" s="15">
        <f>Sheet2!A3736</f>
        <v>0</v>
      </c>
      <c r="B3736" s="8">
        <v>14.22</v>
      </c>
      <c r="C3736" s="9">
        <v>0</v>
      </c>
      <c r="D3736" s="13">
        <f t="shared" si="58"/>
        <v>14.22</v>
      </c>
    </row>
    <row r="3737" spans="1:4" x14ac:dyDescent="0.25">
      <c r="A3737" s="15">
        <f>Sheet2!A3737</f>
        <v>0</v>
      </c>
      <c r="B3737" s="8">
        <v>0</v>
      </c>
      <c r="C3737" s="9">
        <v>1.93</v>
      </c>
      <c r="D3737" s="13">
        <f t="shared" si="58"/>
        <v>1.93</v>
      </c>
    </row>
    <row r="3738" spans="1:4" x14ac:dyDescent="0.25">
      <c r="A3738" s="15">
        <f>Sheet2!A3738</f>
        <v>0</v>
      </c>
      <c r="B3738" s="8">
        <v>0</v>
      </c>
      <c r="C3738" s="9">
        <v>4.05</v>
      </c>
      <c r="D3738" s="13">
        <f t="shared" si="58"/>
        <v>4.05</v>
      </c>
    </row>
    <row r="3739" spans="1:4" x14ac:dyDescent="0.25">
      <c r="A3739" s="15">
        <f>Sheet2!A3739</f>
        <v>0</v>
      </c>
      <c r="B3739" s="8">
        <v>0</v>
      </c>
      <c r="C3739" s="9">
        <v>2.96</v>
      </c>
      <c r="D3739" s="13">
        <f t="shared" si="58"/>
        <v>2.96</v>
      </c>
    </row>
    <row r="3740" spans="1:4" x14ac:dyDescent="0.25">
      <c r="A3740" s="15">
        <f>Sheet2!A3740</f>
        <v>0</v>
      </c>
      <c r="B3740" s="8">
        <v>0</v>
      </c>
      <c r="C3740" s="9">
        <v>4.1500000000000004</v>
      </c>
      <c r="D3740" s="13">
        <f t="shared" si="58"/>
        <v>4.1500000000000004</v>
      </c>
    </row>
    <row r="3741" spans="1:4" x14ac:dyDescent="0.25">
      <c r="A3741" s="15">
        <f>Sheet2!A3741</f>
        <v>0</v>
      </c>
      <c r="B3741" s="8">
        <v>0</v>
      </c>
      <c r="C3741" s="9">
        <v>1.18</v>
      </c>
      <c r="D3741" s="13">
        <f t="shared" si="58"/>
        <v>1.18</v>
      </c>
    </row>
    <row r="3742" spans="1:4" x14ac:dyDescent="0.25">
      <c r="A3742" s="15">
        <f>Sheet2!A3742</f>
        <v>0</v>
      </c>
      <c r="B3742" s="8">
        <v>14.59</v>
      </c>
      <c r="C3742" s="9">
        <v>0</v>
      </c>
      <c r="D3742" s="13">
        <f t="shared" si="58"/>
        <v>14.59</v>
      </c>
    </row>
    <row r="3743" spans="1:4" x14ac:dyDescent="0.25">
      <c r="A3743" s="15">
        <f>Sheet2!A3743</f>
        <v>0</v>
      </c>
      <c r="B3743" s="8">
        <v>0</v>
      </c>
      <c r="C3743" s="9">
        <v>1.57</v>
      </c>
      <c r="D3743" s="13">
        <f t="shared" si="58"/>
        <v>1.57</v>
      </c>
    </row>
    <row r="3744" spans="1:4" x14ac:dyDescent="0.25">
      <c r="A3744" s="15">
        <f>Sheet2!A3744</f>
        <v>0</v>
      </c>
      <c r="B3744" s="8">
        <v>0</v>
      </c>
      <c r="C3744" s="9">
        <v>3.45</v>
      </c>
      <c r="D3744" s="13">
        <f t="shared" si="58"/>
        <v>3.45</v>
      </c>
    </row>
    <row r="3745" spans="1:4" x14ac:dyDescent="0.25">
      <c r="A3745" s="15">
        <f>Sheet2!A3745</f>
        <v>0</v>
      </c>
      <c r="B3745" s="8">
        <v>0</v>
      </c>
      <c r="C3745" s="9">
        <v>1.65</v>
      </c>
      <c r="D3745" s="13">
        <f t="shared" si="58"/>
        <v>1.65</v>
      </c>
    </row>
    <row r="3746" spans="1:4" x14ac:dyDescent="0.25">
      <c r="A3746" s="15">
        <f>Sheet2!A3746</f>
        <v>0</v>
      </c>
      <c r="B3746" s="8">
        <v>10.199999999999999</v>
      </c>
      <c r="C3746" s="9">
        <v>0</v>
      </c>
      <c r="D3746" s="13">
        <f t="shared" si="58"/>
        <v>10.199999999999999</v>
      </c>
    </row>
    <row r="3747" spans="1:4" x14ac:dyDescent="0.25">
      <c r="A3747" s="15">
        <f>Sheet2!A3747</f>
        <v>0</v>
      </c>
      <c r="B3747" s="8">
        <v>0</v>
      </c>
      <c r="C3747" s="9">
        <v>1.35</v>
      </c>
      <c r="D3747" s="13">
        <f t="shared" si="58"/>
        <v>1.35</v>
      </c>
    </row>
    <row r="3748" spans="1:4" x14ac:dyDescent="0.25">
      <c r="A3748" s="15">
        <f>Sheet2!A3748</f>
        <v>0</v>
      </c>
      <c r="B3748" s="8">
        <v>0</v>
      </c>
      <c r="C3748" s="9">
        <v>2.87</v>
      </c>
      <c r="D3748" s="13">
        <f t="shared" si="58"/>
        <v>2.87</v>
      </c>
    </row>
    <row r="3749" spans="1:4" x14ac:dyDescent="0.25">
      <c r="A3749" s="15">
        <f>Sheet2!A3749</f>
        <v>0</v>
      </c>
      <c r="B3749" s="8">
        <v>0</v>
      </c>
      <c r="C3749" s="9">
        <v>1.4</v>
      </c>
      <c r="D3749" s="13">
        <f t="shared" si="58"/>
        <v>1.4</v>
      </c>
    </row>
    <row r="3750" spans="1:4" x14ac:dyDescent="0.25">
      <c r="A3750" s="15">
        <f>Sheet2!A3750</f>
        <v>0</v>
      </c>
      <c r="B3750" s="8">
        <v>10.119999999999999</v>
      </c>
      <c r="C3750" s="9">
        <v>0</v>
      </c>
      <c r="D3750" s="13">
        <f t="shared" si="58"/>
        <v>10.119999999999999</v>
      </c>
    </row>
    <row r="3751" spans="1:4" x14ac:dyDescent="0.25">
      <c r="A3751" s="15">
        <f>Sheet2!A3751</f>
        <v>0</v>
      </c>
      <c r="B3751" s="8">
        <v>0</v>
      </c>
      <c r="C3751" s="9">
        <v>0.36</v>
      </c>
      <c r="D3751" s="13">
        <f t="shared" si="58"/>
        <v>0.36</v>
      </c>
    </row>
    <row r="3752" spans="1:4" x14ac:dyDescent="0.25">
      <c r="A3752" s="15">
        <f>Sheet2!A3752</f>
        <v>0</v>
      </c>
      <c r="B3752" s="8">
        <v>0</v>
      </c>
      <c r="C3752" s="9">
        <v>1.23</v>
      </c>
      <c r="D3752" s="13">
        <f t="shared" si="58"/>
        <v>1.23</v>
      </c>
    </row>
    <row r="3753" spans="1:4" x14ac:dyDescent="0.25">
      <c r="A3753" s="15">
        <f>Sheet2!A3753</f>
        <v>0</v>
      </c>
      <c r="B3753" s="8">
        <v>0</v>
      </c>
      <c r="C3753" s="9">
        <v>0.38</v>
      </c>
      <c r="D3753" s="13">
        <f t="shared" si="58"/>
        <v>0.38</v>
      </c>
    </row>
    <row r="3754" spans="1:4" x14ac:dyDescent="0.25">
      <c r="A3754" s="15">
        <f>Sheet2!A3754</f>
        <v>0</v>
      </c>
      <c r="B3754" s="8">
        <v>11.24</v>
      </c>
      <c r="C3754" s="9">
        <v>0</v>
      </c>
      <c r="D3754" s="13">
        <f t="shared" si="58"/>
        <v>11.24</v>
      </c>
    </row>
    <row r="3755" spans="1:4" x14ac:dyDescent="0.25">
      <c r="A3755" s="15">
        <f>Sheet2!A3755</f>
        <v>0</v>
      </c>
      <c r="B3755" s="8">
        <v>0</v>
      </c>
      <c r="C3755" s="9">
        <v>1.08</v>
      </c>
      <c r="D3755" s="13">
        <f t="shared" si="58"/>
        <v>1.08</v>
      </c>
    </row>
    <row r="3756" spans="1:4" x14ac:dyDescent="0.25">
      <c r="A3756" s="15">
        <f>Sheet2!A3756</f>
        <v>0</v>
      </c>
      <c r="B3756" s="8">
        <v>0</v>
      </c>
      <c r="C3756" s="9">
        <v>1.97</v>
      </c>
      <c r="D3756" s="13">
        <f t="shared" si="58"/>
        <v>1.97</v>
      </c>
    </row>
    <row r="3757" spans="1:4" x14ac:dyDescent="0.25">
      <c r="A3757" s="15">
        <f>Sheet2!A3757</f>
        <v>0</v>
      </c>
      <c r="B3757" s="8">
        <v>0</v>
      </c>
      <c r="C3757" s="9">
        <v>1.02</v>
      </c>
      <c r="D3757" s="13">
        <f t="shared" si="58"/>
        <v>1.02</v>
      </c>
    </row>
    <row r="3758" spans="1:4" x14ac:dyDescent="0.25">
      <c r="A3758" s="15">
        <f>Sheet2!A3758</f>
        <v>0</v>
      </c>
      <c r="B3758" s="8">
        <v>12.61</v>
      </c>
      <c r="C3758" s="9">
        <v>0</v>
      </c>
      <c r="D3758" s="13">
        <f t="shared" si="58"/>
        <v>12.61</v>
      </c>
    </row>
    <row r="3759" spans="1:4" x14ac:dyDescent="0.25">
      <c r="A3759" s="15">
        <f>Sheet2!A3759</f>
        <v>0</v>
      </c>
      <c r="B3759" s="8">
        <v>0</v>
      </c>
      <c r="C3759" s="9">
        <v>2.04</v>
      </c>
      <c r="D3759" s="13">
        <f t="shared" si="58"/>
        <v>2.04</v>
      </c>
    </row>
    <row r="3760" spans="1:4" x14ac:dyDescent="0.25">
      <c r="A3760" s="15">
        <f>Sheet2!A3760</f>
        <v>0</v>
      </c>
      <c r="B3760" s="8">
        <v>0</v>
      </c>
      <c r="C3760" s="9">
        <v>3.76</v>
      </c>
      <c r="D3760" s="13">
        <f t="shared" si="58"/>
        <v>3.76</v>
      </c>
    </row>
    <row r="3761" spans="1:4" x14ac:dyDescent="0.25">
      <c r="A3761" s="15">
        <f>Sheet2!A3761</f>
        <v>0</v>
      </c>
      <c r="B3761" s="8">
        <v>0</v>
      </c>
      <c r="C3761" s="9">
        <v>1.99</v>
      </c>
      <c r="D3761" s="13">
        <f t="shared" si="58"/>
        <v>1.99</v>
      </c>
    </row>
    <row r="3762" spans="1:4" x14ac:dyDescent="0.25">
      <c r="A3762" s="15">
        <f>Sheet2!A3762</f>
        <v>0</v>
      </c>
      <c r="B3762" s="8">
        <v>14.37</v>
      </c>
      <c r="C3762" s="9">
        <v>0</v>
      </c>
      <c r="D3762" s="13">
        <f t="shared" si="58"/>
        <v>14.37</v>
      </c>
    </row>
    <row r="3763" spans="1:4" x14ac:dyDescent="0.25">
      <c r="A3763" s="15">
        <f>Sheet2!A3763</f>
        <v>0</v>
      </c>
      <c r="B3763" s="8">
        <v>0</v>
      </c>
      <c r="C3763" s="9">
        <v>1.92</v>
      </c>
      <c r="D3763" s="13">
        <f t="shared" si="58"/>
        <v>1.92</v>
      </c>
    </row>
    <row r="3764" spans="1:4" x14ac:dyDescent="0.25">
      <c r="A3764" s="15">
        <f>Sheet2!A3764</f>
        <v>0</v>
      </c>
      <c r="B3764" s="8">
        <v>0</v>
      </c>
      <c r="C3764" s="9">
        <v>3.87</v>
      </c>
      <c r="D3764" s="13">
        <f t="shared" si="58"/>
        <v>3.87</v>
      </c>
    </row>
    <row r="3765" spans="1:4" x14ac:dyDescent="0.25">
      <c r="A3765" s="15">
        <f>Sheet2!A3765</f>
        <v>0</v>
      </c>
      <c r="B3765" s="8">
        <v>0</v>
      </c>
      <c r="C3765" s="9">
        <v>1.66</v>
      </c>
      <c r="D3765" s="13">
        <f t="shared" si="58"/>
        <v>1.66</v>
      </c>
    </row>
    <row r="3766" spans="1:4" x14ac:dyDescent="0.25">
      <c r="A3766" s="15">
        <f>Sheet2!A3766</f>
        <v>0</v>
      </c>
      <c r="B3766" s="8">
        <v>11.7</v>
      </c>
      <c r="C3766" s="9">
        <v>0</v>
      </c>
      <c r="D3766" s="13">
        <f t="shared" si="58"/>
        <v>11.7</v>
      </c>
    </row>
    <row r="3767" spans="1:4" x14ac:dyDescent="0.25">
      <c r="A3767" s="15">
        <f>Sheet2!A3767</f>
        <v>0</v>
      </c>
      <c r="B3767" s="8">
        <v>0</v>
      </c>
      <c r="C3767" s="9">
        <v>1.92</v>
      </c>
      <c r="D3767" s="13">
        <f t="shared" si="58"/>
        <v>1.92</v>
      </c>
    </row>
    <row r="3768" spans="1:4" x14ac:dyDescent="0.25">
      <c r="A3768" s="15">
        <f>Sheet2!A3768</f>
        <v>0</v>
      </c>
      <c r="B3768" s="8">
        <v>0</v>
      </c>
      <c r="C3768" s="9">
        <v>3.63</v>
      </c>
      <c r="D3768" s="13">
        <f t="shared" si="58"/>
        <v>3.63</v>
      </c>
    </row>
    <row r="3769" spans="1:4" x14ac:dyDescent="0.25">
      <c r="A3769" s="15">
        <f>Sheet2!A3769</f>
        <v>0</v>
      </c>
      <c r="B3769" s="8">
        <v>0</v>
      </c>
      <c r="C3769" s="9">
        <v>0.96</v>
      </c>
      <c r="D3769" s="13">
        <f t="shared" si="58"/>
        <v>0.96</v>
      </c>
    </row>
    <row r="3770" spans="1:4" x14ac:dyDescent="0.25">
      <c r="A3770" s="15">
        <f>Sheet2!A3770</f>
        <v>0</v>
      </c>
      <c r="B3770" s="8">
        <v>11.06</v>
      </c>
      <c r="C3770" s="9">
        <v>0</v>
      </c>
      <c r="D3770" s="13">
        <f t="shared" si="58"/>
        <v>11.06</v>
      </c>
    </row>
    <row r="3771" spans="1:4" x14ac:dyDescent="0.25">
      <c r="A3771" s="15">
        <f>Sheet2!A3771</f>
        <v>0</v>
      </c>
      <c r="B3771" s="8">
        <v>0</v>
      </c>
      <c r="C3771" s="9">
        <v>1.84</v>
      </c>
      <c r="D3771" s="13">
        <f t="shared" si="58"/>
        <v>1.84</v>
      </c>
    </row>
    <row r="3772" spans="1:4" x14ac:dyDescent="0.25">
      <c r="A3772" s="15">
        <f>Sheet2!A3772</f>
        <v>0</v>
      </c>
      <c r="B3772" s="8">
        <v>0</v>
      </c>
      <c r="C3772" s="9">
        <v>2.96</v>
      </c>
      <c r="D3772" s="13">
        <f t="shared" si="58"/>
        <v>2.96</v>
      </c>
    </row>
    <row r="3773" spans="1:4" x14ac:dyDescent="0.25">
      <c r="A3773" s="15">
        <f>Sheet2!A3773</f>
        <v>0</v>
      </c>
      <c r="B3773" s="8">
        <v>0</v>
      </c>
      <c r="C3773" s="9">
        <v>1.08</v>
      </c>
      <c r="D3773" s="13">
        <f t="shared" si="58"/>
        <v>1.08</v>
      </c>
    </row>
    <row r="3774" spans="1:4" x14ac:dyDescent="0.25">
      <c r="A3774" s="15">
        <f>Sheet2!A3774</f>
        <v>0</v>
      </c>
      <c r="B3774" s="8">
        <v>10.58</v>
      </c>
      <c r="C3774" s="9">
        <v>0</v>
      </c>
      <c r="D3774" s="13">
        <f t="shared" si="58"/>
        <v>10.58</v>
      </c>
    </row>
    <row r="3775" spans="1:4" x14ac:dyDescent="0.25">
      <c r="A3775" s="15">
        <f>Sheet2!A3775</f>
        <v>0</v>
      </c>
      <c r="B3775" s="8">
        <v>0</v>
      </c>
      <c r="C3775" s="9">
        <v>1.31</v>
      </c>
      <c r="D3775" s="13">
        <f t="shared" si="58"/>
        <v>1.31</v>
      </c>
    </row>
    <row r="3776" spans="1:4" x14ac:dyDescent="0.25">
      <c r="A3776" s="15">
        <f>Sheet2!A3776</f>
        <v>0</v>
      </c>
      <c r="B3776" s="8">
        <v>0</v>
      </c>
      <c r="C3776" s="9">
        <v>1.62</v>
      </c>
      <c r="D3776" s="13">
        <f t="shared" si="58"/>
        <v>1.62</v>
      </c>
    </row>
    <row r="3777" spans="1:4" x14ac:dyDescent="0.25">
      <c r="A3777" s="15">
        <f>Sheet2!A3777</f>
        <v>0</v>
      </c>
      <c r="B3777" s="8">
        <v>0</v>
      </c>
      <c r="C3777" s="9">
        <v>1.01</v>
      </c>
      <c r="D3777" s="13">
        <f t="shared" si="58"/>
        <v>1.01</v>
      </c>
    </row>
    <row r="3778" spans="1:4" x14ac:dyDescent="0.25">
      <c r="A3778" s="15">
        <f>Sheet2!A3778</f>
        <v>0</v>
      </c>
      <c r="B3778" s="8">
        <v>12.88</v>
      </c>
      <c r="C3778" s="9">
        <v>0</v>
      </c>
      <c r="D3778" s="13">
        <f t="shared" si="58"/>
        <v>12.88</v>
      </c>
    </row>
    <row r="3779" spans="1:4" x14ac:dyDescent="0.25">
      <c r="A3779" s="15">
        <f>Sheet2!A3779</f>
        <v>0</v>
      </c>
      <c r="B3779" s="8">
        <v>0</v>
      </c>
      <c r="C3779" s="9">
        <v>1.05</v>
      </c>
      <c r="D3779" s="13">
        <f t="shared" ref="D3779:D3842" si="59">B3779+C3779</f>
        <v>1.05</v>
      </c>
    </row>
    <row r="3780" spans="1:4" x14ac:dyDescent="0.25">
      <c r="A3780" s="15">
        <f>Sheet2!A3780</f>
        <v>0</v>
      </c>
      <c r="B3780" s="8">
        <v>0</v>
      </c>
      <c r="C3780" s="9">
        <v>1.94</v>
      </c>
      <c r="D3780" s="13">
        <f t="shared" si="59"/>
        <v>1.94</v>
      </c>
    </row>
    <row r="3781" spans="1:4" x14ac:dyDescent="0.25">
      <c r="A3781" s="15">
        <f>Sheet2!A3781</f>
        <v>0</v>
      </c>
      <c r="B3781" s="8">
        <v>0</v>
      </c>
      <c r="C3781" s="9">
        <v>2.08</v>
      </c>
      <c r="D3781" s="13">
        <f t="shared" si="59"/>
        <v>2.08</v>
      </c>
    </row>
    <row r="3782" spans="1:4" x14ac:dyDescent="0.25">
      <c r="A3782" s="15">
        <f>Sheet2!A3782</f>
        <v>0</v>
      </c>
      <c r="B3782" s="8">
        <v>0</v>
      </c>
      <c r="C3782" s="9">
        <v>3.5</v>
      </c>
      <c r="D3782" s="13">
        <f t="shared" si="59"/>
        <v>3.5</v>
      </c>
    </row>
    <row r="3783" spans="1:4" x14ac:dyDescent="0.25">
      <c r="A3783" s="15">
        <f>Sheet2!A3783</f>
        <v>0</v>
      </c>
      <c r="B3783" s="8">
        <v>0</v>
      </c>
      <c r="C3783" s="9">
        <v>1.82</v>
      </c>
      <c r="D3783" s="13">
        <f t="shared" si="59"/>
        <v>1.82</v>
      </c>
    </row>
    <row r="3784" spans="1:4" x14ac:dyDescent="0.25">
      <c r="A3784" s="15">
        <f>Sheet2!A3784</f>
        <v>0</v>
      </c>
      <c r="B3784" s="8">
        <v>12.66</v>
      </c>
      <c r="C3784" s="9">
        <v>0</v>
      </c>
      <c r="D3784" s="13">
        <f t="shared" si="59"/>
        <v>12.66</v>
      </c>
    </row>
    <row r="3785" spans="1:4" x14ac:dyDescent="0.25">
      <c r="A3785" s="15">
        <f>Sheet2!A3785</f>
        <v>0</v>
      </c>
      <c r="B3785" s="8">
        <v>0</v>
      </c>
      <c r="C3785" s="9">
        <v>2.37</v>
      </c>
      <c r="D3785" s="13">
        <f t="shared" si="59"/>
        <v>2.37</v>
      </c>
    </row>
    <row r="3786" spans="1:4" x14ac:dyDescent="0.25">
      <c r="A3786" s="15">
        <f>Sheet2!A3786</f>
        <v>0</v>
      </c>
      <c r="B3786" s="8">
        <v>0</v>
      </c>
      <c r="C3786" s="9">
        <v>4.32</v>
      </c>
      <c r="D3786" s="13">
        <f t="shared" si="59"/>
        <v>4.32</v>
      </c>
    </row>
    <row r="3787" spans="1:4" x14ac:dyDescent="0.25">
      <c r="A3787" s="15">
        <f>Sheet2!A3787</f>
        <v>0</v>
      </c>
      <c r="B3787" s="8">
        <v>0</v>
      </c>
      <c r="C3787" s="9">
        <v>1.95</v>
      </c>
      <c r="D3787" s="13">
        <f t="shared" si="59"/>
        <v>1.95</v>
      </c>
    </row>
    <row r="3788" spans="1:4" x14ac:dyDescent="0.25">
      <c r="A3788" s="15">
        <f>Sheet2!A3788</f>
        <v>0</v>
      </c>
      <c r="B3788" s="8">
        <v>16.79</v>
      </c>
      <c r="C3788" s="9">
        <v>0</v>
      </c>
      <c r="D3788" s="13">
        <f t="shared" si="59"/>
        <v>16.79</v>
      </c>
    </row>
    <row r="3789" spans="1:4" x14ac:dyDescent="0.25">
      <c r="A3789" s="15">
        <f>Sheet2!A3789</f>
        <v>0</v>
      </c>
      <c r="B3789" s="8">
        <v>8.43</v>
      </c>
      <c r="C3789" s="9">
        <v>0</v>
      </c>
      <c r="D3789" s="13">
        <f t="shared" si="59"/>
        <v>8.43</v>
      </c>
    </row>
    <row r="3790" spans="1:4" x14ac:dyDescent="0.25">
      <c r="A3790" s="15">
        <f>Sheet2!A3790</f>
        <v>0</v>
      </c>
      <c r="B3790" s="8">
        <v>0</v>
      </c>
      <c r="C3790" s="9">
        <v>2.4</v>
      </c>
      <c r="D3790" s="13">
        <f t="shared" si="59"/>
        <v>2.4</v>
      </c>
    </row>
    <row r="3791" spans="1:4" x14ac:dyDescent="0.25">
      <c r="A3791" s="15">
        <f>Sheet2!A3791</f>
        <v>0</v>
      </c>
      <c r="B3791" s="8">
        <v>0</v>
      </c>
      <c r="C3791" s="9">
        <v>4.04</v>
      </c>
      <c r="D3791" s="13">
        <f t="shared" si="59"/>
        <v>4.04</v>
      </c>
    </row>
    <row r="3792" spans="1:4" x14ac:dyDescent="0.25">
      <c r="A3792" s="15">
        <f>Sheet2!A3792</f>
        <v>0</v>
      </c>
      <c r="B3792" s="8">
        <v>0</v>
      </c>
      <c r="C3792" s="9">
        <v>4.3</v>
      </c>
      <c r="D3792" s="13">
        <f t="shared" si="59"/>
        <v>4.3</v>
      </c>
    </row>
    <row r="3793" spans="1:4" x14ac:dyDescent="0.25">
      <c r="A3793" s="15">
        <f>Sheet2!A3793</f>
        <v>0</v>
      </c>
      <c r="B3793" s="8">
        <v>0</v>
      </c>
      <c r="C3793" s="9">
        <v>1.19</v>
      </c>
      <c r="D3793" s="13">
        <f t="shared" si="59"/>
        <v>1.19</v>
      </c>
    </row>
    <row r="3794" spans="1:4" x14ac:dyDescent="0.25">
      <c r="A3794" s="15">
        <f>Sheet2!A3794</f>
        <v>0</v>
      </c>
      <c r="B3794" s="8">
        <v>11.58</v>
      </c>
      <c r="C3794" s="9">
        <v>0</v>
      </c>
      <c r="D3794" s="13">
        <f t="shared" si="59"/>
        <v>11.58</v>
      </c>
    </row>
    <row r="3795" spans="1:4" x14ac:dyDescent="0.25">
      <c r="A3795" s="15">
        <f>Sheet2!A3795</f>
        <v>0</v>
      </c>
      <c r="B3795" s="8">
        <v>0</v>
      </c>
      <c r="C3795" s="9">
        <v>1.89</v>
      </c>
      <c r="D3795" s="13">
        <f t="shared" si="59"/>
        <v>1.89</v>
      </c>
    </row>
    <row r="3796" spans="1:4" x14ac:dyDescent="0.25">
      <c r="A3796" s="15">
        <f>Sheet2!A3796</f>
        <v>0</v>
      </c>
      <c r="B3796" s="8">
        <v>0</v>
      </c>
      <c r="C3796" s="9">
        <v>3.03</v>
      </c>
      <c r="D3796" s="13">
        <f t="shared" si="59"/>
        <v>3.03</v>
      </c>
    </row>
    <row r="3797" spans="1:4" x14ac:dyDescent="0.25">
      <c r="A3797" s="15">
        <f>Sheet2!A3797</f>
        <v>0</v>
      </c>
      <c r="B3797" s="8">
        <v>0</v>
      </c>
      <c r="C3797" s="9">
        <v>1.1499999999999999</v>
      </c>
      <c r="D3797" s="13">
        <f t="shared" si="59"/>
        <v>1.1499999999999999</v>
      </c>
    </row>
    <row r="3798" spans="1:4" x14ac:dyDescent="0.25">
      <c r="A3798" s="15">
        <f>Sheet2!A3798</f>
        <v>0</v>
      </c>
      <c r="B3798" s="8">
        <v>10.15</v>
      </c>
      <c r="C3798" s="9">
        <v>0</v>
      </c>
      <c r="D3798" s="13">
        <f t="shared" si="59"/>
        <v>10.15</v>
      </c>
    </row>
    <row r="3799" spans="1:4" x14ac:dyDescent="0.25">
      <c r="A3799" s="15">
        <f>Sheet2!A3799</f>
        <v>0</v>
      </c>
      <c r="B3799" s="8">
        <v>0</v>
      </c>
      <c r="C3799" s="9">
        <v>0.88</v>
      </c>
      <c r="D3799" s="13">
        <f t="shared" si="59"/>
        <v>0.88</v>
      </c>
    </row>
    <row r="3800" spans="1:4" x14ac:dyDescent="0.25">
      <c r="A3800" s="15">
        <f>Sheet2!A3800</f>
        <v>0</v>
      </c>
      <c r="B3800" s="8">
        <v>0</v>
      </c>
      <c r="C3800" s="9">
        <v>2.21</v>
      </c>
      <c r="D3800" s="13">
        <f t="shared" si="59"/>
        <v>2.21</v>
      </c>
    </row>
    <row r="3801" spans="1:4" x14ac:dyDescent="0.25">
      <c r="A3801" s="15">
        <f>Sheet2!A3801</f>
        <v>0</v>
      </c>
      <c r="B3801" s="8">
        <v>0</v>
      </c>
      <c r="C3801" s="9">
        <v>1.1200000000000001</v>
      </c>
      <c r="D3801" s="13">
        <f t="shared" si="59"/>
        <v>1.1200000000000001</v>
      </c>
    </row>
    <row r="3802" spans="1:4" x14ac:dyDescent="0.25">
      <c r="A3802" s="15">
        <f>Sheet2!A3802</f>
        <v>0</v>
      </c>
      <c r="B3802" s="8">
        <v>13.1</v>
      </c>
      <c r="C3802" s="9">
        <v>0</v>
      </c>
      <c r="D3802" s="13">
        <f t="shared" si="59"/>
        <v>13.1</v>
      </c>
    </row>
    <row r="3803" spans="1:4" x14ac:dyDescent="0.25">
      <c r="A3803" s="15">
        <f>Sheet2!A3803</f>
        <v>0</v>
      </c>
      <c r="B3803" s="8">
        <v>0</v>
      </c>
      <c r="C3803" s="9">
        <v>2.14</v>
      </c>
      <c r="D3803" s="13">
        <f t="shared" si="59"/>
        <v>2.14</v>
      </c>
    </row>
    <row r="3804" spans="1:4" x14ac:dyDescent="0.25">
      <c r="A3804" s="15">
        <f>Sheet2!A3804</f>
        <v>0</v>
      </c>
      <c r="B3804" s="8">
        <v>0</v>
      </c>
      <c r="C3804" s="9">
        <v>2.9</v>
      </c>
      <c r="D3804" s="13">
        <f t="shared" si="59"/>
        <v>2.9</v>
      </c>
    </row>
    <row r="3805" spans="1:4" x14ac:dyDescent="0.25">
      <c r="A3805" s="15">
        <f>Sheet2!A3805</f>
        <v>0</v>
      </c>
      <c r="B3805" s="8">
        <v>0</v>
      </c>
      <c r="C3805" s="9">
        <v>1.64</v>
      </c>
      <c r="D3805" s="13">
        <f t="shared" si="59"/>
        <v>1.64</v>
      </c>
    </row>
    <row r="3806" spans="1:4" x14ac:dyDescent="0.25">
      <c r="A3806" s="15">
        <f>Sheet2!A3806</f>
        <v>0</v>
      </c>
      <c r="B3806" s="8">
        <v>14.75</v>
      </c>
      <c r="C3806" s="9">
        <v>0</v>
      </c>
      <c r="D3806" s="13">
        <f t="shared" si="59"/>
        <v>14.75</v>
      </c>
    </row>
    <row r="3807" spans="1:4" x14ac:dyDescent="0.25">
      <c r="A3807" s="15">
        <f>Sheet2!A3807</f>
        <v>0</v>
      </c>
      <c r="B3807" s="8">
        <v>0</v>
      </c>
      <c r="C3807" s="9">
        <v>1.97</v>
      </c>
      <c r="D3807" s="13">
        <f t="shared" si="59"/>
        <v>1.97</v>
      </c>
    </row>
    <row r="3808" spans="1:4" x14ac:dyDescent="0.25">
      <c r="A3808" s="15">
        <f>Sheet2!A3808</f>
        <v>0</v>
      </c>
      <c r="B3808" s="8">
        <v>0</v>
      </c>
      <c r="C3808" s="9">
        <v>3.06</v>
      </c>
      <c r="D3808" s="13">
        <f t="shared" si="59"/>
        <v>3.06</v>
      </c>
    </row>
    <row r="3809" spans="1:4" x14ac:dyDescent="0.25">
      <c r="A3809" s="15">
        <f>Sheet2!A3809</f>
        <v>0</v>
      </c>
      <c r="B3809" s="8">
        <v>0</v>
      </c>
      <c r="C3809" s="9">
        <v>3.29</v>
      </c>
      <c r="D3809" s="13">
        <f t="shared" si="59"/>
        <v>3.29</v>
      </c>
    </row>
    <row r="3810" spans="1:4" x14ac:dyDescent="0.25">
      <c r="A3810" s="15">
        <f>Sheet2!A3810</f>
        <v>0</v>
      </c>
      <c r="B3810" s="8">
        <v>0</v>
      </c>
      <c r="C3810" s="9">
        <v>3.48</v>
      </c>
      <c r="D3810" s="13">
        <f t="shared" si="59"/>
        <v>3.48</v>
      </c>
    </row>
    <row r="3811" spans="1:4" x14ac:dyDescent="0.25">
      <c r="A3811" s="15">
        <f>Sheet2!A3811</f>
        <v>0</v>
      </c>
      <c r="B3811" s="8">
        <v>0</v>
      </c>
      <c r="C3811" s="9">
        <v>0.28999999999999998</v>
      </c>
      <c r="D3811" s="13">
        <f t="shared" si="59"/>
        <v>0.28999999999999998</v>
      </c>
    </row>
    <row r="3812" spans="1:4" x14ac:dyDescent="0.25">
      <c r="A3812" s="15">
        <f>Sheet2!A3812</f>
        <v>0</v>
      </c>
      <c r="B3812" s="8">
        <v>14.91</v>
      </c>
      <c r="C3812" s="9">
        <v>0</v>
      </c>
      <c r="D3812" s="13">
        <f t="shared" si="59"/>
        <v>14.91</v>
      </c>
    </row>
    <row r="3813" spans="1:4" x14ac:dyDescent="0.25">
      <c r="A3813" s="15">
        <f>Sheet2!A3813</f>
        <v>0</v>
      </c>
      <c r="B3813" s="8">
        <v>0</v>
      </c>
      <c r="C3813" s="9">
        <v>3.26</v>
      </c>
      <c r="D3813" s="13">
        <f t="shared" si="59"/>
        <v>3.26</v>
      </c>
    </row>
    <row r="3814" spans="1:4" x14ac:dyDescent="0.25">
      <c r="A3814" s="15">
        <f>Sheet2!A3814</f>
        <v>0</v>
      </c>
      <c r="B3814" s="8">
        <v>0</v>
      </c>
      <c r="C3814" s="9">
        <v>3.77</v>
      </c>
      <c r="D3814" s="13">
        <f t="shared" si="59"/>
        <v>3.77</v>
      </c>
    </row>
    <row r="3815" spans="1:4" x14ac:dyDescent="0.25">
      <c r="A3815" s="15">
        <f>Sheet2!A3815</f>
        <v>0</v>
      </c>
      <c r="B3815" s="8">
        <v>0</v>
      </c>
      <c r="C3815" s="9">
        <v>1.78</v>
      </c>
      <c r="D3815" s="13">
        <f t="shared" si="59"/>
        <v>1.78</v>
      </c>
    </row>
    <row r="3816" spans="1:4" x14ac:dyDescent="0.25">
      <c r="A3816" s="15">
        <f>Sheet2!A3816</f>
        <v>0</v>
      </c>
      <c r="B3816" s="8">
        <v>13.12</v>
      </c>
      <c r="C3816" s="9">
        <v>0</v>
      </c>
      <c r="D3816" s="13">
        <f t="shared" si="59"/>
        <v>13.12</v>
      </c>
    </row>
    <row r="3817" spans="1:4" x14ac:dyDescent="0.25">
      <c r="A3817" s="15">
        <f>Sheet2!A3817</f>
        <v>0</v>
      </c>
      <c r="B3817" s="8">
        <v>0</v>
      </c>
      <c r="C3817" s="9">
        <v>1.61</v>
      </c>
      <c r="D3817" s="13">
        <f t="shared" si="59"/>
        <v>1.61</v>
      </c>
    </row>
    <row r="3818" spans="1:4" x14ac:dyDescent="0.25">
      <c r="A3818" s="15">
        <f>Sheet2!A3818</f>
        <v>0</v>
      </c>
      <c r="B3818" s="8">
        <v>0</v>
      </c>
      <c r="C3818" s="9">
        <v>2.99</v>
      </c>
      <c r="D3818" s="13">
        <f t="shared" si="59"/>
        <v>2.99</v>
      </c>
    </row>
    <row r="3819" spans="1:4" x14ac:dyDescent="0.25">
      <c r="A3819" s="15">
        <f>Sheet2!A3819</f>
        <v>0</v>
      </c>
      <c r="B3819" s="8">
        <v>0</v>
      </c>
      <c r="C3819" s="9">
        <v>3.03</v>
      </c>
      <c r="D3819" s="13">
        <f t="shared" si="59"/>
        <v>3.03</v>
      </c>
    </row>
    <row r="3820" spans="1:4" x14ac:dyDescent="0.25">
      <c r="A3820" s="15">
        <f>Sheet2!A3820</f>
        <v>0</v>
      </c>
      <c r="B3820" s="8">
        <v>0</v>
      </c>
      <c r="C3820" s="9">
        <v>1.38</v>
      </c>
      <c r="D3820" s="13">
        <f t="shared" si="59"/>
        <v>1.38</v>
      </c>
    </row>
    <row r="3821" spans="1:4" x14ac:dyDescent="0.25">
      <c r="A3821" s="15">
        <f>Sheet2!A3821</f>
        <v>0</v>
      </c>
      <c r="B3821" s="8">
        <v>0</v>
      </c>
      <c r="C3821" s="9">
        <v>1.51</v>
      </c>
      <c r="D3821" s="13">
        <f t="shared" si="59"/>
        <v>1.51</v>
      </c>
    </row>
    <row r="3822" spans="1:4" x14ac:dyDescent="0.25">
      <c r="A3822" s="15">
        <f>Sheet2!A3822</f>
        <v>0</v>
      </c>
      <c r="B3822" s="8">
        <v>0</v>
      </c>
      <c r="C3822" s="9">
        <v>2.76</v>
      </c>
      <c r="D3822" s="13">
        <f t="shared" si="59"/>
        <v>2.76</v>
      </c>
    </row>
    <row r="3823" spans="1:4" x14ac:dyDescent="0.25">
      <c r="A3823" s="15">
        <f>Sheet2!A3823</f>
        <v>0</v>
      </c>
      <c r="B3823" s="8">
        <v>0</v>
      </c>
      <c r="C3823" s="9">
        <v>1.55</v>
      </c>
      <c r="D3823" s="13">
        <f t="shared" si="59"/>
        <v>1.55</v>
      </c>
    </row>
    <row r="3824" spans="1:4" x14ac:dyDescent="0.25">
      <c r="A3824" s="15">
        <f>Sheet2!A3824</f>
        <v>0</v>
      </c>
      <c r="B3824" s="8">
        <v>0</v>
      </c>
      <c r="C3824" s="9">
        <v>2.2400000000000002</v>
      </c>
      <c r="D3824" s="13">
        <f t="shared" si="59"/>
        <v>2.2400000000000002</v>
      </c>
    </row>
    <row r="3825" spans="1:4" x14ac:dyDescent="0.25">
      <c r="A3825" s="15">
        <f>Sheet2!A3825</f>
        <v>0</v>
      </c>
      <c r="B3825" s="8">
        <v>0</v>
      </c>
      <c r="C3825" s="9">
        <v>0.88</v>
      </c>
      <c r="D3825" s="13">
        <f t="shared" si="59"/>
        <v>0.88</v>
      </c>
    </row>
    <row r="3826" spans="1:4" x14ac:dyDescent="0.25">
      <c r="A3826" s="15">
        <f>Sheet2!A3826</f>
        <v>0</v>
      </c>
      <c r="B3826" s="8">
        <v>14.47</v>
      </c>
      <c r="C3826" s="9">
        <v>0</v>
      </c>
      <c r="D3826" s="13">
        <f t="shared" si="59"/>
        <v>14.47</v>
      </c>
    </row>
    <row r="3827" spans="1:4" x14ac:dyDescent="0.25">
      <c r="A3827" s="15">
        <f>Sheet2!A3827</f>
        <v>0</v>
      </c>
      <c r="B3827" s="8">
        <v>0</v>
      </c>
      <c r="C3827" s="9">
        <v>2.64</v>
      </c>
      <c r="D3827" s="13">
        <f t="shared" si="59"/>
        <v>2.64</v>
      </c>
    </row>
    <row r="3828" spans="1:4" x14ac:dyDescent="0.25">
      <c r="A3828" s="15">
        <f>Sheet2!A3828</f>
        <v>0</v>
      </c>
      <c r="B3828" s="8">
        <v>0</v>
      </c>
      <c r="C3828" s="9">
        <v>4.3600000000000003</v>
      </c>
      <c r="D3828" s="13">
        <f t="shared" si="59"/>
        <v>4.3600000000000003</v>
      </c>
    </row>
    <row r="3829" spans="1:4" x14ac:dyDescent="0.25">
      <c r="A3829" s="15">
        <f>Sheet2!A3829</f>
        <v>0</v>
      </c>
      <c r="B3829" s="8">
        <v>0</v>
      </c>
      <c r="C3829" s="9">
        <v>4.41</v>
      </c>
      <c r="D3829" s="13">
        <f t="shared" si="59"/>
        <v>4.41</v>
      </c>
    </row>
    <row r="3830" spans="1:4" x14ac:dyDescent="0.25">
      <c r="A3830" s="15">
        <f>Sheet2!A3830</f>
        <v>0</v>
      </c>
      <c r="B3830" s="8">
        <v>0</v>
      </c>
      <c r="C3830" s="9">
        <v>4.1900000000000004</v>
      </c>
      <c r="D3830" s="13">
        <f t="shared" si="59"/>
        <v>4.1900000000000004</v>
      </c>
    </row>
    <row r="3831" spans="1:4" x14ac:dyDescent="0.25">
      <c r="A3831" s="15">
        <f>Sheet2!A3831</f>
        <v>0</v>
      </c>
      <c r="B3831" s="8">
        <v>0</v>
      </c>
      <c r="C3831" s="9">
        <v>2.02</v>
      </c>
      <c r="D3831" s="13">
        <f t="shared" si="59"/>
        <v>2.02</v>
      </c>
    </row>
    <row r="3832" spans="1:4" x14ac:dyDescent="0.25">
      <c r="A3832" s="15">
        <f>Sheet2!A3832</f>
        <v>0</v>
      </c>
      <c r="B3832" s="8">
        <v>16.920000000000002</v>
      </c>
      <c r="C3832" s="9">
        <v>0</v>
      </c>
      <c r="D3832" s="13">
        <f t="shared" si="59"/>
        <v>16.920000000000002</v>
      </c>
    </row>
    <row r="3833" spans="1:4" x14ac:dyDescent="0.25">
      <c r="A3833" s="15">
        <f>Sheet2!A3833</f>
        <v>0</v>
      </c>
      <c r="B3833" s="8">
        <v>0</v>
      </c>
      <c r="C3833" s="9">
        <v>1.49</v>
      </c>
      <c r="D3833" s="13">
        <f t="shared" si="59"/>
        <v>1.49</v>
      </c>
    </row>
    <row r="3834" spans="1:4" x14ac:dyDescent="0.25">
      <c r="A3834" s="15">
        <f>Sheet2!A3834</f>
        <v>0</v>
      </c>
      <c r="B3834" s="8">
        <v>0</v>
      </c>
      <c r="C3834" s="9">
        <v>3.79</v>
      </c>
      <c r="D3834" s="13">
        <f t="shared" si="59"/>
        <v>3.79</v>
      </c>
    </row>
    <row r="3835" spans="1:4" x14ac:dyDescent="0.25">
      <c r="A3835" s="15">
        <f>Sheet2!A3835</f>
        <v>0</v>
      </c>
      <c r="B3835" s="8">
        <v>0</v>
      </c>
      <c r="C3835" s="9">
        <v>3.82</v>
      </c>
      <c r="D3835" s="13">
        <f t="shared" si="59"/>
        <v>3.82</v>
      </c>
    </row>
    <row r="3836" spans="1:4" x14ac:dyDescent="0.25">
      <c r="A3836" s="15">
        <f>Sheet2!A3836</f>
        <v>0</v>
      </c>
      <c r="B3836" s="8">
        <v>0</v>
      </c>
      <c r="C3836" s="9">
        <v>4.51</v>
      </c>
      <c r="D3836" s="13">
        <f t="shared" si="59"/>
        <v>4.51</v>
      </c>
    </row>
    <row r="3837" spans="1:4" x14ac:dyDescent="0.25">
      <c r="A3837" s="15">
        <f>Sheet2!A3837</f>
        <v>0</v>
      </c>
      <c r="B3837" s="8">
        <v>0</v>
      </c>
      <c r="C3837" s="9">
        <v>3.14</v>
      </c>
      <c r="D3837" s="13">
        <f t="shared" si="59"/>
        <v>3.14</v>
      </c>
    </row>
    <row r="3838" spans="1:4" x14ac:dyDescent="0.25">
      <c r="A3838" s="15">
        <f>Sheet2!A3838</f>
        <v>0</v>
      </c>
      <c r="B3838" s="8">
        <v>0</v>
      </c>
      <c r="C3838" s="9">
        <v>0.69</v>
      </c>
      <c r="D3838" s="13">
        <f t="shared" si="59"/>
        <v>0.69</v>
      </c>
    </row>
    <row r="3839" spans="1:4" x14ac:dyDescent="0.25">
      <c r="A3839" s="15">
        <f>Sheet2!A3839</f>
        <v>0</v>
      </c>
      <c r="B3839" s="8">
        <v>0</v>
      </c>
      <c r="C3839" s="9">
        <v>2.39</v>
      </c>
      <c r="D3839" s="13">
        <f t="shared" si="59"/>
        <v>2.39</v>
      </c>
    </row>
    <row r="3840" spans="1:4" x14ac:dyDescent="0.25">
      <c r="A3840" s="15">
        <f>Sheet2!A3840</f>
        <v>0</v>
      </c>
      <c r="B3840" s="8">
        <v>0</v>
      </c>
      <c r="C3840" s="9">
        <v>4.07</v>
      </c>
      <c r="D3840" s="13">
        <f t="shared" si="59"/>
        <v>4.07</v>
      </c>
    </row>
    <row r="3841" spans="1:4" x14ac:dyDescent="0.25">
      <c r="A3841" s="15">
        <f>Sheet2!A3841</f>
        <v>0</v>
      </c>
      <c r="B3841" s="8">
        <v>0</v>
      </c>
      <c r="C3841" s="9">
        <v>3.05</v>
      </c>
      <c r="D3841" s="13">
        <f t="shared" si="59"/>
        <v>3.05</v>
      </c>
    </row>
    <row r="3842" spans="1:4" x14ac:dyDescent="0.25">
      <c r="A3842" s="15">
        <f>Sheet2!A3842</f>
        <v>0</v>
      </c>
      <c r="B3842" s="8">
        <v>0</v>
      </c>
      <c r="C3842" s="9">
        <v>3.19</v>
      </c>
      <c r="D3842" s="13">
        <f t="shared" si="59"/>
        <v>3.19</v>
      </c>
    </row>
    <row r="3843" spans="1:4" x14ac:dyDescent="0.25">
      <c r="A3843" s="15">
        <f>Sheet2!A3843</f>
        <v>0</v>
      </c>
      <c r="B3843" s="8">
        <v>0</v>
      </c>
      <c r="C3843" s="9">
        <v>1.07</v>
      </c>
      <c r="D3843" s="13">
        <f t="shared" ref="D3843:D3906" si="60">B3843+C3843</f>
        <v>1.07</v>
      </c>
    </row>
    <row r="3844" spans="1:4" x14ac:dyDescent="0.25">
      <c r="A3844" s="15">
        <f>Sheet2!A3844</f>
        <v>0</v>
      </c>
      <c r="B3844" s="8">
        <v>11.54</v>
      </c>
      <c r="C3844" s="9">
        <v>0</v>
      </c>
      <c r="D3844" s="13">
        <f t="shared" si="60"/>
        <v>11.54</v>
      </c>
    </row>
    <row r="3845" spans="1:4" x14ac:dyDescent="0.25">
      <c r="A3845" s="15">
        <f>Sheet2!A3845</f>
        <v>0</v>
      </c>
      <c r="B3845" s="8">
        <v>0</v>
      </c>
      <c r="C3845" s="9">
        <v>1.87</v>
      </c>
      <c r="D3845" s="13">
        <f t="shared" si="60"/>
        <v>1.87</v>
      </c>
    </row>
    <row r="3846" spans="1:4" x14ac:dyDescent="0.25">
      <c r="A3846" s="15">
        <f>Sheet2!A3846</f>
        <v>0</v>
      </c>
      <c r="B3846" s="8">
        <v>0</v>
      </c>
      <c r="C3846" s="9">
        <v>2.95</v>
      </c>
      <c r="D3846" s="13">
        <f t="shared" si="60"/>
        <v>2.95</v>
      </c>
    </row>
    <row r="3847" spans="1:4" x14ac:dyDescent="0.25">
      <c r="A3847" s="15">
        <f>Sheet2!A3847</f>
        <v>0</v>
      </c>
      <c r="B3847" s="8">
        <v>0</v>
      </c>
      <c r="C3847" s="9">
        <v>2.99</v>
      </c>
      <c r="D3847" s="13">
        <f t="shared" si="60"/>
        <v>2.99</v>
      </c>
    </row>
    <row r="3848" spans="1:4" x14ac:dyDescent="0.25">
      <c r="A3848" s="15">
        <f>Sheet2!A3848</f>
        <v>0</v>
      </c>
      <c r="B3848" s="8">
        <v>0</v>
      </c>
      <c r="C3848" s="9">
        <v>2.4500000000000002</v>
      </c>
      <c r="D3848" s="13">
        <f t="shared" si="60"/>
        <v>2.4500000000000002</v>
      </c>
    </row>
    <row r="3849" spans="1:4" x14ac:dyDescent="0.25">
      <c r="A3849" s="15">
        <f>Sheet2!A3849</f>
        <v>0</v>
      </c>
      <c r="B3849" s="8">
        <v>0</v>
      </c>
      <c r="C3849" s="9">
        <v>1.5</v>
      </c>
      <c r="D3849" s="13">
        <f t="shared" si="60"/>
        <v>1.5</v>
      </c>
    </row>
    <row r="3850" spans="1:4" x14ac:dyDescent="0.25">
      <c r="A3850" s="15">
        <f>Sheet2!A3850</f>
        <v>0</v>
      </c>
      <c r="B3850" s="8">
        <v>14.44</v>
      </c>
      <c r="C3850" s="9">
        <v>0</v>
      </c>
      <c r="D3850" s="13">
        <f t="shared" si="60"/>
        <v>14.44</v>
      </c>
    </row>
    <row r="3851" spans="1:4" x14ac:dyDescent="0.25">
      <c r="A3851" s="15">
        <f>Sheet2!A3851</f>
        <v>0</v>
      </c>
      <c r="B3851" s="8">
        <v>0</v>
      </c>
      <c r="C3851" s="9">
        <v>1.21</v>
      </c>
      <c r="D3851" s="13">
        <f t="shared" si="60"/>
        <v>1.21</v>
      </c>
    </row>
    <row r="3852" spans="1:4" x14ac:dyDescent="0.25">
      <c r="A3852" s="15">
        <f>Sheet2!A3852</f>
        <v>0</v>
      </c>
      <c r="B3852" s="8">
        <v>0</v>
      </c>
      <c r="C3852" s="9">
        <v>2.2200000000000002</v>
      </c>
      <c r="D3852" s="13">
        <f t="shared" si="60"/>
        <v>2.2200000000000002</v>
      </c>
    </row>
    <row r="3853" spans="1:4" x14ac:dyDescent="0.25">
      <c r="A3853" s="15">
        <f>Sheet2!A3853</f>
        <v>0</v>
      </c>
      <c r="B3853" s="8">
        <v>0</v>
      </c>
      <c r="C3853" s="9">
        <v>2.0099999999999998</v>
      </c>
      <c r="D3853" s="13">
        <f t="shared" si="60"/>
        <v>2.0099999999999998</v>
      </c>
    </row>
    <row r="3854" spans="1:4" x14ac:dyDescent="0.25">
      <c r="A3854" s="15">
        <f>Sheet2!A3854</f>
        <v>0</v>
      </c>
      <c r="B3854" s="8">
        <v>0</v>
      </c>
      <c r="C3854" s="9">
        <v>2.82</v>
      </c>
      <c r="D3854" s="13">
        <f t="shared" si="60"/>
        <v>2.82</v>
      </c>
    </row>
    <row r="3855" spans="1:4" x14ac:dyDescent="0.25">
      <c r="A3855" s="15">
        <f>Sheet2!A3855</f>
        <v>0</v>
      </c>
      <c r="B3855" s="8">
        <v>0</v>
      </c>
      <c r="C3855" s="9">
        <v>1.68</v>
      </c>
      <c r="D3855" s="13">
        <f t="shared" si="60"/>
        <v>1.68</v>
      </c>
    </row>
    <row r="3856" spans="1:4" x14ac:dyDescent="0.25">
      <c r="A3856" s="15">
        <f>Sheet2!A3856</f>
        <v>0</v>
      </c>
      <c r="B3856" s="8">
        <v>16.25</v>
      </c>
      <c r="C3856" s="9">
        <v>0</v>
      </c>
      <c r="D3856" s="13">
        <f t="shared" si="60"/>
        <v>16.25</v>
      </c>
    </row>
    <row r="3857" spans="1:4" x14ac:dyDescent="0.25">
      <c r="A3857" s="15">
        <f>Sheet2!A3857</f>
        <v>0</v>
      </c>
      <c r="B3857" s="8">
        <v>0</v>
      </c>
      <c r="C3857" s="9">
        <v>1.98</v>
      </c>
      <c r="D3857" s="13">
        <f t="shared" si="60"/>
        <v>1.98</v>
      </c>
    </row>
    <row r="3858" spans="1:4" x14ac:dyDescent="0.25">
      <c r="A3858" s="15">
        <f>Sheet2!A3858</f>
        <v>0</v>
      </c>
      <c r="B3858" s="8">
        <v>0</v>
      </c>
      <c r="C3858" s="9">
        <v>4.2</v>
      </c>
      <c r="D3858" s="13">
        <f t="shared" si="60"/>
        <v>4.2</v>
      </c>
    </row>
    <row r="3859" spans="1:4" x14ac:dyDescent="0.25">
      <c r="A3859" s="15">
        <f>Sheet2!A3859</f>
        <v>0</v>
      </c>
      <c r="B3859" s="8">
        <v>0</v>
      </c>
      <c r="C3859" s="9">
        <v>3.77</v>
      </c>
      <c r="D3859" s="13">
        <f t="shared" si="60"/>
        <v>3.77</v>
      </c>
    </row>
    <row r="3860" spans="1:4" x14ac:dyDescent="0.25">
      <c r="A3860" s="15">
        <f>Sheet2!A3860</f>
        <v>0</v>
      </c>
      <c r="B3860" s="8">
        <v>0</v>
      </c>
      <c r="C3860" s="9">
        <v>4.8499999999999996</v>
      </c>
      <c r="D3860" s="13">
        <f t="shared" si="60"/>
        <v>4.8499999999999996</v>
      </c>
    </row>
    <row r="3861" spans="1:4" x14ac:dyDescent="0.25">
      <c r="A3861" s="15">
        <f>Sheet2!A3861</f>
        <v>0</v>
      </c>
      <c r="B3861" s="8">
        <v>0</v>
      </c>
      <c r="C3861" s="9">
        <v>2.13</v>
      </c>
      <c r="D3861" s="13">
        <f t="shared" si="60"/>
        <v>2.13</v>
      </c>
    </row>
    <row r="3862" spans="1:4" x14ac:dyDescent="0.25">
      <c r="A3862" s="15">
        <f>Sheet2!A3862</f>
        <v>0</v>
      </c>
      <c r="B3862" s="8">
        <v>17.84</v>
      </c>
      <c r="C3862" s="9">
        <v>0</v>
      </c>
      <c r="D3862" s="13">
        <f t="shared" si="60"/>
        <v>17.84</v>
      </c>
    </row>
    <row r="3863" spans="1:4" x14ac:dyDescent="0.25">
      <c r="A3863" s="15">
        <f>Sheet2!A3863</f>
        <v>0</v>
      </c>
      <c r="B3863" s="8">
        <v>0</v>
      </c>
      <c r="C3863" s="9">
        <v>2.2400000000000002</v>
      </c>
      <c r="D3863" s="13">
        <f t="shared" si="60"/>
        <v>2.2400000000000002</v>
      </c>
    </row>
    <row r="3864" spans="1:4" x14ac:dyDescent="0.25">
      <c r="A3864" s="15">
        <f>Sheet2!A3864</f>
        <v>0</v>
      </c>
      <c r="B3864" s="8">
        <v>0</v>
      </c>
      <c r="C3864" s="9">
        <v>3.54</v>
      </c>
      <c r="D3864" s="13">
        <f t="shared" si="60"/>
        <v>3.54</v>
      </c>
    </row>
    <row r="3865" spans="1:4" x14ac:dyDescent="0.25">
      <c r="A3865" s="15">
        <f>Sheet2!A3865</f>
        <v>0</v>
      </c>
      <c r="B3865" s="8">
        <v>0</v>
      </c>
      <c r="C3865" s="9">
        <v>3.52</v>
      </c>
      <c r="D3865" s="13">
        <f t="shared" si="60"/>
        <v>3.52</v>
      </c>
    </row>
    <row r="3866" spans="1:4" x14ac:dyDescent="0.25">
      <c r="A3866" s="15">
        <f>Sheet2!A3866</f>
        <v>0</v>
      </c>
      <c r="B3866" s="8">
        <v>0</v>
      </c>
      <c r="C3866" s="9">
        <v>3.05</v>
      </c>
      <c r="D3866" s="13">
        <f t="shared" si="60"/>
        <v>3.05</v>
      </c>
    </row>
    <row r="3867" spans="1:4" x14ac:dyDescent="0.25">
      <c r="A3867" s="15">
        <f>Sheet2!A3867</f>
        <v>0</v>
      </c>
      <c r="B3867" s="8">
        <v>0</v>
      </c>
      <c r="C3867" s="9">
        <v>1.05</v>
      </c>
      <c r="D3867" s="13">
        <f t="shared" si="60"/>
        <v>1.05</v>
      </c>
    </row>
    <row r="3868" spans="1:4" x14ac:dyDescent="0.25">
      <c r="A3868" s="15">
        <f>Sheet2!A3868</f>
        <v>0</v>
      </c>
      <c r="B3868" s="8">
        <v>11.32</v>
      </c>
      <c r="C3868" s="9">
        <v>0</v>
      </c>
      <c r="D3868" s="13">
        <f t="shared" si="60"/>
        <v>11.32</v>
      </c>
    </row>
    <row r="3869" spans="1:4" x14ac:dyDescent="0.25">
      <c r="A3869" s="15">
        <f>Sheet2!A3869</f>
        <v>0</v>
      </c>
      <c r="B3869" s="8">
        <v>0</v>
      </c>
      <c r="C3869" s="9">
        <v>1.74</v>
      </c>
      <c r="D3869" s="13">
        <f t="shared" si="60"/>
        <v>1.74</v>
      </c>
    </row>
    <row r="3870" spans="1:4" x14ac:dyDescent="0.25">
      <c r="A3870" s="15">
        <f>Sheet2!A3870</f>
        <v>0</v>
      </c>
      <c r="B3870" s="8">
        <v>0</v>
      </c>
      <c r="C3870" s="9">
        <v>2.67</v>
      </c>
      <c r="D3870" s="13">
        <f t="shared" si="60"/>
        <v>2.67</v>
      </c>
    </row>
    <row r="3871" spans="1:4" x14ac:dyDescent="0.25">
      <c r="A3871" s="15">
        <f>Sheet2!A3871</f>
        <v>0</v>
      </c>
      <c r="B3871" s="8">
        <v>0</v>
      </c>
      <c r="C3871" s="9">
        <v>0.68</v>
      </c>
      <c r="D3871" s="13">
        <f t="shared" si="60"/>
        <v>0.68</v>
      </c>
    </row>
    <row r="3872" spans="1:4" x14ac:dyDescent="0.25">
      <c r="A3872" s="15">
        <f>Sheet2!A3872</f>
        <v>0</v>
      </c>
      <c r="B3872" s="8">
        <v>0.23</v>
      </c>
      <c r="C3872" s="9">
        <v>0</v>
      </c>
      <c r="D3872" s="13">
        <f t="shared" si="60"/>
        <v>0.23</v>
      </c>
    </row>
    <row r="3873" spans="1:4" x14ac:dyDescent="0.25">
      <c r="A3873" s="15">
        <f>Sheet2!A3873</f>
        <v>0</v>
      </c>
      <c r="B3873" s="8">
        <v>0</v>
      </c>
      <c r="C3873" s="9">
        <v>0.55000000000000004</v>
      </c>
      <c r="D3873" s="13">
        <f t="shared" si="60"/>
        <v>0.55000000000000004</v>
      </c>
    </row>
    <row r="3874" spans="1:4" x14ac:dyDescent="0.25">
      <c r="A3874" s="15">
        <f>Sheet2!A3874</f>
        <v>0</v>
      </c>
      <c r="B3874" s="8">
        <v>0</v>
      </c>
      <c r="C3874" s="9">
        <v>1.51</v>
      </c>
      <c r="D3874" s="13">
        <f t="shared" si="60"/>
        <v>1.51</v>
      </c>
    </row>
    <row r="3875" spans="1:4" x14ac:dyDescent="0.25">
      <c r="A3875" s="15">
        <f>Sheet2!A3875</f>
        <v>0</v>
      </c>
      <c r="B3875" s="8">
        <v>0</v>
      </c>
      <c r="C3875" s="9">
        <v>2.68</v>
      </c>
      <c r="D3875" s="13">
        <f t="shared" si="60"/>
        <v>2.68</v>
      </c>
    </row>
    <row r="3876" spans="1:4" x14ac:dyDescent="0.25">
      <c r="A3876" s="15">
        <f>Sheet2!A3876</f>
        <v>0</v>
      </c>
      <c r="B3876" s="8">
        <v>0</v>
      </c>
      <c r="C3876" s="9">
        <v>2.54</v>
      </c>
      <c r="D3876" s="13">
        <f t="shared" si="60"/>
        <v>2.54</v>
      </c>
    </row>
    <row r="3877" spans="1:4" x14ac:dyDescent="0.25">
      <c r="A3877" s="15">
        <f>Sheet2!A3877</f>
        <v>0</v>
      </c>
      <c r="B3877" s="8">
        <v>0</v>
      </c>
      <c r="C3877" s="9">
        <v>1.41</v>
      </c>
      <c r="D3877" s="13">
        <f t="shared" si="60"/>
        <v>1.41</v>
      </c>
    </row>
    <row r="3878" spans="1:4" x14ac:dyDescent="0.25">
      <c r="A3878" s="15">
        <f>Sheet2!A3878</f>
        <v>0</v>
      </c>
      <c r="B3878" s="8">
        <v>15.45</v>
      </c>
      <c r="C3878" s="9">
        <v>0</v>
      </c>
      <c r="D3878" s="13">
        <f t="shared" si="60"/>
        <v>15.45</v>
      </c>
    </row>
    <row r="3879" spans="1:4" x14ac:dyDescent="0.25">
      <c r="A3879" s="15">
        <f>Sheet2!A3879</f>
        <v>0</v>
      </c>
      <c r="B3879" s="8">
        <v>10.24</v>
      </c>
      <c r="C3879" s="9">
        <v>0</v>
      </c>
      <c r="D3879" s="13">
        <f t="shared" si="60"/>
        <v>10.24</v>
      </c>
    </row>
    <row r="3880" spans="1:4" x14ac:dyDescent="0.25">
      <c r="A3880" s="15">
        <f>Sheet2!A3880</f>
        <v>0</v>
      </c>
      <c r="B3880" s="8">
        <v>12.29</v>
      </c>
      <c r="C3880" s="9">
        <v>0</v>
      </c>
      <c r="D3880" s="13">
        <f t="shared" si="60"/>
        <v>12.29</v>
      </c>
    </row>
    <row r="3881" spans="1:4" x14ac:dyDescent="0.25">
      <c r="A3881" s="15">
        <f>Sheet2!A3881</f>
        <v>0</v>
      </c>
      <c r="B3881" s="8">
        <v>14.78</v>
      </c>
      <c r="C3881" s="9">
        <v>0</v>
      </c>
      <c r="D3881" s="13">
        <f t="shared" si="60"/>
        <v>14.78</v>
      </c>
    </row>
    <row r="3882" spans="1:4" x14ac:dyDescent="0.25">
      <c r="A3882" s="15">
        <f>Sheet2!A3882</f>
        <v>0</v>
      </c>
      <c r="B3882" s="8">
        <v>17</v>
      </c>
      <c r="C3882" s="9">
        <v>0</v>
      </c>
      <c r="D3882" s="13">
        <f t="shared" si="60"/>
        <v>17</v>
      </c>
    </row>
    <row r="3883" spans="1:4" x14ac:dyDescent="0.25">
      <c r="A3883" s="15">
        <f>Sheet2!A3883</f>
        <v>0</v>
      </c>
      <c r="B3883" s="8">
        <v>0</v>
      </c>
      <c r="C3883" s="9">
        <v>1.68</v>
      </c>
      <c r="D3883" s="13">
        <f t="shared" si="60"/>
        <v>1.68</v>
      </c>
    </row>
    <row r="3884" spans="1:4" x14ac:dyDescent="0.25">
      <c r="A3884" s="15">
        <f>Sheet2!A3884</f>
        <v>0</v>
      </c>
      <c r="B3884" s="8">
        <v>0</v>
      </c>
      <c r="C3884" s="9">
        <v>3.42</v>
      </c>
      <c r="D3884" s="13">
        <f t="shared" si="60"/>
        <v>3.42</v>
      </c>
    </row>
    <row r="3885" spans="1:4" x14ac:dyDescent="0.25">
      <c r="A3885" s="15">
        <f>Sheet2!A3885</f>
        <v>0</v>
      </c>
      <c r="B3885" s="8">
        <v>0</v>
      </c>
      <c r="C3885" s="9">
        <v>3.75</v>
      </c>
      <c r="D3885" s="13">
        <f t="shared" si="60"/>
        <v>3.75</v>
      </c>
    </row>
    <row r="3886" spans="1:4" x14ac:dyDescent="0.25">
      <c r="A3886" s="15">
        <f>Sheet2!A3886</f>
        <v>0</v>
      </c>
      <c r="B3886" s="8">
        <v>0</v>
      </c>
      <c r="C3886" s="9">
        <v>3.52</v>
      </c>
      <c r="D3886" s="13">
        <f t="shared" si="60"/>
        <v>3.52</v>
      </c>
    </row>
    <row r="3887" spans="1:4" x14ac:dyDescent="0.25">
      <c r="A3887" s="15">
        <f>Sheet2!A3887</f>
        <v>0</v>
      </c>
      <c r="B3887" s="8">
        <v>0</v>
      </c>
      <c r="C3887" s="9">
        <v>1.1599999999999999</v>
      </c>
      <c r="D3887" s="13">
        <f t="shared" si="60"/>
        <v>1.1599999999999999</v>
      </c>
    </row>
    <row r="3888" spans="1:4" x14ac:dyDescent="0.25">
      <c r="A3888" s="15">
        <f>Sheet2!A3888</f>
        <v>0</v>
      </c>
      <c r="B3888" s="8">
        <v>16.079999999999998</v>
      </c>
      <c r="C3888" s="9">
        <v>0</v>
      </c>
      <c r="D3888" s="13">
        <f t="shared" si="60"/>
        <v>16.079999999999998</v>
      </c>
    </row>
    <row r="3889" spans="1:4" x14ac:dyDescent="0.25">
      <c r="A3889" s="15">
        <f>Sheet2!A3889</f>
        <v>0</v>
      </c>
      <c r="B3889" s="8">
        <v>0</v>
      </c>
      <c r="C3889" s="9">
        <v>1.58</v>
      </c>
      <c r="D3889" s="13">
        <f t="shared" si="60"/>
        <v>1.58</v>
      </c>
    </row>
    <row r="3890" spans="1:4" x14ac:dyDescent="0.25">
      <c r="A3890" s="15">
        <f>Sheet2!A3890</f>
        <v>0</v>
      </c>
      <c r="B3890" s="8">
        <v>0</v>
      </c>
      <c r="C3890" s="9">
        <v>2.67</v>
      </c>
      <c r="D3890" s="13">
        <f t="shared" si="60"/>
        <v>2.67</v>
      </c>
    </row>
    <row r="3891" spans="1:4" x14ac:dyDescent="0.25">
      <c r="A3891" s="15">
        <f>Sheet2!A3891</f>
        <v>0</v>
      </c>
      <c r="B3891" s="8">
        <v>0</v>
      </c>
      <c r="C3891" s="9">
        <v>2.98</v>
      </c>
      <c r="D3891" s="13">
        <f t="shared" si="60"/>
        <v>2.98</v>
      </c>
    </row>
    <row r="3892" spans="1:4" x14ac:dyDescent="0.25">
      <c r="A3892" s="15">
        <f>Sheet2!A3892</f>
        <v>0</v>
      </c>
      <c r="B3892" s="8">
        <v>10.27</v>
      </c>
      <c r="C3892" s="9">
        <v>0</v>
      </c>
      <c r="D3892" s="13">
        <f t="shared" si="60"/>
        <v>10.27</v>
      </c>
    </row>
    <row r="3893" spans="1:4" x14ac:dyDescent="0.25">
      <c r="A3893" s="15">
        <f>Sheet2!A3893</f>
        <v>0</v>
      </c>
      <c r="B3893" s="8">
        <v>0</v>
      </c>
      <c r="C3893" s="9">
        <v>1.28</v>
      </c>
      <c r="D3893" s="13">
        <f t="shared" si="60"/>
        <v>1.28</v>
      </c>
    </row>
    <row r="3894" spans="1:4" x14ac:dyDescent="0.25">
      <c r="A3894" s="15">
        <f>Sheet2!A3894</f>
        <v>0</v>
      </c>
      <c r="B3894" s="8">
        <v>0</v>
      </c>
      <c r="C3894" s="9">
        <v>2.86</v>
      </c>
      <c r="D3894" s="13">
        <f t="shared" si="60"/>
        <v>2.86</v>
      </c>
    </row>
    <row r="3895" spans="1:4" x14ac:dyDescent="0.25">
      <c r="A3895" s="15">
        <f>Sheet2!A3895</f>
        <v>0</v>
      </c>
      <c r="B3895" s="8">
        <v>0</v>
      </c>
      <c r="C3895" s="9">
        <v>2.5</v>
      </c>
      <c r="D3895" s="13">
        <f t="shared" si="60"/>
        <v>2.5</v>
      </c>
    </row>
    <row r="3896" spans="1:4" x14ac:dyDescent="0.25">
      <c r="A3896" s="15">
        <f>Sheet2!A3896</f>
        <v>0</v>
      </c>
      <c r="B3896" s="8">
        <v>0</v>
      </c>
      <c r="C3896" s="9">
        <v>2.15</v>
      </c>
      <c r="D3896" s="13">
        <f t="shared" si="60"/>
        <v>2.15</v>
      </c>
    </row>
    <row r="3897" spans="1:4" x14ac:dyDescent="0.25">
      <c r="A3897" s="15">
        <f>Sheet2!A3897</f>
        <v>0</v>
      </c>
      <c r="B3897" s="8">
        <v>0</v>
      </c>
      <c r="C3897" s="9">
        <v>0.41</v>
      </c>
      <c r="D3897" s="13">
        <f t="shared" si="60"/>
        <v>0.41</v>
      </c>
    </row>
    <row r="3898" spans="1:4" x14ac:dyDescent="0.25">
      <c r="A3898" s="15">
        <f>Sheet2!A3898</f>
        <v>0</v>
      </c>
      <c r="B3898" s="8">
        <v>13.02</v>
      </c>
      <c r="C3898" s="9">
        <v>0</v>
      </c>
      <c r="D3898" s="13">
        <f t="shared" si="60"/>
        <v>13.02</v>
      </c>
    </row>
    <row r="3899" spans="1:4" x14ac:dyDescent="0.25">
      <c r="A3899" s="15">
        <f>Sheet2!A3899</f>
        <v>0</v>
      </c>
      <c r="B3899" s="8">
        <v>0</v>
      </c>
      <c r="C3899" s="9">
        <v>1.61</v>
      </c>
      <c r="D3899" s="13">
        <f t="shared" si="60"/>
        <v>1.61</v>
      </c>
    </row>
    <row r="3900" spans="1:4" x14ac:dyDescent="0.25">
      <c r="A3900" s="15">
        <f>Sheet2!A3900</f>
        <v>0</v>
      </c>
      <c r="B3900" s="8">
        <v>0</v>
      </c>
      <c r="C3900" s="9">
        <v>3.36</v>
      </c>
      <c r="D3900" s="13">
        <f t="shared" si="60"/>
        <v>3.36</v>
      </c>
    </row>
    <row r="3901" spans="1:4" x14ac:dyDescent="0.25">
      <c r="A3901" s="15">
        <f>Sheet2!A3901</f>
        <v>0</v>
      </c>
      <c r="B3901" s="8">
        <v>0</v>
      </c>
      <c r="C3901" s="9">
        <v>1.18</v>
      </c>
      <c r="D3901" s="13">
        <f t="shared" si="60"/>
        <v>1.18</v>
      </c>
    </row>
    <row r="3902" spans="1:4" x14ac:dyDescent="0.25">
      <c r="A3902" s="15">
        <f>Sheet2!A3902</f>
        <v>0</v>
      </c>
      <c r="B3902" s="8">
        <v>12.44</v>
      </c>
      <c r="C3902" s="9">
        <v>0</v>
      </c>
      <c r="D3902" s="13">
        <f t="shared" si="60"/>
        <v>12.44</v>
      </c>
    </row>
    <row r="3903" spans="1:4" x14ac:dyDescent="0.25">
      <c r="A3903" s="15">
        <f>Sheet2!A3903</f>
        <v>0</v>
      </c>
      <c r="B3903" s="8">
        <v>0</v>
      </c>
      <c r="C3903" s="9">
        <v>1.59</v>
      </c>
      <c r="D3903" s="13">
        <f t="shared" si="60"/>
        <v>1.59</v>
      </c>
    </row>
    <row r="3904" spans="1:4" x14ac:dyDescent="0.25">
      <c r="A3904" s="15">
        <f>Sheet2!A3904</f>
        <v>0</v>
      </c>
      <c r="B3904" s="8">
        <v>0</v>
      </c>
      <c r="C3904" s="9">
        <v>2.57</v>
      </c>
      <c r="D3904" s="13">
        <f t="shared" si="60"/>
        <v>2.57</v>
      </c>
    </row>
    <row r="3905" spans="1:4" x14ac:dyDescent="0.25">
      <c r="A3905" s="15">
        <f>Sheet2!A3905</f>
        <v>0</v>
      </c>
      <c r="B3905" s="8">
        <v>0</v>
      </c>
      <c r="C3905" s="9">
        <v>2.4500000000000002</v>
      </c>
      <c r="D3905" s="13">
        <f t="shared" si="60"/>
        <v>2.4500000000000002</v>
      </c>
    </row>
    <row r="3906" spans="1:4" x14ac:dyDescent="0.25">
      <c r="A3906" s="15">
        <f>Sheet2!A3906</f>
        <v>0</v>
      </c>
      <c r="B3906" s="8">
        <v>0</v>
      </c>
      <c r="C3906" s="9">
        <v>3.19</v>
      </c>
      <c r="D3906" s="13">
        <f t="shared" si="60"/>
        <v>3.19</v>
      </c>
    </row>
    <row r="3907" spans="1:4" x14ac:dyDescent="0.25">
      <c r="A3907" s="15">
        <f>Sheet2!A3907</f>
        <v>0</v>
      </c>
      <c r="B3907" s="8">
        <v>0</v>
      </c>
      <c r="C3907" s="9">
        <v>0.64</v>
      </c>
      <c r="D3907" s="13">
        <f t="shared" ref="D3907:D3970" si="61">B3907+C3907</f>
        <v>0.64</v>
      </c>
    </row>
    <row r="3908" spans="1:4" x14ac:dyDescent="0.25">
      <c r="A3908" s="15">
        <f>Sheet2!A3908</f>
        <v>0</v>
      </c>
      <c r="B3908" s="8">
        <v>12.41</v>
      </c>
      <c r="C3908" s="9">
        <v>0</v>
      </c>
      <c r="D3908" s="13">
        <f t="shared" si="61"/>
        <v>12.41</v>
      </c>
    </row>
    <row r="3909" spans="1:4" x14ac:dyDescent="0.25">
      <c r="A3909" s="15">
        <f>Sheet2!A3909</f>
        <v>0</v>
      </c>
      <c r="B3909" s="8">
        <v>0</v>
      </c>
      <c r="C3909" s="9">
        <v>1.92</v>
      </c>
      <c r="D3909" s="13">
        <f t="shared" si="61"/>
        <v>1.92</v>
      </c>
    </row>
    <row r="3910" spans="1:4" x14ac:dyDescent="0.25">
      <c r="A3910" s="15">
        <f>Sheet2!A3910</f>
        <v>0</v>
      </c>
      <c r="B3910" s="8">
        <v>0</v>
      </c>
      <c r="C3910" s="9">
        <v>3.77</v>
      </c>
      <c r="D3910" s="13">
        <f t="shared" si="61"/>
        <v>3.77</v>
      </c>
    </row>
    <row r="3911" spans="1:4" x14ac:dyDescent="0.25">
      <c r="A3911" s="15">
        <f>Sheet2!A3911</f>
        <v>0</v>
      </c>
      <c r="B3911" s="8">
        <v>0</v>
      </c>
      <c r="C3911" s="9">
        <v>2.74</v>
      </c>
      <c r="D3911" s="13">
        <f t="shared" si="61"/>
        <v>2.74</v>
      </c>
    </row>
    <row r="3912" spans="1:4" x14ac:dyDescent="0.25">
      <c r="A3912" s="15">
        <f>Sheet2!A3912</f>
        <v>0</v>
      </c>
      <c r="B3912" s="8">
        <v>0</v>
      </c>
      <c r="C3912" s="9">
        <v>3.52</v>
      </c>
      <c r="D3912" s="13">
        <f t="shared" si="61"/>
        <v>3.52</v>
      </c>
    </row>
    <row r="3913" spans="1:4" x14ac:dyDescent="0.25">
      <c r="A3913" s="15">
        <f>Sheet2!A3913</f>
        <v>0</v>
      </c>
      <c r="B3913" s="8">
        <v>0</v>
      </c>
      <c r="C3913" s="9">
        <v>1.59</v>
      </c>
      <c r="D3913" s="13">
        <f t="shared" si="61"/>
        <v>1.59</v>
      </c>
    </row>
    <row r="3914" spans="1:4" x14ac:dyDescent="0.25">
      <c r="A3914" s="15">
        <f>Sheet2!A3914</f>
        <v>0</v>
      </c>
      <c r="B3914" s="8">
        <v>11.96</v>
      </c>
      <c r="C3914" s="9">
        <v>0</v>
      </c>
      <c r="D3914" s="13">
        <f t="shared" si="61"/>
        <v>11.96</v>
      </c>
    </row>
    <row r="3915" spans="1:4" x14ac:dyDescent="0.25">
      <c r="A3915" s="15">
        <f>Sheet2!A3915</f>
        <v>0</v>
      </c>
      <c r="B3915" s="8">
        <v>0</v>
      </c>
      <c r="C3915" s="9">
        <v>1.89</v>
      </c>
      <c r="D3915" s="13">
        <f t="shared" si="61"/>
        <v>1.89</v>
      </c>
    </row>
    <row r="3916" spans="1:4" x14ac:dyDescent="0.25">
      <c r="A3916" s="15">
        <f>Sheet2!A3916</f>
        <v>0</v>
      </c>
      <c r="B3916" s="8">
        <v>0</v>
      </c>
      <c r="C3916" s="9">
        <v>2.69</v>
      </c>
      <c r="D3916" s="13">
        <f t="shared" si="61"/>
        <v>2.69</v>
      </c>
    </row>
    <row r="3917" spans="1:4" x14ac:dyDescent="0.25">
      <c r="A3917" s="15">
        <f>Sheet2!A3917</f>
        <v>0</v>
      </c>
      <c r="B3917" s="8">
        <v>0</v>
      </c>
      <c r="C3917" s="9">
        <v>0.78</v>
      </c>
      <c r="D3917" s="13">
        <f t="shared" si="61"/>
        <v>0.78</v>
      </c>
    </row>
    <row r="3918" spans="1:4" x14ac:dyDescent="0.25">
      <c r="A3918" s="15">
        <f>Sheet2!A3918</f>
        <v>0</v>
      </c>
      <c r="B3918" s="8">
        <v>12.39</v>
      </c>
      <c r="C3918" s="9">
        <v>0</v>
      </c>
      <c r="D3918" s="13">
        <f t="shared" si="61"/>
        <v>12.39</v>
      </c>
    </row>
    <row r="3919" spans="1:4" x14ac:dyDescent="0.25">
      <c r="A3919" s="15">
        <f>Sheet2!A3919</f>
        <v>0</v>
      </c>
      <c r="B3919" s="8">
        <v>1.46</v>
      </c>
      <c r="C3919" s="9">
        <v>0</v>
      </c>
      <c r="D3919" s="13">
        <f t="shared" si="61"/>
        <v>1.46</v>
      </c>
    </row>
    <row r="3920" spans="1:4" x14ac:dyDescent="0.25">
      <c r="A3920" s="15">
        <f>Sheet2!A3920</f>
        <v>0</v>
      </c>
      <c r="B3920" s="8">
        <v>0</v>
      </c>
      <c r="C3920" s="9">
        <v>0.26</v>
      </c>
      <c r="D3920" s="13">
        <f t="shared" si="61"/>
        <v>0.26</v>
      </c>
    </row>
    <row r="3921" spans="1:4" x14ac:dyDescent="0.25">
      <c r="A3921" s="15">
        <f>Sheet2!A3921</f>
        <v>0</v>
      </c>
      <c r="B3921" s="8">
        <v>0</v>
      </c>
      <c r="C3921" s="9">
        <v>1.37</v>
      </c>
      <c r="D3921" s="13">
        <f t="shared" si="61"/>
        <v>1.37</v>
      </c>
    </row>
    <row r="3922" spans="1:4" x14ac:dyDescent="0.25">
      <c r="A3922" s="15">
        <f>Sheet2!A3922</f>
        <v>0</v>
      </c>
      <c r="B3922" s="8">
        <v>12.44</v>
      </c>
      <c r="C3922" s="9">
        <v>0</v>
      </c>
      <c r="D3922" s="13">
        <f t="shared" si="61"/>
        <v>12.44</v>
      </c>
    </row>
    <row r="3923" spans="1:4" x14ac:dyDescent="0.25">
      <c r="A3923" s="15">
        <f>Sheet2!A3923</f>
        <v>0</v>
      </c>
      <c r="B3923" s="8">
        <v>0</v>
      </c>
      <c r="C3923" s="9">
        <v>1.36</v>
      </c>
      <c r="D3923" s="13">
        <f t="shared" si="61"/>
        <v>1.36</v>
      </c>
    </row>
    <row r="3924" spans="1:4" x14ac:dyDescent="0.25">
      <c r="A3924" s="15">
        <f>Sheet2!A3924</f>
        <v>0</v>
      </c>
      <c r="B3924" s="8">
        <v>0</v>
      </c>
      <c r="C3924" s="9">
        <v>2.11</v>
      </c>
      <c r="D3924" s="13">
        <f t="shared" si="61"/>
        <v>2.11</v>
      </c>
    </row>
    <row r="3925" spans="1:4" x14ac:dyDescent="0.25">
      <c r="A3925" s="15">
        <f>Sheet2!A3925</f>
        <v>0</v>
      </c>
      <c r="B3925" s="8">
        <v>0</v>
      </c>
      <c r="C3925" s="9">
        <v>2.1</v>
      </c>
      <c r="D3925" s="13">
        <f t="shared" si="61"/>
        <v>2.1</v>
      </c>
    </row>
    <row r="3926" spans="1:4" x14ac:dyDescent="0.25">
      <c r="A3926" s="15">
        <f>Sheet2!A3926</f>
        <v>0</v>
      </c>
      <c r="B3926" s="8">
        <v>0</v>
      </c>
      <c r="C3926" s="9">
        <v>0.25</v>
      </c>
      <c r="D3926" s="13">
        <f t="shared" si="61"/>
        <v>0.25</v>
      </c>
    </row>
    <row r="3927" spans="1:4" x14ac:dyDescent="0.25">
      <c r="A3927" s="15">
        <f>Sheet2!A3927</f>
        <v>0</v>
      </c>
      <c r="B3927" s="8">
        <v>0</v>
      </c>
      <c r="C3927" s="9">
        <v>0.76</v>
      </c>
      <c r="D3927" s="13">
        <f t="shared" si="61"/>
        <v>0.76</v>
      </c>
    </row>
    <row r="3928" spans="1:4" x14ac:dyDescent="0.25">
      <c r="A3928" s="15">
        <f>Sheet2!A3928</f>
        <v>0</v>
      </c>
      <c r="B3928" s="8">
        <v>0</v>
      </c>
      <c r="C3928" s="9">
        <v>3.26</v>
      </c>
      <c r="D3928" s="13">
        <f t="shared" si="61"/>
        <v>3.26</v>
      </c>
    </row>
    <row r="3929" spans="1:4" x14ac:dyDescent="0.25">
      <c r="A3929" s="15">
        <f>Sheet2!A3929</f>
        <v>0</v>
      </c>
      <c r="B3929" s="8">
        <v>0</v>
      </c>
      <c r="C3929" s="9">
        <v>3.28</v>
      </c>
      <c r="D3929" s="13">
        <f t="shared" si="61"/>
        <v>3.28</v>
      </c>
    </row>
    <row r="3930" spans="1:4" x14ac:dyDescent="0.25">
      <c r="A3930" s="15">
        <f>Sheet2!A3930</f>
        <v>0</v>
      </c>
      <c r="B3930" s="8">
        <v>0</v>
      </c>
      <c r="C3930" s="9">
        <v>3.62</v>
      </c>
      <c r="D3930" s="13">
        <f t="shared" si="61"/>
        <v>3.62</v>
      </c>
    </row>
    <row r="3931" spans="1:4" x14ac:dyDescent="0.25">
      <c r="A3931" s="15">
        <f>Sheet2!A3931</f>
        <v>0</v>
      </c>
      <c r="B3931" s="8">
        <v>0</v>
      </c>
      <c r="C3931" s="9">
        <v>3.85</v>
      </c>
      <c r="D3931" s="13">
        <f t="shared" si="61"/>
        <v>3.85</v>
      </c>
    </row>
    <row r="3932" spans="1:4" x14ac:dyDescent="0.25">
      <c r="A3932" s="15">
        <f>Sheet2!A3932</f>
        <v>0</v>
      </c>
      <c r="B3932" s="8">
        <v>0</v>
      </c>
      <c r="C3932" s="9">
        <v>3.73</v>
      </c>
      <c r="D3932" s="13">
        <f t="shared" si="61"/>
        <v>3.73</v>
      </c>
    </row>
    <row r="3933" spans="1:4" x14ac:dyDescent="0.25">
      <c r="A3933" s="15">
        <f>Sheet2!A3933</f>
        <v>0</v>
      </c>
      <c r="B3933" s="8">
        <v>0</v>
      </c>
      <c r="C3933" s="9">
        <v>1.5</v>
      </c>
      <c r="D3933" s="13">
        <f t="shared" si="61"/>
        <v>1.5</v>
      </c>
    </row>
    <row r="3934" spans="1:4" x14ac:dyDescent="0.25">
      <c r="A3934" s="15">
        <f>Sheet2!A3934</f>
        <v>0</v>
      </c>
      <c r="B3934" s="8">
        <v>0</v>
      </c>
      <c r="C3934" s="9">
        <v>2.2400000000000002</v>
      </c>
      <c r="D3934" s="13">
        <f t="shared" si="61"/>
        <v>2.2400000000000002</v>
      </c>
    </row>
    <row r="3935" spans="1:4" x14ac:dyDescent="0.25">
      <c r="A3935" s="15">
        <f>Sheet2!A3935</f>
        <v>0</v>
      </c>
      <c r="B3935" s="8">
        <v>0</v>
      </c>
      <c r="C3935" s="9">
        <v>1.67</v>
      </c>
      <c r="D3935" s="13">
        <f t="shared" si="61"/>
        <v>1.67</v>
      </c>
    </row>
    <row r="3936" spans="1:4" x14ac:dyDescent="0.25">
      <c r="A3936" s="15">
        <f>Sheet2!A3936</f>
        <v>0</v>
      </c>
      <c r="B3936" s="8">
        <v>10.17</v>
      </c>
      <c r="C3936" s="9">
        <v>0</v>
      </c>
      <c r="D3936" s="13">
        <f t="shared" si="61"/>
        <v>10.17</v>
      </c>
    </row>
    <row r="3937" spans="1:4" x14ac:dyDescent="0.25">
      <c r="A3937" s="15">
        <f>Sheet2!A3937</f>
        <v>0</v>
      </c>
      <c r="B3937" s="8">
        <v>0</v>
      </c>
      <c r="C3937" s="9">
        <v>0.51</v>
      </c>
      <c r="D3937" s="13">
        <f t="shared" si="61"/>
        <v>0.51</v>
      </c>
    </row>
    <row r="3938" spans="1:4" x14ac:dyDescent="0.25">
      <c r="A3938" s="15">
        <f>Sheet2!A3938</f>
        <v>0</v>
      </c>
      <c r="B3938" s="8">
        <v>0</v>
      </c>
      <c r="C3938" s="9">
        <v>2.78</v>
      </c>
      <c r="D3938" s="13">
        <f t="shared" si="61"/>
        <v>2.78</v>
      </c>
    </row>
    <row r="3939" spans="1:4" x14ac:dyDescent="0.25">
      <c r="A3939" s="15">
        <f>Sheet2!A3939</f>
        <v>0</v>
      </c>
      <c r="B3939" s="8">
        <v>0</v>
      </c>
      <c r="C3939" s="9">
        <v>2.92</v>
      </c>
      <c r="D3939" s="13">
        <f t="shared" si="61"/>
        <v>2.92</v>
      </c>
    </row>
    <row r="3940" spans="1:4" x14ac:dyDescent="0.25">
      <c r="A3940" s="15">
        <f>Sheet2!A3940</f>
        <v>0</v>
      </c>
      <c r="B3940" s="8">
        <v>0</v>
      </c>
      <c r="C3940" s="9">
        <v>2.94</v>
      </c>
      <c r="D3940" s="13">
        <f t="shared" si="61"/>
        <v>2.94</v>
      </c>
    </row>
    <row r="3941" spans="1:4" x14ac:dyDescent="0.25">
      <c r="A3941" s="15">
        <f>Sheet2!A3941</f>
        <v>0</v>
      </c>
      <c r="B3941" s="8">
        <v>0</v>
      </c>
      <c r="C3941" s="9">
        <v>0.63</v>
      </c>
      <c r="D3941" s="13">
        <f t="shared" si="61"/>
        <v>0.63</v>
      </c>
    </row>
    <row r="3942" spans="1:4" x14ac:dyDescent="0.25">
      <c r="A3942" s="15">
        <f>Sheet2!A3942</f>
        <v>0</v>
      </c>
      <c r="B3942" s="8">
        <v>0</v>
      </c>
      <c r="C3942" s="9">
        <v>2.2200000000000002</v>
      </c>
      <c r="D3942" s="13">
        <f t="shared" si="61"/>
        <v>2.2200000000000002</v>
      </c>
    </row>
    <row r="3943" spans="1:4" x14ac:dyDescent="0.25">
      <c r="A3943" s="15">
        <f>Sheet2!A3943</f>
        <v>0</v>
      </c>
      <c r="B3943" s="8">
        <v>0</v>
      </c>
      <c r="C3943" s="9">
        <v>2.92</v>
      </c>
      <c r="D3943" s="13">
        <f t="shared" si="61"/>
        <v>2.92</v>
      </c>
    </row>
    <row r="3944" spans="1:4" x14ac:dyDescent="0.25">
      <c r="A3944" s="15">
        <f>Sheet2!A3944</f>
        <v>0</v>
      </c>
      <c r="B3944" s="8">
        <v>0</v>
      </c>
      <c r="C3944" s="9">
        <v>2.59</v>
      </c>
      <c r="D3944" s="13">
        <f t="shared" si="61"/>
        <v>2.59</v>
      </c>
    </row>
    <row r="3945" spans="1:4" x14ac:dyDescent="0.25">
      <c r="A3945" s="15">
        <f>Sheet2!A3945</f>
        <v>0</v>
      </c>
      <c r="B3945" s="8">
        <v>0</v>
      </c>
      <c r="C3945" s="9">
        <v>0.64</v>
      </c>
      <c r="D3945" s="13">
        <f t="shared" si="61"/>
        <v>0.64</v>
      </c>
    </row>
    <row r="3946" spans="1:4" x14ac:dyDescent="0.25">
      <c r="A3946" s="15">
        <f>Sheet2!A3946</f>
        <v>0</v>
      </c>
      <c r="B3946" s="8">
        <v>0</v>
      </c>
      <c r="C3946" s="9">
        <v>0.71</v>
      </c>
      <c r="D3946" s="13">
        <f t="shared" si="61"/>
        <v>0.71</v>
      </c>
    </row>
    <row r="3947" spans="1:4" x14ac:dyDescent="0.25">
      <c r="A3947" s="15">
        <f>Sheet2!A3947</f>
        <v>0</v>
      </c>
      <c r="B3947" s="8">
        <v>0</v>
      </c>
      <c r="C3947" s="9">
        <v>2.09</v>
      </c>
      <c r="D3947" s="13">
        <f t="shared" si="61"/>
        <v>2.09</v>
      </c>
    </row>
    <row r="3948" spans="1:4" x14ac:dyDescent="0.25">
      <c r="A3948" s="15">
        <f>Sheet2!A3948</f>
        <v>0</v>
      </c>
      <c r="B3948" s="8">
        <v>0</v>
      </c>
      <c r="C3948" s="9">
        <v>2.27</v>
      </c>
      <c r="D3948" s="13">
        <f t="shared" si="61"/>
        <v>2.27</v>
      </c>
    </row>
    <row r="3949" spans="1:4" x14ac:dyDescent="0.25">
      <c r="A3949" s="15">
        <f>Sheet2!A3949</f>
        <v>0</v>
      </c>
      <c r="B3949" s="8">
        <v>0</v>
      </c>
      <c r="C3949" s="9">
        <v>0.24</v>
      </c>
      <c r="D3949" s="13">
        <f t="shared" si="61"/>
        <v>0.24</v>
      </c>
    </row>
    <row r="3950" spans="1:4" x14ac:dyDescent="0.25">
      <c r="A3950" s="15">
        <f>Sheet2!A3950</f>
        <v>0</v>
      </c>
      <c r="B3950" s="8">
        <v>16.02</v>
      </c>
      <c r="C3950" s="9">
        <v>0</v>
      </c>
      <c r="D3950" s="13">
        <f t="shared" si="61"/>
        <v>16.02</v>
      </c>
    </row>
    <row r="3951" spans="1:4" x14ac:dyDescent="0.25">
      <c r="A3951" s="15">
        <f>Sheet2!A3951</f>
        <v>0</v>
      </c>
      <c r="B3951" s="8">
        <v>0</v>
      </c>
      <c r="C3951" s="9">
        <v>1.37</v>
      </c>
      <c r="D3951" s="13">
        <f t="shared" si="61"/>
        <v>1.37</v>
      </c>
    </row>
    <row r="3952" spans="1:4" x14ac:dyDescent="0.25">
      <c r="A3952" s="15">
        <f>Sheet2!A3952</f>
        <v>0</v>
      </c>
      <c r="B3952" s="8">
        <v>0</v>
      </c>
      <c r="C3952" s="9">
        <v>3</v>
      </c>
      <c r="D3952" s="13">
        <f t="shared" si="61"/>
        <v>3</v>
      </c>
    </row>
    <row r="3953" spans="1:4" x14ac:dyDescent="0.25">
      <c r="A3953" s="15">
        <f>Sheet2!A3953</f>
        <v>0</v>
      </c>
      <c r="B3953" s="8">
        <v>0</v>
      </c>
      <c r="C3953" s="9">
        <v>4.28</v>
      </c>
      <c r="D3953" s="13">
        <f t="shared" si="61"/>
        <v>4.28</v>
      </c>
    </row>
    <row r="3954" spans="1:4" x14ac:dyDescent="0.25">
      <c r="A3954" s="15">
        <f>Sheet2!A3954</f>
        <v>0</v>
      </c>
      <c r="B3954" s="8">
        <v>0</v>
      </c>
      <c r="C3954" s="9">
        <v>3.33</v>
      </c>
      <c r="D3954" s="13">
        <f t="shared" si="61"/>
        <v>3.33</v>
      </c>
    </row>
    <row r="3955" spans="1:4" x14ac:dyDescent="0.25">
      <c r="A3955" s="15">
        <f>Sheet2!A3955</f>
        <v>0</v>
      </c>
      <c r="B3955" s="8">
        <v>0</v>
      </c>
      <c r="C3955" s="9">
        <v>1.84</v>
      </c>
      <c r="D3955" s="13">
        <f t="shared" si="61"/>
        <v>1.84</v>
      </c>
    </row>
    <row r="3956" spans="1:4" x14ac:dyDescent="0.25">
      <c r="A3956" s="15">
        <f>Sheet2!A3956</f>
        <v>0</v>
      </c>
      <c r="B3956" s="8">
        <v>11.63</v>
      </c>
      <c r="C3956" s="9">
        <v>0</v>
      </c>
      <c r="D3956" s="13">
        <f t="shared" si="61"/>
        <v>11.63</v>
      </c>
    </row>
    <row r="3957" spans="1:4" x14ac:dyDescent="0.25">
      <c r="A3957" s="15">
        <f>Sheet2!A3957</f>
        <v>0</v>
      </c>
      <c r="B3957" s="8">
        <v>0</v>
      </c>
      <c r="C3957" s="9">
        <v>3.53</v>
      </c>
      <c r="D3957" s="13">
        <f t="shared" si="61"/>
        <v>3.53</v>
      </c>
    </row>
    <row r="3958" spans="1:4" x14ac:dyDescent="0.25">
      <c r="A3958" s="15">
        <f>Sheet2!A3958</f>
        <v>0</v>
      </c>
      <c r="B3958" s="8">
        <v>0</v>
      </c>
      <c r="C3958" s="9">
        <v>3.64</v>
      </c>
      <c r="D3958" s="13">
        <f t="shared" si="61"/>
        <v>3.64</v>
      </c>
    </row>
    <row r="3959" spans="1:4" x14ac:dyDescent="0.25">
      <c r="A3959" s="15">
        <f>Sheet2!A3959</f>
        <v>0</v>
      </c>
      <c r="B3959" s="8">
        <v>0</v>
      </c>
      <c r="C3959" s="9">
        <v>3.5</v>
      </c>
      <c r="D3959" s="13">
        <f t="shared" si="61"/>
        <v>3.5</v>
      </c>
    </row>
    <row r="3960" spans="1:4" x14ac:dyDescent="0.25">
      <c r="A3960" s="15">
        <f>Sheet2!A3960</f>
        <v>0</v>
      </c>
      <c r="B3960" s="8">
        <v>0</v>
      </c>
      <c r="C3960" s="9">
        <v>2.34</v>
      </c>
      <c r="D3960" s="13">
        <f t="shared" si="61"/>
        <v>2.34</v>
      </c>
    </row>
    <row r="3961" spans="1:4" x14ac:dyDescent="0.25">
      <c r="A3961" s="15">
        <f>Sheet2!A3961</f>
        <v>0</v>
      </c>
      <c r="B3961" s="8">
        <v>0</v>
      </c>
      <c r="C3961" s="9">
        <v>1.1100000000000001</v>
      </c>
      <c r="D3961" s="13">
        <f t="shared" si="61"/>
        <v>1.1100000000000001</v>
      </c>
    </row>
    <row r="3962" spans="1:4" x14ac:dyDescent="0.25">
      <c r="A3962" s="15">
        <f>Sheet2!A3962</f>
        <v>0</v>
      </c>
      <c r="B3962" s="8">
        <v>9.2100000000000009</v>
      </c>
      <c r="C3962" s="9">
        <v>0</v>
      </c>
      <c r="D3962" s="13">
        <f t="shared" si="61"/>
        <v>9.2100000000000009</v>
      </c>
    </row>
    <row r="3963" spans="1:4" x14ac:dyDescent="0.25">
      <c r="A3963" s="15">
        <f>Sheet2!A3963</f>
        <v>0</v>
      </c>
      <c r="B3963" s="8">
        <v>0</v>
      </c>
      <c r="C3963" s="9">
        <v>1.77</v>
      </c>
      <c r="D3963" s="13">
        <f t="shared" si="61"/>
        <v>1.77</v>
      </c>
    </row>
    <row r="3964" spans="1:4" x14ac:dyDescent="0.25">
      <c r="A3964" s="15">
        <f>Sheet2!A3964</f>
        <v>0</v>
      </c>
      <c r="B3964" s="8">
        <v>0</v>
      </c>
      <c r="C3964" s="9">
        <v>2.92</v>
      </c>
      <c r="D3964" s="13">
        <f t="shared" si="61"/>
        <v>2.92</v>
      </c>
    </row>
    <row r="3965" spans="1:4" x14ac:dyDescent="0.25">
      <c r="A3965" s="15">
        <f>Sheet2!A3965</f>
        <v>0</v>
      </c>
      <c r="B3965" s="8">
        <v>0</v>
      </c>
      <c r="C3965" s="9">
        <v>2.84</v>
      </c>
      <c r="D3965" s="13">
        <f t="shared" si="61"/>
        <v>2.84</v>
      </c>
    </row>
    <row r="3966" spans="1:4" x14ac:dyDescent="0.25">
      <c r="A3966" s="15">
        <f>Sheet2!A3966</f>
        <v>0</v>
      </c>
      <c r="B3966" s="8">
        <v>0</v>
      </c>
      <c r="C3966" s="9">
        <v>1.72</v>
      </c>
      <c r="D3966" s="13">
        <f t="shared" si="61"/>
        <v>1.72</v>
      </c>
    </row>
    <row r="3967" spans="1:4" x14ac:dyDescent="0.25">
      <c r="A3967" s="15">
        <f>Sheet2!A3967</f>
        <v>0</v>
      </c>
      <c r="B3967" s="8">
        <v>9.6300000000000008</v>
      </c>
      <c r="C3967" s="9">
        <v>0</v>
      </c>
      <c r="D3967" s="13">
        <f t="shared" si="61"/>
        <v>9.6300000000000008</v>
      </c>
    </row>
    <row r="3968" spans="1:4" x14ac:dyDescent="0.25">
      <c r="A3968" s="15">
        <f>Sheet2!A3968</f>
        <v>0</v>
      </c>
      <c r="B3968" s="8">
        <v>8.68</v>
      </c>
      <c r="C3968" s="9">
        <v>0</v>
      </c>
      <c r="D3968" s="13">
        <f t="shared" si="61"/>
        <v>8.68</v>
      </c>
    </row>
    <row r="3969" spans="1:4" x14ac:dyDescent="0.25">
      <c r="A3969" s="15">
        <f>Sheet2!A3969</f>
        <v>0</v>
      </c>
      <c r="B3969" s="8">
        <v>0</v>
      </c>
      <c r="C3969" s="9">
        <v>1.47</v>
      </c>
      <c r="D3969" s="13">
        <f t="shared" si="61"/>
        <v>1.47</v>
      </c>
    </row>
    <row r="3970" spans="1:4" x14ac:dyDescent="0.25">
      <c r="A3970" s="15">
        <f>Sheet2!A3970</f>
        <v>0</v>
      </c>
      <c r="B3970" s="8">
        <v>0</v>
      </c>
      <c r="C3970" s="9">
        <v>3.37</v>
      </c>
      <c r="D3970" s="13">
        <f t="shared" si="61"/>
        <v>3.37</v>
      </c>
    </row>
    <row r="3971" spans="1:4" x14ac:dyDescent="0.25">
      <c r="A3971" s="15">
        <f>Sheet2!A3971</f>
        <v>0</v>
      </c>
      <c r="B3971" s="8">
        <v>0</v>
      </c>
      <c r="C3971" s="9">
        <v>1.2</v>
      </c>
      <c r="D3971" s="13">
        <f t="shared" ref="D3971:D4034" si="62">B3971+C3971</f>
        <v>1.2</v>
      </c>
    </row>
    <row r="3972" spans="1:4" x14ac:dyDescent="0.25">
      <c r="A3972" s="15">
        <f>Sheet2!A3972</f>
        <v>0</v>
      </c>
      <c r="B3972" s="8">
        <v>12.98</v>
      </c>
      <c r="C3972" s="9">
        <v>0</v>
      </c>
      <c r="D3972" s="13">
        <f t="shared" si="62"/>
        <v>12.98</v>
      </c>
    </row>
    <row r="3973" spans="1:4" x14ac:dyDescent="0.25">
      <c r="A3973" s="15">
        <f>Sheet2!A3973</f>
        <v>0</v>
      </c>
      <c r="B3973" s="8">
        <v>0</v>
      </c>
      <c r="C3973" s="9">
        <v>1.77</v>
      </c>
      <c r="D3973" s="13">
        <f t="shared" si="62"/>
        <v>1.77</v>
      </c>
    </row>
    <row r="3974" spans="1:4" x14ac:dyDescent="0.25">
      <c r="A3974" s="15">
        <f>Sheet2!A3974</f>
        <v>0</v>
      </c>
      <c r="B3974" s="8">
        <v>0</v>
      </c>
      <c r="C3974" s="9">
        <v>2.57</v>
      </c>
      <c r="D3974" s="13">
        <f t="shared" si="62"/>
        <v>2.57</v>
      </c>
    </row>
    <row r="3975" spans="1:4" x14ac:dyDescent="0.25">
      <c r="A3975" s="15">
        <f>Sheet2!A3975</f>
        <v>0</v>
      </c>
      <c r="B3975" s="8">
        <v>0</v>
      </c>
      <c r="C3975" s="9">
        <v>1.3</v>
      </c>
      <c r="D3975" s="13">
        <f t="shared" si="62"/>
        <v>1.3</v>
      </c>
    </row>
    <row r="3976" spans="1:4" x14ac:dyDescent="0.25">
      <c r="A3976" s="15">
        <f>Sheet2!A3976</f>
        <v>0</v>
      </c>
      <c r="B3976" s="8">
        <v>16.78</v>
      </c>
      <c r="C3976" s="9">
        <v>0</v>
      </c>
      <c r="D3976" s="13">
        <f t="shared" si="62"/>
        <v>16.78</v>
      </c>
    </row>
    <row r="3977" spans="1:4" x14ac:dyDescent="0.25">
      <c r="A3977" s="15">
        <f>Sheet2!A3977</f>
        <v>0</v>
      </c>
      <c r="B3977" s="8">
        <v>0</v>
      </c>
      <c r="C3977" s="9">
        <v>1.2</v>
      </c>
      <c r="D3977" s="13">
        <f t="shared" si="62"/>
        <v>1.2</v>
      </c>
    </row>
    <row r="3978" spans="1:4" x14ac:dyDescent="0.25">
      <c r="A3978" s="15">
        <f>Sheet2!A3978</f>
        <v>0</v>
      </c>
      <c r="B3978" s="8">
        <v>0</v>
      </c>
      <c r="C3978" s="9">
        <v>3.15</v>
      </c>
      <c r="D3978" s="13">
        <f t="shared" si="62"/>
        <v>3.15</v>
      </c>
    </row>
    <row r="3979" spans="1:4" x14ac:dyDescent="0.25">
      <c r="A3979" s="15">
        <f>Sheet2!A3979</f>
        <v>0</v>
      </c>
      <c r="B3979" s="8">
        <v>0</v>
      </c>
      <c r="C3979" s="9">
        <v>1.19</v>
      </c>
      <c r="D3979" s="13">
        <f t="shared" si="62"/>
        <v>1.19</v>
      </c>
    </row>
    <row r="3980" spans="1:4" x14ac:dyDescent="0.25">
      <c r="A3980" s="15">
        <f>Sheet2!A3980</f>
        <v>0</v>
      </c>
      <c r="B3980" s="8">
        <v>16.440000000000001</v>
      </c>
      <c r="C3980" s="9">
        <v>0</v>
      </c>
      <c r="D3980" s="13">
        <f t="shared" si="62"/>
        <v>16.440000000000001</v>
      </c>
    </row>
    <row r="3981" spans="1:4" x14ac:dyDescent="0.25">
      <c r="A3981" s="15">
        <f>Sheet2!A3981</f>
        <v>0</v>
      </c>
      <c r="B3981" s="8">
        <v>0</v>
      </c>
      <c r="C3981" s="9">
        <v>2.08</v>
      </c>
      <c r="D3981" s="13">
        <f t="shared" si="62"/>
        <v>2.08</v>
      </c>
    </row>
    <row r="3982" spans="1:4" x14ac:dyDescent="0.25">
      <c r="A3982" s="15">
        <f>Sheet2!A3982</f>
        <v>0</v>
      </c>
      <c r="B3982" s="8">
        <v>0</v>
      </c>
      <c r="C3982" s="9">
        <v>3.57</v>
      </c>
      <c r="D3982" s="13">
        <f t="shared" si="62"/>
        <v>3.57</v>
      </c>
    </row>
    <row r="3983" spans="1:4" x14ac:dyDescent="0.25">
      <c r="A3983" s="15">
        <f>Sheet2!A3983</f>
        <v>0</v>
      </c>
      <c r="B3983" s="8">
        <v>0</v>
      </c>
      <c r="C3983" s="9">
        <v>1.56</v>
      </c>
      <c r="D3983" s="13">
        <f t="shared" si="62"/>
        <v>1.56</v>
      </c>
    </row>
    <row r="3984" spans="1:4" x14ac:dyDescent="0.25">
      <c r="A3984" s="15">
        <f>Sheet2!A3984</f>
        <v>0</v>
      </c>
      <c r="B3984" s="8">
        <v>13.67</v>
      </c>
      <c r="C3984" s="9">
        <v>0</v>
      </c>
      <c r="D3984" s="13">
        <f t="shared" si="62"/>
        <v>13.67</v>
      </c>
    </row>
    <row r="3985" spans="1:4" x14ac:dyDescent="0.25">
      <c r="A3985" s="15">
        <f>Sheet2!A3985</f>
        <v>0</v>
      </c>
      <c r="B3985" s="8">
        <v>0</v>
      </c>
      <c r="C3985" s="9">
        <v>1.38</v>
      </c>
      <c r="D3985" s="13">
        <f t="shared" si="62"/>
        <v>1.38</v>
      </c>
    </row>
    <row r="3986" spans="1:4" x14ac:dyDescent="0.25">
      <c r="A3986" s="15">
        <f>Sheet2!A3986</f>
        <v>0</v>
      </c>
      <c r="B3986" s="8">
        <v>0</v>
      </c>
      <c r="C3986" s="9">
        <v>3</v>
      </c>
      <c r="D3986" s="13">
        <f t="shared" si="62"/>
        <v>3</v>
      </c>
    </row>
    <row r="3987" spans="1:4" x14ac:dyDescent="0.25">
      <c r="A3987" s="15">
        <f>Sheet2!A3987</f>
        <v>0</v>
      </c>
      <c r="B3987" s="8">
        <v>0</v>
      </c>
      <c r="C3987" s="9">
        <v>1.48</v>
      </c>
      <c r="D3987" s="13">
        <f t="shared" si="62"/>
        <v>1.48</v>
      </c>
    </row>
    <row r="3988" spans="1:4" x14ac:dyDescent="0.25">
      <c r="A3988" s="15">
        <f>Sheet2!A3988</f>
        <v>0</v>
      </c>
      <c r="B3988" s="8">
        <v>10.27</v>
      </c>
      <c r="C3988" s="9">
        <v>0</v>
      </c>
      <c r="D3988" s="13">
        <f t="shared" si="62"/>
        <v>10.27</v>
      </c>
    </row>
    <row r="3989" spans="1:4" x14ac:dyDescent="0.25">
      <c r="A3989" s="15">
        <f>Sheet2!A3989</f>
        <v>0</v>
      </c>
      <c r="B3989" s="8">
        <v>0</v>
      </c>
      <c r="C3989" s="9">
        <v>1.28</v>
      </c>
      <c r="D3989" s="13">
        <f t="shared" si="62"/>
        <v>1.28</v>
      </c>
    </row>
    <row r="3990" spans="1:4" x14ac:dyDescent="0.25">
      <c r="A3990" s="15">
        <f>Sheet2!A3990</f>
        <v>0</v>
      </c>
      <c r="B3990" s="8">
        <v>0</v>
      </c>
      <c r="C3990" s="9">
        <v>2.97</v>
      </c>
      <c r="D3990" s="13">
        <f t="shared" si="62"/>
        <v>2.97</v>
      </c>
    </row>
    <row r="3991" spans="1:4" x14ac:dyDescent="0.25">
      <c r="A3991" s="15">
        <f>Sheet2!A3991</f>
        <v>0</v>
      </c>
      <c r="B3991" s="8">
        <v>0</v>
      </c>
      <c r="C3991" s="9">
        <v>1.23</v>
      </c>
      <c r="D3991" s="13">
        <f t="shared" si="62"/>
        <v>1.23</v>
      </c>
    </row>
    <row r="3992" spans="1:4" x14ac:dyDescent="0.25">
      <c r="A3992" s="15">
        <f>Sheet2!A3992</f>
        <v>0</v>
      </c>
      <c r="B3992" s="8">
        <v>10.47</v>
      </c>
      <c r="C3992" s="9">
        <v>0</v>
      </c>
      <c r="D3992" s="13">
        <f t="shared" si="62"/>
        <v>10.47</v>
      </c>
    </row>
    <row r="3993" spans="1:4" x14ac:dyDescent="0.25">
      <c r="A3993" s="15">
        <f>Sheet2!A3993</f>
        <v>0</v>
      </c>
      <c r="B3993" s="8">
        <v>9.58</v>
      </c>
      <c r="C3993" s="9">
        <v>0</v>
      </c>
      <c r="D3993" s="13">
        <f t="shared" si="62"/>
        <v>9.58</v>
      </c>
    </row>
    <row r="3994" spans="1:4" x14ac:dyDescent="0.25">
      <c r="A3994" s="15">
        <f>Sheet2!A3994</f>
        <v>0</v>
      </c>
      <c r="B3994" s="8">
        <v>0</v>
      </c>
      <c r="C3994" s="9">
        <v>3.13</v>
      </c>
      <c r="D3994" s="13">
        <f t="shared" si="62"/>
        <v>3.13</v>
      </c>
    </row>
    <row r="3995" spans="1:4" x14ac:dyDescent="0.25">
      <c r="A3995" s="15">
        <f>Sheet2!A3995</f>
        <v>0</v>
      </c>
      <c r="B3995" s="8">
        <v>0</v>
      </c>
      <c r="C3995" s="9">
        <v>3.65</v>
      </c>
      <c r="D3995" s="13">
        <f t="shared" si="62"/>
        <v>3.65</v>
      </c>
    </row>
    <row r="3996" spans="1:4" x14ac:dyDescent="0.25">
      <c r="A3996" s="15">
        <f>Sheet2!A3996</f>
        <v>0</v>
      </c>
      <c r="B3996" s="8">
        <v>0</v>
      </c>
      <c r="C3996" s="9">
        <v>4.16</v>
      </c>
      <c r="D3996" s="13">
        <f t="shared" si="62"/>
        <v>4.16</v>
      </c>
    </row>
    <row r="3997" spans="1:4" x14ac:dyDescent="0.25">
      <c r="A3997" s="15">
        <f>Sheet2!A3997</f>
        <v>0</v>
      </c>
      <c r="B3997" s="8">
        <v>0</v>
      </c>
      <c r="C3997" s="9">
        <v>1.87</v>
      </c>
      <c r="D3997" s="13">
        <f t="shared" si="62"/>
        <v>1.87</v>
      </c>
    </row>
    <row r="3998" spans="1:4" x14ac:dyDescent="0.25">
      <c r="A3998" s="15">
        <f>Sheet2!A3998</f>
        <v>0</v>
      </c>
      <c r="B3998" s="8">
        <v>11.91</v>
      </c>
      <c r="C3998" s="9">
        <v>0</v>
      </c>
      <c r="D3998" s="13">
        <f t="shared" si="62"/>
        <v>11.91</v>
      </c>
    </row>
    <row r="3999" spans="1:4" x14ac:dyDescent="0.25">
      <c r="A3999" s="15">
        <f>Sheet2!A3999</f>
        <v>0</v>
      </c>
      <c r="B3999" s="8">
        <v>0</v>
      </c>
      <c r="C3999" s="9">
        <v>1.59</v>
      </c>
      <c r="D3999" s="13">
        <f t="shared" si="62"/>
        <v>1.59</v>
      </c>
    </row>
    <row r="4000" spans="1:4" x14ac:dyDescent="0.25">
      <c r="A4000" s="15">
        <f>Sheet2!A4000</f>
        <v>0</v>
      </c>
      <c r="B4000" s="8">
        <v>0</v>
      </c>
      <c r="C4000" s="9">
        <v>2.59</v>
      </c>
      <c r="D4000" s="13">
        <f t="shared" si="62"/>
        <v>2.59</v>
      </c>
    </row>
    <row r="4001" spans="1:4" x14ac:dyDescent="0.25">
      <c r="A4001" s="15">
        <f>Sheet2!A4001</f>
        <v>0</v>
      </c>
      <c r="B4001" s="8">
        <v>0</v>
      </c>
      <c r="C4001" s="9">
        <v>1.69</v>
      </c>
      <c r="D4001" s="13">
        <f t="shared" si="62"/>
        <v>1.69</v>
      </c>
    </row>
    <row r="4002" spans="1:4" x14ac:dyDescent="0.25">
      <c r="A4002" s="15">
        <f>Sheet2!A4002</f>
        <v>0</v>
      </c>
      <c r="B4002" s="8">
        <v>14.58</v>
      </c>
      <c r="C4002" s="9">
        <v>0</v>
      </c>
      <c r="D4002" s="13">
        <f t="shared" si="62"/>
        <v>14.58</v>
      </c>
    </row>
    <row r="4003" spans="1:4" x14ac:dyDescent="0.25">
      <c r="A4003" s="15">
        <f>Sheet2!A4003</f>
        <v>0</v>
      </c>
      <c r="B4003" s="8">
        <v>13.81</v>
      </c>
      <c r="C4003" s="9">
        <v>0</v>
      </c>
      <c r="D4003" s="13">
        <f t="shared" si="62"/>
        <v>13.81</v>
      </c>
    </row>
    <row r="4004" spans="1:4" x14ac:dyDescent="0.25">
      <c r="A4004" s="15">
        <f>Sheet2!A4004</f>
        <v>0</v>
      </c>
      <c r="B4004" s="8">
        <v>12.7</v>
      </c>
      <c r="C4004" s="9">
        <v>0</v>
      </c>
      <c r="D4004" s="13">
        <f t="shared" si="62"/>
        <v>12.7</v>
      </c>
    </row>
    <row r="4005" spans="1:4" x14ac:dyDescent="0.25">
      <c r="A4005" s="15">
        <f>Sheet2!A4005</f>
        <v>0</v>
      </c>
      <c r="B4005" s="8">
        <v>0</v>
      </c>
      <c r="C4005" s="9">
        <v>2.02</v>
      </c>
      <c r="D4005" s="13">
        <f t="shared" si="62"/>
        <v>2.02</v>
      </c>
    </row>
    <row r="4006" spans="1:4" x14ac:dyDescent="0.25">
      <c r="A4006" s="15">
        <f>Sheet2!A4006</f>
        <v>0</v>
      </c>
      <c r="B4006" s="8">
        <v>0</v>
      </c>
      <c r="C4006" s="9">
        <v>3.54</v>
      </c>
      <c r="D4006" s="13">
        <f t="shared" si="62"/>
        <v>3.54</v>
      </c>
    </row>
    <row r="4007" spans="1:4" x14ac:dyDescent="0.25">
      <c r="A4007" s="15">
        <f>Sheet2!A4007</f>
        <v>0</v>
      </c>
      <c r="B4007" s="8">
        <v>0</v>
      </c>
      <c r="C4007" s="9">
        <v>1.05</v>
      </c>
      <c r="D4007" s="13">
        <f t="shared" si="62"/>
        <v>1.05</v>
      </c>
    </row>
    <row r="4008" spans="1:4" x14ac:dyDescent="0.25">
      <c r="A4008" s="15">
        <f>Sheet2!A4008</f>
        <v>0</v>
      </c>
      <c r="B4008" s="8">
        <v>9.68</v>
      </c>
      <c r="C4008" s="9">
        <v>0</v>
      </c>
      <c r="D4008" s="13">
        <f t="shared" si="62"/>
        <v>9.68</v>
      </c>
    </row>
    <row r="4009" spans="1:4" x14ac:dyDescent="0.25">
      <c r="A4009" s="15">
        <f>Sheet2!A4009</f>
        <v>0</v>
      </c>
      <c r="B4009" s="8">
        <v>9.0500000000000007</v>
      </c>
      <c r="C4009" s="9">
        <v>0</v>
      </c>
      <c r="D4009" s="13">
        <f t="shared" si="62"/>
        <v>9.0500000000000007</v>
      </c>
    </row>
    <row r="4010" spans="1:4" x14ac:dyDescent="0.25">
      <c r="A4010" s="15">
        <f>Sheet2!A4010</f>
        <v>0</v>
      </c>
      <c r="B4010" s="8">
        <v>7.96</v>
      </c>
      <c r="C4010" s="9">
        <v>0</v>
      </c>
      <c r="D4010" s="13">
        <f t="shared" si="62"/>
        <v>7.96</v>
      </c>
    </row>
    <row r="4011" spans="1:4" x14ac:dyDescent="0.25">
      <c r="A4011" s="15">
        <f>Sheet2!A4011</f>
        <v>0</v>
      </c>
      <c r="B4011" s="8">
        <v>0</v>
      </c>
      <c r="C4011" s="9">
        <v>1.92</v>
      </c>
      <c r="D4011" s="13">
        <f t="shared" si="62"/>
        <v>1.92</v>
      </c>
    </row>
    <row r="4012" spans="1:4" x14ac:dyDescent="0.25">
      <c r="A4012" s="15">
        <f>Sheet2!A4012</f>
        <v>0</v>
      </c>
      <c r="B4012" s="8">
        <v>0</v>
      </c>
      <c r="C4012" s="9">
        <v>3.09</v>
      </c>
      <c r="D4012" s="13">
        <f t="shared" si="62"/>
        <v>3.09</v>
      </c>
    </row>
    <row r="4013" spans="1:4" x14ac:dyDescent="0.25">
      <c r="A4013" s="15">
        <f>Sheet2!A4013</f>
        <v>0</v>
      </c>
      <c r="B4013" s="8">
        <v>0</v>
      </c>
      <c r="C4013" s="9">
        <v>0.62</v>
      </c>
      <c r="D4013" s="13">
        <f t="shared" si="62"/>
        <v>0.62</v>
      </c>
    </row>
    <row r="4014" spans="1:4" x14ac:dyDescent="0.25">
      <c r="A4014" s="15">
        <f>Sheet2!A4014</f>
        <v>0</v>
      </c>
      <c r="B4014" s="8">
        <v>7.86</v>
      </c>
      <c r="C4014" s="9">
        <v>0</v>
      </c>
      <c r="D4014" s="13">
        <f t="shared" si="62"/>
        <v>7.86</v>
      </c>
    </row>
    <row r="4015" spans="1:4" x14ac:dyDescent="0.25">
      <c r="A4015" s="15">
        <f>Sheet2!A4015</f>
        <v>0</v>
      </c>
      <c r="B4015" s="8">
        <v>10.43</v>
      </c>
      <c r="C4015" s="9">
        <v>0</v>
      </c>
      <c r="D4015" s="13">
        <f t="shared" si="62"/>
        <v>10.43</v>
      </c>
    </row>
    <row r="4016" spans="1:4" x14ac:dyDescent="0.25">
      <c r="A4016" s="15">
        <f>Sheet2!A4016</f>
        <v>0</v>
      </c>
      <c r="B4016" s="8">
        <v>0</v>
      </c>
      <c r="C4016" s="9">
        <v>0.4</v>
      </c>
      <c r="D4016" s="13">
        <f t="shared" si="62"/>
        <v>0.4</v>
      </c>
    </row>
    <row r="4017" spans="1:4" x14ac:dyDescent="0.25">
      <c r="A4017" s="15">
        <f>Sheet2!A4017</f>
        <v>0</v>
      </c>
      <c r="B4017" s="8">
        <v>0</v>
      </c>
      <c r="C4017" s="9">
        <v>2.11</v>
      </c>
      <c r="D4017" s="13">
        <f t="shared" si="62"/>
        <v>2.11</v>
      </c>
    </row>
    <row r="4018" spans="1:4" x14ac:dyDescent="0.25">
      <c r="A4018" s="15">
        <f>Sheet2!A4018</f>
        <v>0</v>
      </c>
      <c r="B4018" s="8">
        <v>0</v>
      </c>
      <c r="C4018" s="9">
        <v>3.5</v>
      </c>
      <c r="D4018" s="13">
        <f t="shared" si="62"/>
        <v>3.5</v>
      </c>
    </row>
    <row r="4019" spans="1:4" x14ac:dyDescent="0.25">
      <c r="A4019" s="15">
        <f>Sheet2!A4019</f>
        <v>0</v>
      </c>
      <c r="B4019" s="8">
        <v>0</v>
      </c>
      <c r="C4019" s="9">
        <v>1.29</v>
      </c>
      <c r="D4019" s="13">
        <f t="shared" si="62"/>
        <v>1.29</v>
      </c>
    </row>
    <row r="4020" spans="1:4" x14ac:dyDescent="0.25">
      <c r="A4020" s="15">
        <f>Sheet2!A4020</f>
        <v>0</v>
      </c>
      <c r="B4020" s="8">
        <v>13.14</v>
      </c>
      <c r="C4020" s="9">
        <v>0</v>
      </c>
      <c r="D4020" s="13">
        <f t="shared" si="62"/>
        <v>13.14</v>
      </c>
    </row>
    <row r="4021" spans="1:4" x14ac:dyDescent="0.25">
      <c r="A4021" s="15">
        <f>Sheet2!A4021</f>
        <v>0</v>
      </c>
      <c r="B4021" s="8">
        <v>0</v>
      </c>
      <c r="C4021" s="9">
        <v>0.64</v>
      </c>
      <c r="D4021" s="13">
        <f t="shared" si="62"/>
        <v>0.64</v>
      </c>
    </row>
    <row r="4022" spans="1:4" x14ac:dyDescent="0.25">
      <c r="A4022" s="15">
        <f>Sheet2!A4022</f>
        <v>0</v>
      </c>
      <c r="B4022" s="8">
        <v>0</v>
      </c>
      <c r="C4022" s="9">
        <v>2.54</v>
      </c>
      <c r="D4022" s="13">
        <f t="shared" si="62"/>
        <v>2.54</v>
      </c>
    </row>
    <row r="4023" spans="1:4" x14ac:dyDescent="0.25">
      <c r="A4023" s="15">
        <f>Sheet2!A4023</f>
        <v>0</v>
      </c>
      <c r="B4023" s="8">
        <v>0</v>
      </c>
      <c r="C4023" s="9">
        <v>1.81</v>
      </c>
      <c r="D4023" s="13">
        <f t="shared" si="62"/>
        <v>1.81</v>
      </c>
    </row>
    <row r="4024" spans="1:4" x14ac:dyDescent="0.25">
      <c r="A4024" s="15">
        <f>Sheet2!A4024</f>
        <v>0</v>
      </c>
      <c r="B4024" s="8">
        <v>0</v>
      </c>
      <c r="C4024" s="9">
        <v>1.85</v>
      </c>
      <c r="D4024" s="13">
        <f t="shared" si="62"/>
        <v>1.85</v>
      </c>
    </row>
    <row r="4025" spans="1:4" x14ac:dyDescent="0.25">
      <c r="A4025" s="15">
        <f>Sheet2!A4025</f>
        <v>0</v>
      </c>
      <c r="B4025" s="8">
        <v>13.9</v>
      </c>
      <c r="C4025" s="9">
        <v>0</v>
      </c>
      <c r="D4025" s="13">
        <f t="shared" si="62"/>
        <v>13.9</v>
      </c>
    </row>
    <row r="4026" spans="1:4" x14ac:dyDescent="0.25">
      <c r="A4026" s="15">
        <f>Sheet2!A4026</f>
        <v>0</v>
      </c>
      <c r="B4026" s="8">
        <v>0</v>
      </c>
      <c r="C4026" s="9">
        <v>2.83</v>
      </c>
      <c r="D4026" s="13">
        <f t="shared" si="62"/>
        <v>2.83</v>
      </c>
    </row>
    <row r="4027" spans="1:4" x14ac:dyDescent="0.25">
      <c r="A4027" s="15">
        <f>Sheet2!A4027</f>
        <v>0</v>
      </c>
      <c r="B4027" s="8">
        <v>0</v>
      </c>
      <c r="C4027" s="9">
        <v>1.59</v>
      </c>
      <c r="D4027" s="13">
        <f t="shared" si="62"/>
        <v>1.59</v>
      </c>
    </row>
    <row r="4028" spans="1:4" x14ac:dyDescent="0.25">
      <c r="A4028" s="15">
        <f>Sheet2!A4028</f>
        <v>0</v>
      </c>
      <c r="B4028" s="8">
        <v>14.17</v>
      </c>
      <c r="C4028" s="9">
        <v>0</v>
      </c>
      <c r="D4028" s="13">
        <f t="shared" si="62"/>
        <v>14.17</v>
      </c>
    </row>
    <row r="4029" spans="1:4" x14ac:dyDescent="0.25">
      <c r="A4029" s="15">
        <f>Sheet2!A4029</f>
        <v>0</v>
      </c>
      <c r="B4029" s="8">
        <v>0</v>
      </c>
      <c r="C4029" s="9">
        <v>1.51</v>
      </c>
      <c r="D4029" s="13">
        <f t="shared" si="62"/>
        <v>1.51</v>
      </c>
    </row>
    <row r="4030" spans="1:4" x14ac:dyDescent="0.25">
      <c r="A4030" s="15">
        <f>Sheet2!A4030</f>
        <v>0</v>
      </c>
      <c r="B4030" s="8">
        <v>0</v>
      </c>
      <c r="C4030" s="9">
        <v>3.52</v>
      </c>
      <c r="D4030" s="13">
        <f t="shared" si="62"/>
        <v>3.52</v>
      </c>
    </row>
    <row r="4031" spans="1:4" x14ac:dyDescent="0.25">
      <c r="A4031" s="15">
        <f>Sheet2!A4031</f>
        <v>0</v>
      </c>
      <c r="B4031" s="8">
        <v>0</v>
      </c>
      <c r="C4031" s="9">
        <v>1.27</v>
      </c>
      <c r="D4031" s="13">
        <f t="shared" si="62"/>
        <v>1.27</v>
      </c>
    </row>
    <row r="4032" spans="1:4" x14ac:dyDescent="0.25">
      <c r="A4032" s="15">
        <f>Sheet2!A4032</f>
        <v>0</v>
      </c>
      <c r="B4032" s="8">
        <v>12.24</v>
      </c>
      <c r="C4032" s="9">
        <v>0</v>
      </c>
      <c r="D4032" s="13">
        <f t="shared" si="62"/>
        <v>12.24</v>
      </c>
    </row>
    <row r="4033" spans="1:4" x14ac:dyDescent="0.25">
      <c r="A4033" s="15">
        <f>Sheet2!A4033</f>
        <v>0</v>
      </c>
      <c r="B4033" s="8">
        <v>0</v>
      </c>
      <c r="C4033" s="9">
        <v>1.08</v>
      </c>
      <c r="D4033" s="13">
        <f t="shared" si="62"/>
        <v>1.08</v>
      </c>
    </row>
    <row r="4034" spans="1:4" x14ac:dyDescent="0.25">
      <c r="A4034" s="15">
        <f>Sheet2!A4034</f>
        <v>0</v>
      </c>
      <c r="B4034" s="8">
        <v>0</v>
      </c>
      <c r="C4034" s="9">
        <v>2.5499999999999998</v>
      </c>
      <c r="D4034" s="13">
        <f t="shared" si="62"/>
        <v>2.5499999999999998</v>
      </c>
    </row>
    <row r="4035" spans="1:4" x14ac:dyDescent="0.25">
      <c r="A4035" s="15">
        <f>Sheet2!A4035</f>
        <v>0</v>
      </c>
      <c r="B4035" s="8">
        <v>0</v>
      </c>
      <c r="C4035" s="9">
        <v>1.47</v>
      </c>
      <c r="D4035" s="13">
        <f t="shared" ref="D4035:D4098" si="63">B4035+C4035</f>
        <v>1.47</v>
      </c>
    </row>
    <row r="4036" spans="1:4" x14ac:dyDescent="0.25">
      <c r="A4036" s="15">
        <f>Sheet2!A4036</f>
        <v>0</v>
      </c>
      <c r="B4036" s="8">
        <v>10.039999999999999</v>
      </c>
      <c r="C4036" s="9">
        <v>0</v>
      </c>
      <c r="D4036" s="13">
        <f t="shared" si="63"/>
        <v>10.039999999999999</v>
      </c>
    </row>
    <row r="4037" spans="1:4" x14ac:dyDescent="0.25">
      <c r="A4037" s="15">
        <f>Sheet2!A4037</f>
        <v>0</v>
      </c>
      <c r="B4037" s="8">
        <v>7.35</v>
      </c>
      <c r="C4037" s="9">
        <v>0</v>
      </c>
      <c r="D4037" s="13">
        <f t="shared" si="63"/>
        <v>7.35</v>
      </c>
    </row>
    <row r="4038" spans="1:4" x14ac:dyDescent="0.25">
      <c r="A4038" s="15">
        <f>Sheet2!A4038</f>
        <v>0</v>
      </c>
      <c r="B4038" s="8">
        <v>0</v>
      </c>
      <c r="C4038" s="9">
        <v>2.87</v>
      </c>
      <c r="D4038" s="13">
        <f t="shared" si="63"/>
        <v>2.87</v>
      </c>
    </row>
    <row r="4039" spans="1:4" x14ac:dyDescent="0.25">
      <c r="A4039" s="15">
        <f>Sheet2!A4039</f>
        <v>0</v>
      </c>
      <c r="B4039" s="8">
        <v>0</v>
      </c>
      <c r="C4039" s="9">
        <v>1.1100000000000001</v>
      </c>
      <c r="D4039" s="13">
        <f t="shared" si="63"/>
        <v>1.1100000000000001</v>
      </c>
    </row>
    <row r="4040" spans="1:4" x14ac:dyDescent="0.25">
      <c r="A4040" s="15">
        <f>Sheet2!A4040</f>
        <v>0</v>
      </c>
      <c r="B4040" s="8">
        <v>11.72</v>
      </c>
      <c r="C4040" s="9">
        <v>0</v>
      </c>
      <c r="D4040" s="13">
        <f t="shared" si="63"/>
        <v>11.72</v>
      </c>
    </row>
    <row r="4041" spans="1:4" x14ac:dyDescent="0.25">
      <c r="A4041" s="15">
        <f>Sheet2!A4041</f>
        <v>0</v>
      </c>
      <c r="B4041" s="8">
        <v>0</v>
      </c>
      <c r="C4041" s="9">
        <v>0.86</v>
      </c>
      <c r="D4041" s="13">
        <f t="shared" si="63"/>
        <v>0.86</v>
      </c>
    </row>
    <row r="4042" spans="1:4" x14ac:dyDescent="0.25">
      <c r="A4042" s="15">
        <f>Sheet2!A4042</f>
        <v>0</v>
      </c>
      <c r="B4042" s="8">
        <v>0</v>
      </c>
      <c r="C4042" s="9">
        <v>2.84</v>
      </c>
      <c r="D4042" s="13">
        <f t="shared" si="63"/>
        <v>2.84</v>
      </c>
    </row>
    <row r="4043" spans="1:4" x14ac:dyDescent="0.25">
      <c r="A4043" s="15">
        <f>Sheet2!A4043</f>
        <v>0</v>
      </c>
      <c r="B4043" s="8">
        <v>0</v>
      </c>
      <c r="C4043" s="9">
        <v>3.95</v>
      </c>
      <c r="D4043" s="13">
        <f t="shared" si="63"/>
        <v>3.95</v>
      </c>
    </row>
    <row r="4044" spans="1:4" x14ac:dyDescent="0.25">
      <c r="A4044" s="15">
        <f>Sheet2!A4044</f>
        <v>0</v>
      </c>
      <c r="B4044" s="8">
        <v>0</v>
      </c>
      <c r="C4044" s="9">
        <v>3.71</v>
      </c>
      <c r="D4044" s="13">
        <f t="shared" si="63"/>
        <v>3.71</v>
      </c>
    </row>
    <row r="4045" spans="1:4" x14ac:dyDescent="0.25">
      <c r="A4045" s="15">
        <f>Sheet2!A4045</f>
        <v>0</v>
      </c>
      <c r="B4045" s="8">
        <v>0</v>
      </c>
      <c r="C4045" s="9">
        <v>1.68</v>
      </c>
      <c r="D4045" s="13">
        <f t="shared" si="63"/>
        <v>1.68</v>
      </c>
    </row>
    <row r="4046" spans="1:4" x14ac:dyDescent="0.25">
      <c r="A4046" s="15">
        <f>Sheet2!A4046</f>
        <v>0</v>
      </c>
      <c r="B4046" s="8">
        <v>13.94</v>
      </c>
      <c r="C4046" s="9">
        <v>0</v>
      </c>
      <c r="D4046" s="13">
        <f t="shared" si="63"/>
        <v>13.94</v>
      </c>
    </row>
    <row r="4047" spans="1:4" x14ac:dyDescent="0.25">
      <c r="A4047" s="15">
        <f>Sheet2!A4047</f>
        <v>0</v>
      </c>
      <c r="B4047" s="8">
        <v>0</v>
      </c>
      <c r="C4047" s="9">
        <v>2.21</v>
      </c>
      <c r="D4047" s="13">
        <f t="shared" si="63"/>
        <v>2.21</v>
      </c>
    </row>
    <row r="4048" spans="1:4" x14ac:dyDescent="0.25">
      <c r="A4048" s="15">
        <f>Sheet2!A4048</f>
        <v>0</v>
      </c>
      <c r="B4048" s="8">
        <v>0</v>
      </c>
      <c r="C4048" s="9">
        <v>3.65</v>
      </c>
      <c r="D4048" s="13">
        <f t="shared" si="63"/>
        <v>3.65</v>
      </c>
    </row>
    <row r="4049" spans="1:4" x14ac:dyDescent="0.25">
      <c r="A4049" s="15">
        <f>Sheet2!A4049</f>
        <v>0</v>
      </c>
      <c r="B4049" s="8">
        <v>0</v>
      </c>
      <c r="C4049" s="9">
        <v>1.25</v>
      </c>
      <c r="D4049" s="13">
        <f t="shared" si="63"/>
        <v>1.25</v>
      </c>
    </row>
    <row r="4050" spans="1:4" x14ac:dyDescent="0.25">
      <c r="A4050" s="15">
        <f>Sheet2!A4050</f>
        <v>0</v>
      </c>
      <c r="B4050" s="8">
        <v>0</v>
      </c>
      <c r="C4050" s="9">
        <v>0.21</v>
      </c>
      <c r="D4050" s="13">
        <f t="shared" si="63"/>
        <v>0.21</v>
      </c>
    </row>
    <row r="4051" spans="1:4" x14ac:dyDescent="0.25">
      <c r="A4051" s="15">
        <f>Sheet2!A4051</f>
        <v>0</v>
      </c>
      <c r="B4051" s="8">
        <v>0</v>
      </c>
      <c r="C4051" s="9">
        <v>1.66</v>
      </c>
      <c r="D4051" s="13">
        <f t="shared" si="63"/>
        <v>1.66</v>
      </c>
    </row>
    <row r="4052" spans="1:4" x14ac:dyDescent="0.25">
      <c r="A4052" s="15">
        <f>Sheet2!A4052</f>
        <v>0</v>
      </c>
      <c r="B4052" s="8">
        <v>0</v>
      </c>
      <c r="C4052" s="9">
        <v>3.17</v>
      </c>
      <c r="D4052" s="13">
        <f t="shared" si="63"/>
        <v>3.17</v>
      </c>
    </row>
    <row r="4053" spans="1:4" x14ac:dyDescent="0.25">
      <c r="A4053" s="15">
        <f>Sheet2!A4053</f>
        <v>0</v>
      </c>
      <c r="B4053" s="8">
        <v>0</v>
      </c>
      <c r="C4053" s="9">
        <v>1.46</v>
      </c>
      <c r="D4053" s="13">
        <f t="shared" si="63"/>
        <v>1.46</v>
      </c>
    </row>
    <row r="4054" spans="1:4" x14ac:dyDescent="0.25">
      <c r="A4054" s="15">
        <f>Sheet2!A4054</f>
        <v>0</v>
      </c>
      <c r="B4054" s="8">
        <v>12.55</v>
      </c>
      <c r="C4054" s="9">
        <v>0</v>
      </c>
      <c r="D4054" s="13">
        <f t="shared" si="63"/>
        <v>12.55</v>
      </c>
    </row>
    <row r="4055" spans="1:4" x14ac:dyDescent="0.25">
      <c r="A4055" s="15">
        <f>Sheet2!A4055</f>
        <v>0</v>
      </c>
      <c r="B4055" s="8">
        <v>0</v>
      </c>
      <c r="C4055" s="9">
        <v>1.75</v>
      </c>
      <c r="D4055" s="13">
        <f t="shared" si="63"/>
        <v>1.75</v>
      </c>
    </row>
    <row r="4056" spans="1:4" x14ac:dyDescent="0.25">
      <c r="A4056" s="15">
        <f>Sheet2!A4056</f>
        <v>0</v>
      </c>
      <c r="B4056" s="8">
        <v>0</v>
      </c>
      <c r="C4056" s="9">
        <v>3.15</v>
      </c>
      <c r="D4056" s="13">
        <f t="shared" si="63"/>
        <v>3.15</v>
      </c>
    </row>
    <row r="4057" spans="1:4" x14ac:dyDescent="0.25">
      <c r="A4057" s="15">
        <f>Sheet2!A4057</f>
        <v>0</v>
      </c>
      <c r="B4057" s="8">
        <v>0</v>
      </c>
      <c r="C4057" s="9">
        <v>0.87</v>
      </c>
      <c r="D4057" s="13">
        <f t="shared" si="63"/>
        <v>0.87</v>
      </c>
    </row>
    <row r="4058" spans="1:4" x14ac:dyDescent="0.25">
      <c r="A4058" s="15">
        <f>Sheet2!A4058</f>
        <v>0</v>
      </c>
      <c r="B4058" s="8">
        <v>10.67</v>
      </c>
      <c r="C4058" s="9">
        <v>0</v>
      </c>
      <c r="D4058" s="13">
        <f t="shared" si="63"/>
        <v>10.67</v>
      </c>
    </row>
    <row r="4059" spans="1:4" x14ac:dyDescent="0.25">
      <c r="A4059" s="15">
        <f>Sheet2!A4059</f>
        <v>0</v>
      </c>
      <c r="B4059" s="8">
        <v>0</v>
      </c>
      <c r="C4059" s="9">
        <v>0.79</v>
      </c>
      <c r="D4059" s="13">
        <f t="shared" si="63"/>
        <v>0.79</v>
      </c>
    </row>
    <row r="4060" spans="1:4" x14ac:dyDescent="0.25">
      <c r="A4060" s="15">
        <f>Sheet2!A4060</f>
        <v>0</v>
      </c>
      <c r="B4060" s="8">
        <v>0</v>
      </c>
      <c r="C4060" s="9">
        <v>2.04</v>
      </c>
      <c r="D4060" s="13">
        <f t="shared" si="63"/>
        <v>2.04</v>
      </c>
    </row>
    <row r="4061" spans="1:4" x14ac:dyDescent="0.25">
      <c r="A4061" s="15">
        <f>Sheet2!A4061</f>
        <v>0</v>
      </c>
      <c r="B4061" s="8">
        <v>0</v>
      </c>
      <c r="C4061" s="9">
        <v>1.03</v>
      </c>
      <c r="D4061" s="13">
        <f t="shared" si="63"/>
        <v>1.03</v>
      </c>
    </row>
    <row r="4062" spans="1:4" x14ac:dyDescent="0.25">
      <c r="A4062" s="15">
        <f>Sheet2!A4062</f>
        <v>0</v>
      </c>
      <c r="B4062" s="8">
        <v>10.39</v>
      </c>
      <c r="C4062" s="9">
        <v>0</v>
      </c>
      <c r="D4062" s="13">
        <f t="shared" si="63"/>
        <v>10.39</v>
      </c>
    </row>
    <row r="4063" spans="1:4" x14ac:dyDescent="0.25">
      <c r="A4063" s="15">
        <f>Sheet2!A4063</f>
        <v>0</v>
      </c>
      <c r="B4063" s="8">
        <v>0</v>
      </c>
      <c r="C4063" s="9">
        <v>1.1499999999999999</v>
      </c>
      <c r="D4063" s="13">
        <f t="shared" si="63"/>
        <v>1.1499999999999999</v>
      </c>
    </row>
    <row r="4064" spans="1:4" x14ac:dyDescent="0.25">
      <c r="A4064" s="15">
        <f>Sheet2!A4064</f>
        <v>0</v>
      </c>
      <c r="B4064" s="8">
        <v>0</v>
      </c>
      <c r="C4064" s="9">
        <v>2.2200000000000002</v>
      </c>
      <c r="D4064" s="13">
        <f t="shared" si="63"/>
        <v>2.2200000000000002</v>
      </c>
    </row>
    <row r="4065" spans="1:4" x14ac:dyDescent="0.25">
      <c r="A4065" s="15">
        <f>Sheet2!A4065</f>
        <v>0</v>
      </c>
      <c r="B4065" s="8">
        <v>0</v>
      </c>
      <c r="C4065" s="9">
        <v>1.61</v>
      </c>
      <c r="D4065" s="13">
        <f t="shared" si="63"/>
        <v>1.61</v>
      </c>
    </row>
    <row r="4066" spans="1:4" x14ac:dyDescent="0.25">
      <c r="A4066" s="15">
        <f>Sheet2!A4066</f>
        <v>0</v>
      </c>
      <c r="B4066" s="8">
        <v>10.78</v>
      </c>
      <c r="C4066" s="9">
        <v>0</v>
      </c>
      <c r="D4066" s="13">
        <f t="shared" si="63"/>
        <v>10.78</v>
      </c>
    </row>
    <row r="4067" spans="1:4" x14ac:dyDescent="0.25">
      <c r="A4067" s="15">
        <f>Sheet2!A4067</f>
        <v>0</v>
      </c>
      <c r="B4067" s="8">
        <v>10.48</v>
      </c>
      <c r="C4067" s="9">
        <v>0</v>
      </c>
      <c r="D4067" s="13">
        <f t="shared" si="63"/>
        <v>10.48</v>
      </c>
    </row>
    <row r="4068" spans="1:4" x14ac:dyDescent="0.25">
      <c r="A4068" s="15">
        <f>Sheet2!A4068</f>
        <v>0</v>
      </c>
      <c r="B4068" s="8">
        <v>10.64</v>
      </c>
      <c r="C4068" s="9">
        <v>0</v>
      </c>
      <c r="D4068" s="13">
        <f t="shared" si="63"/>
        <v>10.64</v>
      </c>
    </row>
    <row r="4069" spans="1:4" x14ac:dyDescent="0.25">
      <c r="A4069" s="15">
        <f>Sheet2!A4069</f>
        <v>0</v>
      </c>
      <c r="B4069" s="8">
        <v>0</v>
      </c>
      <c r="C4069" s="9">
        <v>1.7</v>
      </c>
      <c r="D4069" s="13">
        <f t="shared" si="63"/>
        <v>1.7</v>
      </c>
    </row>
    <row r="4070" spans="1:4" x14ac:dyDescent="0.25">
      <c r="A4070" s="15">
        <f>Sheet2!A4070</f>
        <v>0</v>
      </c>
      <c r="B4070" s="8">
        <v>0</v>
      </c>
      <c r="C4070" s="9">
        <v>2.39</v>
      </c>
      <c r="D4070" s="13">
        <f t="shared" si="63"/>
        <v>2.39</v>
      </c>
    </row>
    <row r="4071" spans="1:4" x14ac:dyDescent="0.25">
      <c r="A4071" s="15">
        <f>Sheet2!A4071</f>
        <v>0</v>
      </c>
      <c r="B4071" s="8">
        <v>0</v>
      </c>
      <c r="C4071" s="9">
        <v>0.97</v>
      </c>
      <c r="D4071" s="13">
        <f t="shared" si="63"/>
        <v>0.97</v>
      </c>
    </row>
    <row r="4072" spans="1:4" x14ac:dyDescent="0.25">
      <c r="A4072" s="15">
        <f>Sheet2!A4072</f>
        <v>0</v>
      </c>
      <c r="B4072" s="8">
        <v>11.96</v>
      </c>
      <c r="C4072" s="9">
        <v>0</v>
      </c>
      <c r="D4072" s="13">
        <f t="shared" si="63"/>
        <v>11.96</v>
      </c>
    </row>
    <row r="4073" spans="1:4" x14ac:dyDescent="0.25">
      <c r="A4073" s="15">
        <f>Sheet2!A4073</f>
        <v>0</v>
      </c>
      <c r="B4073" s="8">
        <v>0</v>
      </c>
      <c r="C4073" s="9">
        <v>1.91</v>
      </c>
      <c r="D4073" s="13">
        <f t="shared" si="63"/>
        <v>1.91</v>
      </c>
    </row>
    <row r="4074" spans="1:4" x14ac:dyDescent="0.25">
      <c r="A4074" s="15">
        <f>Sheet2!A4074</f>
        <v>0</v>
      </c>
      <c r="B4074" s="8">
        <v>0</v>
      </c>
      <c r="C4074" s="9">
        <v>3.41</v>
      </c>
      <c r="D4074" s="13">
        <f t="shared" si="63"/>
        <v>3.41</v>
      </c>
    </row>
    <row r="4075" spans="1:4" x14ac:dyDescent="0.25">
      <c r="A4075" s="15">
        <f>Sheet2!A4075</f>
        <v>0</v>
      </c>
      <c r="B4075" s="8">
        <v>0</v>
      </c>
      <c r="C4075" s="9">
        <v>1.21</v>
      </c>
      <c r="D4075" s="13">
        <f t="shared" si="63"/>
        <v>1.21</v>
      </c>
    </row>
    <row r="4076" spans="1:4" x14ac:dyDescent="0.25">
      <c r="A4076" s="15">
        <f>Sheet2!A4076</f>
        <v>0</v>
      </c>
      <c r="B4076" s="8">
        <v>15.2</v>
      </c>
      <c r="C4076" s="9">
        <v>0</v>
      </c>
      <c r="D4076" s="13">
        <f t="shared" si="63"/>
        <v>15.2</v>
      </c>
    </row>
    <row r="4077" spans="1:4" x14ac:dyDescent="0.25">
      <c r="A4077" s="15">
        <f>Sheet2!A4077</f>
        <v>0</v>
      </c>
      <c r="B4077" s="8">
        <v>0</v>
      </c>
      <c r="C4077" s="9">
        <v>2.04</v>
      </c>
      <c r="D4077" s="13">
        <f t="shared" si="63"/>
        <v>2.04</v>
      </c>
    </row>
    <row r="4078" spans="1:4" x14ac:dyDescent="0.25">
      <c r="A4078" s="15">
        <f>Sheet2!A4078</f>
        <v>0</v>
      </c>
      <c r="B4078" s="8">
        <v>0</v>
      </c>
      <c r="C4078" s="9">
        <v>3.79</v>
      </c>
      <c r="D4078" s="13">
        <f t="shared" si="63"/>
        <v>3.79</v>
      </c>
    </row>
    <row r="4079" spans="1:4" x14ac:dyDescent="0.25">
      <c r="A4079" s="15">
        <f>Sheet2!A4079</f>
        <v>0</v>
      </c>
      <c r="B4079" s="8">
        <v>0</v>
      </c>
      <c r="C4079" s="9">
        <v>3.39</v>
      </c>
      <c r="D4079" s="13">
        <f t="shared" si="63"/>
        <v>3.39</v>
      </c>
    </row>
    <row r="4080" spans="1:4" x14ac:dyDescent="0.25">
      <c r="A4080" s="15">
        <f>Sheet2!A4080</f>
        <v>0</v>
      </c>
      <c r="B4080" s="8">
        <v>0</v>
      </c>
      <c r="C4080" s="9">
        <v>2.8</v>
      </c>
      <c r="D4080" s="13">
        <f t="shared" si="63"/>
        <v>2.8</v>
      </c>
    </row>
    <row r="4081" spans="1:4" x14ac:dyDescent="0.25">
      <c r="A4081" s="15">
        <f>Sheet2!A4081</f>
        <v>0</v>
      </c>
      <c r="B4081" s="8">
        <v>0</v>
      </c>
      <c r="C4081" s="9">
        <v>0.89</v>
      </c>
      <c r="D4081" s="13">
        <f t="shared" si="63"/>
        <v>0.89</v>
      </c>
    </row>
    <row r="4082" spans="1:4" x14ac:dyDescent="0.25">
      <c r="A4082" s="15">
        <f>Sheet2!A4082</f>
        <v>0</v>
      </c>
      <c r="B4082" s="8">
        <v>11</v>
      </c>
      <c r="C4082" s="9">
        <v>0</v>
      </c>
      <c r="D4082" s="13">
        <f t="shared" si="63"/>
        <v>11</v>
      </c>
    </row>
    <row r="4083" spans="1:4" x14ac:dyDescent="0.25">
      <c r="A4083" s="15">
        <f>Sheet2!A4083</f>
        <v>0</v>
      </c>
      <c r="B4083" s="8">
        <v>0</v>
      </c>
      <c r="C4083" s="9">
        <v>1.64</v>
      </c>
      <c r="D4083" s="13">
        <f t="shared" si="63"/>
        <v>1.64</v>
      </c>
    </row>
    <row r="4084" spans="1:4" x14ac:dyDescent="0.25">
      <c r="A4084" s="15">
        <f>Sheet2!A4084</f>
        <v>0</v>
      </c>
      <c r="B4084" s="8">
        <v>0</v>
      </c>
      <c r="C4084" s="9">
        <v>2.73</v>
      </c>
      <c r="D4084" s="13">
        <f t="shared" si="63"/>
        <v>2.73</v>
      </c>
    </row>
    <row r="4085" spans="1:4" x14ac:dyDescent="0.25">
      <c r="A4085" s="15">
        <f>Sheet2!A4085</f>
        <v>0</v>
      </c>
      <c r="B4085" s="8">
        <v>0</v>
      </c>
      <c r="C4085" s="9">
        <v>0.93</v>
      </c>
      <c r="D4085" s="13">
        <f t="shared" si="63"/>
        <v>0.93</v>
      </c>
    </row>
    <row r="4086" spans="1:4" x14ac:dyDescent="0.25">
      <c r="A4086" s="15">
        <f>Sheet2!A4086</f>
        <v>0</v>
      </c>
      <c r="B4086" s="8">
        <v>10.029999999999999</v>
      </c>
      <c r="C4086" s="9">
        <v>0</v>
      </c>
      <c r="D4086" s="13">
        <f t="shared" si="63"/>
        <v>10.029999999999999</v>
      </c>
    </row>
    <row r="4087" spans="1:4" x14ac:dyDescent="0.25">
      <c r="A4087" s="15">
        <f>Sheet2!A4087</f>
        <v>0</v>
      </c>
      <c r="B4087" s="8">
        <v>0</v>
      </c>
      <c r="C4087" s="9">
        <v>1.1200000000000001</v>
      </c>
      <c r="D4087" s="13">
        <f t="shared" si="63"/>
        <v>1.1200000000000001</v>
      </c>
    </row>
    <row r="4088" spans="1:4" x14ac:dyDescent="0.25">
      <c r="A4088" s="15">
        <f>Sheet2!A4088</f>
        <v>0</v>
      </c>
      <c r="B4088" s="8">
        <v>0</v>
      </c>
      <c r="C4088" s="9">
        <v>2.78</v>
      </c>
      <c r="D4088" s="13">
        <f t="shared" si="63"/>
        <v>2.78</v>
      </c>
    </row>
    <row r="4089" spans="1:4" x14ac:dyDescent="0.25">
      <c r="A4089" s="15">
        <f>Sheet2!A4089</f>
        <v>0</v>
      </c>
      <c r="B4089" s="8">
        <v>0</v>
      </c>
      <c r="C4089" s="9">
        <v>2.23</v>
      </c>
      <c r="D4089" s="13">
        <f t="shared" si="63"/>
        <v>2.23</v>
      </c>
    </row>
    <row r="4090" spans="1:4" x14ac:dyDescent="0.25">
      <c r="A4090" s="15">
        <f>Sheet2!A4090</f>
        <v>0</v>
      </c>
      <c r="B4090" s="8">
        <v>0</v>
      </c>
      <c r="C4090" s="9">
        <v>3.48</v>
      </c>
      <c r="D4090" s="13">
        <f t="shared" si="63"/>
        <v>3.48</v>
      </c>
    </row>
    <row r="4091" spans="1:4" x14ac:dyDescent="0.25">
      <c r="A4091" s="15">
        <f>Sheet2!A4091</f>
        <v>0</v>
      </c>
      <c r="B4091" s="8">
        <v>0</v>
      </c>
      <c r="C4091" s="9">
        <v>1.27</v>
      </c>
      <c r="D4091" s="13">
        <f t="shared" si="63"/>
        <v>1.27</v>
      </c>
    </row>
    <row r="4092" spans="1:4" x14ac:dyDescent="0.25">
      <c r="A4092" s="15">
        <f>Sheet2!A4092</f>
        <v>0</v>
      </c>
      <c r="B4092" s="8">
        <v>10.29</v>
      </c>
      <c r="C4092" s="9">
        <v>0</v>
      </c>
      <c r="D4092" s="13">
        <f t="shared" si="63"/>
        <v>10.29</v>
      </c>
    </row>
    <row r="4093" spans="1:4" x14ac:dyDescent="0.25">
      <c r="A4093" s="15">
        <f>Sheet2!A4093</f>
        <v>0</v>
      </c>
      <c r="B4093" s="8">
        <v>0</v>
      </c>
      <c r="C4093" s="9">
        <v>1.1000000000000001</v>
      </c>
      <c r="D4093" s="13">
        <f t="shared" si="63"/>
        <v>1.1000000000000001</v>
      </c>
    </row>
    <row r="4094" spans="1:4" x14ac:dyDescent="0.25">
      <c r="A4094" s="15">
        <f>Sheet2!A4094</f>
        <v>0</v>
      </c>
      <c r="B4094" s="8">
        <v>0</v>
      </c>
      <c r="C4094" s="9">
        <v>2.76</v>
      </c>
      <c r="D4094" s="13">
        <f t="shared" si="63"/>
        <v>2.76</v>
      </c>
    </row>
    <row r="4095" spans="1:4" x14ac:dyDescent="0.25">
      <c r="A4095" s="15">
        <f>Sheet2!A4095</f>
        <v>0</v>
      </c>
      <c r="B4095" s="8">
        <v>0</v>
      </c>
      <c r="C4095" s="9">
        <v>2.59</v>
      </c>
      <c r="D4095" s="13">
        <f t="shared" si="63"/>
        <v>2.59</v>
      </c>
    </row>
    <row r="4096" spans="1:4" x14ac:dyDescent="0.25">
      <c r="A4096" s="15">
        <f>Sheet2!A4096</f>
        <v>0</v>
      </c>
      <c r="B4096" s="8">
        <v>0</v>
      </c>
      <c r="C4096" s="9">
        <v>3.37</v>
      </c>
      <c r="D4096" s="13">
        <f t="shared" si="63"/>
        <v>3.37</v>
      </c>
    </row>
    <row r="4097" spans="1:4" x14ac:dyDescent="0.25">
      <c r="A4097" s="15">
        <f>Sheet2!A4097</f>
        <v>0</v>
      </c>
      <c r="B4097" s="8">
        <v>0</v>
      </c>
      <c r="C4097" s="9">
        <v>1.01</v>
      </c>
      <c r="D4097" s="13">
        <f t="shared" si="63"/>
        <v>1.01</v>
      </c>
    </row>
    <row r="4098" spans="1:4" x14ac:dyDescent="0.25">
      <c r="A4098" s="15">
        <f>Sheet2!A4098</f>
        <v>0</v>
      </c>
      <c r="B4098" s="8">
        <v>13.08</v>
      </c>
      <c r="C4098" s="9">
        <v>0</v>
      </c>
      <c r="D4098" s="13">
        <f t="shared" si="63"/>
        <v>13.08</v>
      </c>
    </row>
    <row r="4099" spans="1:4" x14ac:dyDescent="0.25">
      <c r="A4099" s="15">
        <f>Sheet2!A4099</f>
        <v>0</v>
      </c>
      <c r="B4099" s="8">
        <v>0</v>
      </c>
      <c r="C4099" s="9">
        <v>2.16</v>
      </c>
      <c r="D4099" s="13">
        <f t="shared" ref="D4099:D4162" si="64">B4099+C4099</f>
        <v>2.16</v>
      </c>
    </row>
    <row r="4100" spans="1:4" x14ac:dyDescent="0.25">
      <c r="A4100" s="15">
        <f>Sheet2!A4100</f>
        <v>0</v>
      </c>
      <c r="B4100" s="8">
        <v>0</v>
      </c>
      <c r="C4100" s="9">
        <v>1.95</v>
      </c>
      <c r="D4100" s="13">
        <f t="shared" si="64"/>
        <v>1.95</v>
      </c>
    </row>
    <row r="4101" spans="1:4" x14ac:dyDescent="0.25">
      <c r="A4101" s="15">
        <f>Sheet2!A4101</f>
        <v>0</v>
      </c>
      <c r="B4101" s="8">
        <v>0</v>
      </c>
      <c r="C4101" s="9">
        <v>0.44</v>
      </c>
      <c r="D4101" s="13">
        <f t="shared" si="64"/>
        <v>0.44</v>
      </c>
    </row>
    <row r="4102" spans="1:4" x14ac:dyDescent="0.25">
      <c r="A4102" s="15">
        <f>Sheet2!A4102</f>
        <v>0</v>
      </c>
      <c r="B4102" s="8">
        <v>13.54</v>
      </c>
      <c r="C4102" s="9">
        <v>0</v>
      </c>
      <c r="D4102" s="13">
        <f t="shared" si="64"/>
        <v>13.54</v>
      </c>
    </row>
    <row r="4103" spans="1:4" x14ac:dyDescent="0.25">
      <c r="A4103" s="15">
        <f>Sheet2!A4103</f>
        <v>0</v>
      </c>
      <c r="B4103" s="8">
        <v>0</v>
      </c>
      <c r="C4103" s="9">
        <v>2.1800000000000002</v>
      </c>
      <c r="D4103" s="13">
        <f t="shared" si="64"/>
        <v>2.1800000000000002</v>
      </c>
    </row>
    <row r="4104" spans="1:4" x14ac:dyDescent="0.25">
      <c r="A4104" s="15">
        <f>Sheet2!A4104</f>
        <v>0</v>
      </c>
      <c r="B4104" s="8">
        <v>0</v>
      </c>
      <c r="C4104" s="9">
        <v>2.64</v>
      </c>
      <c r="D4104" s="13">
        <f t="shared" si="64"/>
        <v>2.64</v>
      </c>
    </row>
    <row r="4105" spans="1:4" x14ac:dyDescent="0.25">
      <c r="A4105" s="15">
        <f>Sheet2!A4105</f>
        <v>0</v>
      </c>
      <c r="B4105" s="8">
        <v>0</v>
      </c>
      <c r="C4105" s="9">
        <v>0.59</v>
      </c>
      <c r="D4105" s="13">
        <f t="shared" si="64"/>
        <v>0.59</v>
      </c>
    </row>
    <row r="4106" spans="1:4" x14ac:dyDescent="0.25">
      <c r="A4106" s="15">
        <f>Sheet2!A4106</f>
        <v>0</v>
      </c>
      <c r="B4106" s="8">
        <v>9.89</v>
      </c>
      <c r="C4106" s="9">
        <v>0</v>
      </c>
      <c r="D4106" s="13">
        <f t="shared" si="64"/>
        <v>9.89</v>
      </c>
    </row>
    <row r="4107" spans="1:4" x14ac:dyDescent="0.25">
      <c r="A4107" s="15">
        <f>Sheet2!A4107</f>
        <v>0</v>
      </c>
      <c r="B4107" s="8">
        <v>0</v>
      </c>
      <c r="C4107" s="9">
        <v>1.93</v>
      </c>
      <c r="D4107" s="13">
        <f t="shared" si="64"/>
        <v>1.93</v>
      </c>
    </row>
    <row r="4108" spans="1:4" x14ac:dyDescent="0.25">
      <c r="A4108" s="15">
        <f>Sheet2!A4108</f>
        <v>0</v>
      </c>
      <c r="B4108" s="8">
        <v>0</v>
      </c>
      <c r="C4108" s="9">
        <v>0.47</v>
      </c>
      <c r="D4108" s="13">
        <f t="shared" si="64"/>
        <v>0.47</v>
      </c>
    </row>
    <row r="4109" spans="1:4" x14ac:dyDescent="0.25">
      <c r="A4109" s="15">
        <f>Sheet2!A4109</f>
        <v>0</v>
      </c>
      <c r="B4109" s="8">
        <v>9</v>
      </c>
      <c r="C4109" s="9">
        <v>0</v>
      </c>
      <c r="D4109" s="13">
        <f t="shared" si="64"/>
        <v>9</v>
      </c>
    </row>
    <row r="4110" spans="1:4" x14ac:dyDescent="0.25">
      <c r="A4110" s="15">
        <f>Sheet2!A4110</f>
        <v>0</v>
      </c>
      <c r="B4110" s="8">
        <v>9.6199999999999992</v>
      </c>
      <c r="C4110" s="9">
        <v>0</v>
      </c>
      <c r="D4110" s="13">
        <f t="shared" si="64"/>
        <v>9.6199999999999992</v>
      </c>
    </row>
    <row r="4111" spans="1:4" x14ac:dyDescent="0.25">
      <c r="A4111" s="15">
        <f>Sheet2!A4111</f>
        <v>0</v>
      </c>
      <c r="B4111" s="8">
        <v>8.41</v>
      </c>
      <c r="C4111" s="9">
        <v>0</v>
      </c>
      <c r="D4111" s="13">
        <f t="shared" si="64"/>
        <v>8.41</v>
      </c>
    </row>
    <row r="4112" spans="1:4" x14ac:dyDescent="0.25">
      <c r="A4112" s="15">
        <f>Sheet2!A4112</f>
        <v>0</v>
      </c>
      <c r="B4112" s="8">
        <v>6.18</v>
      </c>
      <c r="C4112" s="9">
        <v>0</v>
      </c>
      <c r="D4112" s="13">
        <f t="shared" si="64"/>
        <v>6.18</v>
      </c>
    </row>
    <row r="4113" spans="1:4" x14ac:dyDescent="0.25">
      <c r="A4113" s="15">
        <f>Sheet2!A4113</f>
        <v>0</v>
      </c>
      <c r="B4113" s="8">
        <v>0</v>
      </c>
      <c r="C4113" s="9">
        <v>0.98</v>
      </c>
      <c r="D4113" s="13">
        <f t="shared" si="64"/>
        <v>0.98</v>
      </c>
    </row>
    <row r="4114" spans="1:4" x14ac:dyDescent="0.25">
      <c r="A4114" s="15">
        <f>Sheet2!A4114</f>
        <v>0</v>
      </c>
      <c r="B4114" s="8">
        <v>0</v>
      </c>
      <c r="C4114" s="9">
        <v>1.19</v>
      </c>
      <c r="D4114" s="13">
        <f t="shared" si="64"/>
        <v>1.19</v>
      </c>
    </row>
    <row r="4115" spans="1:4" x14ac:dyDescent="0.25">
      <c r="A4115" s="15">
        <f>Sheet2!A4115</f>
        <v>0</v>
      </c>
      <c r="B4115" s="8">
        <v>0</v>
      </c>
      <c r="C4115" s="9">
        <v>1.49</v>
      </c>
      <c r="D4115" s="13">
        <f t="shared" si="64"/>
        <v>1.49</v>
      </c>
    </row>
    <row r="4116" spans="1:4" x14ac:dyDescent="0.25">
      <c r="A4116" s="15">
        <f>Sheet2!A4116</f>
        <v>0</v>
      </c>
      <c r="B4116" s="8">
        <v>0</v>
      </c>
      <c r="C4116" s="9">
        <v>2.09</v>
      </c>
      <c r="D4116" s="13">
        <f t="shared" si="64"/>
        <v>2.09</v>
      </c>
    </row>
    <row r="4117" spans="1:4" x14ac:dyDescent="0.25">
      <c r="A4117" s="15">
        <f>Sheet2!A4117</f>
        <v>0</v>
      </c>
      <c r="B4117" s="8">
        <v>0</v>
      </c>
      <c r="C4117" s="9">
        <v>1.1299999999999999</v>
      </c>
      <c r="D4117" s="13">
        <f t="shared" si="64"/>
        <v>1.1299999999999999</v>
      </c>
    </row>
    <row r="4118" spans="1:4" x14ac:dyDescent="0.25">
      <c r="A4118" s="15">
        <f>Sheet2!A4118</f>
        <v>0</v>
      </c>
      <c r="B4118" s="8">
        <v>14.33</v>
      </c>
      <c r="C4118" s="9">
        <v>0</v>
      </c>
      <c r="D4118" s="13">
        <f t="shared" si="64"/>
        <v>14.33</v>
      </c>
    </row>
    <row r="4119" spans="1:4" x14ac:dyDescent="0.25">
      <c r="A4119" s="15">
        <f>Sheet2!A4119</f>
        <v>0</v>
      </c>
      <c r="B4119" s="8">
        <v>0</v>
      </c>
      <c r="C4119" s="9">
        <v>1.03</v>
      </c>
      <c r="D4119" s="13">
        <f t="shared" si="64"/>
        <v>1.03</v>
      </c>
    </row>
    <row r="4120" spans="1:4" x14ac:dyDescent="0.25">
      <c r="A4120" s="15">
        <f>Sheet2!A4120</f>
        <v>0</v>
      </c>
      <c r="B4120" s="8">
        <v>0</v>
      </c>
      <c r="C4120" s="9">
        <v>2.06</v>
      </c>
      <c r="D4120" s="13">
        <f t="shared" si="64"/>
        <v>2.06</v>
      </c>
    </row>
    <row r="4121" spans="1:4" x14ac:dyDescent="0.25">
      <c r="A4121" s="15">
        <f>Sheet2!A4121</f>
        <v>0</v>
      </c>
      <c r="B4121" s="8">
        <v>0</v>
      </c>
      <c r="C4121" s="9">
        <v>0.96</v>
      </c>
      <c r="D4121" s="13">
        <f t="shared" si="64"/>
        <v>0.96</v>
      </c>
    </row>
    <row r="4122" spans="1:4" x14ac:dyDescent="0.25">
      <c r="A4122" s="15">
        <f>Sheet2!A4122</f>
        <v>0</v>
      </c>
      <c r="B4122" s="8">
        <v>15.72</v>
      </c>
      <c r="C4122" s="9">
        <v>0</v>
      </c>
      <c r="D4122" s="13">
        <f t="shared" si="64"/>
        <v>15.72</v>
      </c>
    </row>
    <row r="4123" spans="1:4" x14ac:dyDescent="0.25">
      <c r="A4123" s="15">
        <f>Sheet2!A4123</f>
        <v>0</v>
      </c>
      <c r="B4123" s="8">
        <v>0</v>
      </c>
      <c r="C4123" s="9">
        <v>1</v>
      </c>
      <c r="D4123" s="13">
        <f t="shared" si="64"/>
        <v>1</v>
      </c>
    </row>
    <row r="4124" spans="1:4" x14ac:dyDescent="0.25">
      <c r="A4124" s="15">
        <f>Sheet2!A4124</f>
        <v>0</v>
      </c>
      <c r="B4124" s="8">
        <v>0</v>
      </c>
      <c r="C4124" s="9">
        <v>2.76</v>
      </c>
      <c r="D4124" s="13">
        <f t="shared" si="64"/>
        <v>2.76</v>
      </c>
    </row>
    <row r="4125" spans="1:4" x14ac:dyDescent="0.25">
      <c r="A4125" s="15">
        <f>Sheet2!A4125</f>
        <v>0</v>
      </c>
      <c r="B4125" s="8">
        <v>0</v>
      </c>
      <c r="C4125" s="9">
        <v>1.63</v>
      </c>
      <c r="D4125" s="13">
        <f t="shared" si="64"/>
        <v>1.63</v>
      </c>
    </row>
    <row r="4126" spans="1:4" x14ac:dyDescent="0.25">
      <c r="A4126" s="15">
        <f>Sheet2!A4126</f>
        <v>0</v>
      </c>
      <c r="B4126" s="8">
        <v>12.89</v>
      </c>
      <c r="C4126" s="9">
        <v>0</v>
      </c>
      <c r="D4126" s="13">
        <f t="shared" si="64"/>
        <v>12.89</v>
      </c>
    </row>
    <row r="4127" spans="1:4" x14ac:dyDescent="0.25">
      <c r="A4127" s="15">
        <f>Sheet2!A4127</f>
        <v>0</v>
      </c>
      <c r="B4127" s="8">
        <v>0</v>
      </c>
      <c r="C4127" s="9">
        <v>1.17</v>
      </c>
      <c r="D4127" s="13">
        <f t="shared" si="64"/>
        <v>1.17</v>
      </c>
    </row>
    <row r="4128" spans="1:4" x14ac:dyDescent="0.25">
      <c r="A4128" s="15">
        <f>Sheet2!A4128</f>
        <v>0</v>
      </c>
      <c r="B4128" s="8">
        <v>0</v>
      </c>
      <c r="C4128" s="9">
        <v>2.04</v>
      </c>
      <c r="D4128" s="13">
        <f t="shared" si="64"/>
        <v>2.04</v>
      </c>
    </row>
    <row r="4129" spans="1:4" x14ac:dyDescent="0.25">
      <c r="A4129" s="15">
        <f>Sheet2!A4129</f>
        <v>0</v>
      </c>
      <c r="B4129" s="8">
        <v>0</v>
      </c>
      <c r="C4129" s="9">
        <v>0.97</v>
      </c>
      <c r="D4129" s="13">
        <f t="shared" si="64"/>
        <v>0.97</v>
      </c>
    </row>
    <row r="4130" spans="1:4" x14ac:dyDescent="0.25">
      <c r="A4130" s="15">
        <f>Sheet2!A4130</f>
        <v>0</v>
      </c>
      <c r="B4130" s="8">
        <v>10.53</v>
      </c>
      <c r="C4130" s="9">
        <v>0</v>
      </c>
      <c r="D4130" s="13">
        <f t="shared" si="64"/>
        <v>10.53</v>
      </c>
    </row>
    <row r="4131" spans="1:4" x14ac:dyDescent="0.25">
      <c r="A4131" s="15">
        <f>Sheet2!A4131</f>
        <v>0</v>
      </c>
      <c r="B4131" s="8">
        <v>0</v>
      </c>
      <c r="C4131" s="9">
        <v>1.35</v>
      </c>
      <c r="D4131" s="13">
        <f t="shared" si="64"/>
        <v>1.35</v>
      </c>
    </row>
    <row r="4132" spans="1:4" x14ac:dyDescent="0.25">
      <c r="A4132" s="15">
        <f>Sheet2!A4132</f>
        <v>0</v>
      </c>
      <c r="B4132" s="8">
        <v>0</v>
      </c>
      <c r="C4132" s="9">
        <v>2.33</v>
      </c>
      <c r="D4132" s="13">
        <f t="shared" si="64"/>
        <v>2.33</v>
      </c>
    </row>
    <row r="4133" spans="1:4" x14ac:dyDescent="0.25">
      <c r="A4133" s="15">
        <f>Sheet2!A4133</f>
        <v>0</v>
      </c>
      <c r="B4133" s="8">
        <v>0</v>
      </c>
      <c r="C4133" s="9">
        <v>0.86</v>
      </c>
      <c r="D4133" s="13">
        <f t="shared" si="64"/>
        <v>0.86</v>
      </c>
    </row>
    <row r="4134" spans="1:4" x14ac:dyDescent="0.25">
      <c r="A4134" s="15">
        <f>Sheet2!A4134</f>
        <v>0</v>
      </c>
      <c r="B4134" s="8">
        <v>10.220000000000001</v>
      </c>
      <c r="C4134" s="9">
        <v>0</v>
      </c>
      <c r="D4134" s="13">
        <f t="shared" si="64"/>
        <v>10.220000000000001</v>
      </c>
    </row>
    <row r="4135" spans="1:4" x14ac:dyDescent="0.25">
      <c r="A4135" s="15">
        <f>Sheet2!A4135</f>
        <v>0</v>
      </c>
      <c r="B4135" s="8">
        <v>10.62</v>
      </c>
      <c r="C4135" s="9">
        <v>0</v>
      </c>
      <c r="D4135" s="13">
        <f t="shared" si="64"/>
        <v>10.62</v>
      </c>
    </row>
    <row r="4136" spans="1:4" x14ac:dyDescent="0.25">
      <c r="A4136" s="15">
        <f>Sheet2!A4136</f>
        <v>0</v>
      </c>
      <c r="B4136" s="8">
        <v>10.72</v>
      </c>
      <c r="C4136" s="9">
        <v>0</v>
      </c>
      <c r="D4136" s="13">
        <f t="shared" si="64"/>
        <v>10.72</v>
      </c>
    </row>
    <row r="4137" spans="1:4" x14ac:dyDescent="0.25">
      <c r="A4137" s="15">
        <f>Sheet2!A4137</f>
        <v>0</v>
      </c>
      <c r="B4137" s="8">
        <v>0</v>
      </c>
      <c r="C4137" s="9">
        <v>1.96</v>
      </c>
      <c r="D4137" s="13">
        <f t="shared" si="64"/>
        <v>1.96</v>
      </c>
    </row>
    <row r="4138" spans="1:4" x14ac:dyDescent="0.25">
      <c r="A4138" s="15">
        <f>Sheet2!A4138</f>
        <v>0</v>
      </c>
      <c r="B4138" s="8">
        <v>0</v>
      </c>
      <c r="C4138" s="9">
        <v>3.21</v>
      </c>
      <c r="D4138" s="13">
        <f t="shared" si="64"/>
        <v>3.21</v>
      </c>
    </row>
    <row r="4139" spans="1:4" x14ac:dyDescent="0.25">
      <c r="A4139" s="15">
        <f>Sheet2!A4139</f>
        <v>0</v>
      </c>
      <c r="B4139" s="8">
        <v>0</v>
      </c>
      <c r="C4139" s="9">
        <v>1.1299999999999999</v>
      </c>
      <c r="D4139" s="13">
        <f t="shared" si="64"/>
        <v>1.1299999999999999</v>
      </c>
    </row>
    <row r="4140" spans="1:4" x14ac:dyDescent="0.25">
      <c r="A4140" s="15">
        <f>Sheet2!A4140</f>
        <v>0</v>
      </c>
      <c r="B4140" s="8">
        <v>0</v>
      </c>
      <c r="C4140" s="9">
        <v>0.46</v>
      </c>
      <c r="D4140" s="13">
        <f t="shared" si="64"/>
        <v>0.46</v>
      </c>
    </row>
    <row r="4141" spans="1:4" x14ac:dyDescent="0.25">
      <c r="A4141" s="15">
        <f>Sheet2!A4141</f>
        <v>0</v>
      </c>
      <c r="B4141" s="8">
        <v>0</v>
      </c>
      <c r="C4141" s="9">
        <v>0.87</v>
      </c>
      <c r="D4141" s="13">
        <f t="shared" si="64"/>
        <v>0.87</v>
      </c>
    </row>
    <row r="4142" spans="1:4" x14ac:dyDescent="0.25">
      <c r="A4142" s="15">
        <f>Sheet2!A4142</f>
        <v>0</v>
      </c>
      <c r="B4142" s="8">
        <v>0</v>
      </c>
      <c r="C4142" s="9">
        <v>1.25</v>
      </c>
      <c r="D4142" s="13">
        <f t="shared" si="64"/>
        <v>1.25</v>
      </c>
    </row>
    <row r="4143" spans="1:4" x14ac:dyDescent="0.25">
      <c r="A4143" s="15">
        <f>Sheet2!A4143</f>
        <v>0</v>
      </c>
      <c r="B4143" s="8">
        <v>0</v>
      </c>
      <c r="C4143" s="9">
        <v>0.69</v>
      </c>
      <c r="D4143" s="13">
        <f t="shared" si="64"/>
        <v>0.69</v>
      </c>
    </row>
    <row r="4144" spans="1:4" x14ac:dyDescent="0.25">
      <c r="A4144" s="15">
        <f>Sheet2!A4144</f>
        <v>0</v>
      </c>
      <c r="B4144" s="8">
        <v>0</v>
      </c>
      <c r="C4144" s="9">
        <v>0.41</v>
      </c>
      <c r="D4144" s="13">
        <f t="shared" si="64"/>
        <v>0.41</v>
      </c>
    </row>
    <row r="4145" spans="1:4" x14ac:dyDescent="0.25">
      <c r="A4145" s="15">
        <f>Sheet2!A4145</f>
        <v>0</v>
      </c>
      <c r="B4145" s="8">
        <v>0</v>
      </c>
      <c r="C4145" s="9">
        <v>1.78</v>
      </c>
      <c r="D4145" s="13">
        <f t="shared" si="64"/>
        <v>1.78</v>
      </c>
    </row>
    <row r="4146" spans="1:4" x14ac:dyDescent="0.25">
      <c r="A4146" s="15">
        <f>Sheet2!A4146</f>
        <v>0</v>
      </c>
      <c r="B4146" s="8">
        <v>0</v>
      </c>
      <c r="C4146" s="9">
        <v>3.02</v>
      </c>
      <c r="D4146" s="13">
        <f t="shared" si="64"/>
        <v>3.02</v>
      </c>
    </row>
    <row r="4147" spans="1:4" x14ac:dyDescent="0.25">
      <c r="A4147" s="15">
        <f>Sheet2!A4147</f>
        <v>0</v>
      </c>
      <c r="B4147" s="8">
        <v>0</v>
      </c>
      <c r="C4147" s="9">
        <v>1.34</v>
      </c>
      <c r="D4147" s="13">
        <f t="shared" si="64"/>
        <v>1.34</v>
      </c>
    </row>
    <row r="4148" spans="1:4" x14ac:dyDescent="0.25">
      <c r="A4148" s="15">
        <f>Sheet2!A4148</f>
        <v>0</v>
      </c>
      <c r="B4148" s="8">
        <v>13.24</v>
      </c>
      <c r="C4148" s="9">
        <v>0</v>
      </c>
      <c r="D4148" s="13">
        <f t="shared" si="64"/>
        <v>13.24</v>
      </c>
    </row>
    <row r="4149" spans="1:4" x14ac:dyDescent="0.25">
      <c r="A4149" s="15">
        <f>Sheet2!A4149</f>
        <v>0</v>
      </c>
      <c r="B4149" s="8">
        <v>0</v>
      </c>
      <c r="C4149" s="9">
        <v>2.39</v>
      </c>
      <c r="D4149" s="13">
        <f t="shared" si="64"/>
        <v>2.39</v>
      </c>
    </row>
    <row r="4150" spans="1:4" x14ac:dyDescent="0.25">
      <c r="A4150" s="15">
        <f>Sheet2!A4150</f>
        <v>0</v>
      </c>
      <c r="B4150" s="8">
        <v>0</v>
      </c>
      <c r="C4150" s="9">
        <v>3.53</v>
      </c>
      <c r="D4150" s="13">
        <f t="shared" si="64"/>
        <v>3.53</v>
      </c>
    </row>
    <row r="4151" spans="1:4" x14ac:dyDescent="0.25">
      <c r="A4151" s="15">
        <f>Sheet2!A4151</f>
        <v>0</v>
      </c>
      <c r="B4151" s="8">
        <v>0</v>
      </c>
      <c r="C4151" s="9">
        <v>1.02</v>
      </c>
      <c r="D4151" s="13">
        <f t="shared" si="64"/>
        <v>1.02</v>
      </c>
    </row>
    <row r="4152" spans="1:4" x14ac:dyDescent="0.25">
      <c r="A4152" s="15">
        <f>Sheet2!A4152</f>
        <v>0</v>
      </c>
      <c r="B4152" s="8">
        <v>10.83</v>
      </c>
      <c r="C4152" s="9">
        <v>0</v>
      </c>
      <c r="D4152" s="13">
        <f t="shared" si="64"/>
        <v>10.83</v>
      </c>
    </row>
    <row r="4153" spans="1:4" x14ac:dyDescent="0.25">
      <c r="A4153" s="15">
        <f>Sheet2!A4153</f>
        <v>0</v>
      </c>
      <c r="B4153" s="8">
        <v>0</v>
      </c>
      <c r="C4153" s="9">
        <v>1.64</v>
      </c>
      <c r="D4153" s="13">
        <f t="shared" si="64"/>
        <v>1.64</v>
      </c>
    </row>
    <row r="4154" spans="1:4" x14ac:dyDescent="0.25">
      <c r="A4154" s="15">
        <f>Sheet2!A4154</f>
        <v>0</v>
      </c>
      <c r="B4154" s="8">
        <v>0</v>
      </c>
      <c r="C4154" s="9">
        <v>2.29</v>
      </c>
      <c r="D4154" s="13">
        <f t="shared" si="64"/>
        <v>2.29</v>
      </c>
    </row>
    <row r="4155" spans="1:4" x14ac:dyDescent="0.25">
      <c r="A4155" s="15">
        <f>Sheet2!A4155</f>
        <v>0</v>
      </c>
      <c r="B4155" s="8">
        <v>0</v>
      </c>
      <c r="C4155" s="9">
        <v>0.7</v>
      </c>
      <c r="D4155" s="13">
        <f t="shared" si="64"/>
        <v>0.7</v>
      </c>
    </row>
    <row r="4156" spans="1:4" x14ac:dyDescent="0.25">
      <c r="A4156" s="15">
        <f>Sheet2!A4156</f>
        <v>0</v>
      </c>
      <c r="B4156" s="8">
        <v>9.7200000000000006</v>
      </c>
      <c r="C4156" s="9">
        <v>0</v>
      </c>
      <c r="D4156" s="13">
        <f t="shared" si="64"/>
        <v>9.7200000000000006</v>
      </c>
    </row>
    <row r="4157" spans="1:4" x14ac:dyDescent="0.25">
      <c r="A4157" s="15">
        <f>Sheet2!A4157</f>
        <v>0</v>
      </c>
      <c r="B4157" s="8">
        <v>9.35</v>
      </c>
      <c r="C4157" s="9">
        <v>0</v>
      </c>
      <c r="D4157" s="13">
        <f t="shared" si="64"/>
        <v>9.35</v>
      </c>
    </row>
    <row r="4158" spans="1:4" x14ac:dyDescent="0.25">
      <c r="A4158" s="15">
        <f>Sheet2!A4158</f>
        <v>0</v>
      </c>
      <c r="B4158" s="8">
        <v>9.4499999999999993</v>
      </c>
      <c r="C4158" s="9">
        <v>0</v>
      </c>
      <c r="D4158" s="13">
        <f t="shared" si="64"/>
        <v>9.4499999999999993</v>
      </c>
    </row>
    <row r="4159" spans="1:4" x14ac:dyDescent="0.25">
      <c r="A4159" s="15">
        <f>Sheet2!A4159</f>
        <v>0</v>
      </c>
      <c r="B4159" s="8">
        <v>0</v>
      </c>
      <c r="C4159" s="9">
        <v>1.29</v>
      </c>
      <c r="D4159" s="13">
        <f t="shared" si="64"/>
        <v>1.29</v>
      </c>
    </row>
    <row r="4160" spans="1:4" x14ac:dyDescent="0.25">
      <c r="A4160" s="15">
        <f>Sheet2!A4160</f>
        <v>0</v>
      </c>
      <c r="B4160" s="8">
        <v>0</v>
      </c>
      <c r="C4160" s="9">
        <v>2.0499999999999998</v>
      </c>
      <c r="D4160" s="13">
        <f t="shared" si="64"/>
        <v>2.0499999999999998</v>
      </c>
    </row>
    <row r="4161" spans="1:4" x14ac:dyDescent="0.25">
      <c r="A4161" s="15">
        <f>Sheet2!A4161</f>
        <v>0</v>
      </c>
      <c r="B4161" s="8">
        <v>0</v>
      </c>
      <c r="C4161" s="9">
        <v>0.88</v>
      </c>
      <c r="D4161" s="13">
        <f t="shared" si="64"/>
        <v>0.88</v>
      </c>
    </row>
    <row r="4162" spans="1:4" x14ac:dyDescent="0.25">
      <c r="A4162" s="15">
        <f>Sheet2!A4162</f>
        <v>0</v>
      </c>
      <c r="B4162" s="8">
        <v>12.66</v>
      </c>
      <c r="C4162" s="9">
        <v>0</v>
      </c>
      <c r="D4162" s="13">
        <f t="shared" si="64"/>
        <v>12.66</v>
      </c>
    </row>
    <row r="4163" spans="1:4" x14ac:dyDescent="0.25">
      <c r="A4163" s="15">
        <f>Sheet2!A4163</f>
        <v>0</v>
      </c>
      <c r="B4163" s="8">
        <v>0</v>
      </c>
      <c r="C4163" s="9">
        <v>1.34</v>
      </c>
      <c r="D4163" s="13">
        <f t="shared" ref="D4163:D4226" si="65">B4163+C4163</f>
        <v>1.34</v>
      </c>
    </row>
    <row r="4164" spans="1:4" x14ac:dyDescent="0.25">
      <c r="A4164" s="15">
        <f>Sheet2!A4164</f>
        <v>0</v>
      </c>
      <c r="B4164" s="8">
        <v>0</v>
      </c>
      <c r="C4164" s="9">
        <v>3.1</v>
      </c>
      <c r="D4164" s="13">
        <f t="shared" si="65"/>
        <v>3.1</v>
      </c>
    </row>
    <row r="4165" spans="1:4" x14ac:dyDescent="0.25">
      <c r="A4165" s="15">
        <f>Sheet2!A4165</f>
        <v>0</v>
      </c>
      <c r="B4165" s="8">
        <v>0</v>
      </c>
      <c r="C4165" s="9">
        <v>1.8</v>
      </c>
      <c r="D4165" s="13">
        <f t="shared" si="65"/>
        <v>1.8</v>
      </c>
    </row>
    <row r="4166" spans="1:4" x14ac:dyDescent="0.25">
      <c r="A4166" s="15">
        <f>Sheet2!A4166</f>
        <v>0</v>
      </c>
      <c r="B4166" s="8">
        <v>10.220000000000001</v>
      </c>
      <c r="C4166" s="9">
        <v>0</v>
      </c>
      <c r="D4166" s="13">
        <f t="shared" si="65"/>
        <v>10.220000000000001</v>
      </c>
    </row>
    <row r="4167" spans="1:4" x14ac:dyDescent="0.25">
      <c r="A4167" s="15">
        <f>Sheet2!A4167</f>
        <v>0</v>
      </c>
      <c r="B4167" s="8">
        <v>0</v>
      </c>
      <c r="C4167" s="9">
        <v>1.6</v>
      </c>
      <c r="D4167" s="13">
        <f t="shared" si="65"/>
        <v>1.6</v>
      </c>
    </row>
    <row r="4168" spans="1:4" x14ac:dyDescent="0.25">
      <c r="A4168" s="15">
        <f>Sheet2!A4168</f>
        <v>0</v>
      </c>
      <c r="B4168" s="8">
        <v>0</v>
      </c>
      <c r="C4168" s="9">
        <v>3.08</v>
      </c>
      <c r="D4168" s="13">
        <f t="shared" si="65"/>
        <v>3.08</v>
      </c>
    </row>
    <row r="4169" spans="1:4" x14ac:dyDescent="0.25">
      <c r="A4169" s="15">
        <f>Sheet2!A4169</f>
        <v>0</v>
      </c>
      <c r="B4169" s="8">
        <v>0</v>
      </c>
      <c r="C4169" s="9">
        <v>1.08</v>
      </c>
      <c r="D4169" s="13">
        <f t="shared" si="65"/>
        <v>1.08</v>
      </c>
    </row>
    <row r="4170" spans="1:4" x14ac:dyDescent="0.25">
      <c r="A4170" s="15">
        <f>Sheet2!A4170</f>
        <v>0</v>
      </c>
      <c r="B4170" s="8">
        <v>10.92</v>
      </c>
      <c r="C4170" s="9">
        <v>0</v>
      </c>
      <c r="D4170" s="13">
        <f t="shared" si="65"/>
        <v>10.92</v>
      </c>
    </row>
    <row r="4171" spans="1:4" x14ac:dyDescent="0.25">
      <c r="A4171" s="15">
        <f>Sheet2!A4171</f>
        <v>0</v>
      </c>
      <c r="B4171" s="8">
        <v>0</v>
      </c>
      <c r="C4171" s="9">
        <v>2.27</v>
      </c>
      <c r="D4171" s="13">
        <f t="shared" si="65"/>
        <v>2.27</v>
      </c>
    </row>
    <row r="4172" spans="1:4" x14ac:dyDescent="0.25">
      <c r="A4172" s="15">
        <f>Sheet2!A4172</f>
        <v>0</v>
      </c>
      <c r="B4172" s="8">
        <v>0</v>
      </c>
      <c r="C4172" s="9">
        <v>3.21</v>
      </c>
      <c r="D4172" s="13">
        <f t="shared" si="65"/>
        <v>3.21</v>
      </c>
    </row>
    <row r="4173" spans="1:4" x14ac:dyDescent="0.25">
      <c r="A4173" s="15">
        <f>Sheet2!A4173</f>
        <v>0</v>
      </c>
      <c r="B4173" s="8">
        <v>0</v>
      </c>
      <c r="C4173" s="9">
        <v>1.02</v>
      </c>
      <c r="D4173" s="13">
        <f t="shared" si="65"/>
        <v>1.02</v>
      </c>
    </row>
    <row r="4174" spans="1:4" x14ac:dyDescent="0.25">
      <c r="A4174" s="15">
        <f>Sheet2!A4174</f>
        <v>0</v>
      </c>
      <c r="B4174" s="8">
        <v>13.08</v>
      </c>
      <c r="C4174" s="9">
        <v>0</v>
      </c>
      <c r="D4174" s="13">
        <f t="shared" si="65"/>
        <v>13.08</v>
      </c>
    </row>
    <row r="4175" spans="1:4" x14ac:dyDescent="0.25">
      <c r="A4175" s="15">
        <f>Sheet2!A4175</f>
        <v>0</v>
      </c>
      <c r="B4175" s="8">
        <v>0</v>
      </c>
      <c r="C4175" s="9">
        <v>1.96</v>
      </c>
      <c r="D4175" s="13">
        <f t="shared" si="65"/>
        <v>1.96</v>
      </c>
    </row>
    <row r="4176" spans="1:4" x14ac:dyDescent="0.25">
      <c r="A4176" s="15">
        <f>Sheet2!A4176</f>
        <v>0</v>
      </c>
      <c r="B4176" s="8">
        <v>0</v>
      </c>
      <c r="C4176" s="9">
        <v>3.1</v>
      </c>
      <c r="D4176" s="13">
        <f t="shared" si="65"/>
        <v>3.1</v>
      </c>
    </row>
    <row r="4177" spans="1:4" x14ac:dyDescent="0.25">
      <c r="A4177" s="15">
        <f>Sheet2!A4177</f>
        <v>0</v>
      </c>
      <c r="B4177" s="8">
        <v>0</v>
      </c>
      <c r="C4177" s="9">
        <v>0.7</v>
      </c>
      <c r="D4177" s="13">
        <f t="shared" si="65"/>
        <v>0.7</v>
      </c>
    </row>
    <row r="4178" spans="1:4" x14ac:dyDescent="0.25">
      <c r="A4178" s="15">
        <f>Sheet2!A4178</f>
        <v>0</v>
      </c>
      <c r="B4178" s="8">
        <v>8.25</v>
      </c>
      <c r="C4178" s="9">
        <v>0</v>
      </c>
      <c r="D4178" s="13">
        <f t="shared" si="65"/>
        <v>8.25</v>
      </c>
    </row>
    <row r="4179" spans="1:4" x14ac:dyDescent="0.25">
      <c r="A4179" s="15">
        <f>Sheet2!A4179</f>
        <v>0</v>
      </c>
      <c r="B4179" s="8">
        <v>0</v>
      </c>
      <c r="C4179" s="9">
        <v>0.97</v>
      </c>
      <c r="D4179" s="13">
        <f t="shared" si="65"/>
        <v>0.97</v>
      </c>
    </row>
    <row r="4180" spans="1:4" x14ac:dyDescent="0.25">
      <c r="A4180" s="15">
        <f>Sheet2!A4180</f>
        <v>0</v>
      </c>
      <c r="B4180" s="8">
        <v>0</v>
      </c>
      <c r="C4180" s="9">
        <v>2.81</v>
      </c>
      <c r="D4180" s="13">
        <f t="shared" si="65"/>
        <v>2.81</v>
      </c>
    </row>
    <row r="4181" spans="1:4" x14ac:dyDescent="0.25">
      <c r="A4181" s="15">
        <f>Sheet2!A4181</f>
        <v>0</v>
      </c>
      <c r="B4181" s="8">
        <v>0</v>
      </c>
      <c r="C4181" s="9">
        <v>0.63</v>
      </c>
      <c r="D4181" s="13">
        <f t="shared" si="65"/>
        <v>0.63</v>
      </c>
    </row>
    <row r="4182" spans="1:4" x14ac:dyDescent="0.25">
      <c r="A4182" s="15">
        <f>Sheet2!A4182</f>
        <v>0</v>
      </c>
      <c r="B4182" s="8">
        <v>8.14</v>
      </c>
      <c r="C4182" s="9">
        <v>0</v>
      </c>
      <c r="D4182" s="13">
        <f t="shared" si="65"/>
        <v>8.14</v>
      </c>
    </row>
    <row r="4183" spans="1:4" x14ac:dyDescent="0.25">
      <c r="A4183" s="15">
        <f>Sheet2!A4183</f>
        <v>0</v>
      </c>
      <c r="B4183" s="8">
        <v>7.56</v>
      </c>
      <c r="C4183" s="9">
        <v>0</v>
      </c>
      <c r="D4183" s="13">
        <f t="shared" si="65"/>
        <v>7.56</v>
      </c>
    </row>
    <row r="4184" spans="1:4" x14ac:dyDescent="0.25">
      <c r="A4184" s="15">
        <f>Sheet2!A4184</f>
        <v>0</v>
      </c>
      <c r="B4184" s="8">
        <v>0</v>
      </c>
      <c r="C4184" s="9">
        <v>0.44</v>
      </c>
      <c r="D4184" s="13">
        <f t="shared" si="65"/>
        <v>0.44</v>
      </c>
    </row>
    <row r="4185" spans="1:4" x14ac:dyDescent="0.25">
      <c r="A4185" s="15">
        <f>Sheet2!A4185</f>
        <v>0</v>
      </c>
      <c r="B4185" s="8">
        <v>0</v>
      </c>
      <c r="C4185" s="9">
        <v>1.58</v>
      </c>
      <c r="D4185" s="13">
        <f t="shared" si="65"/>
        <v>1.58</v>
      </c>
    </row>
    <row r="4186" spans="1:4" x14ac:dyDescent="0.25">
      <c r="A4186" s="15">
        <f>Sheet2!A4186</f>
        <v>0</v>
      </c>
      <c r="B4186" s="8">
        <v>9.75</v>
      </c>
      <c r="C4186" s="9">
        <v>0</v>
      </c>
      <c r="D4186" s="13">
        <f t="shared" si="65"/>
        <v>9.75</v>
      </c>
    </row>
    <row r="4187" spans="1:4" x14ac:dyDescent="0.25">
      <c r="A4187" s="15">
        <f>Sheet2!A4187</f>
        <v>0</v>
      </c>
      <c r="B4187" s="8">
        <v>0</v>
      </c>
      <c r="C4187" s="9">
        <v>2.87</v>
      </c>
      <c r="D4187" s="13">
        <f t="shared" si="65"/>
        <v>2.87</v>
      </c>
    </row>
    <row r="4188" spans="1:4" x14ac:dyDescent="0.25">
      <c r="A4188" s="15">
        <f>Sheet2!A4188</f>
        <v>0</v>
      </c>
      <c r="B4188" s="8">
        <v>0</v>
      </c>
      <c r="C4188" s="9">
        <v>3.91</v>
      </c>
      <c r="D4188" s="13">
        <f t="shared" si="65"/>
        <v>3.91</v>
      </c>
    </row>
    <row r="4189" spans="1:4" x14ac:dyDescent="0.25">
      <c r="A4189" s="15">
        <f>Sheet2!A4189</f>
        <v>0</v>
      </c>
      <c r="B4189" s="8">
        <v>0</v>
      </c>
      <c r="C4189" s="9">
        <v>2.65</v>
      </c>
      <c r="D4189" s="13">
        <f t="shared" si="65"/>
        <v>2.65</v>
      </c>
    </row>
    <row r="4190" spans="1:4" x14ac:dyDescent="0.25">
      <c r="A4190" s="15">
        <f>Sheet2!A4190</f>
        <v>0</v>
      </c>
      <c r="B4190" s="8">
        <v>0</v>
      </c>
      <c r="C4190" s="9">
        <v>0.77</v>
      </c>
      <c r="D4190" s="13">
        <f t="shared" si="65"/>
        <v>0.77</v>
      </c>
    </row>
    <row r="4191" spans="1:4" x14ac:dyDescent="0.25">
      <c r="A4191" s="15">
        <f>Sheet2!A4191</f>
        <v>0</v>
      </c>
      <c r="B4191" s="8">
        <v>0</v>
      </c>
      <c r="C4191" s="9">
        <v>2.0699999999999998</v>
      </c>
      <c r="D4191" s="13">
        <f t="shared" si="65"/>
        <v>2.0699999999999998</v>
      </c>
    </row>
    <row r="4192" spans="1:4" x14ac:dyDescent="0.25">
      <c r="A4192" s="15">
        <f>Sheet2!A4192</f>
        <v>0</v>
      </c>
      <c r="B4192" s="8">
        <v>0</v>
      </c>
      <c r="C4192" s="9">
        <v>3.17</v>
      </c>
      <c r="D4192" s="13">
        <f t="shared" si="65"/>
        <v>3.17</v>
      </c>
    </row>
    <row r="4193" spans="1:4" x14ac:dyDescent="0.25">
      <c r="A4193" s="15">
        <f>Sheet2!A4193</f>
        <v>0</v>
      </c>
      <c r="B4193" s="8">
        <v>0</v>
      </c>
      <c r="C4193" s="9">
        <v>3.28</v>
      </c>
      <c r="D4193" s="13">
        <f t="shared" si="65"/>
        <v>3.28</v>
      </c>
    </row>
    <row r="4194" spans="1:4" x14ac:dyDescent="0.25">
      <c r="A4194" s="15">
        <f>Sheet2!A4194</f>
        <v>0</v>
      </c>
      <c r="B4194" s="8">
        <v>0</v>
      </c>
      <c r="C4194" s="9">
        <v>3.09</v>
      </c>
      <c r="D4194" s="13">
        <f t="shared" si="65"/>
        <v>3.09</v>
      </c>
    </row>
    <row r="4195" spans="1:4" x14ac:dyDescent="0.25">
      <c r="A4195" s="15">
        <f>Sheet2!A4195</f>
        <v>0</v>
      </c>
      <c r="B4195" s="8">
        <v>0</v>
      </c>
      <c r="C4195" s="9">
        <v>1.02</v>
      </c>
      <c r="D4195" s="13">
        <f t="shared" si="65"/>
        <v>1.02</v>
      </c>
    </row>
    <row r="4196" spans="1:4" x14ac:dyDescent="0.25">
      <c r="A4196" s="15">
        <f>Sheet2!A4196</f>
        <v>0</v>
      </c>
      <c r="B4196" s="8">
        <v>16.579999999999998</v>
      </c>
      <c r="C4196" s="9">
        <v>0</v>
      </c>
      <c r="D4196" s="13">
        <f t="shared" si="65"/>
        <v>16.579999999999998</v>
      </c>
    </row>
    <row r="4197" spans="1:4" x14ac:dyDescent="0.25">
      <c r="A4197" s="15">
        <f>Sheet2!A4197</f>
        <v>0</v>
      </c>
      <c r="B4197" s="8">
        <v>0</v>
      </c>
      <c r="C4197" s="9">
        <v>2.48</v>
      </c>
      <c r="D4197" s="13">
        <f t="shared" si="65"/>
        <v>2.48</v>
      </c>
    </row>
    <row r="4198" spans="1:4" x14ac:dyDescent="0.25">
      <c r="A4198" s="15">
        <f>Sheet2!A4198</f>
        <v>0</v>
      </c>
      <c r="B4198" s="8">
        <v>0</v>
      </c>
      <c r="C4198" s="9">
        <v>3.33</v>
      </c>
      <c r="D4198" s="13">
        <f t="shared" si="65"/>
        <v>3.33</v>
      </c>
    </row>
    <row r="4199" spans="1:4" x14ac:dyDescent="0.25">
      <c r="A4199" s="15">
        <f>Sheet2!A4199</f>
        <v>0</v>
      </c>
      <c r="B4199" s="8">
        <v>0</v>
      </c>
      <c r="C4199" s="9">
        <v>1.1200000000000001</v>
      </c>
      <c r="D4199" s="13">
        <f t="shared" si="65"/>
        <v>1.1200000000000001</v>
      </c>
    </row>
    <row r="4200" spans="1:4" x14ac:dyDescent="0.25">
      <c r="A4200" s="15">
        <f>Sheet2!A4200</f>
        <v>0</v>
      </c>
      <c r="B4200" s="8">
        <v>11.81</v>
      </c>
      <c r="C4200" s="9">
        <v>0</v>
      </c>
      <c r="D4200" s="13">
        <f t="shared" si="65"/>
        <v>11.81</v>
      </c>
    </row>
    <row r="4201" spans="1:4" x14ac:dyDescent="0.25">
      <c r="A4201" s="15">
        <f>Sheet2!A4201</f>
        <v>0</v>
      </c>
      <c r="B4201" s="8">
        <v>0</v>
      </c>
      <c r="C4201" s="9">
        <v>1.55</v>
      </c>
      <c r="D4201" s="13">
        <f t="shared" si="65"/>
        <v>1.55</v>
      </c>
    </row>
    <row r="4202" spans="1:4" x14ac:dyDescent="0.25">
      <c r="A4202" s="15">
        <f>Sheet2!A4202</f>
        <v>0</v>
      </c>
      <c r="B4202" s="8">
        <v>0</v>
      </c>
      <c r="C4202" s="9">
        <v>2.16</v>
      </c>
      <c r="D4202" s="13">
        <f t="shared" si="65"/>
        <v>2.16</v>
      </c>
    </row>
    <row r="4203" spans="1:4" x14ac:dyDescent="0.25">
      <c r="A4203" s="15">
        <f>Sheet2!A4203</f>
        <v>0</v>
      </c>
      <c r="B4203" s="8">
        <v>0</v>
      </c>
      <c r="C4203" s="9">
        <v>0.75</v>
      </c>
      <c r="D4203" s="13">
        <f t="shared" si="65"/>
        <v>0.75</v>
      </c>
    </row>
    <row r="4204" spans="1:4" x14ac:dyDescent="0.25">
      <c r="A4204" s="15">
        <f>Sheet2!A4204</f>
        <v>0</v>
      </c>
      <c r="B4204" s="8">
        <v>8.9</v>
      </c>
      <c r="C4204" s="9">
        <v>0</v>
      </c>
      <c r="D4204" s="13">
        <f t="shared" si="65"/>
        <v>8.9</v>
      </c>
    </row>
    <row r="4205" spans="1:4" x14ac:dyDescent="0.25">
      <c r="A4205" s="15">
        <f>Sheet2!A4205</f>
        <v>0</v>
      </c>
      <c r="B4205" s="8">
        <v>0</v>
      </c>
      <c r="C4205" s="9">
        <v>1.73</v>
      </c>
      <c r="D4205" s="13">
        <f t="shared" si="65"/>
        <v>1.73</v>
      </c>
    </row>
    <row r="4206" spans="1:4" x14ac:dyDescent="0.25">
      <c r="A4206" s="15">
        <f>Sheet2!A4206</f>
        <v>0</v>
      </c>
      <c r="B4206" s="8">
        <v>0</v>
      </c>
      <c r="C4206" s="9">
        <v>2.68</v>
      </c>
      <c r="D4206" s="13">
        <f t="shared" si="65"/>
        <v>2.68</v>
      </c>
    </row>
    <row r="4207" spans="1:4" x14ac:dyDescent="0.25">
      <c r="A4207" s="15">
        <f>Sheet2!A4207</f>
        <v>0</v>
      </c>
      <c r="B4207" s="8">
        <v>0</v>
      </c>
      <c r="C4207" s="9">
        <v>1.4</v>
      </c>
      <c r="D4207" s="13">
        <f t="shared" si="65"/>
        <v>1.4</v>
      </c>
    </row>
    <row r="4208" spans="1:4" x14ac:dyDescent="0.25">
      <c r="A4208" s="15">
        <f>Sheet2!A4208</f>
        <v>0</v>
      </c>
      <c r="B4208" s="8">
        <v>7.29</v>
      </c>
      <c r="C4208" s="9">
        <v>0</v>
      </c>
      <c r="D4208" s="13">
        <f t="shared" si="65"/>
        <v>7.29</v>
      </c>
    </row>
    <row r="4209" spans="1:4" x14ac:dyDescent="0.25">
      <c r="A4209" s="15">
        <f>Sheet2!A4209</f>
        <v>0</v>
      </c>
      <c r="B4209" s="8">
        <v>0</v>
      </c>
      <c r="C4209" s="9">
        <v>0.25</v>
      </c>
      <c r="D4209" s="13">
        <f t="shared" si="65"/>
        <v>0.25</v>
      </c>
    </row>
    <row r="4210" spans="1:4" x14ac:dyDescent="0.25">
      <c r="A4210" s="15">
        <f>Sheet2!A4210</f>
        <v>0</v>
      </c>
      <c r="B4210" s="8">
        <v>0</v>
      </c>
      <c r="C4210" s="9">
        <v>0.98</v>
      </c>
      <c r="D4210" s="13">
        <f t="shared" si="65"/>
        <v>0.98</v>
      </c>
    </row>
    <row r="4211" spans="1:4" x14ac:dyDescent="0.25">
      <c r="A4211" s="15">
        <f>Sheet2!A4211</f>
        <v>0</v>
      </c>
      <c r="B4211" s="8">
        <v>0</v>
      </c>
      <c r="C4211" s="9">
        <v>2.57</v>
      </c>
      <c r="D4211" s="13">
        <f t="shared" si="65"/>
        <v>2.57</v>
      </c>
    </row>
    <row r="4212" spans="1:4" x14ac:dyDescent="0.25">
      <c r="A4212" s="15">
        <f>Sheet2!A4212</f>
        <v>0</v>
      </c>
      <c r="B4212" s="8">
        <v>0</v>
      </c>
      <c r="C4212" s="9">
        <v>2.87</v>
      </c>
      <c r="D4212" s="13">
        <f t="shared" si="65"/>
        <v>2.87</v>
      </c>
    </row>
    <row r="4213" spans="1:4" x14ac:dyDescent="0.25">
      <c r="A4213" s="15">
        <f>Sheet2!A4213</f>
        <v>0</v>
      </c>
      <c r="B4213" s="8">
        <v>0</v>
      </c>
      <c r="C4213" s="9">
        <v>2.16</v>
      </c>
      <c r="D4213" s="13">
        <f t="shared" si="65"/>
        <v>2.16</v>
      </c>
    </row>
    <row r="4214" spans="1:4" x14ac:dyDescent="0.25">
      <c r="A4214" s="15">
        <f>Sheet2!A4214</f>
        <v>0</v>
      </c>
      <c r="B4214" s="8">
        <v>11.38</v>
      </c>
      <c r="C4214" s="9">
        <v>0</v>
      </c>
      <c r="D4214" s="13">
        <f t="shared" si="65"/>
        <v>11.38</v>
      </c>
    </row>
    <row r="4215" spans="1:4" x14ac:dyDescent="0.25">
      <c r="A4215" s="15">
        <f>Sheet2!A4215</f>
        <v>0</v>
      </c>
      <c r="B4215" s="8">
        <v>0</v>
      </c>
      <c r="C4215" s="9">
        <v>3.02</v>
      </c>
      <c r="D4215" s="13">
        <f t="shared" si="65"/>
        <v>3.02</v>
      </c>
    </row>
    <row r="4216" spans="1:4" x14ac:dyDescent="0.25">
      <c r="A4216" s="15">
        <f>Sheet2!A4216</f>
        <v>0</v>
      </c>
      <c r="B4216" s="8">
        <v>0</v>
      </c>
      <c r="C4216" s="9">
        <v>4.24</v>
      </c>
      <c r="D4216" s="13">
        <f t="shared" si="65"/>
        <v>4.24</v>
      </c>
    </row>
    <row r="4217" spans="1:4" x14ac:dyDescent="0.25">
      <c r="A4217" s="15">
        <f>Sheet2!A4217</f>
        <v>0</v>
      </c>
      <c r="B4217" s="8">
        <v>0</v>
      </c>
      <c r="C4217" s="9">
        <v>2.4500000000000002</v>
      </c>
      <c r="D4217" s="13">
        <f t="shared" si="65"/>
        <v>2.4500000000000002</v>
      </c>
    </row>
    <row r="4218" spans="1:4" x14ac:dyDescent="0.25">
      <c r="A4218" s="15">
        <f>Sheet2!A4218</f>
        <v>0</v>
      </c>
      <c r="B4218" s="8">
        <v>0</v>
      </c>
      <c r="C4218" s="9">
        <v>3.36</v>
      </c>
      <c r="D4218" s="13">
        <f t="shared" si="65"/>
        <v>3.36</v>
      </c>
    </row>
    <row r="4219" spans="1:4" x14ac:dyDescent="0.25">
      <c r="A4219" s="15">
        <f>Sheet2!A4219</f>
        <v>0</v>
      </c>
      <c r="B4219" s="8">
        <v>0</v>
      </c>
      <c r="C4219" s="9">
        <v>0.92</v>
      </c>
      <c r="D4219" s="13">
        <f t="shared" si="65"/>
        <v>0.92</v>
      </c>
    </row>
    <row r="4220" spans="1:4" x14ac:dyDescent="0.25">
      <c r="A4220" s="15">
        <f>Sheet2!A4220</f>
        <v>0</v>
      </c>
      <c r="B4220" s="8">
        <v>12.27</v>
      </c>
      <c r="C4220" s="9">
        <v>0</v>
      </c>
      <c r="D4220" s="13">
        <f t="shared" si="65"/>
        <v>12.27</v>
      </c>
    </row>
    <row r="4221" spans="1:4" x14ac:dyDescent="0.25">
      <c r="A4221" s="15">
        <f>Sheet2!A4221</f>
        <v>0</v>
      </c>
      <c r="B4221" s="8">
        <v>0</v>
      </c>
      <c r="C4221" s="9">
        <v>2.14</v>
      </c>
      <c r="D4221" s="13">
        <f t="shared" si="65"/>
        <v>2.14</v>
      </c>
    </row>
    <row r="4222" spans="1:4" x14ac:dyDescent="0.25">
      <c r="A4222" s="15">
        <f>Sheet2!A4222</f>
        <v>0</v>
      </c>
      <c r="B4222" s="8">
        <v>0</v>
      </c>
      <c r="C4222" s="9">
        <v>3.25</v>
      </c>
      <c r="D4222" s="13">
        <f t="shared" si="65"/>
        <v>3.25</v>
      </c>
    </row>
    <row r="4223" spans="1:4" x14ac:dyDescent="0.25">
      <c r="A4223" s="15">
        <f>Sheet2!A4223</f>
        <v>0</v>
      </c>
      <c r="B4223" s="8">
        <v>0</v>
      </c>
      <c r="C4223" s="9">
        <v>1.77</v>
      </c>
      <c r="D4223" s="13">
        <f t="shared" si="65"/>
        <v>1.77</v>
      </c>
    </row>
    <row r="4224" spans="1:4" x14ac:dyDescent="0.25">
      <c r="A4224" s="15">
        <f>Sheet2!A4224</f>
        <v>0</v>
      </c>
      <c r="B4224" s="8">
        <v>11.35</v>
      </c>
      <c r="C4224" s="9">
        <v>0</v>
      </c>
      <c r="D4224" s="13">
        <f t="shared" si="65"/>
        <v>11.35</v>
      </c>
    </row>
    <row r="4225" spans="1:4" x14ac:dyDescent="0.25">
      <c r="A4225" s="15">
        <f>Sheet2!A4225</f>
        <v>0</v>
      </c>
      <c r="B4225" s="8">
        <v>0</v>
      </c>
      <c r="C4225" s="9">
        <v>1.34</v>
      </c>
      <c r="D4225" s="13">
        <f t="shared" si="65"/>
        <v>1.34</v>
      </c>
    </row>
    <row r="4226" spans="1:4" x14ac:dyDescent="0.25">
      <c r="A4226" s="15">
        <f>Sheet2!A4226</f>
        <v>0</v>
      </c>
      <c r="B4226" s="8">
        <v>0</v>
      </c>
      <c r="C4226" s="9">
        <v>2.31</v>
      </c>
      <c r="D4226" s="13">
        <f t="shared" si="65"/>
        <v>2.31</v>
      </c>
    </row>
    <row r="4227" spans="1:4" x14ac:dyDescent="0.25">
      <c r="A4227" s="15">
        <f>Sheet2!A4227</f>
        <v>0</v>
      </c>
      <c r="B4227" s="8">
        <v>0</v>
      </c>
      <c r="C4227" s="9">
        <v>1.45</v>
      </c>
      <c r="D4227" s="13">
        <f t="shared" ref="D4227:D4290" si="66">B4227+C4227</f>
        <v>1.45</v>
      </c>
    </row>
    <row r="4228" spans="1:4" x14ac:dyDescent="0.25">
      <c r="A4228" s="15">
        <f>Sheet2!A4228</f>
        <v>0</v>
      </c>
      <c r="B4228" s="8">
        <v>10.4</v>
      </c>
      <c r="C4228" s="9">
        <v>0</v>
      </c>
      <c r="D4228" s="13">
        <f t="shared" si="66"/>
        <v>10.4</v>
      </c>
    </row>
    <row r="4229" spans="1:4" x14ac:dyDescent="0.25">
      <c r="A4229" s="15">
        <f>Sheet2!A4229</f>
        <v>0</v>
      </c>
      <c r="B4229" s="8">
        <v>10.02</v>
      </c>
      <c r="C4229" s="9">
        <v>0</v>
      </c>
      <c r="D4229" s="13">
        <f t="shared" si="66"/>
        <v>10.02</v>
      </c>
    </row>
    <row r="4230" spans="1:4" x14ac:dyDescent="0.25">
      <c r="A4230" s="15">
        <f>Sheet2!A4230</f>
        <v>0</v>
      </c>
      <c r="B4230" s="8">
        <v>10.29</v>
      </c>
      <c r="C4230" s="9">
        <v>0</v>
      </c>
      <c r="D4230" s="13">
        <f t="shared" si="66"/>
        <v>10.29</v>
      </c>
    </row>
    <row r="4231" spans="1:4" x14ac:dyDescent="0.25">
      <c r="A4231" s="15">
        <f>Sheet2!A4231</f>
        <v>0</v>
      </c>
      <c r="B4231" s="8">
        <v>0</v>
      </c>
      <c r="C4231" s="9">
        <v>1.5</v>
      </c>
      <c r="D4231" s="13">
        <f t="shared" si="66"/>
        <v>1.5</v>
      </c>
    </row>
    <row r="4232" spans="1:4" x14ac:dyDescent="0.25">
      <c r="A4232" s="15">
        <f>Sheet2!A4232</f>
        <v>0</v>
      </c>
      <c r="B4232" s="8">
        <v>0</v>
      </c>
      <c r="C4232" s="9">
        <v>1.99</v>
      </c>
      <c r="D4232" s="13">
        <f t="shared" si="66"/>
        <v>1.99</v>
      </c>
    </row>
    <row r="4233" spans="1:4" x14ac:dyDescent="0.25">
      <c r="A4233" s="15">
        <f>Sheet2!A4233</f>
        <v>0</v>
      </c>
      <c r="B4233" s="8">
        <v>0</v>
      </c>
      <c r="C4233" s="9">
        <v>0.74</v>
      </c>
      <c r="D4233" s="13">
        <f t="shared" si="66"/>
        <v>0.74</v>
      </c>
    </row>
    <row r="4234" spans="1:4" x14ac:dyDescent="0.25">
      <c r="A4234" s="15">
        <f>Sheet2!A4234</f>
        <v>0</v>
      </c>
      <c r="B4234" s="8">
        <v>14.8</v>
      </c>
      <c r="C4234" s="9">
        <v>0</v>
      </c>
      <c r="D4234" s="13">
        <f t="shared" si="66"/>
        <v>14.8</v>
      </c>
    </row>
    <row r="4235" spans="1:4" x14ac:dyDescent="0.25">
      <c r="A4235" s="15">
        <f>Sheet2!A4235</f>
        <v>0</v>
      </c>
      <c r="B4235" s="8">
        <v>0</v>
      </c>
      <c r="C4235" s="9">
        <v>1.81</v>
      </c>
      <c r="D4235" s="13">
        <f t="shared" si="66"/>
        <v>1.81</v>
      </c>
    </row>
    <row r="4236" spans="1:4" x14ac:dyDescent="0.25">
      <c r="A4236" s="15">
        <f>Sheet2!A4236</f>
        <v>0</v>
      </c>
      <c r="B4236" s="8">
        <v>0</v>
      </c>
      <c r="C4236" s="9">
        <v>3.59</v>
      </c>
      <c r="D4236" s="13">
        <f t="shared" si="66"/>
        <v>3.59</v>
      </c>
    </row>
    <row r="4237" spans="1:4" x14ac:dyDescent="0.25">
      <c r="A4237" s="15">
        <f>Sheet2!A4237</f>
        <v>0</v>
      </c>
      <c r="B4237" s="8">
        <v>0</v>
      </c>
      <c r="C4237" s="9">
        <v>1.81</v>
      </c>
      <c r="D4237" s="13">
        <f t="shared" si="66"/>
        <v>1.81</v>
      </c>
    </row>
    <row r="4238" spans="1:4" x14ac:dyDescent="0.25">
      <c r="A4238" s="15">
        <f>Sheet2!A4238</f>
        <v>0</v>
      </c>
      <c r="B4238" s="8">
        <v>15.8</v>
      </c>
      <c r="C4238" s="9">
        <v>0</v>
      </c>
      <c r="D4238" s="13">
        <f t="shared" si="66"/>
        <v>15.8</v>
      </c>
    </row>
    <row r="4239" spans="1:4" x14ac:dyDescent="0.25">
      <c r="A4239" s="15">
        <f>Sheet2!A4239</f>
        <v>0</v>
      </c>
      <c r="B4239" s="8">
        <v>0</v>
      </c>
      <c r="C4239" s="9">
        <v>2.62</v>
      </c>
      <c r="D4239" s="13">
        <f t="shared" si="66"/>
        <v>2.62</v>
      </c>
    </row>
    <row r="4240" spans="1:4" x14ac:dyDescent="0.25">
      <c r="A4240" s="15">
        <f>Sheet2!A4240</f>
        <v>0</v>
      </c>
      <c r="B4240" s="8">
        <v>0</v>
      </c>
      <c r="C4240" s="9">
        <v>3.31</v>
      </c>
      <c r="D4240" s="13">
        <f t="shared" si="66"/>
        <v>3.31</v>
      </c>
    </row>
    <row r="4241" spans="1:4" x14ac:dyDescent="0.25">
      <c r="A4241" s="15">
        <f>Sheet2!A4241</f>
        <v>0</v>
      </c>
      <c r="B4241" s="8">
        <v>0</v>
      </c>
      <c r="C4241" s="9">
        <v>3.56</v>
      </c>
      <c r="D4241" s="13">
        <f t="shared" si="66"/>
        <v>3.56</v>
      </c>
    </row>
    <row r="4242" spans="1:4" x14ac:dyDescent="0.25">
      <c r="A4242" s="15">
        <f>Sheet2!A4242</f>
        <v>0</v>
      </c>
      <c r="B4242" s="8">
        <v>0</v>
      </c>
      <c r="C4242" s="9">
        <v>3.38</v>
      </c>
      <c r="D4242" s="13">
        <f t="shared" si="66"/>
        <v>3.38</v>
      </c>
    </row>
    <row r="4243" spans="1:4" x14ac:dyDescent="0.25">
      <c r="A4243" s="15">
        <f>Sheet2!A4243</f>
        <v>0</v>
      </c>
      <c r="B4243" s="8">
        <v>0</v>
      </c>
      <c r="C4243" s="9">
        <v>1.86</v>
      </c>
      <c r="D4243" s="13">
        <f t="shared" si="66"/>
        <v>1.86</v>
      </c>
    </row>
    <row r="4244" spans="1:4" x14ac:dyDescent="0.25">
      <c r="A4244" s="15">
        <f>Sheet2!A4244</f>
        <v>0</v>
      </c>
      <c r="B4244" s="8">
        <v>0</v>
      </c>
      <c r="C4244" s="9">
        <v>0.42</v>
      </c>
      <c r="D4244" s="13">
        <f t="shared" si="66"/>
        <v>0.42</v>
      </c>
    </row>
    <row r="4245" spans="1:4" x14ac:dyDescent="0.25">
      <c r="A4245" s="15">
        <f>Sheet2!A4245</f>
        <v>0</v>
      </c>
      <c r="B4245" s="8">
        <v>0</v>
      </c>
      <c r="C4245" s="9">
        <v>2.63</v>
      </c>
      <c r="D4245" s="13">
        <f t="shared" si="66"/>
        <v>2.63</v>
      </c>
    </row>
    <row r="4246" spans="1:4" x14ac:dyDescent="0.25">
      <c r="A4246" s="15">
        <f>Sheet2!A4246</f>
        <v>0</v>
      </c>
      <c r="B4246" s="8">
        <v>0</v>
      </c>
      <c r="C4246" s="9">
        <v>3.48</v>
      </c>
      <c r="D4246" s="13">
        <f t="shared" si="66"/>
        <v>3.48</v>
      </c>
    </row>
    <row r="4247" spans="1:4" x14ac:dyDescent="0.25">
      <c r="A4247" s="15">
        <f>Sheet2!A4247</f>
        <v>0</v>
      </c>
      <c r="B4247" s="8">
        <v>0</v>
      </c>
      <c r="C4247" s="9">
        <v>1.43</v>
      </c>
      <c r="D4247" s="13">
        <f t="shared" si="66"/>
        <v>1.43</v>
      </c>
    </row>
    <row r="4248" spans="1:4" x14ac:dyDescent="0.25">
      <c r="A4248" s="15">
        <f>Sheet2!A4248</f>
        <v>0</v>
      </c>
      <c r="B4248" s="8">
        <v>15.46</v>
      </c>
      <c r="C4248" s="9">
        <v>0</v>
      </c>
      <c r="D4248" s="13">
        <f t="shared" si="66"/>
        <v>15.46</v>
      </c>
    </row>
    <row r="4249" spans="1:4" x14ac:dyDescent="0.25">
      <c r="A4249" s="15">
        <f>Sheet2!A4249</f>
        <v>0</v>
      </c>
      <c r="B4249" s="8">
        <v>0</v>
      </c>
      <c r="C4249" s="9">
        <v>1.41</v>
      </c>
      <c r="D4249" s="13">
        <f t="shared" si="66"/>
        <v>1.41</v>
      </c>
    </row>
    <row r="4250" spans="1:4" x14ac:dyDescent="0.25">
      <c r="A4250" s="15">
        <f>Sheet2!A4250</f>
        <v>0</v>
      </c>
      <c r="B4250" s="8">
        <v>0</v>
      </c>
      <c r="C4250" s="9">
        <v>2.36</v>
      </c>
      <c r="D4250" s="13">
        <f t="shared" si="66"/>
        <v>2.36</v>
      </c>
    </row>
    <row r="4251" spans="1:4" x14ac:dyDescent="0.25">
      <c r="A4251" s="15">
        <f>Sheet2!A4251</f>
        <v>0</v>
      </c>
      <c r="B4251" s="8">
        <v>0</v>
      </c>
      <c r="C4251" s="9">
        <v>1.33</v>
      </c>
      <c r="D4251" s="13">
        <f t="shared" si="66"/>
        <v>1.33</v>
      </c>
    </row>
    <row r="4252" spans="1:4" x14ac:dyDescent="0.25">
      <c r="A4252" s="15">
        <f>Sheet2!A4252</f>
        <v>0</v>
      </c>
      <c r="B4252" s="8">
        <v>10.98</v>
      </c>
      <c r="C4252" s="9">
        <v>0</v>
      </c>
      <c r="D4252" s="13">
        <f t="shared" si="66"/>
        <v>10.98</v>
      </c>
    </row>
    <row r="4253" spans="1:4" x14ac:dyDescent="0.25">
      <c r="A4253" s="15">
        <f>Sheet2!A4253</f>
        <v>0</v>
      </c>
      <c r="B4253" s="8">
        <v>9.5500000000000007</v>
      </c>
      <c r="C4253" s="9">
        <v>0</v>
      </c>
      <c r="D4253" s="13">
        <f t="shared" si="66"/>
        <v>9.5500000000000007</v>
      </c>
    </row>
    <row r="4254" spans="1:4" x14ac:dyDescent="0.25">
      <c r="A4254" s="15">
        <f>Sheet2!A4254</f>
        <v>0</v>
      </c>
      <c r="B4254" s="8">
        <v>10.44</v>
      </c>
      <c r="C4254" s="9">
        <v>0</v>
      </c>
      <c r="D4254" s="13">
        <f t="shared" si="66"/>
        <v>10.44</v>
      </c>
    </row>
    <row r="4255" spans="1:4" x14ac:dyDescent="0.25">
      <c r="A4255" s="15">
        <f>Sheet2!A4255</f>
        <v>0</v>
      </c>
      <c r="B4255" s="8">
        <v>2.15</v>
      </c>
      <c r="C4255" s="9">
        <v>0</v>
      </c>
      <c r="D4255" s="13">
        <f t="shared" si="66"/>
        <v>2.15</v>
      </c>
    </row>
    <row r="4256" spans="1:4" x14ac:dyDescent="0.25">
      <c r="A4256" s="15">
        <f>Sheet2!A4256</f>
        <v>0</v>
      </c>
      <c r="B4256" s="8">
        <v>0</v>
      </c>
      <c r="C4256" s="9">
        <v>1.6</v>
      </c>
      <c r="D4256" s="13">
        <f t="shared" si="66"/>
        <v>1.6</v>
      </c>
    </row>
    <row r="4257" spans="1:4" x14ac:dyDescent="0.25">
      <c r="A4257" s="15">
        <f>Sheet2!A4257</f>
        <v>0</v>
      </c>
      <c r="B4257" s="8">
        <v>0</v>
      </c>
      <c r="C4257" s="9">
        <v>0.69</v>
      </c>
      <c r="D4257" s="13">
        <f t="shared" si="66"/>
        <v>0.69</v>
      </c>
    </row>
    <row r="4258" spans="1:4" x14ac:dyDescent="0.25">
      <c r="A4258" s="15">
        <f>Sheet2!A4258</f>
        <v>0</v>
      </c>
      <c r="B4258" s="8">
        <v>8.9499999999999993</v>
      </c>
      <c r="C4258" s="9">
        <v>0</v>
      </c>
      <c r="D4258" s="13">
        <f t="shared" si="66"/>
        <v>8.9499999999999993</v>
      </c>
    </row>
    <row r="4259" spans="1:4" x14ac:dyDescent="0.25">
      <c r="A4259" s="15">
        <f>Sheet2!A4259</f>
        <v>0</v>
      </c>
      <c r="B4259" s="8">
        <v>8.75</v>
      </c>
      <c r="C4259" s="9">
        <v>0</v>
      </c>
      <c r="D4259" s="13">
        <f t="shared" si="66"/>
        <v>8.75</v>
      </c>
    </row>
    <row r="4260" spans="1:4" x14ac:dyDescent="0.25">
      <c r="A4260" s="15">
        <f>Sheet2!A4260</f>
        <v>0</v>
      </c>
      <c r="B4260" s="8">
        <v>0</v>
      </c>
      <c r="C4260" s="9">
        <v>0.39</v>
      </c>
      <c r="D4260" s="13">
        <f t="shared" si="66"/>
        <v>0.39</v>
      </c>
    </row>
    <row r="4261" spans="1:4" x14ac:dyDescent="0.25">
      <c r="A4261" s="15">
        <f>Sheet2!A4261</f>
        <v>0</v>
      </c>
      <c r="B4261" s="8">
        <v>0</v>
      </c>
      <c r="C4261" s="9">
        <v>0.68</v>
      </c>
      <c r="D4261" s="13">
        <f t="shared" si="66"/>
        <v>0.68</v>
      </c>
    </row>
    <row r="4262" spans="1:4" x14ac:dyDescent="0.25">
      <c r="A4262" s="15">
        <f>Sheet2!A4262</f>
        <v>0</v>
      </c>
      <c r="B4262" s="8">
        <v>0</v>
      </c>
      <c r="C4262" s="9">
        <v>3.59</v>
      </c>
      <c r="D4262" s="13">
        <f t="shared" si="66"/>
        <v>3.59</v>
      </c>
    </row>
    <row r="4263" spans="1:4" x14ac:dyDescent="0.25">
      <c r="A4263" s="15">
        <f>Sheet2!A4263</f>
        <v>0</v>
      </c>
      <c r="B4263" s="8">
        <v>0</v>
      </c>
      <c r="C4263" s="9">
        <v>0.81</v>
      </c>
      <c r="D4263" s="13">
        <f t="shared" si="66"/>
        <v>0.81</v>
      </c>
    </row>
    <row r="4264" spans="1:4" x14ac:dyDescent="0.25">
      <c r="A4264" s="15">
        <f>Sheet2!A4264</f>
        <v>0</v>
      </c>
      <c r="B4264" s="8">
        <v>15.73</v>
      </c>
      <c r="C4264" s="9">
        <v>0</v>
      </c>
      <c r="D4264" s="13">
        <f t="shared" si="66"/>
        <v>15.73</v>
      </c>
    </row>
    <row r="4265" spans="1:4" x14ac:dyDescent="0.25">
      <c r="A4265" s="15">
        <f>Sheet2!A4265</f>
        <v>0</v>
      </c>
      <c r="B4265" s="8">
        <v>0</v>
      </c>
      <c r="C4265" s="9">
        <v>1.28</v>
      </c>
      <c r="D4265" s="13">
        <f t="shared" si="66"/>
        <v>1.28</v>
      </c>
    </row>
    <row r="4266" spans="1:4" x14ac:dyDescent="0.25">
      <c r="A4266" s="15">
        <f>Sheet2!A4266</f>
        <v>0</v>
      </c>
      <c r="B4266" s="8">
        <v>0</v>
      </c>
      <c r="C4266" s="9">
        <v>2.88</v>
      </c>
      <c r="D4266" s="13">
        <f t="shared" si="66"/>
        <v>2.88</v>
      </c>
    </row>
    <row r="4267" spans="1:4" x14ac:dyDescent="0.25">
      <c r="A4267" s="15">
        <f>Sheet2!A4267</f>
        <v>0</v>
      </c>
      <c r="B4267" s="8">
        <v>12.74</v>
      </c>
      <c r="C4267" s="9">
        <v>0</v>
      </c>
      <c r="D4267" s="13">
        <f t="shared" si="66"/>
        <v>12.74</v>
      </c>
    </row>
    <row r="4268" spans="1:4" x14ac:dyDescent="0.25">
      <c r="A4268" s="15">
        <f>Sheet2!A4268</f>
        <v>0</v>
      </c>
      <c r="B4268" s="8">
        <v>0</v>
      </c>
      <c r="C4268" s="9">
        <v>3.48</v>
      </c>
      <c r="D4268" s="13">
        <f t="shared" si="66"/>
        <v>3.48</v>
      </c>
    </row>
    <row r="4269" spans="1:4" x14ac:dyDescent="0.25">
      <c r="A4269" s="15">
        <f>Sheet2!A4269</f>
        <v>0</v>
      </c>
      <c r="B4269" s="8">
        <v>0</v>
      </c>
      <c r="C4269" s="9">
        <v>3.26</v>
      </c>
      <c r="D4269" s="13">
        <f t="shared" si="66"/>
        <v>3.26</v>
      </c>
    </row>
    <row r="4270" spans="1:4" x14ac:dyDescent="0.25">
      <c r="A4270" s="15">
        <f>Sheet2!A4270</f>
        <v>0</v>
      </c>
      <c r="B4270" s="8">
        <v>16.41</v>
      </c>
      <c r="C4270" s="9">
        <v>0</v>
      </c>
      <c r="D4270" s="13">
        <f t="shared" si="66"/>
        <v>16.41</v>
      </c>
    </row>
    <row r="4271" spans="1:4" x14ac:dyDescent="0.25">
      <c r="A4271" s="15">
        <f>Sheet2!A4271</f>
        <v>0</v>
      </c>
      <c r="B4271" s="8">
        <v>0</v>
      </c>
      <c r="C4271" s="9">
        <v>1.92</v>
      </c>
      <c r="D4271" s="13">
        <f t="shared" si="66"/>
        <v>1.92</v>
      </c>
    </row>
    <row r="4272" spans="1:4" x14ac:dyDescent="0.25">
      <c r="A4272" s="15">
        <f>Sheet2!A4272</f>
        <v>0</v>
      </c>
      <c r="B4272" s="8">
        <v>0</v>
      </c>
      <c r="C4272" s="9">
        <v>2.66</v>
      </c>
      <c r="D4272" s="13">
        <f t="shared" si="66"/>
        <v>2.66</v>
      </c>
    </row>
    <row r="4273" spans="1:4" x14ac:dyDescent="0.25">
      <c r="A4273" s="15">
        <f>Sheet2!A4273</f>
        <v>0</v>
      </c>
      <c r="B4273" s="8">
        <v>0</v>
      </c>
      <c r="C4273" s="9">
        <v>0.88</v>
      </c>
      <c r="D4273" s="13">
        <f t="shared" si="66"/>
        <v>0.88</v>
      </c>
    </row>
    <row r="4274" spans="1:4" x14ac:dyDescent="0.25">
      <c r="A4274" s="15">
        <f>Sheet2!A4274</f>
        <v>0</v>
      </c>
      <c r="B4274" s="8">
        <v>9.94</v>
      </c>
      <c r="C4274" s="9">
        <v>0</v>
      </c>
      <c r="D4274" s="13">
        <f t="shared" si="66"/>
        <v>9.94</v>
      </c>
    </row>
    <row r="4275" spans="1:4" x14ac:dyDescent="0.25">
      <c r="A4275" s="15">
        <f>Sheet2!A4275</f>
        <v>0</v>
      </c>
      <c r="B4275" s="8">
        <v>0</v>
      </c>
      <c r="C4275" s="9">
        <v>0.26</v>
      </c>
      <c r="D4275" s="13">
        <f t="shared" si="66"/>
        <v>0.26</v>
      </c>
    </row>
    <row r="4276" spans="1:4" x14ac:dyDescent="0.25">
      <c r="A4276" s="15">
        <f>Sheet2!A4276</f>
        <v>0</v>
      </c>
      <c r="B4276" s="8">
        <v>0</v>
      </c>
      <c r="C4276" s="9">
        <v>2.72</v>
      </c>
      <c r="D4276" s="13">
        <f t="shared" si="66"/>
        <v>2.72</v>
      </c>
    </row>
    <row r="4277" spans="1:4" x14ac:dyDescent="0.25">
      <c r="A4277" s="15">
        <f>Sheet2!A4277</f>
        <v>0</v>
      </c>
      <c r="B4277" s="8">
        <v>0</v>
      </c>
      <c r="C4277" s="9">
        <v>1.17</v>
      </c>
      <c r="D4277" s="13">
        <f t="shared" si="66"/>
        <v>1.17</v>
      </c>
    </row>
    <row r="4278" spans="1:4" x14ac:dyDescent="0.25">
      <c r="A4278" s="15">
        <f>Sheet2!A4278</f>
        <v>0</v>
      </c>
      <c r="B4278" s="8">
        <v>10.72</v>
      </c>
      <c r="C4278" s="9">
        <v>0</v>
      </c>
      <c r="D4278" s="13">
        <f t="shared" si="66"/>
        <v>10.72</v>
      </c>
    </row>
    <row r="4279" spans="1:4" x14ac:dyDescent="0.25">
      <c r="A4279" s="15">
        <f>Sheet2!A4279</f>
        <v>0</v>
      </c>
      <c r="B4279" s="8">
        <v>0</v>
      </c>
      <c r="C4279" s="9">
        <v>1.81</v>
      </c>
      <c r="D4279" s="13">
        <f t="shared" si="66"/>
        <v>1.81</v>
      </c>
    </row>
    <row r="4280" spans="1:4" x14ac:dyDescent="0.25">
      <c r="A4280" s="15">
        <f>Sheet2!A4280</f>
        <v>0</v>
      </c>
      <c r="B4280" s="8">
        <v>0</v>
      </c>
      <c r="C4280" s="9">
        <v>3.54</v>
      </c>
      <c r="D4280" s="13">
        <f t="shared" si="66"/>
        <v>3.54</v>
      </c>
    </row>
    <row r="4281" spans="1:4" x14ac:dyDescent="0.25">
      <c r="A4281" s="15">
        <f>Sheet2!A4281</f>
        <v>0</v>
      </c>
      <c r="B4281" s="8">
        <v>0</v>
      </c>
      <c r="C4281" s="9">
        <v>2.56</v>
      </c>
      <c r="D4281" s="13">
        <f t="shared" si="66"/>
        <v>2.56</v>
      </c>
    </row>
    <row r="4282" spans="1:4" x14ac:dyDescent="0.25">
      <c r="A4282" s="15">
        <f>Sheet2!A4282</f>
        <v>0</v>
      </c>
      <c r="B4282" s="8">
        <v>12.33</v>
      </c>
      <c r="C4282" s="9">
        <v>0</v>
      </c>
      <c r="D4282" s="13">
        <f t="shared" si="66"/>
        <v>12.33</v>
      </c>
    </row>
    <row r="4283" spans="1:4" x14ac:dyDescent="0.25">
      <c r="A4283" s="15">
        <f>Sheet2!A4283</f>
        <v>0</v>
      </c>
      <c r="B4283" s="8">
        <v>0</v>
      </c>
      <c r="C4283" s="9">
        <v>3.15</v>
      </c>
      <c r="D4283" s="13">
        <f t="shared" si="66"/>
        <v>3.15</v>
      </c>
    </row>
    <row r="4284" spans="1:4" x14ac:dyDescent="0.25">
      <c r="A4284" s="15">
        <f>Sheet2!A4284</f>
        <v>0</v>
      </c>
      <c r="B4284" s="8">
        <v>0</v>
      </c>
      <c r="C4284" s="9">
        <v>3.69</v>
      </c>
      <c r="D4284" s="13">
        <f t="shared" si="66"/>
        <v>3.69</v>
      </c>
    </row>
    <row r="4285" spans="1:4" x14ac:dyDescent="0.25">
      <c r="A4285" s="15">
        <f>Sheet2!A4285</f>
        <v>0</v>
      </c>
      <c r="B4285" s="8">
        <v>0</v>
      </c>
      <c r="C4285" s="9">
        <v>1.6</v>
      </c>
      <c r="D4285" s="13">
        <f t="shared" si="66"/>
        <v>1.6</v>
      </c>
    </row>
    <row r="4286" spans="1:4" x14ac:dyDescent="0.25">
      <c r="A4286" s="15">
        <f>Sheet2!A4286</f>
        <v>0</v>
      </c>
      <c r="B4286" s="8">
        <v>0</v>
      </c>
      <c r="C4286" s="9">
        <v>0.62</v>
      </c>
      <c r="D4286" s="13">
        <f t="shared" si="66"/>
        <v>0.62</v>
      </c>
    </row>
    <row r="4287" spans="1:4" x14ac:dyDescent="0.25">
      <c r="A4287" s="15">
        <f>Sheet2!A4287</f>
        <v>0</v>
      </c>
      <c r="B4287" s="8">
        <v>0</v>
      </c>
      <c r="C4287" s="9">
        <v>3.6</v>
      </c>
      <c r="D4287" s="13">
        <f t="shared" si="66"/>
        <v>3.6</v>
      </c>
    </row>
    <row r="4288" spans="1:4" x14ac:dyDescent="0.25">
      <c r="A4288" s="15">
        <f>Sheet2!A4288</f>
        <v>0</v>
      </c>
      <c r="B4288" s="8">
        <v>0</v>
      </c>
      <c r="C4288" s="9">
        <v>3.77</v>
      </c>
      <c r="D4288" s="13">
        <f t="shared" si="66"/>
        <v>3.77</v>
      </c>
    </row>
    <row r="4289" spans="1:4" x14ac:dyDescent="0.25">
      <c r="A4289" s="15">
        <f>Sheet2!A4289</f>
        <v>0</v>
      </c>
      <c r="B4289" s="8">
        <v>0</v>
      </c>
      <c r="C4289" s="9">
        <v>3.82</v>
      </c>
      <c r="D4289" s="13">
        <f t="shared" si="66"/>
        <v>3.82</v>
      </c>
    </row>
    <row r="4290" spans="1:4" x14ac:dyDescent="0.25">
      <c r="A4290" s="15">
        <f>Sheet2!A4290</f>
        <v>0</v>
      </c>
      <c r="B4290" s="8">
        <v>0</v>
      </c>
      <c r="C4290" s="9">
        <v>1.8</v>
      </c>
      <c r="D4290" s="13">
        <f t="shared" si="66"/>
        <v>1.8</v>
      </c>
    </row>
    <row r="4291" spans="1:4" x14ac:dyDescent="0.25">
      <c r="A4291" s="15">
        <f>Sheet2!A4291</f>
        <v>0</v>
      </c>
      <c r="B4291" s="8">
        <v>14.45</v>
      </c>
      <c r="C4291" s="9">
        <v>0</v>
      </c>
      <c r="D4291" s="13">
        <f t="shared" ref="D4291:D4354" si="67">B4291+C4291</f>
        <v>14.45</v>
      </c>
    </row>
    <row r="4292" spans="1:4" x14ac:dyDescent="0.25">
      <c r="A4292" s="15">
        <f>Sheet2!A4292</f>
        <v>0</v>
      </c>
      <c r="B4292" s="8">
        <v>0</v>
      </c>
      <c r="C4292" s="9">
        <v>0.38</v>
      </c>
      <c r="D4292" s="13">
        <f t="shared" si="67"/>
        <v>0.38</v>
      </c>
    </row>
    <row r="4293" spans="1:4" x14ac:dyDescent="0.25">
      <c r="A4293" s="15">
        <f>Sheet2!A4293</f>
        <v>0</v>
      </c>
      <c r="B4293" s="8">
        <v>0</v>
      </c>
      <c r="C4293" s="9">
        <v>3.88</v>
      </c>
      <c r="D4293" s="13">
        <f t="shared" si="67"/>
        <v>3.88</v>
      </c>
    </row>
    <row r="4294" spans="1:4" x14ac:dyDescent="0.25">
      <c r="A4294" s="15">
        <f>Sheet2!A4294</f>
        <v>0</v>
      </c>
      <c r="B4294" s="8">
        <v>0</v>
      </c>
      <c r="C4294" s="9">
        <v>3.77</v>
      </c>
      <c r="D4294" s="13">
        <f t="shared" si="67"/>
        <v>3.77</v>
      </c>
    </row>
    <row r="4295" spans="1:4" x14ac:dyDescent="0.25">
      <c r="A4295" s="15">
        <f>Sheet2!A4295</f>
        <v>0</v>
      </c>
      <c r="B4295" s="8">
        <v>0</v>
      </c>
      <c r="C4295" s="9">
        <v>1.31</v>
      </c>
      <c r="D4295" s="13">
        <f t="shared" si="67"/>
        <v>1.31</v>
      </c>
    </row>
    <row r="4296" spans="1:4" x14ac:dyDescent="0.25">
      <c r="A4296" s="15">
        <f>Sheet2!A4296</f>
        <v>0</v>
      </c>
      <c r="B4296" s="8">
        <v>14.06</v>
      </c>
      <c r="C4296" s="9">
        <v>0</v>
      </c>
      <c r="D4296" s="13">
        <f t="shared" si="67"/>
        <v>14.06</v>
      </c>
    </row>
    <row r="4297" spans="1:4" x14ac:dyDescent="0.25">
      <c r="A4297" s="15">
        <f>Sheet2!A4297</f>
        <v>0</v>
      </c>
      <c r="B4297" s="8">
        <v>0</v>
      </c>
      <c r="C4297" s="9">
        <v>1.34</v>
      </c>
      <c r="D4297" s="13">
        <f t="shared" si="67"/>
        <v>1.34</v>
      </c>
    </row>
    <row r="4298" spans="1:4" x14ac:dyDescent="0.25">
      <c r="A4298" s="15">
        <f>Sheet2!A4298</f>
        <v>0</v>
      </c>
      <c r="B4298" s="8">
        <v>0</v>
      </c>
      <c r="C4298" s="9">
        <v>2.42</v>
      </c>
      <c r="D4298" s="13">
        <f t="shared" si="67"/>
        <v>2.42</v>
      </c>
    </row>
    <row r="4299" spans="1:4" x14ac:dyDescent="0.25">
      <c r="A4299" s="15">
        <f>Sheet2!A4299</f>
        <v>0</v>
      </c>
      <c r="B4299" s="8">
        <v>0</v>
      </c>
      <c r="C4299" s="9">
        <v>0.85</v>
      </c>
      <c r="D4299" s="13">
        <f t="shared" si="67"/>
        <v>0.85</v>
      </c>
    </row>
    <row r="4300" spans="1:4" x14ac:dyDescent="0.25">
      <c r="A4300" s="15">
        <f>Sheet2!A4300</f>
        <v>0</v>
      </c>
      <c r="B4300" s="8">
        <v>10.199999999999999</v>
      </c>
      <c r="C4300" s="9">
        <v>0</v>
      </c>
      <c r="D4300" s="13">
        <f t="shared" si="67"/>
        <v>10.199999999999999</v>
      </c>
    </row>
    <row r="4301" spans="1:4" x14ac:dyDescent="0.25">
      <c r="A4301" s="15">
        <f>Sheet2!A4301</f>
        <v>0</v>
      </c>
      <c r="B4301" s="8">
        <v>0</v>
      </c>
      <c r="C4301" s="9">
        <v>2.0299999999999998</v>
      </c>
      <c r="D4301" s="13">
        <f t="shared" si="67"/>
        <v>2.0299999999999998</v>
      </c>
    </row>
    <row r="4302" spans="1:4" x14ac:dyDescent="0.25">
      <c r="A4302" s="15">
        <f>Sheet2!A4302</f>
        <v>0</v>
      </c>
      <c r="B4302" s="8">
        <v>0</v>
      </c>
      <c r="C4302" s="9">
        <v>2.84</v>
      </c>
      <c r="D4302" s="13">
        <f t="shared" si="67"/>
        <v>2.84</v>
      </c>
    </row>
    <row r="4303" spans="1:4" x14ac:dyDescent="0.25">
      <c r="A4303" s="15">
        <f>Sheet2!A4303</f>
        <v>0</v>
      </c>
      <c r="B4303" s="8">
        <v>0</v>
      </c>
      <c r="C4303" s="9">
        <v>0.96</v>
      </c>
      <c r="D4303" s="13">
        <f t="shared" si="67"/>
        <v>0.96</v>
      </c>
    </row>
    <row r="4304" spans="1:4" x14ac:dyDescent="0.25">
      <c r="A4304" s="15">
        <f>Sheet2!A4304</f>
        <v>0</v>
      </c>
      <c r="B4304" s="8">
        <v>11.03</v>
      </c>
      <c r="C4304" s="9">
        <v>0</v>
      </c>
      <c r="D4304" s="13">
        <f t="shared" si="67"/>
        <v>11.03</v>
      </c>
    </row>
    <row r="4305" spans="1:4" x14ac:dyDescent="0.25">
      <c r="A4305" s="15">
        <f>Sheet2!A4305</f>
        <v>0</v>
      </c>
      <c r="B4305" s="8">
        <v>0</v>
      </c>
      <c r="C4305" s="9">
        <v>1.67</v>
      </c>
      <c r="D4305" s="13">
        <f t="shared" si="67"/>
        <v>1.67</v>
      </c>
    </row>
    <row r="4306" spans="1:4" x14ac:dyDescent="0.25">
      <c r="A4306" s="15">
        <f>Sheet2!A4306</f>
        <v>0</v>
      </c>
      <c r="B4306" s="8">
        <v>0</v>
      </c>
      <c r="C4306" s="9">
        <v>1.79</v>
      </c>
      <c r="D4306" s="13">
        <f t="shared" si="67"/>
        <v>1.79</v>
      </c>
    </row>
    <row r="4307" spans="1:4" x14ac:dyDescent="0.25">
      <c r="A4307" s="15">
        <f>Sheet2!A4307</f>
        <v>0</v>
      </c>
      <c r="B4307" s="8">
        <v>0</v>
      </c>
      <c r="C4307" s="9">
        <v>0.52</v>
      </c>
      <c r="D4307" s="13">
        <f t="shared" si="67"/>
        <v>0.52</v>
      </c>
    </row>
    <row r="4308" spans="1:4" x14ac:dyDescent="0.25">
      <c r="A4308" s="15">
        <f>Sheet2!A4308</f>
        <v>0</v>
      </c>
      <c r="B4308" s="8">
        <v>11.62</v>
      </c>
      <c r="C4308" s="9">
        <v>0</v>
      </c>
      <c r="D4308" s="13">
        <f t="shared" si="67"/>
        <v>11.62</v>
      </c>
    </row>
    <row r="4309" spans="1:4" x14ac:dyDescent="0.25">
      <c r="A4309" s="15">
        <f>Sheet2!A4309</f>
        <v>0</v>
      </c>
      <c r="B4309" s="8">
        <v>0</v>
      </c>
      <c r="C4309" s="9">
        <v>2.04</v>
      </c>
      <c r="D4309" s="13">
        <f t="shared" si="67"/>
        <v>2.04</v>
      </c>
    </row>
    <row r="4310" spans="1:4" x14ac:dyDescent="0.25">
      <c r="A4310" s="15">
        <f>Sheet2!A4310</f>
        <v>0</v>
      </c>
      <c r="B4310" s="8">
        <v>0</v>
      </c>
      <c r="C4310" s="9">
        <v>2.79</v>
      </c>
      <c r="D4310" s="13">
        <f t="shared" si="67"/>
        <v>2.79</v>
      </c>
    </row>
    <row r="4311" spans="1:4" x14ac:dyDescent="0.25">
      <c r="A4311" s="15">
        <f>Sheet2!A4311</f>
        <v>0</v>
      </c>
      <c r="B4311" s="8">
        <v>0</v>
      </c>
      <c r="C4311" s="9">
        <v>1.25</v>
      </c>
      <c r="D4311" s="13">
        <f t="shared" si="67"/>
        <v>1.25</v>
      </c>
    </row>
    <row r="4312" spans="1:4" x14ac:dyDescent="0.25">
      <c r="A4312" s="15">
        <f>Sheet2!A4312</f>
        <v>0</v>
      </c>
      <c r="B4312" s="8">
        <v>13.95</v>
      </c>
      <c r="C4312" s="9">
        <v>0</v>
      </c>
      <c r="D4312" s="13">
        <f t="shared" si="67"/>
        <v>13.95</v>
      </c>
    </row>
    <row r="4313" spans="1:4" x14ac:dyDescent="0.25">
      <c r="A4313" s="15">
        <f>Sheet2!A4313</f>
        <v>0</v>
      </c>
      <c r="B4313" s="8">
        <v>0</v>
      </c>
      <c r="C4313" s="9">
        <v>2.4500000000000002</v>
      </c>
      <c r="D4313" s="13">
        <f t="shared" si="67"/>
        <v>2.4500000000000002</v>
      </c>
    </row>
    <row r="4314" spans="1:4" x14ac:dyDescent="0.25">
      <c r="A4314" s="15">
        <f>Sheet2!A4314</f>
        <v>0</v>
      </c>
      <c r="B4314" s="8">
        <v>0</v>
      </c>
      <c r="C4314" s="9">
        <v>3.26</v>
      </c>
      <c r="D4314" s="13">
        <f t="shared" si="67"/>
        <v>3.26</v>
      </c>
    </row>
    <row r="4315" spans="1:4" x14ac:dyDescent="0.25">
      <c r="A4315" s="15">
        <f>Sheet2!A4315</f>
        <v>0</v>
      </c>
      <c r="B4315" s="8">
        <v>0</v>
      </c>
      <c r="C4315" s="9">
        <v>2</v>
      </c>
      <c r="D4315" s="13">
        <f t="shared" si="67"/>
        <v>2</v>
      </c>
    </row>
    <row r="4316" spans="1:4" x14ac:dyDescent="0.25">
      <c r="A4316" s="15">
        <f>Sheet2!A4316</f>
        <v>0</v>
      </c>
      <c r="B4316" s="8">
        <v>13.03</v>
      </c>
      <c r="C4316" s="9">
        <v>0</v>
      </c>
      <c r="D4316" s="13">
        <f t="shared" si="67"/>
        <v>13.03</v>
      </c>
    </row>
    <row r="4317" spans="1:4" x14ac:dyDescent="0.25">
      <c r="A4317" s="15">
        <f>Sheet2!A4317</f>
        <v>0</v>
      </c>
      <c r="B4317" s="8">
        <v>0</v>
      </c>
      <c r="C4317" s="9">
        <v>2.2000000000000002</v>
      </c>
      <c r="D4317" s="13">
        <f t="shared" si="67"/>
        <v>2.2000000000000002</v>
      </c>
    </row>
    <row r="4318" spans="1:4" x14ac:dyDescent="0.25">
      <c r="A4318" s="15">
        <f>Sheet2!A4318</f>
        <v>0</v>
      </c>
      <c r="B4318" s="8">
        <v>0</v>
      </c>
      <c r="C4318" s="9">
        <v>3.48</v>
      </c>
      <c r="D4318" s="13">
        <f t="shared" si="67"/>
        <v>3.48</v>
      </c>
    </row>
    <row r="4319" spans="1:4" x14ac:dyDescent="0.25">
      <c r="A4319" s="15">
        <f>Sheet2!A4319</f>
        <v>0</v>
      </c>
      <c r="B4319" s="8">
        <v>0</v>
      </c>
      <c r="C4319" s="9">
        <v>1.43</v>
      </c>
      <c r="D4319" s="13">
        <f t="shared" si="67"/>
        <v>1.43</v>
      </c>
    </row>
    <row r="4320" spans="1:4" x14ac:dyDescent="0.25">
      <c r="A4320" s="15">
        <f>Sheet2!A4320</f>
        <v>0</v>
      </c>
      <c r="B4320" s="8">
        <v>13.54</v>
      </c>
      <c r="C4320" s="9">
        <v>0</v>
      </c>
      <c r="D4320" s="13">
        <f t="shared" si="67"/>
        <v>13.54</v>
      </c>
    </row>
    <row r="4321" spans="1:4" x14ac:dyDescent="0.25">
      <c r="A4321" s="15">
        <f>Sheet2!A4321</f>
        <v>0</v>
      </c>
      <c r="B4321" s="8">
        <v>0</v>
      </c>
      <c r="C4321" s="9">
        <v>1.35</v>
      </c>
      <c r="D4321" s="13">
        <f t="shared" si="67"/>
        <v>1.35</v>
      </c>
    </row>
    <row r="4322" spans="1:4" x14ac:dyDescent="0.25">
      <c r="A4322" s="15">
        <f>Sheet2!A4322</f>
        <v>0</v>
      </c>
      <c r="B4322" s="8">
        <v>0</v>
      </c>
      <c r="C4322" s="9">
        <v>1.73</v>
      </c>
      <c r="D4322" s="13">
        <f t="shared" si="67"/>
        <v>1.73</v>
      </c>
    </row>
    <row r="4323" spans="1:4" x14ac:dyDescent="0.25">
      <c r="A4323" s="15">
        <f>Sheet2!A4323</f>
        <v>0</v>
      </c>
      <c r="B4323" s="8">
        <v>0</v>
      </c>
      <c r="C4323" s="9">
        <v>0.68</v>
      </c>
      <c r="D4323" s="13">
        <f t="shared" si="67"/>
        <v>0.68</v>
      </c>
    </row>
    <row r="4324" spans="1:4" x14ac:dyDescent="0.25">
      <c r="A4324" s="15">
        <f>Sheet2!A4324</f>
        <v>0</v>
      </c>
      <c r="B4324" s="8">
        <v>8.58</v>
      </c>
      <c r="C4324" s="9">
        <v>0</v>
      </c>
      <c r="D4324" s="13">
        <f t="shared" si="67"/>
        <v>8.58</v>
      </c>
    </row>
    <row r="4325" spans="1:4" x14ac:dyDescent="0.25">
      <c r="A4325" s="15">
        <f>Sheet2!A4325</f>
        <v>0</v>
      </c>
      <c r="B4325" s="8">
        <v>7.87</v>
      </c>
      <c r="C4325" s="9">
        <v>0</v>
      </c>
      <c r="D4325" s="13">
        <f t="shared" si="67"/>
        <v>7.87</v>
      </c>
    </row>
    <row r="4326" spans="1:4" x14ac:dyDescent="0.25">
      <c r="A4326" s="15">
        <f>Sheet2!A4326</f>
        <v>0</v>
      </c>
      <c r="B4326" s="8">
        <v>7.88</v>
      </c>
      <c r="C4326" s="9">
        <v>0</v>
      </c>
      <c r="D4326" s="13">
        <f t="shared" si="67"/>
        <v>7.88</v>
      </c>
    </row>
    <row r="4327" spans="1:4" x14ac:dyDescent="0.25">
      <c r="A4327" s="15">
        <f>Sheet2!A4327</f>
        <v>0</v>
      </c>
      <c r="B4327" s="8">
        <v>0</v>
      </c>
      <c r="C4327" s="9">
        <v>1.1200000000000001</v>
      </c>
      <c r="D4327" s="13">
        <f t="shared" si="67"/>
        <v>1.1200000000000001</v>
      </c>
    </row>
    <row r="4328" spans="1:4" x14ac:dyDescent="0.25">
      <c r="A4328" s="15">
        <f>Sheet2!A4328</f>
        <v>0</v>
      </c>
      <c r="B4328" s="8">
        <v>0</v>
      </c>
      <c r="C4328" s="9">
        <v>1.8</v>
      </c>
      <c r="D4328" s="13">
        <f t="shared" si="67"/>
        <v>1.8</v>
      </c>
    </row>
    <row r="4329" spans="1:4" x14ac:dyDescent="0.25">
      <c r="A4329" s="15">
        <f>Sheet2!A4329</f>
        <v>0</v>
      </c>
      <c r="B4329" s="8">
        <v>0</v>
      </c>
      <c r="C4329" s="9">
        <v>1.56</v>
      </c>
      <c r="D4329" s="13">
        <f t="shared" si="67"/>
        <v>1.56</v>
      </c>
    </row>
    <row r="4330" spans="1:4" x14ac:dyDescent="0.25">
      <c r="A4330" s="15">
        <f>Sheet2!A4330</f>
        <v>0</v>
      </c>
      <c r="B4330" s="8">
        <v>13.74</v>
      </c>
      <c r="C4330" s="9">
        <v>0</v>
      </c>
      <c r="D4330" s="13">
        <f t="shared" si="67"/>
        <v>13.74</v>
      </c>
    </row>
    <row r="4331" spans="1:4" x14ac:dyDescent="0.25">
      <c r="A4331" s="15">
        <f>Sheet2!A4331</f>
        <v>0</v>
      </c>
      <c r="B4331" s="8">
        <v>0</v>
      </c>
      <c r="C4331" s="9">
        <v>0.79</v>
      </c>
      <c r="D4331" s="13">
        <f t="shared" si="67"/>
        <v>0.79</v>
      </c>
    </row>
    <row r="4332" spans="1:4" x14ac:dyDescent="0.25">
      <c r="A4332" s="15">
        <f>Sheet2!A4332</f>
        <v>0</v>
      </c>
      <c r="B4332" s="8">
        <v>13.5</v>
      </c>
      <c r="C4332" s="9">
        <v>0</v>
      </c>
      <c r="D4332" s="13">
        <f t="shared" si="67"/>
        <v>13.5</v>
      </c>
    </row>
    <row r="4333" spans="1:4" x14ac:dyDescent="0.25">
      <c r="A4333" s="15">
        <f>Sheet2!A4333</f>
        <v>0</v>
      </c>
      <c r="B4333" s="8">
        <v>0</v>
      </c>
      <c r="C4333" s="9">
        <v>1.5</v>
      </c>
      <c r="D4333" s="13">
        <f t="shared" si="67"/>
        <v>1.5</v>
      </c>
    </row>
    <row r="4334" spans="1:4" x14ac:dyDescent="0.25">
      <c r="A4334" s="15">
        <f>Sheet2!A4334</f>
        <v>0</v>
      </c>
      <c r="B4334" s="8">
        <v>0</v>
      </c>
      <c r="C4334" s="9">
        <v>2.23</v>
      </c>
      <c r="D4334" s="13">
        <f t="shared" si="67"/>
        <v>2.23</v>
      </c>
    </row>
    <row r="4335" spans="1:4" x14ac:dyDescent="0.25">
      <c r="A4335" s="15">
        <f>Sheet2!A4335</f>
        <v>0</v>
      </c>
      <c r="B4335" s="8">
        <v>0</v>
      </c>
      <c r="C4335" s="9">
        <v>0.5</v>
      </c>
      <c r="D4335" s="13">
        <f t="shared" si="67"/>
        <v>0.5</v>
      </c>
    </row>
    <row r="4336" spans="1:4" x14ac:dyDescent="0.25">
      <c r="A4336" s="15">
        <f>Sheet2!A4336</f>
        <v>0</v>
      </c>
      <c r="B4336" s="8">
        <v>12.54</v>
      </c>
      <c r="C4336" s="9">
        <v>0</v>
      </c>
      <c r="D4336" s="13">
        <f t="shared" si="67"/>
        <v>12.54</v>
      </c>
    </row>
    <row r="4337" spans="1:4" x14ac:dyDescent="0.25">
      <c r="A4337" s="15">
        <f>Sheet2!A4337</f>
        <v>0</v>
      </c>
      <c r="B4337" s="8">
        <v>0</v>
      </c>
      <c r="C4337" s="9">
        <v>0.31</v>
      </c>
      <c r="D4337" s="13">
        <f t="shared" si="67"/>
        <v>0.31</v>
      </c>
    </row>
    <row r="4338" spans="1:4" x14ac:dyDescent="0.25">
      <c r="A4338" s="15">
        <f>Sheet2!A4338</f>
        <v>0</v>
      </c>
      <c r="B4338" s="8">
        <v>0</v>
      </c>
      <c r="C4338" s="9">
        <v>2.83</v>
      </c>
      <c r="D4338" s="13">
        <f t="shared" si="67"/>
        <v>2.83</v>
      </c>
    </row>
    <row r="4339" spans="1:4" x14ac:dyDescent="0.25">
      <c r="A4339" s="15">
        <f>Sheet2!A4339</f>
        <v>0</v>
      </c>
      <c r="B4339" s="8">
        <v>0</v>
      </c>
      <c r="C4339" s="9">
        <v>1.33</v>
      </c>
      <c r="D4339" s="13">
        <f t="shared" si="67"/>
        <v>1.33</v>
      </c>
    </row>
    <row r="4340" spans="1:4" x14ac:dyDescent="0.25">
      <c r="A4340" s="15">
        <f>Sheet2!A4340</f>
        <v>0</v>
      </c>
      <c r="B4340" s="8">
        <v>0</v>
      </c>
      <c r="C4340" s="9">
        <v>1.68</v>
      </c>
      <c r="D4340" s="13">
        <f t="shared" si="67"/>
        <v>1.68</v>
      </c>
    </row>
    <row r="4341" spans="1:4" x14ac:dyDescent="0.25">
      <c r="A4341" s="15">
        <f>Sheet2!A4341</f>
        <v>0</v>
      </c>
      <c r="B4341" s="8">
        <v>0</v>
      </c>
      <c r="C4341" s="9">
        <v>2.25</v>
      </c>
      <c r="D4341" s="13">
        <f t="shared" si="67"/>
        <v>2.25</v>
      </c>
    </row>
    <row r="4342" spans="1:4" x14ac:dyDescent="0.25">
      <c r="A4342" s="15">
        <f>Sheet2!A4342</f>
        <v>0</v>
      </c>
      <c r="B4342" s="8">
        <v>11.95</v>
      </c>
      <c r="C4342" s="9">
        <v>0</v>
      </c>
      <c r="D4342" s="13">
        <f t="shared" si="67"/>
        <v>11.95</v>
      </c>
    </row>
    <row r="4343" spans="1:4" x14ac:dyDescent="0.25">
      <c r="A4343" s="15">
        <f>Sheet2!A4343</f>
        <v>0</v>
      </c>
      <c r="B4343" s="8">
        <v>10.02</v>
      </c>
      <c r="C4343" s="9">
        <v>0</v>
      </c>
      <c r="D4343" s="13">
        <f t="shared" si="67"/>
        <v>10.02</v>
      </c>
    </row>
    <row r="4344" spans="1:4" x14ac:dyDescent="0.25">
      <c r="A4344" s="15">
        <f>Sheet2!A4344</f>
        <v>0</v>
      </c>
      <c r="B4344" s="8">
        <v>10.29</v>
      </c>
      <c r="C4344" s="9">
        <v>0</v>
      </c>
      <c r="D4344" s="13">
        <f t="shared" si="67"/>
        <v>10.29</v>
      </c>
    </row>
    <row r="4345" spans="1:4" x14ac:dyDescent="0.25">
      <c r="A4345" s="15">
        <f>Sheet2!A4345</f>
        <v>0</v>
      </c>
      <c r="B4345" s="8">
        <v>0</v>
      </c>
      <c r="C4345" s="9">
        <v>2.27</v>
      </c>
      <c r="D4345" s="13">
        <f t="shared" si="67"/>
        <v>2.27</v>
      </c>
    </row>
    <row r="4346" spans="1:4" x14ac:dyDescent="0.25">
      <c r="A4346" s="15">
        <f>Sheet2!A4346</f>
        <v>0</v>
      </c>
      <c r="B4346" s="8">
        <v>0</v>
      </c>
      <c r="C4346" s="9">
        <v>2.89</v>
      </c>
      <c r="D4346" s="13">
        <f t="shared" si="67"/>
        <v>2.89</v>
      </c>
    </row>
    <row r="4347" spans="1:4" x14ac:dyDescent="0.25">
      <c r="A4347" s="15">
        <f>Sheet2!A4347</f>
        <v>0</v>
      </c>
      <c r="B4347" s="8">
        <v>9.2200000000000006</v>
      </c>
      <c r="C4347" s="9">
        <v>0</v>
      </c>
      <c r="D4347" s="13">
        <f t="shared" si="67"/>
        <v>9.2200000000000006</v>
      </c>
    </row>
    <row r="4348" spans="1:4" x14ac:dyDescent="0.25">
      <c r="A4348" s="15">
        <f>Sheet2!A4348</f>
        <v>0</v>
      </c>
      <c r="B4348" s="8">
        <v>8.82</v>
      </c>
      <c r="C4348" s="9">
        <v>0</v>
      </c>
      <c r="D4348" s="13">
        <f t="shared" si="67"/>
        <v>8.82</v>
      </c>
    </row>
    <row r="4349" spans="1:4" x14ac:dyDescent="0.25">
      <c r="A4349" s="15">
        <f>Sheet2!A4349</f>
        <v>0</v>
      </c>
      <c r="B4349" s="8">
        <v>0</v>
      </c>
      <c r="C4349" s="9">
        <v>1.1599999999999999</v>
      </c>
      <c r="D4349" s="13">
        <f t="shared" si="67"/>
        <v>1.1599999999999999</v>
      </c>
    </row>
    <row r="4350" spans="1:4" x14ac:dyDescent="0.25">
      <c r="A4350" s="15">
        <f>Sheet2!A4350</f>
        <v>0</v>
      </c>
      <c r="B4350" s="8">
        <v>0</v>
      </c>
      <c r="C4350" s="9">
        <v>2.71</v>
      </c>
      <c r="D4350" s="13">
        <f t="shared" si="67"/>
        <v>2.71</v>
      </c>
    </row>
    <row r="4351" spans="1:4" x14ac:dyDescent="0.25">
      <c r="A4351" s="15">
        <f>Sheet2!A4351</f>
        <v>0</v>
      </c>
      <c r="B4351" s="8">
        <v>0</v>
      </c>
      <c r="C4351" s="9">
        <v>1.59</v>
      </c>
      <c r="D4351" s="13">
        <f t="shared" si="67"/>
        <v>1.59</v>
      </c>
    </row>
    <row r="4352" spans="1:4" x14ac:dyDescent="0.25">
      <c r="A4352" s="15">
        <f>Sheet2!A4352</f>
        <v>0</v>
      </c>
      <c r="B4352" s="8">
        <v>0</v>
      </c>
      <c r="C4352" s="9">
        <v>1.38</v>
      </c>
      <c r="D4352" s="13">
        <f t="shared" si="67"/>
        <v>1.38</v>
      </c>
    </row>
    <row r="4353" spans="1:4" x14ac:dyDescent="0.25">
      <c r="A4353" s="15">
        <f>Sheet2!A4353</f>
        <v>0</v>
      </c>
      <c r="B4353" s="8">
        <v>0</v>
      </c>
      <c r="C4353" s="9">
        <v>0.78</v>
      </c>
      <c r="D4353" s="13">
        <f t="shared" si="67"/>
        <v>0.78</v>
      </c>
    </row>
    <row r="4354" spans="1:4" x14ac:dyDescent="0.25">
      <c r="A4354" s="15">
        <f>Sheet2!A4354</f>
        <v>0</v>
      </c>
      <c r="B4354" s="8">
        <v>7.85</v>
      </c>
      <c r="C4354" s="9">
        <v>0</v>
      </c>
      <c r="D4354" s="13">
        <f t="shared" si="67"/>
        <v>7.85</v>
      </c>
    </row>
    <row r="4355" spans="1:4" x14ac:dyDescent="0.25">
      <c r="A4355" s="15">
        <f>Sheet2!A4355</f>
        <v>0</v>
      </c>
      <c r="B4355" s="8">
        <v>0</v>
      </c>
      <c r="C4355" s="9">
        <v>2.99</v>
      </c>
      <c r="D4355" s="13">
        <f t="shared" ref="D4355:D4418" si="68">B4355+C4355</f>
        <v>2.99</v>
      </c>
    </row>
    <row r="4356" spans="1:4" x14ac:dyDescent="0.25">
      <c r="A4356" s="15">
        <f>Sheet2!A4356</f>
        <v>0</v>
      </c>
      <c r="B4356" s="8">
        <v>0</v>
      </c>
      <c r="C4356" s="9">
        <v>3.2</v>
      </c>
      <c r="D4356" s="13">
        <f t="shared" si="68"/>
        <v>3.2</v>
      </c>
    </row>
    <row r="4357" spans="1:4" x14ac:dyDescent="0.25">
      <c r="A4357" s="15">
        <f>Sheet2!A4357</f>
        <v>0</v>
      </c>
      <c r="B4357" s="8">
        <v>0</v>
      </c>
      <c r="C4357" s="9">
        <v>1.91</v>
      </c>
      <c r="D4357" s="13">
        <f t="shared" si="68"/>
        <v>1.91</v>
      </c>
    </row>
    <row r="4358" spans="1:4" x14ac:dyDescent="0.25">
      <c r="A4358" s="15">
        <f>Sheet2!A4358</f>
        <v>0</v>
      </c>
      <c r="B4358" s="8">
        <v>0</v>
      </c>
      <c r="C4358" s="9">
        <v>1.04</v>
      </c>
      <c r="D4358" s="13">
        <f t="shared" si="68"/>
        <v>1.04</v>
      </c>
    </row>
    <row r="4359" spans="1:4" x14ac:dyDescent="0.25">
      <c r="A4359" s="15">
        <f>Sheet2!A4359</f>
        <v>0</v>
      </c>
      <c r="B4359" s="8">
        <v>0</v>
      </c>
      <c r="C4359" s="9">
        <v>2.2000000000000002</v>
      </c>
      <c r="D4359" s="13">
        <f t="shared" si="68"/>
        <v>2.2000000000000002</v>
      </c>
    </row>
    <row r="4360" spans="1:4" x14ac:dyDescent="0.25">
      <c r="A4360" s="15">
        <f>Sheet2!A4360</f>
        <v>0</v>
      </c>
      <c r="B4360" s="8">
        <v>0</v>
      </c>
      <c r="C4360" s="9">
        <v>3.42</v>
      </c>
      <c r="D4360" s="13">
        <f t="shared" si="68"/>
        <v>3.42</v>
      </c>
    </row>
    <row r="4361" spans="1:4" x14ac:dyDescent="0.25">
      <c r="A4361" s="15">
        <f>Sheet2!A4361</f>
        <v>0</v>
      </c>
      <c r="B4361" s="8">
        <v>0</v>
      </c>
      <c r="C4361" s="9">
        <v>3.67</v>
      </c>
      <c r="D4361" s="13">
        <f t="shared" si="68"/>
        <v>3.67</v>
      </c>
    </row>
    <row r="4362" spans="1:4" x14ac:dyDescent="0.25">
      <c r="A4362" s="15">
        <f>Sheet2!A4362</f>
        <v>0</v>
      </c>
      <c r="B4362" s="8">
        <v>0</v>
      </c>
      <c r="C4362" s="9">
        <v>3.39</v>
      </c>
      <c r="D4362" s="13">
        <f t="shared" si="68"/>
        <v>3.39</v>
      </c>
    </row>
    <row r="4363" spans="1:4" x14ac:dyDescent="0.25">
      <c r="A4363" s="15">
        <f>Sheet2!A4363</f>
        <v>0</v>
      </c>
      <c r="B4363" s="8">
        <v>0</v>
      </c>
      <c r="C4363" s="9">
        <v>0.74</v>
      </c>
      <c r="D4363" s="13">
        <f t="shared" si="68"/>
        <v>0.74</v>
      </c>
    </row>
    <row r="4364" spans="1:4" x14ac:dyDescent="0.25">
      <c r="A4364" s="15">
        <f>Sheet2!A4364</f>
        <v>0</v>
      </c>
      <c r="B4364" s="8">
        <v>18.54</v>
      </c>
      <c r="C4364" s="9">
        <v>0</v>
      </c>
      <c r="D4364" s="13">
        <f t="shared" si="68"/>
        <v>18.54</v>
      </c>
    </row>
    <row r="4365" spans="1:4" x14ac:dyDescent="0.25">
      <c r="A4365" s="15">
        <f>Sheet2!A4365</f>
        <v>0</v>
      </c>
      <c r="B4365" s="8">
        <v>0</v>
      </c>
      <c r="C4365" s="9">
        <v>2.65</v>
      </c>
      <c r="D4365" s="13">
        <f t="shared" si="68"/>
        <v>2.65</v>
      </c>
    </row>
    <row r="4366" spans="1:4" x14ac:dyDescent="0.25">
      <c r="A4366" s="15">
        <f>Sheet2!A4366</f>
        <v>0</v>
      </c>
      <c r="B4366" s="8">
        <v>0</v>
      </c>
      <c r="C4366" s="9">
        <v>3.71</v>
      </c>
      <c r="D4366" s="13">
        <f t="shared" si="68"/>
        <v>3.71</v>
      </c>
    </row>
    <row r="4367" spans="1:4" x14ac:dyDescent="0.25">
      <c r="A4367" s="15">
        <f>Sheet2!A4367</f>
        <v>0</v>
      </c>
      <c r="B4367" s="8">
        <v>0</v>
      </c>
      <c r="C4367" s="9">
        <v>3.63</v>
      </c>
      <c r="D4367" s="13">
        <f t="shared" si="68"/>
        <v>3.63</v>
      </c>
    </row>
    <row r="4368" spans="1:4" x14ac:dyDescent="0.25">
      <c r="A4368" s="15">
        <f>Sheet2!A4368</f>
        <v>0</v>
      </c>
      <c r="B4368" s="8">
        <v>0</v>
      </c>
      <c r="C4368" s="9">
        <v>3.47</v>
      </c>
      <c r="D4368" s="13">
        <f t="shared" si="68"/>
        <v>3.47</v>
      </c>
    </row>
    <row r="4369" spans="1:4" x14ac:dyDescent="0.25">
      <c r="A4369" s="15">
        <f>Sheet2!A4369</f>
        <v>0</v>
      </c>
      <c r="B4369" s="8">
        <v>0</v>
      </c>
      <c r="C4369" s="9">
        <v>1.55</v>
      </c>
      <c r="D4369" s="13">
        <f t="shared" si="68"/>
        <v>1.55</v>
      </c>
    </row>
    <row r="4370" spans="1:4" x14ac:dyDescent="0.25">
      <c r="A4370" s="15">
        <f>Sheet2!A4370</f>
        <v>0</v>
      </c>
      <c r="B4370" s="8">
        <v>13.19</v>
      </c>
      <c r="C4370" s="9">
        <v>0</v>
      </c>
      <c r="D4370" s="13">
        <f t="shared" si="68"/>
        <v>13.19</v>
      </c>
    </row>
    <row r="4371" spans="1:4" x14ac:dyDescent="0.25">
      <c r="A4371" s="15">
        <f>Sheet2!A4371</f>
        <v>0</v>
      </c>
      <c r="B4371" s="8">
        <v>0</v>
      </c>
      <c r="C4371" s="9">
        <v>2.2799999999999998</v>
      </c>
      <c r="D4371" s="13">
        <f t="shared" si="68"/>
        <v>2.2799999999999998</v>
      </c>
    </row>
    <row r="4372" spans="1:4" x14ac:dyDescent="0.25">
      <c r="A4372" s="15">
        <f>Sheet2!A4372</f>
        <v>0</v>
      </c>
      <c r="B4372" s="8">
        <v>0</v>
      </c>
      <c r="C4372" s="9">
        <v>3.06</v>
      </c>
      <c r="D4372" s="13">
        <f t="shared" si="68"/>
        <v>3.06</v>
      </c>
    </row>
    <row r="4373" spans="1:4" x14ac:dyDescent="0.25">
      <c r="A4373" s="15">
        <f>Sheet2!A4373</f>
        <v>0</v>
      </c>
      <c r="B4373" s="8">
        <v>0</v>
      </c>
      <c r="C4373" s="9">
        <v>0.56000000000000005</v>
      </c>
      <c r="D4373" s="13">
        <f t="shared" si="68"/>
        <v>0.56000000000000005</v>
      </c>
    </row>
    <row r="4374" spans="1:4" x14ac:dyDescent="0.25">
      <c r="A4374" s="15">
        <f>Sheet2!A4374</f>
        <v>0</v>
      </c>
      <c r="B4374" s="8">
        <v>9.81</v>
      </c>
      <c r="C4374" s="9">
        <v>0</v>
      </c>
      <c r="D4374" s="13">
        <f t="shared" si="68"/>
        <v>9.81</v>
      </c>
    </row>
    <row r="4375" spans="1:4" x14ac:dyDescent="0.25">
      <c r="A4375" s="15">
        <f>Sheet2!A4375</f>
        <v>0</v>
      </c>
      <c r="B4375" s="8">
        <v>0</v>
      </c>
      <c r="C4375" s="9">
        <v>1.65</v>
      </c>
      <c r="D4375" s="13">
        <f t="shared" si="68"/>
        <v>1.65</v>
      </c>
    </row>
    <row r="4376" spans="1:4" x14ac:dyDescent="0.25">
      <c r="A4376" s="15">
        <f>Sheet2!A4376</f>
        <v>0</v>
      </c>
      <c r="B4376" s="8">
        <v>0</v>
      </c>
      <c r="C4376" s="9">
        <v>3.05</v>
      </c>
      <c r="D4376" s="13">
        <f t="shared" si="68"/>
        <v>3.05</v>
      </c>
    </row>
    <row r="4377" spans="1:4" x14ac:dyDescent="0.25">
      <c r="A4377" s="15">
        <f>Sheet2!A4377</f>
        <v>0</v>
      </c>
      <c r="B4377" s="8">
        <v>0</v>
      </c>
      <c r="C4377" s="9">
        <v>1.1200000000000001</v>
      </c>
      <c r="D4377" s="13">
        <f t="shared" si="68"/>
        <v>1.1200000000000001</v>
      </c>
    </row>
    <row r="4378" spans="1:4" x14ac:dyDescent="0.25">
      <c r="A4378" s="15">
        <f>Sheet2!A4378</f>
        <v>0</v>
      </c>
      <c r="B4378" s="8">
        <v>9.84</v>
      </c>
      <c r="C4378" s="9">
        <v>0</v>
      </c>
      <c r="D4378" s="13">
        <f t="shared" si="68"/>
        <v>9.84</v>
      </c>
    </row>
    <row r="4379" spans="1:4" x14ac:dyDescent="0.25">
      <c r="A4379" s="15">
        <f>Sheet2!A4379</f>
        <v>0</v>
      </c>
      <c r="B4379" s="8">
        <v>0</v>
      </c>
      <c r="C4379" s="9">
        <v>2.09</v>
      </c>
      <c r="D4379" s="13">
        <f t="shared" si="68"/>
        <v>2.09</v>
      </c>
    </row>
    <row r="4380" spans="1:4" x14ac:dyDescent="0.25">
      <c r="A4380" s="15">
        <f>Sheet2!A4380</f>
        <v>0</v>
      </c>
      <c r="B4380" s="8">
        <v>0</v>
      </c>
      <c r="C4380" s="9">
        <v>3.12</v>
      </c>
      <c r="D4380" s="13">
        <f t="shared" si="68"/>
        <v>3.12</v>
      </c>
    </row>
    <row r="4381" spans="1:4" x14ac:dyDescent="0.25">
      <c r="A4381" s="15">
        <f>Sheet2!A4381</f>
        <v>0</v>
      </c>
      <c r="B4381" s="8">
        <v>0</v>
      </c>
      <c r="C4381" s="9">
        <v>1.87</v>
      </c>
      <c r="D4381" s="13">
        <f t="shared" si="68"/>
        <v>1.87</v>
      </c>
    </row>
    <row r="4382" spans="1:4" x14ac:dyDescent="0.25">
      <c r="A4382" s="15">
        <f>Sheet2!A4382</f>
        <v>0</v>
      </c>
      <c r="B4382" s="8">
        <v>12.47</v>
      </c>
      <c r="C4382" s="9">
        <v>0</v>
      </c>
      <c r="D4382" s="13">
        <f t="shared" si="68"/>
        <v>12.47</v>
      </c>
    </row>
    <row r="4383" spans="1:4" x14ac:dyDescent="0.25">
      <c r="A4383" s="15">
        <f>Sheet2!A4383</f>
        <v>0</v>
      </c>
      <c r="B4383" s="8">
        <v>0</v>
      </c>
      <c r="C4383" s="9">
        <v>3.41</v>
      </c>
      <c r="D4383" s="13">
        <f t="shared" si="68"/>
        <v>3.41</v>
      </c>
    </row>
    <row r="4384" spans="1:4" x14ac:dyDescent="0.25">
      <c r="A4384" s="15">
        <f>Sheet2!A4384</f>
        <v>0</v>
      </c>
      <c r="B4384" s="8">
        <v>0</v>
      </c>
      <c r="C4384" s="9">
        <v>3.73</v>
      </c>
      <c r="D4384" s="13">
        <f t="shared" si="68"/>
        <v>3.73</v>
      </c>
    </row>
    <row r="4385" spans="1:4" x14ac:dyDescent="0.25">
      <c r="A4385" s="15">
        <f>Sheet2!A4385</f>
        <v>0</v>
      </c>
      <c r="B4385" s="8">
        <v>0</v>
      </c>
      <c r="C4385" s="9">
        <v>3.1</v>
      </c>
      <c r="D4385" s="13">
        <f t="shared" si="68"/>
        <v>3.1</v>
      </c>
    </row>
    <row r="4386" spans="1:4" x14ac:dyDescent="0.25">
      <c r="A4386" s="15">
        <f>Sheet2!A4386</f>
        <v>0</v>
      </c>
      <c r="B4386" s="8">
        <v>0</v>
      </c>
      <c r="C4386" s="9">
        <v>3.34</v>
      </c>
      <c r="D4386" s="13">
        <f t="shared" si="68"/>
        <v>3.34</v>
      </c>
    </row>
    <row r="4387" spans="1:4" x14ac:dyDescent="0.25">
      <c r="A4387" s="15">
        <f>Sheet2!A4387</f>
        <v>0</v>
      </c>
      <c r="B4387" s="8">
        <v>0</v>
      </c>
      <c r="C4387" s="9">
        <v>1.94</v>
      </c>
      <c r="D4387" s="13">
        <f t="shared" si="68"/>
        <v>1.94</v>
      </c>
    </row>
    <row r="4388" spans="1:4" x14ac:dyDescent="0.25">
      <c r="A4388" s="15">
        <f>Sheet2!A4388</f>
        <v>0</v>
      </c>
      <c r="B4388" s="8">
        <v>0</v>
      </c>
      <c r="C4388" s="9">
        <v>0.51</v>
      </c>
      <c r="D4388" s="13">
        <f t="shared" si="68"/>
        <v>0.51</v>
      </c>
    </row>
    <row r="4389" spans="1:4" x14ac:dyDescent="0.25">
      <c r="A4389" s="15">
        <f>Sheet2!A4389</f>
        <v>0</v>
      </c>
      <c r="B4389" s="8">
        <v>0</v>
      </c>
      <c r="C4389" s="9">
        <v>3.04</v>
      </c>
      <c r="D4389" s="13">
        <f t="shared" si="68"/>
        <v>3.04</v>
      </c>
    </row>
    <row r="4390" spans="1:4" x14ac:dyDescent="0.25">
      <c r="A4390" s="15">
        <f>Sheet2!A4390</f>
        <v>0</v>
      </c>
      <c r="B4390" s="8">
        <v>0</v>
      </c>
      <c r="C4390" s="9">
        <v>2.83</v>
      </c>
      <c r="D4390" s="13">
        <f t="shared" si="68"/>
        <v>2.83</v>
      </c>
    </row>
    <row r="4391" spans="1:4" x14ac:dyDescent="0.25">
      <c r="A4391" s="15">
        <f>Sheet2!A4391</f>
        <v>0</v>
      </c>
      <c r="B4391" s="8">
        <v>0</v>
      </c>
      <c r="C4391" s="9">
        <v>3.87</v>
      </c>
      <c r="D4391" s="13">
        <f t="shared" si="68"/>
        <v>3.87</v>
      </c>
    </row>
    <row r="4392" spans="1:4" x14ac:dyDescent="0.25">
      <c r="A4392" s="15">
        <f>Sheet2!A4392</f>
        <v>0</v>
      </c>
      <c r="B4392" s="8">
        <v>0</v>
      </c>
      <c r="C4392" s="9">
        <v>3.51</v>
      </c>
      <c r="D4392" s="13">
        <f t="shared" si="68"/>
        <v>3.51</v>
      </c>
    </row>
    <row r="4393" spans="1:4" x14ac:dyDescent="0.25">
      <c r="A4393" s="15">
        <f>Sheet2!A4393</f>
        <v>0</v>
      </c>
      <c r="B4393" s="8">
        <v>0</v>
      </c>
      <c r="C4393" s="9">
        <v>1.29</v>
      </c>
      <c r="D4393" s="13">
        <f t="shared" si="68"/>
        <v>1.29</v>
      </c>
    </row>
    <row r="4394" spans="1:4" x14ac:dyDescent="0.25">
      <c r="A4394" s="15">
        <f>Sheet2!A4394</f>
        <v>0</v>
      </c>
      <c r="B4394" s="8">
        <v>10.82</v>
      </c>
      <c r="C4394" s="9">
        <v>0</v>
      </c>
      <c r="D4394" s="13">
        <f t="shared" si="68"/>
        <v>10.82</v>
      </c>
    </row>
    <row r="4395" spans="1:4" x14ac:dyDescent="0.25">
      <c r="A4395" s="15">
        <f>Sheet2!A4395</f>
        <v>0</v>
      </c>
      <c r="B4395" s="8">
        <v>11.65</v>
      </c>
      <c r="C4395" s="9">
        <v>0</v>
      </c>
      <c r="D4395" s="13">
        <f t="shared" si="68"/>
        <v>11.65</v>
      </c>
    </row>
    <row r="4396" spans="1:4" x14ac:dyDescent="0.25">
      <c r="A4396" s="15">
        <f>Sheet2!A4396</f>
        <v>0</v>
      </c>
      <c r="B4396" s="8">
        <v>0</v>
      </c>
      <c r="C4396" s="9">
        <v>1.98</v>
      </c>
      <c r="D4396" s="13">
        <f t="shared" si="68"/>
        <v>1.98</v>
      </c>
    </row>
    <row r="4397" spans="1:4" x14ac:dyDescent="0.25">
      <c r="A4397" s="15">
        <f>Sheet2!A4397</f>
        <v>0</v>
      </c>
      <c r="B4397" s="8">
        <v>0</v>
      </c>
      <c r="C4397" s="9">
        <v>1.69</v>
      </c>
      <c r="D4397" s="13">
        <f t="shared" si="68"/>
        <v>1.69</v>
      </c>
    </row>
    <row r="4398" spans="1:4" x14ac:dyDescent="0.25">
      <c r="A4398" s="15">
        <f>Sheet2!A4398</f>
        <v>0</v>
      </c>
      <c r="B4398" s="8">
        <v>1.9</v>
      </c>
      <c r="C4398" s="9">
        <v>0</v>
      </c>
      <c r="D4398" s="13">
        <f t="shared" si="68"/>
        <v>1.9</v>
      </c>
    </row>
    <row r="4399" spans="1:4" x14ac:dyDescent="0.25">
      <c r="A4399" s="15">
        <f>Sheet2!A4399</f>
        <v>0</v>
      </c>
      <c r="B4399" s="8">
        <v>0</v>
      </c>
      <c r="C4399" s="9">
        <v>1.48</v>
      </c>
      <c r="D4399" s="13">
        <f t="shared" si="68"/>
        <v>1.48</v>
      </c>
    </row>
    <row r="4400" spans="1:4" x14ac:dyDescent="0.25">
      <c r="A4400" s="15">
        <f>Sheet2!A4400</f>
        <v>0</v>
      </c>
      <c r="B4400" s="8">
        <v>0</v>
      </c>
      <c r="C4400" s="9">
        <v>2.63</v>
      </c>
      <c r="D4400" s="13">
        <f t="shared" si="68"/>
        <v>2.63</v>
      </c>
    </row>
    <row r="4401" spans="1:4" x14ac:dyDescent="0.25">
      <c r="A4401" s="15">
        <f>Sheet2!A4401</f>
        <v>0</v>
      </c>
      <c r="B4401" s="8">
        <v>0</v>
      </c>
      <c r="C4401" s="9">
        <v>2.1</v>
      </c>
      <c r="D4401" s="13">
        <f t="shared" si="68"/>
        <v>2.1</v>
      </c>
    </row>
    <row r="4402" spans="1:4" x14ac:dyDescent="0.25">
      <c r="A4402" s="15">
        <f>Sheet2!A4402</f>
        <v>0</v>
      </c>
      <c r="B4402" s="8">
        <v>0</v>
      </c>
      <c r="C4402" s="9">
        <v>1.61</v>
      </c>
      <c r="D4402" s="13">
        <f t="shared" si="68"/>
        <v>1.61</v>
      </c>
    </row>
    <row r="4403" spans="1:4" x14ac:dyDescent="0.25">
      <c r="A4403" s="15">
        <f>Sheet2!A4403</f>
        <v>0</v>
      </c>
      <c r="B4403" s="8">
        <v>0</v>
      </c>
      <c r="C4403" s="9">
        <v>1.8</v>
      </c>
      <c r="D4403" s="13">
        <f t="shared" si="68"/>
        <v>1.8</v>
      </c>
    </row>
    <row r="4404" spans="1:4" x14ac:dyDescent="0.25">
      <c r="A4404" s="15">
        <f>Sheet2!A4404</f>
        <v>0</v>
      </c>
      <c r="B4404" s="8">
        <v>0</v>
      </c>
      <c r="C4404" s="9">
        <v>3.59</v>
      </c>
      <c r="D4404" s="13">
        <f t="shared" si="68"/>
        <v>3.59</v>
      </c>
    </row>
    <row r="4405" spans="1:4" x14ac:dyDescent="0.25">
      <c r="A4405" s="15">
        <f>Sheet2!A4405</f>
        <v>0</v>
      </c>
      <c r="B4405" s="8">
        <v>0</v>
      </c>
      <c r="C4405" s="9">
        <v>1.83</v>
      </c>
      <c r="D4405" s="13">
        <f t="shared" si="68"/>
        <v>1.83</v>
      </c>
    </row>
    <row r="4406" spans="1:4" x14ac:dyDescent="0.25">
      <c r="A4406" s="15">
        <f>Sheet2!A4406</f>
        <v>0</v>
      </c>
      <c r="B4406" s="8">
        <v>0</v>
      </c>
      <c r="C4406" s="9">
        <v>4.05</v>
      </c>
      <c r="D4406" s="13">
        <f t="shared" si="68"/>
        <v>4.05</v>
      </c>
    </row>
    <row r="4407" spans="1:4" x14ac:dyDescent="0.25">
      <c r="A4407" s="15">
        <f>Sheet2!A4407</f>
        <v>0</v>
      </c>
      <c r="B4407" s="8">
        <v>0</v>
      </c>
      <c r="C4407" s="9">
        <v>3.75</v>
      </c>
      <c r="D4407" s="13">
        <f t="shared" si="68"/>
        <v>3.75</v>
      </c>
    </row>
    <row r="4408" spans="1:4" x14ac:dyDescent="0.25">
      <c r="A4408" s="15">
        <f>Sheet2!A4408</f>
        <v>0</v>
      </c>
      <c r="B4408" s="8">
        <v>0</v>
      </c>
      <c r="C4408" s="9">
        <v>3.5</v>
      </c>
      <c r="D4408" s="13">
        <f t="shared" si="68"/>
        <v>3.5</v>
      </c>
    </row>
    <row r="4409" spans="1:4" x14ac:dyDescent="0.25">
      <c r="A4409" s="15">
        <f>Sheet2!A4409</f>
        <v>0</v>
      </c>
      <c r="B4409" s="8">
        <v>0</v>
      </c>
      <c r="C4409" s="9">
        <v>2.04</v>
      </c>
      <c r="D4409" s="13">
        <f t="shared" si="68"/>
        <v>2.04</v>
      </c>
    </row>
    <row r="4410" spans="1:4" x14ac:dyDescent="0.25">
      <c r="A4410" s="15">
        <f>Sheet2!A4410</f>
        <v>0</v>
      </c>
      <c r="B4410" s="8">
        <v>0</v>
      </c>
      <c r="C4410" s="9">
        <v>3.08</v>
      </c>
      <c r="D4410" s="13">
        <f t="shared" si="68"/>
        <v>3.08</v>
      </c>
    </row>
    <row r="4411" spans="1:4" x14ac:dyDescent="0.25">
      <c r="A4411" s="15">
        <f>Sheet2!A4411</f>
        <v>0</v>
      </c>
      <c r="B4411" s="8">
        <v>0</v>
      </c>
      <c r="C4411" s="9">
        <v>3.09</v>
      </c>
      <c r="D4411" s="13">
        <f t="shared" si="68"/>
        <v>3.09</v>
      </c>
    </row>
    <row r="4412" spans="1:4" x14ac:dyDescent="0.25">
      <c r="A4412" s="15">
        <f>Sheet2!A4412</f>
        <v>0</v>
      </c>
      <c r="B4412" s="8">
        <v>0</v>
      </c>
      <c r="C4412" s="9">
        <v>1.54</v>
      </c>
      <c r="D4412" s="13">
        <f t="shared" si="68"/>
        <v>1.54</v>
      </c>
    </row>
    <row r="4413" spans="1:4" x14ac:dyDescent="0.25">
      <c r="A4413" s="15">
        <f>Sheet2!A4413</f>
        <v>0</v>
      </c>
      <c r="B4413" s="8">
        <v>0</v>
      </c>
      <c r="C4413" s="9">
        <v>1.9</v>
      </c>
      <c r="D4413" s="13">
        <f t="shared" si="68"/>
        <v>1.9</v>
      </c>
    </row>
    <row r="4414" spans="1:4" x14ac:dyDescent="0.25">
      <c r="A4414" s="15">
        <f>Sheet2!A4414</f>
        <v>0</v>
      </c>
      <c r="B4414" s="8">
        <v>0</v>
      </c>
      <c r="C4414" s="9">
        <v>3.67</v>
      </c>
      <c r="D4414" s="13">
        <f t="shared" si="68"/>
        <v>3.67</v>
      </c>
    </row>
    <row r="4415" spans="1:4" x14ac:dyDescent="0.25">
      <c r="A4415" s="15">
        <f>Sheet2!A4415</f>
        <v>0</v>
      </c>
      <c r="B4415" s="8">
        <v>0</v>
      </c>
      <c r="C4415" s="9">
        <v>3.6</v>
      </c>
      <c r="D4415" s="13">
        <f t="shared" si="68"/>
        <v>3.6</v>
      </c>
    </row>
    <row r="4416" spans="1:4" x14ac:dyDescent="0.25">
      <c r="A4416" s="15">
        <f>Sheet2!A4416</f>
        <v>0</v>
      </c>
      <c r="B4416" s="8">
        <v>0</v>
      </c>
      <c r="C4416" s="9">
        <v>3.55</v>
      </c>
      <c r="D4416" s="13">
        <f t="shared" si="68"/>
        <v>3.55</v>
      </c>
    </row>
    <row r="4417" spans="1:4" x14ac:dyDescent="0.25">
      <c r="A4417" s="15">
        <f>Sheet2!A4417</f>
        <v>0</v>
      </c>
      <c r="B4417" s="8">
        <v>0</v>
      </c>
      <c r="C4417" s="9">
        <v>1.66</v>
      </c>
      <c r="D4417" s="13">
        <f t="shared" si="68"/>
        <v>1.66</v>
      </c>
    </row>
    <row r="4418" spans="1:4" x14ac:dyDescent="0.25">
      <c r="A4418" s="15">
        <f>Sheet2!A4418</f>
        <v>0</v>
      </c>
      <c r="B4418" s="8">
        <v>15.37</v>
      </c>
      <c r="C4418" s="9">
        <v>0</v>
      </c>
      <c r="D4418" s="13">
        <f t="shared" si="68"/>
        <v>15.37</v>
      </c>
    </row>
    <row r="4419" spans="1:4" x14ac:dyDescent="0.25">
      <c r="A4419" s="15">
        <f>Sheet2!A4419</f>
        <v>0</v>
      </c>
      <c r="B4419" s="8">
        <v>11.65</v>
      </c>
      <c r="C4419" s="9">
        <v>0</v>
      </c>
      <c r="D4419" s="13">
        <f t="shared" ref="D4419:D4482" si="69">B4419+C4419</f>
        <v>11.65</v>
      </c>
    </row>
    <row r="4420" spans="1:4" x14ac:dyDescent="0.25">
      <c r="A4420" s="15">
        <f>Sheet2!A4420</f>
        <v>0</v>
      </c>
      <c r="B4420" s="8">
        <v>0</v>
      </c>
      <c r="C4420" s="9">
        <v>1.98</v>
      </c>
      <c r="D4420" s="13">
        <f t="shared" si="69"/>
        <v>1.98</v>
      </c>
    </row>
    <row r="4421" spans="1:4" x14ac:dyDescent="0.25">
      <c r="A4421" s="15">
        <f>Sheet2!A4421</f>
        <v>0</v>
      </c>
      <c r="B4421" s="8">
        <v>0</v>
      </c>
      <c r="C4421" s="9">
        <v>1.69</v>
      </c>
      <c r="D4421" s="13">
        <f t="shared" si="69"/>
        <v>1.69</v>
      </c>
    </row>
    <row r="4422" spans="1:4" x14ac:dyDescent="0.25">
      <c r="A4422" s="15">
        <f>Sheet2!A4422</f>
        <v>0</v>
      </c>
      <c r="B4422" s="8">
        <v>11</v>
      </c>
      <c r="C4422" s="9">
        <v>0</v>
      </c>
      <c r="D4422" s="13">
        <f t="shared" si="69"/>
        <v>11</v>
      </c>
    </row>
    <row r="4423" spans="1:4" x14ac:dyDescent="0.25">
      <c r="A4423" s="15">
        <f>Sheet2!A4423</f>
        <v>0</v>
      </c>
      <c r="B4423" s="8">
        <v>9.1999999999999993</v>
      </c>
      <c r="C4423" s="9">
        <v>0</v>
      </c>
      <c r="D4423" s="13">
        <f t="shared" si="69"/>
        <v>9.1999999999999993</v>
      </c>
    </row>
    <row r="4424" spans="1:4" x14ac:dyDescent="0.25">
      <c r="A4424" s="15">
        <f>Sheet2!A4424</f>
        <v>0</v>
      </c>
      <c r="B4424" s="8">
        <v>9.2799999999999994</v>
      </c>
      <c r="C4424" s="9">
        <v>0</v>
      </c>
      <c r="D4424" s="13">
        <f t="shared" si="69"/>
        <v>9.2799999999999994</v>
      </c>
    </row>
    <row r="4425" spans="1:4" x14ac:dyDescent="0.25">
      <c r="A4425" s="15">
        <f>Sheet2!A4425</f>
        <v>0</v>
      </c>
      <c r="B4425" s="8">
        <v>0</v>
      </c>
      <c r="C4425" s="9">
        <v>1.27</v>
      </c>
      <c r="D4425" s="13">
        <f t="shared" si="69"/>
        <v>1.27</v>
      </c>
    </row>
    <row r="4426" spans="1:4" x14ac:dyDescent="0.25">
      <c r="A4426" s="15">
        <f>Sheet2!A4426</f>
        <v>0</v>
      </c>
      <c r="B4426" s="8">
        <v>0</v>
      </c>
      <c r="C4426" s="9">
        <v>1.72</v>
      </c>
      <c r="D4426" s="13">
        <f t="shared" si="69"/>
        <v>1.72</v>
      </c>
    </row>
    <row r="4427" spans="1:4" x14ac:dyDescent="0.25">
      <c r="A4427" s="15">
        <f>Sheet2!A4427</f>
        <v>0</v>
      </c>
      <c r="B4427" s="8">
        <v>0</v>
      </c>
      <c r="C4427" s="9">
        <v>1.36</v>
      </c>
      <c r="D4427" s="13">
        <f t="shared" si="69"/>
        <v>1.36</v>
      </c>
    </row>
    <row r="4428" spans="1:4" x14ac:dyDescent="0.25">
      <c r="A4428" s="15">
        <f>Sheet2!A4428</f>
        <v>0</v>
      </c>
      <c r="B4428" s="8">
        <v>0</v>
      </c>
      <c r="C4428" s="9">
        <v>1.49</v>
      </c>
      <c r="D4428" s="13">
        <f t="shared" si="69"/>
        <v>1.49</v>
      </c>
    </row>
    <row r="4429" spans="1:4" x14ac:dyDescent="0.25">
      <c r="A4429" s="15">
        <f>Sheet2!A4429</f>
        <v>0</v>
      </c>
      <c r="B4429" s="8">
        <v>0</v>
      </c>
      <c r="C4429" s="9">
        <v>3.02</v>
      </c>
      <c r="D4429" s="13">
        <f t="shared" si="69"/>
        <v>3.02</v>
      </c>
    </row>
    <row r="4430" spans="1:4" x14ac:dyDescent="0.25">
      <c r="A4430" s="15">
        <f>Sheet2!A4430</f>
        <v>0</v>
      </c>
      <c r="B4430" s="8">
        <v>0</v>
      </c>
      <c r="C4430" s="9">
        <v>1.75</v>
      </c>
      <c r="D4430" s="13">
        <f t="shared" si="69"/>
        <v>1.75</v>
      </c>
    </row>
    <row r="4431" spans="1:4" x14ac:dyDescent="0.25">
      <c r="A4431" s="15">
        <f>Sheet2!A4431</f>
        <v>0</v>
      </c>
      <c r="B4431" s="8">
        <v>0</v>
      </c>
      <c r="C4431" s="9">
        <v>2.4</v>
      </c>
      <c r="D4431" s="13">
        <f t="shared" si="69"/>
        <v>2.4</v>
      </c>
    </row>
    <row r="4432" spans="1:4" x14ac:dyDescent="0.25">
      <c r="A4432" s="15">
        <f>Sheet2!A4432</f>
        <v>0</v>
      </c>
      <c r="B4432" s="8">
        <v>0</v>
      </c>
      <c r="C4432" s="9">
        <v>3.3</v>
      </c>
      <c r="D4432" s="13">
        <f t="shared" si="69"/>
        <v>3.3</v>
      </c>
    </row>
    <row r="4433" spans="1:4" x14ac:dyDescent="0.25">
      <c r="A4433" s="15">
        <f>Sheet2!A4433</f>
        <v>0</v>
      </c>
      <c r="B4433" s="8">
        <v>0</v>
      </c>
      <c r="C4433" s="9">
        <v>3.25</v>
      </c>
      <c r="D4433" s="13">
        <f t="shared" si="69"/>
        <v>3.25</v>
      </c>
    </row>
    <row r="4434" spans="1:4" x14ac:dyDescent="0.25">
      <c r="A4434" s="15">
        <f>Sheet2!A4434</f>
        <v>0</v>
      </c>
      <c r="B4434" s="8">
        <v>0</v>
      </c>
      <c r="C4434" s="9">
        <v>0.76</v>
      </c>
      <c r="D4434" s="13">
        <f t="shared" si="69"/>
        <v>0.76</v>
      </c>
    </row>
    <row r="4435" spans="1:4" x14ac:dyDescent="0.25">
      <c r="A4435" s="15">
        <f>Sheet2!A4435</f>
        <v>0</v>
      </c>
      <c r="B4435" s="8">
        <v>0</v>
      </c>
      <c r="C4435" s="9">
        <v>3.46</v>
      </c>
      <c r="D4435" s="13">
        <f t="shared" si="69"/>
        <v>3.46</v>
      </c>
    </row>
    <row r="4436" spans="1:4" x14ac:dyDescent="0.25">
      <c r="A4436" s="15">
        <f>Sheet2!A4436</f>
        <v>0</v>
      </c>
      <c r="B4436" s="8">
        <v>0</v>
      </c>
      <c r="C4436" s="9">
        <v>3.69</v>
      </c>
      <c r="D4436" s="13">
        <f t="shared" si="69"/>
        <v>3.69</v>
      </c>
    </row>
    <row r="4437" spans="1:4" x14ac:dyDescent="0.25">
      <c r="A4437" s="15">
        <f>Sheet2!A4437</f>
        <v>0</v>
      </c>
      <c r="B4437" s="8">
        <v>0</v>
      </c>
      <c r="C4437" s="9">
        <v>1.1000000000000001</v>
      </c>
      <c r="D4437" s="13">
        <f t="shared" si="69"/>
        <v>1.1000000000000001</v>
      </c>
    </row>
    <row r="4438" spans="1:4" x14ac:dyDescent="0.25">
      <c r="A4438" s="15">
        <f>Sheet2!A4438</f>
        <v>0</v>
      </c>
      <c r="B4438" s="8">
        <v>18.899999999999999</v>
      </c>
      <c r="C4438" s="9">
        <v>0</v>
      </c>
      <c r="D4438" s="13">
        <f t="shared" si="69"/>
        <v>18.899999999999999</v>
      </c>
    </row>
    <row r="4439" spans="1:4" x14ac:dyDescent="0.25">
      <c r="A4439" s="15">
        <f>Sheet2!A4439</f>
        <v>0</v>
      </c>
      <c r="B4439" s="8">
        <v>0</v>
      </c>
      <c r="C4439" s="9">
        <v>2.4</v>
      </c>
      <c r="D4439" s="13">
        <f t="shared" si="69"/>
        <v>2.4</v>
      </c>
    </row>
    <row r="4440" spans="1:4" x14ac:dyDescent="0.25">
      <c r="A4440" s="15">
        <f>Sheet2!A4440</f>
        <v>0</v>
      </c>
      <c r="B4440" s="8">
        <v>0</v>
      </c>
      <c r="C4440" s="9">
        <v>3.7</v>
      </c>
      <c r="D4440" s="13">
        <f t="shared" si="69"/>
        <v>3.7</v>
      </c>
    </row>
    <row r="4441" spans="1:4" x14ac:dyDescent="0.25">
      <c r="A4441" s="15">
        <f>Sheet2!A4441</f>
        <v>0</v>
      </c>
      <c r="B4441" s="8">
        <v>0</v>
      </c>
      <c r="C4441" s="9">
        <v>2.97</v>
      </c>
      <c r="D4441" s="13">
        <f t="shared" si="69"/>
        <v>2.97</v>
      </c>
    </row>
    <row r="4442" spans="1:4" x14ac:dyDescent="0.25">
      <c r="A4442" s="15">
        <f>Sheet2!A4442</f>
        <v>0</v>
      </c>
      <c r="B4442" s="8">
        <v>0</v>
      </c>
      <c r="C4442" s="9">
        <v>2.67</v>
      </c>
      <c r="D4442" s="13">
        <f t="shared" si="69"/>
        <v>2.67</v>
      </c>
    </row>
    <row r="4443" spans="1:4" x14ac:dyDescent="0.25">
      <c r="A4443" s="15">
        <f>Sheet2!A4443</f>
        <v>0</v>
      </c>
      <c r="B4443" s="8">
        <v>0</v>
      </c>
      <c r="C4443" s="9">
        <v>0.96</v>
      </c>
      <c r="D4443" s="13">
        <f t="shared" si="69"/>
        <v>0.96</v>
      </c>
    </row>
    <row r="4444" spans="1:4" x14ac:dyDescent="0.25">
      <c r="A4444" s="15">
        <f>Sheet2!A4444</f>
        <v>0</v>
      </c>
      <c r="B4444" s="8">
        <v>11.91</v>
      </c>
      <c r="C4444" s="9">
        <v>0</v>
      </c>
      <c r="D4444" s="13">
        <f t="shared" si="69"/>
        <v>11.91</v>
      </c>
    </row>
    <row r="4445" spans="1:4" x14ac:dyDescent="0.25">
      <c r="A4445" s="15">
        <f>Sheet2!A4445</f>
        <v>0</v>
      </c>
      <c r="B4445" s="8">
        <v>0</v>
      </c>
      <c r="C4445" s="9">
        <v>1.78</v>
      </c>
      <c r="D4445" s="13">
        <f t="shared" si="69"/>
        <v>1.78</v>
      </c>
    </row>
    <row r="4446" spans="1:4" x14ac:dyDescent="0.25">
      <c r="A4446" s="15">
        <f>Sheet2!A4446</f>
        <v>0</v>
      </c>
      <c r="B4446" s="8">
        <v>0</v>
      </c>
      <c r="C4446" s="9">
        <v>3.07</v>
      </c>
      <c r="D4446" s="13">
        <f t="shared" si="69"/>
        <v>3.07</v>
      </c>
    </row>
    <row r="4447" spans="1:4" x14ac:dyDescent="0.25">
      <c r="A4447" s="15">
        <f>Sheet2!A4447</f>
        <v>0</v>
      </c>
      <c r="B4447" s="8">
        <v>0</v>
      </c>
      <c r="C4447" s="9">
        <v>3.06</v>
      </c>
      <c r="D4447" s="13">
        <f t="shared" si="69"/>
        <v>3.06</v>
      </c>
    </row>
    <row r="4448" spans="1:4" x14ac:dyDescent="0.25">
      <c r="A4448" s="15">
        <f>Sheet2!A4448</f>
        <v>0</v>
      </c>
      <c r="B4448" s="8">
        <v>0</v>
      </c>
      <c r="C4448" s="9">
        <v>3.36</v>
      </c>
      <c r="D4448" s="13">
        <f t="shared" si="69"/>
        <v>3.36</v>
      </c>
    </row>
    <row r="4449" spans="1:4" x14ac:dyDescent="0.25">
      <c r="A4449" s="15">
        <f>Sheet2!A4449</f>
        <v>0</v>
      </c>
      <c r="B4449" s="8">
        <v>0</v>
      </c>
      <c r="C4449" s="9">
        <v>1.59</v>
      </c>
      <c r="D4449" s="13">
        <f t="shared" si="69"/>
        <v>1.59</v>
      </c>
    </row>
    <row r="4450" spans="1:4" x14ac:dyDescent="0.25">
      <c r="A4450" s="15">
        <f>Sheet2!A4450</f>
        <v>0</v>
      </c>
      <c r="B4450" s="8">
        <v>17.86</v>
      </c>
      <c r="C4450" s="9">
        <v>0</v>
      </c>
      <c r="D4450" s="13">
        <f t="shared" si="69"/>
        <v>17.86</v>
      </c>
    </row>
    <row r="4451" spans="1:4" x14ac:dyDescent="0.25">
      <c r="A4451" s="15">
        <f>Sheet2!A4451</f>
        <v>0</v>
      </c>
      <c r="B4451" s="8">
        <v>0</v>
      </c>
      <c r="C4451" s="9">
        <v>1.61</v>
      </c>
      <c r="D4451" s="13">
        <f t="shared" si="69"/>
        <v>1.61</v>
      </c>
    </row>
    <row r="4452" spans="1:4" x14ac:dyDescent="0.25">
      <c r="A4452" s="15">
        <f>Sheet2!A4452</f>
        <v>0</v>
      </c>
      <c r="B4452" s="8">
        <v>0</v>
      </c>
      <c r="C4452" s="9">
        <v>3.74</v>
      </c>
      <c r="D4452" s="13">
        <f t="shared" si="69"/>
        <v>3.74</v>
      </c>
    </row>
    <row r="4453" spans="1:4" x14ac:dyDescent="0.25">
      <c r="A4453" s="15">
        <f>Sheet2!A4453</f>
        <v>0</v>
      </c>
      <c r="B4453" s="8">
        <v>0</v>
      </c>
      <c r="C4453" s="9">
        <v>2.88</v>
      </c>
      <c r="D4453" s="13">
        <f t="shared" si="69"/>
        <v>2.88</v>
      </c>
    </row>
    <row r="4454" spans="1:4" x14ac:dyDescent="0.25">
      <c r="A4454" s="15">
        <f>Sheet2!A4454</f>
        <v>0</v>
      </c>
      <c r="B4454" s="8">
        <v>0</v>
      </c>
      <c r="C4454" s="9">
        <v>3.67</v>
      </c>
      <c r="D4454" s="13">
        <f t="shared" si="69"/>
        <v>3.67</v>
      </c>
    </row>
    <row r="4455" spans="1:4" x14ac:dyDescent="0.25">
      <c r="A4455" s="15">
        <f>Sheet2!A4455</f>
        <v>0</v>
      </c>
      <c r="B4455" s="8">
        <v>0</v>
      </c>
      <c r="C4455" s="9">
        <v>1.69</v>
      </c>
      <c r="D4455" s="13">
        <f t="shared" si="69"/>
        <v>1.69</v>
      </c>
    </row>
    <row r="4456" spans="1:4" x14ac:dyDescent="0.25">
      <c r="A4456" s="15">
        <f>Sheet2!A4456</f>
        <v>0</v>
      </c>
      <c r="B4456" s="8">
        <v>0</v>
      </c>
      <c r="C4456" s="9">
        <v>0.97</v>
      </c>
      <c r="D4456" s="13">
        <f t="shared" si="69"/>
        <v>0.97</v>
      </c>
    </row>
    <row r="4457" spans="1:4" x14ac:dyDescent="0.25">
      <c r="A4457" s="15">
        <f>Sheet2!A4457</f>
        <v>0</v>
      </c>
      <c r="B4457" s="8">
        <v>0</v>
      </c>
      <c r="C4457" s="9">
        <v>2.08</v>
      </c>
      <c r="D4457" s="13">
        <f t="shared" si="69"/>
        <v>2.08</v>
      </c>
    </row>
    <row r="4458" spans="1:4" x14ac:dyDescent="0.25">
      <c r="A4458" s="15">
        <f>Sheet2!A4458</f>
        <v>0</v>
      </c>
      <c r="B4458" s="8">
        <v>0</v>
      </c>
      <c r="C4458" s="9">
        <v>4</v>
      </c>
      <c r="D4458" s="13">
        <f t="shared" si="69"/>
        <v>4</v>
      </c>
    </row>
    <row r="4459" spans="1:4" x14ac:dyDescent="0.25">
      <c r="A4459" s="15">
        <f>Sheet2!A4459</f>
        <v>0</v>
      </c>
      <c r="B4459" s="8">
        <v>0</v>
      </c>
      <c r="C4459" s="9">
        <v>3.23</v>
      </c>
      <c r="D4459" s="13">
        <f t="shared" si="69"/>
        <v>3.23</v>
      </c>
    </row>
    <row r="4460" spans="1:4" x14ac:dyDescent="0.25">
      <c r="A4460" s="15">
        <f>Sheet2!A4460</f>
        <v>0</v>
      </c>
      <c r="B4460" s="8">
        <v>0</v>
      </c>
      <c r="C4460" s="9">
        <v>4.16</v>
      </c>
      <c r="D4460" s="13">
        <f t="shared" si="69"/>
        <v>4.16</v>
      </c>
    </row>
    <row r="4461" spans="1:4" x14ac:dyDescent="0.25">
      <c r="A4461" s="15">
        <f>Sheet2!A4461</f>
        <v>0</v>
      </c>
      <c r="B4461" s="8">
        <v>0</v>
      </c>
      <c r="C4461" s="9">
        <v>1.1499999999999999</v>
      </c>
      <c r="D4461" s="13">
        <f t="shared" si="69"/>
        <v>1.1499999999999999</v>
      </c>
    </row>
    <row r="4462" spans="1:4" x14ac:dyDescent="0.25">
      <c r="A4462" s="15">
        <f>Sheet2!A4462</f>
        <v>0</v>
      </c>
      <c r="B4462" s="8">
        <v>18.61</v>
      </c>
      <c r="C4462" s="9">
        <v>0</v>
      </c>
      <c r="D4462" s="13">
        <f t="shared" si="69"/>
        <v>18.61</v>
      </c>
    </row>
    <row r="4463" spans="1:4" x14ac:dyDescent="0.25">
      <c r="A4463" s="15">
        <f>Sheet2!A4463</f>
        <v>0</v>
      </c>
      <c r="B4463" s="8">
        <v>0</v>
      </c>
      <c r="C4463" s="9">
        <v>2.08</v>
      </c>
      <c r="D4463" s="13">
        <f t="shared" si="69"/>
        <v>2.08</v>
      </c>
    </row>
    <row r="4464" spans="1:4" x14ac:dyDescent="0.25">
      <c r="A4464" s="15">
        <f>Sheet2!A4464</f>
        <v>0</v>
      </c>
      <c r="B4464" s="8">
        <v>0</v>
      </c>
      <c r="C4464" s="9">
        <v>3.44</v>
      </c>
      <c r="D4464" s="13">
        <f t="shared" si="69"/>
        <v>3.44</v>
      </c>
    </row>
    <row r="4465" spans="1:4" x14ac:dyDescent="0.25">
      <c r="A4465" s="15">
        <f>Sheet2!A4465</f>
        <v>0</v>
      </c>
      <c r="B4465" s="8">
        <v>0</v>
      </c>
      <c r="C4465" s="9">
        <v>2.9</v>
      </c>
      <c r="D4465" s="13">
        <f t="shared" si="69"/>
        <v>2.9</v>
      </c>
    </row>
    <row r="4466" spans="1:4" x14ac:dyDescent="0.25">
      <c r="A4466" s="15">
        <f>Sheet2!A4466</f>
        <v>0</v>
      </c>
      <c r="B4466" s="8">
        <v>0</v>
      </c>
      <c r="C4466" s="9">
        <v>1.03</v>
      </c>
      <c r="D4466" s="13">
        <f t="shared" si="69"/>
        <v>1.03</v>
      </c>
    </row>
    <row r="4467" spans="1:4" x14ac:dyDescent="0.25">
      <c r="A4467" s="15">
        <f>Sheet2!A4467</f>
        <v>0</v>
      </c>
      <c r="B4467" s="8">
        <v>0</v>
      </c>
      <c r="C4467" s="9">
        <v>1.56</v>
      </c>
      <c r="D4467" s="13">
        <f t="shared" si="69"/>
        <v>1.56</v>
      </c>
    </row>
    <row r="4468" spans="1:4" x14ac:dyDescent="0.25">
      <c r="A4468" s="15">
        <f>Sheet2!A4468</f>
        <v>0</v>
      </c>
      <c r="B4468" s="8">
        <v>0</v>
      </c>
      <c r="C4468" s="9">
        <v>3.13</v>
      </c>
      <c r="D4468" s="13">
        <f t="shared" si="69"/>
        <v>3.13</v>
      </c>
    </row>
    <row r="4469" spans="1:4" x14ac:dyDescent="0.25">
      <c r="A4469" s="15">
        <f>Sheet2!A4469</f>
        <v>0</v>
      </c>
      <c r="B4469" s="8">
        <v>0</v>
      </c>
      <c r="C4469" s="9">
        <v>3.16</v>
      </c>
      <c r="D4469" s="13">
        <f t="shared" si="69"/>
        <v>3.16</v>
      </c>
    </row>
    <row r="4470" spans="1:4" x14ac:dyDescent="0.25">
      <c r="A4470" s="15">
        <f>Sheet2!A4470</f>
        <v>0</v>
      </c>
      <c r="B4470" s="8">
        <v>0</v>
      </c>
      <c r="C4470" s="9">
        <v>3.06</v>
      </c>
      <c r="D4470" s="13">
        <f t="shared" si="69"/>
        <v>3.06</v>
      </c>
    </row>
    <row r="4471" spans="1:4" x14ac:dyDescent="0.25">
      <c r="A4471" s="15">
        <f>Sheet2!A4471</f>
        <v>0</v>
      </c>
      <c r="B4471" s="8">
        <v>0</v>
      </c>
      <c r="C4471" s="9">
        <v>1.02</v>
      </c>
      <c r="D4471" s="13">
        <f t="shared" si="69"/>
        <v>1.02</v>
      </c>
    </row>
    <row r="4472" spans="1:4" x14ac:dyDescent="0.25">
      <c r="A4472" s="15">
        <f>Sheet2!A4472</f>
        <v>0</v>
      </c>
      <c r="B4472" s="8">
        <v>0</v>
      </c>
      <c r="C4472" s="9">
        <v>1.69</v>
      </c>
      <c r="D4472" s="13">
        <f t="shared" si="69"/>
        <v>1.69</v>
      </c>
    </row>
    <row r="4473" spans="1:4" x14ac:dyDescent="0.25">
      <c r="A4473" s="15">
        <f>Sheet2!A4473</f>
        <v>0</v>
      </c>
      <c r="B4473" s="8">
        <v>0</v>
      </c>
      <c r="C4473" s="9">
        <v>3.57</v>
      </c>
      <c r="D4473" s="13">
        <f t="shared" si="69"/>
        <v>3.57</v>
      </c>
    </row>
    <row r="4474" spans="1:4" x14ac:dyDescent="0.25">
      <c r="A4474" s="15">
        <f>Sheet2!A4474</f>
        <v>0</v>
      </c>
      <c r="B4474" s="8">
        <v>0</v>
      </c>
      <c r="C4474" s="9">
        <v>3.22</v>
      </c>
      <c r="D4474" s="13">
        <f t="shared" si="69"/>
        <v>3.22</v>
      </c>
    </row>
    <row r="4475" spans="1:4" x14ac:dyDescent="0.25">
      <c r="A4475" s="15">
        <f>Sheet2!A4475</f>
        <v>0</v>
      </c>
      <c r="B4475" s="8">
        <v>0</v>
      </c>
      <c r="C4475" s="9">
        <v>3.82</v>
      </c>
      <c r="D4475" s="13">
        <f t="shared" si="69"/>
        <v>3.82</v>
      </c>
    </row>
    <row r="4476" spans="1:4" x14ac:dyDescent="0.25">
      <c r="A4476" s="15">
        <f>Sheet2!A4476</f>
        <v>0</v>
      </c>
      <c r="B4476" s="8">
        <v>0</v>
      </c>
      <c r="C4476" s="9">
        <v>2.78</v>
      </c>
      <c r="D4476" s="13">
        <f t="shared" si="69"/>
        <v>2.78</v>
      </c>
    </row>
    <row r="4477" spans="1:4" x14ac:dyDescent="0.25">
      <c r="A4477" s="15">
        <f>Sheet2!A4477</f>
        <v>0</v>
      </c>
      <c r="B4477" s="8">
        <v>0</v>
      </c>
      <c r="C4477" s="9">
        <v>0.52</v>
      </c>
      <c r="D4477" s="13">
        <f t="shared" si="69"/>
        <v>0.52</v>
      </c>
    </row>
    <row r="4478" spans="1:4" x14ac:dyDescent="0.25">
      <c r="A4478" s="15">
        <f>Sheet2!A4478</f>
        <v>0</v>
      </c>
      <c r="B4478" s="8">
        <v>0</v>
      </c>
      <c r="C4478" s="9">
        <v>2.2000000000000002</v>
      </c>
      <c r="D4478" s="13">
        <f t="shared" si="69"/>
        <v>2.2000000000000002</v>
      </c>
    </row>
    <row r="4479" spans="1:4" x14ac:dyDescent="0.25">
      <c r="A4479" s="15">
        <f>Sheet2!A4479</f>
        <v>0</v>
      </c>
      <c r="B4479" s="8">
        <v>0</v>
      </c>
      <c r="C4479" s="9">
        <v>3.48</v>
      </c>
      <c r="D4479" s="13">
        <f t="shared" si="69"/>
        <v>3.48</v>
      </c>
    </row>
    <row r="4480" spans="1:4" x14ac:dyDescent="0.25">
      <c r="A4480" s="15">
        <f>Sheet2!A4480</f>
        <v>0</v>
      </c>
      <c r="B4480" s="8">
        <v>0</v>
      </c>
      <c r="C4480" s="9">
        <v>0.9</v>
      </c>
      <c r="D4480" s="13">
        <f t="shared" si="69"/>
        <v>0.9</v>
      </c>
    </row>
    <row r="4481" spans="1:4" x14ac:dyDescent="0.25">
      <c r="A4481" s="15">
        <f>Sheet2!A4481</f>
        <v>0</v>
      </c>
      <c r="B4481" s="8">
        <v>0</v>
      </c>
      <c r="C4481" s="9">
        <v>3.17</v>
      </c>
      <c r="D4481" s="13">
        <f t="shared" si="69"/>
        <v>3.17</v>
      </c>
    </row>
    <row r="4482" spans="1:4" x14ac:dyDescent="0.25">
      <c r="A4482" s="15">
        <f>Sheet2!A4482</f>
        <v>0</v>
      </c>
      <c r="B4482" s="8">
        <v>0</v>
      </c>
      <c r="C4482" s="9">
        <v>3.83</v>
      </c>
      <c r="D4482" s="13">
        <f t="shared" si="69"/>
        <v>3.83</v>
      </c>
    </row>
    <row r="4483" spans="1:4" x14ac:dyDescent="0.25">
      <c r="A4483" s="15">
        <f>Sheet2!A4483</f>
        <v>0</v>
      </c>
      <c r="B4483" s="8">
        <v>0</v>
      </c>
      <c r="C4483" s="9">
        <v>1.5</v>
      </c>
      <c r="D4483" s="13">
        <f t="shared" ref="D4483:D4546" si="70">B4483+C4483</f>
        <v>1.5</v>
      </c>
    </row>
    <row r="4484" spans="1:4" x14ac:dyDescent="0.25">
      <c r="A4484" s="15">
        <f>Sheet2!A4484</f>
        <v>0</v>
      </c>
      <c r="B4484" s="8">
        <v>0</v>
      </c>
      <c r="C4484" s="9">
        <v>2.15</v>
      </c>
      <c r="D4484" s="13">
        <f t="shared" si="70"/>
        <v>2.15</v>
      </c>
    </row>
    <row r="4485" spans="1:4" x14ac:dyDescent="0.25">
      <c r="A4485" s="15">
        <f>Sheet2!A4485</f>
        <v>0</v>
      </c>
      <c r="B4485" s="8">
        <v>0</v>
      </c>
      <c r="C4485" s="9">
        <v>3.2</v>
      </c>
      <c r="D4485" s="13">
        <f t="shared" si="70"/>
        <v>3.2</v>
      </c>
    </row>
    <row r="4486" spans="1:4" x14ac:dyDescent="0.25">
      <c r="A4486" s="15">
        <f>Sheet2!A4486</f>
        <v>0</v>
      </c>
      <c r="B4486" s="8">
        <v>0</v>
      </c>
      <c r="C4486" s="9">
        <v>3.5</v>
      </c>
      <c r="D4486" s="13">
        <f t="shared" si="70"/>
        <v>3.5</v>
      </c>
    </row>
    <row r="4487" spans="1:4" x14ac:dyDescent="0.25">
      <c r="A4487" s="15">
        <f>Sheet2!A4487</f>
        <v>0</v>
      </c>
      <c r="B4487" s="8">
        <v>0</v>
      </c>
      <c r="C4487" s="9">
        <v>3.14</v>
      </c>
      <c r="D4487" s="13">
        <f t="shared" si="70"/>
        <v>3.14</v>
      </c>
    </row>
    <row r="4488" spans="1:4" x14ac:dyDescent="0.25">
      <c r="A4488" s="15">
        <f>Sheet2!A4488</f>
        <v>0</v>
      </c>
      <c r="B4488" s="8">
        <v>21.82</v>
      </c>
      <c r="C4488" s="9">
        <v>0</v>
      </c>
      <c r="D4488" s="13">
        <f t="shared" si="70"/>
        <v>21.82</v>
      </c>
    </row>
    <row r="4489" spans="1:4" x14ac:dyDescent="0.25">
      <c r="A4489" s="15">
        <f>Sheet2!A4489</f>
        <v>0</v>
      </c>
      <c r="B4489" s="8">
        <v>0</v>
      </c>
      <c r="C4489" s="9">
        <v>1.52</v>
      </c>
      <c r="D4489" s="13">
        <f t="shared" si="70"/>
        <v>1.52</v>
      </c>
    </row>
    <row r="4490" spans="1:4" x14ac:dyDescent="0.25">
      <c r="A4490" s="15">
        <f>Sheet2!A4490</f>
        <v>0</v>
      </c>
      <c r="B4490" s="8">
        <v>0</v>
      </c>
      <c r="C4490" s="9">
        <v>2.5499999999999998</v>
      </c>
      <c r="D4490" s="13">
        <f t="shared" si="70"/>
        <v>2.5499999999999998</v>
      </c>
    </row>
    <row r="4491" spans="1:4" x14ac:dyDescent="0.25">
      <c r="A4491" s="15">
        <f>Sheet2!A4491</f>
        <v>0</v>
      </c>
      <c r="B4491" s="8">
        <v>0</v>
      </c>
      <c r="C4491" s="9">
        <v>0.83</v>
      </c>
      <c r="D4491" s="13">
        <f t="shared" si="70"/>
        <v>0.83</v>
      </c>
    </row>
    <row r="4492" spans="1:4" x14ac:dyDescent="0.25">
      <c r="A4492" s="15">
        <f>Sheet2!A4492</f>
        <v>0</v>
      </c>
      <c r="B4492" s="8">
        <v>12.18</v>
      </c>
      <c r="C4492" s="9">
        <v>0</v>
      </c>
      <c r="D4492" s="13">
        <f t="shared" si="70"/>
        <v>12.18</v>
      </c>
    </row>
    <row r="4493" spans="1:4" x14ac:dyDescent="0.25">
      <c r="A4493" s="15">
        <f>Sheet2!A4493</f>
        <v>0</v>
      </c>
      <c r="B4493" s="8">
        <v>0</v>
      </c>
      <c r="C4493" s="9">
        <v>1.26</v>
      </c>
      <c r="D4493" s="13">
        <f t="shared" si="70"/>
        <v>1.26</v>
      </c>
    </row>
    <row r="4494" spans="1:4" x14ac:dyDescent="0.25">
      <c r="A4494" s="15">
        <f>Sheet2!A4494</f>
        <v>0</v>
      </c>
      <c r="B4494" s="8">
        <v>0</v>
      </c>
      <c r="C4494" s="9">
        <v>2.2999999999999998</v>
      </c>
      <c r="D4494" s="13">
        <f t="shared" si="70"/>
        <v>2.2999999999999998</v>
      </c>
    </row>
    <row r="4495" spans="1:4" x14ac:dyDescent="0.25">
      <c r="A4495" s="15">
        <f>Sheet2!A4495</f>
        <v>0</v>
      </c>
      <c r="B4495" s="8">
        <v>0</v>
      </c>
      <c r="C4495" s="9">
        <v>0.78</v>
      </c>
      <c r="D4495" s="13">
        <f t="shared" si="70"/>
        <v>0.78</v>
      </c>
    </row>
    <row r="4496" spans="1:4" x14ac:dyDescent="0.25">
      <c r="A4496" s="15">
        <f>Sheet2!A4496</f>
        <v>0</v>
      </c>
      <c r="B4496" s="8">
        <v>0</v>
      </c>
      <c r="C4496" s="9">
        <v>0.81</v>
      </c>
      <c r="D4496" s="13">
        <f t="shared" si="70"/>
        <v>0.81</v>
      </c>
    </row>
    <row r="4497" spans="1:4" x14ac:dyDescent="0.25">
      <c r="A4497" s="15">
        <f>Sheet2!A4497</f>
        <v>0</v>
      </c>
      <c r="B4497" s="8">
        <v>0</v>
      </c>
      <c r="C4497" s="9">
        <v>3.48</v>
      </c>
      <c r="D4497" s="13">
        <f t="shared" si="70"/>
        <v>3.48</v>
      </c>
    </row>
    <row r="4498" spans="1:4" x14ac:dyDescent="0.25">
      <c r="A4498" s="15">
        <f>Sheet2!A4498</f>
        <v>0</v>
      </c>
      <c r="B4498" s="8">
        <v>0</v>
      </c>
      <c r="C4498" s="9">
        <v>3.4</v>
      </c>
      <c r="D4498" s="13">
        <f t="shared" si="70"/>
        <v>3.4</v>
      </c>
    </row>
    <row r="4499" spans="1:4" x14ac:dyDescent="0.25">
      <c r="A4499" s="15">
        <f>Sheet2!A4499</f>
        <v>0</v>
      </c>
      <c r="B4499" s="8">
        <v>0</v>
      </c>
      <c r="C4499" s="9">
        <v>3.41</v>
      </c>
      <c r="D4499" s="13">
        <f t="shared" si="70"/>
        <v>3.41</v>
      </c>
    </row>
    <row r="4500" spans="1:4" x14ac:dyDescent="0.25">
      <c r="A4500" s="15">
        <f>Sheet2!A4500</f>
        <v>0</v>
      </c>
      <c r="B4500" s="8">
        <v>0</v>
      </c>
      <c r="C4500" s="9">
        <v>2.94</v>
      </c>
      <c r="D4500" s="13">
        <f t="shared" si="70"/>
        <v>2.94</v>
      </c>
    </row>
    <row r="4501" spans="1:4" x14ac:dyDescent="0.25">
      <c r="A4501" s="15">
        <f>Sheet2!A4501</f>
        <v>0</v>
      </c>
      <c r="B4501" s="8">
        <v>0</v>
      </c>
      <c r="C4501" s="9">
        <v>1.53</v>
      </c>
      <c r="D4501" s="13">
        <f t="shared" si="70"/>
        <v>1.53</v>
      </c>
    </row>
    <row r="4502" spans="1:4" x14ac:dyDescent="0.25">
      <c r="A4502" s="15">
        <f>Sheet2!A4502</f>
        <v>0</v>
      </c>
      <c r="B4502" s="8">
        <v>20.41</v>
      </c>
      <c r="C4502" s="9">
        <v>0</v>
      </c>
      <c r="D4502" s="13">
        <f t="shared" si="70"/>
        <v>20.41</v>
      </c>
    </row>
    <row r="4503" spans="1:4" x14ac:dyDescent="0.25">
      <c r="A4503" s="15">
        <f>Sheet2!A4503</f>
        <v>0</v>
      </c>
      <c r="B4503" s="8">
        <v>0</v>
      </c>
      <c r="C4503" s="9">
        <v>1.9</v>
      </c>
      <c r="D4503" s="13">
        <f t="shared" si="70"/>
        <v>1.9</v>
      </c>
    </row>
    <row r="4504" spans="1:4" x14ac:dyDescent="0.25">
      <c r="A4504" s="15">
        <f>Sheet2!A4504</f>
        <v>0</v>
      </c>
      <c r="B4504" s="8">
        <v>0</v>
      </c>
      <c r="C4504" s="9">
        <v>2.68</v>
      </c>
      <c r="D4504" s="13">
        <f t="shared" si="70"/>
        <v>2.68</v>
      </c>
    </row>
    <row r="4505" spans="1:4" x14ac:dyDescent="0.25">
      <c r="A4505" s="15">
        <f>Sheet2!A4505</f>
        <v>0</v>
      </c>
      <c r="B4505" s="8">
        <v>0</v>
      </c>
      <c r="C4505" s="9">
        <v>2.06</v>
      </c>
      <c r="D4505" s="13">
        <f t="shared" si="70"/>
        <v>2.06</v>
      </c>
    </row>
    <row r="4506" spans="1:4" x14ac:dyDescent="0.25">
      <c r="A4506" s="15">
        <f>Sheet2!A4506</f>
        <v>0</v>
      </c>
      <c r="B4506" s="8">
        <v>0</v>
      </c>
      <c r="C4506" s="9">
        <v>0.78</v>
      </c>
      <c r="D4506" s="13">
        <f t="shared" si="70"/>
        <v>0.78</v>
      </c>
    </row>
    <row r="4507" spans="1:4" x14ac:dyDescent="0.25">
      <c r="A4507" s="15">
        <f>Sheet2!A4507</f>
        <v>0</v>
      </c>
      <c r="B4507" s="8">
        <v>0</v>
      </c>
      <c r="C4507" s="9">
        <v>2.71</v>
      </c>
      <c r="D4507" s="13">
        <f t="shared" si="70"/>
        <v>2.71</v>
      </c>
    </row>
    <row r="4508" spans="1:4" x14ac:dyDescent="0.25">
      <c r="A4508" s="15">
        <f>Sheet2!A4508</f>
        <v>0</v>
      </c>
      <c r="B4508" s="8">
        <v>0</v>
      </c>
      <c r="C4508" s="9">
        <v>3.89</v>
      </c>
      <c r="D4508" s="13">
        <f t="shared" si="70"/>
        <v>3.89</v>
      </c>
    </row>
    <row r="4509" spans="1:4" x14ac:dyDescent="0.25">
      <c r="A4509" s="15">
        <f>Sheet2!A4509</f>
        <v>0</v>
      </c>
      <c r="B4509" s="8">
        <v>0</v>
      </c>
      <c r="C4509" s="9">
        <v>1.97</v>
      </c>
      <c r="D4509" s="13">
        <f t="shared" si="70"/>
        <v>1.97</v>
      </c>
    </row>
    <row r="4510" spans="1:4" x14ac:dyDescent="0.25">
      <c r="A4510" s="15">
        <f>Sheet2!A4510</f>
        <v>0</v>
      </c>
      <c r="B4510" s="8">
        <v>0</v>
      </c>
      <c r="C4510" s="9">
        <v>1.38</v>
      </c>
      <c r="D4510" s="13">
        <f t="shared" si="70"/>
        <v>1.38</v>
      </c>
    </row>
    <row r="4511" spans="1:4" x14ac:dyDescent="0.25">
      <c r="A4511" s="15">
        <f>Sheet2!A4511</f>
        <v>0</v>
      </c>
      <c r="B4511" s="8">
        <v>0</v>
      </c>
      <c r="C4511" s="9">
        <v>2.74</v>
      </c>
      <c r="D4511" s="13">
        <f t="shared" si="70"/>
        <v>2.74</v>
      </c>
    </row>
    <row r="4512" spans="1:4" x14ac:dyDescent="0.25">
      <c r="A4512" s="15">
        <f>Sheet2!A4512</f>
        <v>0</v>
      </c>
      <c r="B4512" s="8">
        <v>0</v>
      </c>
      <c r="C4512" s="9">
        <v>3.51</v>
      </c>
      <c r="D4512" s="13">
        <f t="shared" si="70"/>
        <v>3.51</v>
      </c>
    </row>
    <row r="4513" spans="1:4" x14ac:dyDescent="0.25">
      <c r="A4513" s="15">
        <f>Sheet2!A4513</f>
        <v>0</v>
      </c>
      <c r="B4513" s="8">
        <v>0</v>
      </c>
      <c r="C4513" s="9">
        <v>3.21</v>
      </c>
      <c r="D4513" s="13">
        <f t="shared" si="70"/>
        <v>3.21</v>
      </c>
    </row>
    <row r="4514" spans="1:4" x14ac:dyDescent="0.25">
      <c r="A4514" s="15">
        <f>Sheet2!A4514</f>
        <v>0</v>
      </c>
      <c r="B4514" s="8">
        <v>0</v>
      </c>
      <c r="C4514" s="9">
        <v>3.74</v>
      </c>
      <c r="D4514" s="13">
        <f t="shared" si="70"/>
        <v>3.74</v>
      </c>
    </row>
    <row r="4515" spans="1:4" x14ac:dyDescent="0.25">
      <c r="A4515" s="15">
        <f>Sheet2!A4515</f>
        <v>0</v>
      </c>
      <c r="B4515" s="8">
        <v>0</v>
      </c>
      <c r="C4515" s="9">
        <v>1.21</v>
      </c>
      <c r="D4515" s="13">
        <f t="shared" si="70"/>
        <v>1.21</v>
      </c>
    </row>
    <row r="4516" spans="1:4" x14ac:dyDescent="0.25">
      <c r="A4516" s="15">
        <f>Sheet2!A4516</f>
        <v>0</v>
      </c>
      <c r="B4516" s="8">
        <v>0</v>
      </c>
      <c r="C4516" s="9">
        <v>2.58</v>
      </c>
      <c r="D4516" s="13">
        <f t="shared" si="70"/>
        <v>2.58</v>
      </c>
    </row>
    <row r="4517" spans="1:4" x14ac:dyDescent="0.25">
      <c r="A4517" s="15">
        <f>Sheet2!A4517</f>
        <v>0</v>
      </c>
      <c r="B4517" s="8">
        <v>0</v>
      </c>
      <c r="C4517" s="9">
        <v>4.47</v>
      </c>
      <c r="D4517" s="13">
        <f t="shared" si="70"/>
        <v>4.47</v>
      </c>
    </row>
    <row r="4518" spans="1:4" x14ac:dyDescent="0.25">
      <c r="A4518" s="15">
        <f>Sheet2!A4518</f>
        <v>0</v>
      </c>
      <c r="B4518" s="8">
        <v>0</v>
      </c>
      <c r="C4518" s="9">
        <v>4.5599999999999996</v>
      </c>
      <c r="D4518" s="13">
        <f t="shared" si="70"/>
        <v>4.5599999999999996</v>
      </c>
    </row>
    <row r="4519" spans="1:4" x14ac:dyDescent="0.25">
      <c r="A4519" s="15">
        <f>Sheet2!A4519</f>
        <v>0</v>
      </c>
      <c r="B4519" s="8">
        <v>0</v>
      </c>
      <c r="C4519" s="9">
        <v>4.58</v>
      </c>
      <c r="D4519" s="13">
        <f t="shared" si="70"/>
        <v>4.58</v>
      </c>
    </row>
    <row r="4520" spans="1:4" x14ac:dyDescent="0.25">
      <c r="A4520" s="15">
        <f>Sheet2!A4520</f>
        <v>0</v>
      </c>
      <c r="B4520" s="8">
        <v>0</v>
      </c>
      <c r="C4520" s="9">
        <v>1.62</v>
      </c>
      <c r="D4520" s="13">
        <f t="shared" si="70"/>
        <v>1.62</v>
      </c>
    </row>
    <row r="4521" spans="1:4" x14ac:dyDescent="0.25">
      <c r="A4521" s="15">
        <f>Sheet2!A4521</f>
        <v>0</v>
      </c>
      <c r="B4521" s="8">
        <v>0</v>
      </c>
      <c r="C4521" s="9">
        <v>1.45</v>
      </c>
      <c r="D4521" s="13">
        <f t="shared" si="70"/>
        <v>1.45</v>
      </c>
    </row>
    <row r="4522" spans="1:4" x14ac:dyDescent="0.25">
      <c r="A4522" s="15">
        <f>Sheet2!A4522</f>
        <v>0</v>
      </c>
      <c r="B4522" s="8">
        <v>0</v>
      </c>
      <c r="C4522" s="9">
        <v>3.45</v>
      </c>
      <c r="D4522" s="13">
        <f t="shared" si="70"/>
        <v>3.45</v>
      </c>
    </row>
    <row r="4523" spans="1:4" x14ac:dyDescent="0.25">
      <c r="A4523" s="15">
        <f>Sheet2!A4523</f>
        <v>0</v>
      </c>
      <c r="B4523" s="8">
        <v>0</v>
      </c>
      <c r="C4523" s="9">
        <v>3.61</v>
      </c>
      <c r="D4523" s="13">
        <f t="shared" si="70"/>
        <v>3.61</v>
      </c>
    </row>
    <row r="4524" spans="1:4" x14ac:dyDescent="0.25">
      <c r="A4524" s="15">
        <f>Sheet2!A4524</f>
        <v>0</v>
      </c>
      <c r="B4524" s="8">
        <v>0</v>
      </c>
      <c r="C4524" s="9">
        <v>3.22</v>
      </c>
      <c r="D4524" s="13">
        <f t="shared" si="70"/>
        <v>3.22</v>
      </c>
    </row>
    <row r="4525" spans="1:4" x14ac:dyDescent="0.25">
      <c r="A4525" s="15">
        <f>Sheet2!A4525</f>
        <v>0</v>
      </c>
      <c r="B4525" s="8">
        <v>0</v>
      </c>
      <c r="C4525" s="9">
        <v>3.46</v>
      </c>
      <c r="D4525" s="13">
        <f t="shared" si="70"/>
        <v>3.46</v>
      </c>
    </row>
    <row r="4526" spans="1:4" x14ac:dyDescent="0.25">
      <c r="A4526" s="15">
        <f>Sheet2!A4526</f>
        <v>0</v>
      </c>
      <c r="B4526" s="8">
        <v>0</v>
      </c>
      <c r="C4526" s="9">
        <v>4.08</v>
      </c>
      <c r="D4526" s="13">
        <f t="shared" si="70"/>
        <v>4.08</v>
      </c>
    </row>
    <row r="4527" spans="1:4" x14ac:dyDescent="0.25">
      <c r="A4527" s="15">
        <f>Sheet2!A4527</f>
        <v>0</v>
      </c>
      <c r="B4527" s="8">
        <v>0</v>
      </c>
      <c r="C4527" s="9">
        <v>4.08</v>
      </c>
      <c r="D4527" s="13">
        <f t="shared" si="70"/>
        <v>4.08</v>
      </c>
    </row>
    <row r="4528" spans="1:4" x14ac:dyDescent="0.25">
      <c r="A4528" s="15">
        <f>Sheet2!A4528</f>
        <v>0</v>
      </c>
      <c r="B4528" s="8">
        <v>0</v>
      </c>
      <c r="C4528" s="9">
        <v>4.47</v>
      </c>
      <c r="D4528" s="13">
        <f t="shared" si="70"/>
        <v>4.47</v>
      </c>
    </row>
    <row r="4529" spans="1:4" x14ac:dyDescent="0.25">
      <c r="A4529" s="15">
        <f>Sheet2!A4529</f>
        <v>0</v>
      </c>
      <c r="B4529" s="8">
        <v>0</v>
      </c>
      <c r="C4529" s="9">
        <v>3.8</v>
      </c>
      <c r="D4529" s="13">
        <f t="shared" si="70"/>
        <v>3.8</v>
      </c>
    </row>
    <row r="4530" spans="1:4" x14ac:dyDescent="0.25">
      <c r="A4530" s="15">
        <f>Sheet2!A4530</f>
        <v>0</v>
      </c>
      <c r="B4530" s="8">
        <v>0</v>
      </c>
      <c r="C4530" s="9">
        <v>1.31</v>
      </c>
      <c r="D4530" s="13">
        <f t="shared" si="70"/>
        <v>1.31</v>
      </c>
    </row>
    <row r="4531" spans="1:4" x14ac:dyDescent="0.25">
      <c r="A4531" s="15">
        <f>Sheet2!A4531</f>
        <v>0</v>
      </c>
      <c r="B4531" s="8">
        <v>0</v>
      </c>
      <c r="C4531" s="9">
        <v>1.93</v>
      </c>
      <c r="D4531" s="13">
        <f t="shared" si="70"/>
        <v>1.93</v>
      </c>
    </row>
    <row r="4532" spans="1:4" x14ac:dyDescent="0.25">
      <c r="A4532" s="15">
        <f>Sheet2!A4532</f>
        <v>0</v>
      </c>
      <c r="B4532" s="8">
        <v>0</v>
      </c>
      <c r="C4532" s="9">
        <v>4.1100000000000003</v>
      </c>
      <c r="D4532" s="13">
        <f t="shared" si="70"/>
        <v>4.1100000000000003</v>
      </c>
    </row>
    <row r="4533" spans="1:4" x14ac:dyDescent="0.25">
      <c r="A4533" s="15">
        <f>Sheet2!A4533</f>
        <v>0</v>
      </c>
      <c r="B4533" s="8">
        <v>0</v>
      </c>
      <c r="C4533" s="9">
        <v>1.49</v>
      </c>
      <c r="D4533" s="13">
        <f t="shared" si="70"/>
        <v>1.49</v>
      </c>
    </row>
    <row r="4534" spans="1:4" x14ac:dyDescent="0.25">
      <c r="A4534" s="15">
        <f>Sheet2!A4534</f>
        <v>0</v>
      </c>
      <c r="B4534" s="8">
        <v>19.28</v>
      </c>
      <c r="C4534" s="9">
        <v>0</v>
      </c>
      <c r="D4534" s="13">
        <f t="shared" si="70"/>
        <v>19.28</v>
      </c>
    </row>
    <row r="4535" spans="1:4" x14ac:dyDescent="0.25">
      <c r="A4535" s="15">
        <f>Sheet2!A4535</f>
        <v>0</v>
      </c>
      <c r="B4535" s="8">
        <v>0</v>
      </c>
      <c r="C4535" s="9">
        <v>2.54</v>
      </c>
      <c r="D4535" s="13">
        <f t="shared" si="70"/>
        <v>2.54</v>
      </c>
    </row>
    <row r="4536" spans="1:4" x14ac:dyDescent="0.25">
      <c r="A4536" s="15">
        <f>Sheet2!A4536</f>
        <v>0</v>
      </c>
      <c r="B4536" s="8">
        <v>0</v>
      </c>
      <c r="C4536" s="9">
        <v>3.83</v>
      </c>
      <c r="D4536" s="13">
        <f t="shared" si="70"/>
        <v>3.83</v>
      </c>
    </row>
    <row r="4537" spans="1:4" x14ac:dyDescent="0.25">
      <c r="A4537" s="15">
        <f>Sheet2!A4537</f>
        <v>0</v>
      </c>
      <c r="B4537" s="8">
        <v>0</v>
      </c>
      <c r="C4537" s="9">
        <v>1.45</v>
      </c>
      <c r="D4537" s="13">
        <f t="shared" si="70"/>
        <v>1.45</v>
      </c>
    </row>
    <row r="4538" spans="1:4" x14ac:dyDescent="0.25">
      <c r="A4538" s="15">
        <f>Sheet2!A4538</f>
        <v>0</v>
      </c>
      <c r="B4538" s="8">
        <v>16.27</v>
      </c>
      <c r="C4538" s="9">
        <v>0</v>
      </c>
      <c r="D4538" s="13">
        <f t="shared" si="70"/>
        <v>16.27</v>
      </c>
    </row>
    <row r="4539" spans="1:4" x14ac:dyDescent="0.25">
      <c r="A4539" s="15">
        <f>Sheet2!A4539</f>
        <v>0</v>
      </c>
      <c r="B4539" s="8">
        <v>0</v>
      </c>
      <c r="C4539" s="9">
        <v>1.31</v>
      </c>
      <c r="D4539" s="13">
        <f t="shared" si="70"/>
        <v>1.31</v>
      </c>
    </row>
    <row r="4540" spans="1:4" x14ac:dyDescent="0.25">
      <c r="A4540" s="15">
        <f>Sheet2!A4540</f>
        <v>0</v>
      </c>
      <c r="B4540" s="8">
        <v>0</v>
      </c>
      <c r="C4540" s="9">
        <v>2.91</v>
      </c>
      <c r="D4540" s="13">
        <f t="shared" si="70"/>
        <v>2.91</v>
      </c>
    </row>
    <row r="4541" spans="1:4" x14ac:dyDescent="0.25">
      <c r="A4541" s="15">
        <f>Sheet2!A4541</f>
        <v>0</v>
      </c>
      <c r="B4541" s="8">
        <v>0</v>
      </c>
      <c r="C4541" s="9">
        <v>1.08</v>
      </c>
      <c r="D4541" s="13">
        <f t="shared" si="70"/>
        <v>1.08</v>
      </c>
    </row>
    <row r="4542" spans="1:4" x14ac:dyDescent="0.25">
      <c r="A4542" s="15">
        <f>Sheet2!A4542</f>
        <v>0</v>
      </c>
      <c r="B4542" s="8">
        <v>17.13</v>
      </c>
      <c r="C4542" s="9">
        <v>0</v>
      </c>
      <c r="D4542" s="13">
        <f t="shared" si="70"/>
        <v>17.13</v>
      </c>
    </row>
    <row r="4543" spans="1:4" x14ac:dyDescent="0.25">
      <c r="A4543" s="15">
        <f>Sheet2!A4543</f>
        <v>0</v>
      </c>
      <c r="B4543" s="8">
        <v>15.37</v>
      </c>
      <c r="C4543" s="9">
        <v>0</v>
      </c>
      <c r="D4543" s="13">
        <f t="shared" si="70"/>
        <v>15.37</v>
      </c>
    </row>
    <row r="4544" spans="1:4" x14ac:dyDescent="0.25">
      <c r="A4544" s="15">
        <f>Sheet2!A4544</f>
        <v>0</v>
      </c>
      <c r="B4544" s="8">
        <v>16.43</v>
      </c>
      <c r="C4544" s="9">
        <v>0</v>
      </c>
      <c r="D4544" s="13">
        <f t="shared" si="70"/>
        <v>16.43</v>
      </c>
    </row>
    <row r="4545" spans="1:4" x14ac:dyDescent="0.25">
      <c r="A4545" s="15">
        <f>Sheet2!A4545</f>
        <v>0</v>
      </c>
      <c r="B4545" s="8">
        <v>0</v>
      </c>
      <c r="C4545" s="9">
        <v>1.26</v>
      </c>
      <c r="D4545" s="13">
        <f t="shared" si="70"/>
        <v>1.26</v>
      </c>
    </row>
    <row r="4546" spans="1:4" x14ac:dyDescent="0.25">
      <c r="A4546" s="15">
        <f>Sheet2!A4546</f>
        <v>0</v>
      </c>
      <c r="B4546" s="8">
        <v>0</v>
      </c>
      <c r="C4546" s="9">
        <v>3.62</v>
      </c>
      <c r="D4546" s="13">
        <f t="shared" si="70"/>
        <v>3.62</v>
      </c>
    </row>
    <row r="4547" spans="1:4" x14ac:dyDescent="0.25">
      <c r="A4547" s="15">
        <f>Sheet2!A4547</f>
        <v>0</v>
      </c>
      <c r="B4547" s="8">
        <v>0</v>
      </c>
      <c r="C4547" s="9">
        <v>2.09</v>
      </c>
      <c r="D4547" s="13">
        <f t="shared" ref="D4547:D4610" si="71">B4547+C4547</f>
        <v>2.09</v>
      </c>
    </row>
    <row r="4548" spans="1:4" x14ac:dyDescent="0.25">
      <c r="A4548" s="15">
        <f>Sheet2!A4548</f>
        <v>0</v>
      </c>
      <c r="B4548" s="8">
        <v>16.670000000000002</v>
      </c>
      <c r="C4548" s="9">
        <v>0</v>
      </c>
      <c r="D4548" s="13">
        <f t="shared" si="71"/>
        <v>16.670000000000002</v>
      </c>
    </row>
    <row r="4549" spans="1:4" x14ac:dyDescent="0.25">
      <c r="A4549" s="15">
        <f>Sheet2!A4549</f>
        <v>0</v>
      </c>
      <c r="B4549" s="8">
        <v>0</v>
      </c>
      <c r="C4549" s="9">
        <v>1.87</v>
      </c>
      <c r="D4549" s="13">
        <f t="shared" si="71"/>
        <v>1.87</v>
      </c>
    </row>
    <row r="4550" spans="1:4" x14ac:dyDescent="0.25">
      <c r="A4550" s="15">
        <f>Sheet2!A4550</f>
        <v>0</v>
      </c>
      <c r="B4550" s="8">
        <v>0</v>
      </c>
      <c r="C4550" s="9">
        <v>3.42</v>
      </c>
      <c r="D4550" s="13">
        <f t="shared" si="71"/>
        <v>3.42</v>
      </c>
    </row>
    <row r="4551" spans="1:4" x14ac:dyDescent="0.25">
      <c r="A4551" s="15">
        <f>Sheet2!A4551</f>
        <v>0</v>
      </c>
      <c r="B4551" s="8">
        <v>0</v>
      </c>
      <c r="C4551" s="9">
        <v>3.48</v>
      </c>
      <c r="D4551" s="13">
        <f t="shared" si="71"/>
        <v>3.48</v>
      </c>
    </row>
    <row r="4552" spans="1:4" x14ac:dyDescent="0.25">
      <c r="A4552" s="15">
        <f>Sheet2!A4552</f>
        <v>0</v>
      </c>
      <c r="B4552" s="8">
        <v>0</v>
      </c>
      <c r="C4552" s="9">
        <v>4.24</v>
      </c>
      <c r="D4552" s="13">
        <f t="shared" si="71"/>
        <v>4.24</v>
      </c>
    </row>
    <row r="4553" spans="1:4" x14ac:dyDescent="0.25">
      <c r="A4553" s="15">
        <f>Sheet2!A4553</f>
        <v>0</v>
      </c>
      <c r="B4553" s="8">
        <v>0</v>
      </c>
      <c r="C4553" s="9">
        <v>1.76</v>
      </c>
      <c r="D4553" s="13">
        <f t="shared" si="71"/>
        <v>1.76</v>
      </c>
    </row>
    <row r="4554" spans="1:4" x14ac:dyDescent="0.25">
      <c r="A4554" s="15">
        <f>Sheet2!A4554</f>
        <v>0</v>
      </c>
      <c r="B4554" s="8">
        <v>20.329999999999998</v>
      </c>
      <c r="C4554" s="9">
        <v>0</v>
      </c>
      <c r="D4554" s="13">
        <f t="shared" si="71"/>
        <v>20.329999999999998</v>
      </c>
    </row>
    <row r="4555" spans="1:4" x14ac:dyDescent="0.25">
      <c r="A4555" s="15">
        <f>Sheet2!A4555</f>
        <v>0</v>
      </c>
      <c r="B4555" s="8">
        <v>0</v>
      </c>
      <c r="C4555" s="9">
        <v>2.84</v>
      </c>
      <c r="D4555" s="13">
        <f t="shared" si="71"/>
        <v>2.84</v>
      </c>
    </row>
    <row r="4556" spans="1:4" x14ac:dyDescent="0.25">
      <c r="A4556" s="15">
        <f>Sheet2!A4556</f>
        <v>0</v>
      </c>
      <c r="B4556" s="8">
        <v>0</v>
      </c>
      <c r="C4556" s="9">
        <v>3.99</v>
      </c>
      <c r="D4556" s="13">
        <f t="shared" si="71"/>
        <v>3.99</v>
      </c>
    </row>
    <row r="4557" spans="1:4" x14ac:dyDescent="0.25">
      <c r="A4557" s="15">
        <f>Sheet2!A4557</f>
        <v>0</v>
      </c>
      <c r="B4557" s="8">
        <v>0</v>
      </c>
      <c r="C4557" s="9">
        <v>4.25</v>
      </c>
      <c r="D4557" s="13">
        <f t="shared" si="71"/>
        <v>4.25</v>
      </c>
    </row>
    <row r="4558" spans="1:4" x14ac:dyDescent="0.25">
      <c r="A4558" s="15">
        <f>Sheet2!A4558</f>
        <v>0</v>
      </c>
      <c r="B4558" s="8">
        <v>0</v>
      </c>
      <c r="C4558" s="9">
        <v>4.0599999999999996</v>
      </c>
      <c r="D4558" s="13">
        <f t="shared" si="71"/>
        <v>4.0599999999999996</v>
      </c>
    </row>
    <row r="4559" spans="1:4" x14ac:dyDescent="0.25">
      <c r="A4559" s="15">
        <f>Sheet2!A4559</f>
        <v>0</v>
      </c>
      <c r="B4559" s="8">
        <v>0</v>
      </c>
      <c r="C4559" s="9">
        <v>1.72</v>
      </c>
      <c r="D4559" s="13">
        <f t="shared" si="71"/>
        <v>1.72</v>
      </c>
    </row>
    <row r="4560" spans="1:4" x14ac:dyDescent="0.25">
      <c r="A4560" s="15">
        <f>Sheet2!A4560</f>
        <v>0</v>
      </c>
      <c r="B4560" s="8">
        <v>11.01</v>
      </c>
      <c r="C4560" s="9">
        <v>0</v>
      </c>
      <c r="D4560" s="13">
        <f t="shared" si="71"/>
        <v>11.01</v>
      </c>
    </row>
    <row r="4561" spans="1:4" x14ac:dyDescent="0.25">
      <c r="A4561" s="15">
        <f>Sheet2!A4561</f>
        <v>0</v>
      </c>
      <c r="B4561" s="8">
        <v>0</v>
      </c>
      <c r="C4561" s="9">
        <v>1.97</v>
      </c>
      <c r="D4561" s="13">
        <f t="shared" si="71"/>
        <v>1.97</v>
      </c>
    </row>
    <row r="4562" spans="1:4" x14ac:dyDescent="0.25">
      <c r="A4562" s="15">
        <f>Sheet2!A4562</f>
        <v>0</v>
      </c>
      <c r="B4562" s="8">
        <v>0</v>
      </c>
      <c r="C4562" s="9">
        <v>2.79</v>
      </c>
      <c r="D4562" s="13">
        <f t="shared" si="71"/>
        <v>2.79</v>
      </c>
    </row>
    <row r="4563" spans="1:4" x14ac:dyDescent="0.25">
      <c r="A4563" s="15">
        <f>Sheet2!A4563</f>
        <v>0</v>
      </c>
      <c r="B4563" s="8">
        <v>0</v>
      </c>
      <c r="C4563" s="9">
        <v>3.04</v>
      </c>
      <c r="D4563" s="13">
        <f t="shared" si="71"/>
        <v>3.04</v>
      </c>
    </row>
    <row r="4564" spans="1:4" x14ac:dyDescent="0.25">
      <c r="A4564" s="15">
        <f>Sheet2!A4564</f>
        <v>0</v>
      </c>
      <c r="B4564" s="8">
        <v>0</v>
      </c>
      <c r="C4564" s="9">
        <v>3.05</v>
      </c>
      <c r="D4564" s="13">
        <f t="shared" si="71"/>
        <v>3.05</v>
      </c>
    </row>
    <row r="4565" spans="1:4" x14ac:dyDescent="0.25">
      <c r="A4565" s="15">
        <f>Sheet2!A4565</f>
        <v>0</v>
      </c>
      <c r="B4565" s="8">
        <v>0</v>
      </c>
      <c r="C4565" s="9">
        <v>0.69</v>
      </c>
      <c r="D4565" s="13">
        <f t="shared" si="71"/>
        <v>0.69</v>
      </c>
    </row>
    <row r="4566" spans="1:4" x14ac:dyDescent="0.25">
      <c r="A4566" s="15">
        <f>Sheet2!A4566</f>
        <v>0</v>
      </c>
      <c r="B4566" s="8">
        <v>17.100000000000001</v>
      </c>
      <c r="C4566" s="9">
        <v>0</v>
      </c>
      <c r="D4566" s="13">
        <f t="shared" si="71"/>
        <v>17.100000000000001</v>
      </c>
    </row>
    <row r="4567" spans="1:4" x14ac:dyDescent="0.25">
      <c r="A4567" s="15">
        <f>Sheet2!A4567</f>
        <v>0</v>
      </c>
      <c r="B4567" s="8">
        <v>0</v>
      </c>
      <c r="C4567" s="9">
        <v>1.47</v>
      </c>
      <c r="D4567" s="13">
        <f t="shared" si="71"/>
        <v>1.47</v>
      </c>
    </row>
    <row r="4568" spans="1:4" x14ac:dyDescent="0.25">
      <c r="A4568" s="15">
        <f>Sheet2!A4568</f>
        <v>0</v>
      </c>
      <c r="B4568" s="8">
        <v>0</v>
      </c>
      <c r="C4568" s="9">
        <v>2.59</v>
      </c>
      <c r="D4568" s="13">
        <f t="shared" si="71"/>
        <v>2.59</v>
      </c>
    </row>
    <row r="4569" spans="1:4" x14ac:dyDescent="0.25">
      <c r="A4569" s="15">
        <f>Sheet2!A4569</f>
        <v>0</v>
      </c>
      <c r="B4569" s="8">
        <v>0</v>
      </c>
      <c r="C4569" s="9">
        <v>1.73</v>
      </c>
      <c r="D4569" s="13">
        <f t="shared" si="71"/>
        <v>1.73</v>
      </c>
    </row>
    <row r="4570" spans="1:4" x14ac:dyDescent="0.25">
      <c r="A4570" s="15">
        <f>Sheet2!A4570</f>
        <v>0</v>
      </c>
      <c r="B4570" s="8">
        <v>0</v>
      </c>
      <c r="C4570" s="9">
        <v>0.37</v>
      </c>
      <c r="D4570" s="13">
        <f t="shared" si="71"/>
        <v>0.37</v>
      </c>
    </row>
    <row r="4571" spans="1:4" x14ac:dyDescent="0.25">
      <c r="A4571" s="15">
        <f>Sheet2!A4571</f>
        <v>0</v>
      </c>
      <c r="B4571" s="8">
        <v>0</v>
      </c>
      <c r="C4571" s="9">
        <v>2.42</v>
      </c>
      <c r="D4571" s="13">
        <f t="shared" si="71"/>
        <v>2.42</v>
      </c>
    </row>
    <row r="4572" spans="1:4" x14ac:dyDescent="0.25">
      <c r="A4572" s="15">
        <f>Sheet2!A4572</f>
        <v>0</v>
      </c>
      <c r="B4572" s="8">
        <v>0</v>
      </c>
      <c r="C4572" s="9">
        <v>3.54</v>
      </c>
      <c r="D4572" s="13">
        <f t="shared" si="71"/>
        <v>3.54</v>
      </c>
    </row>
    <row r="4573" spans="1:4" x14ac:dyDescent="0.25">
      <c r="A4573" s="15">
        <f>Sheet2!A4573</f>
        <v>0</v>
      </c>
      <c r="B4573" s="8">
        <v>0</v>
      </c>
      <c r="C4573" s="9">
        <v>2.93</v>
      </c>
      <c r="D4573" s="13">
        <f t="shared" si="71"/>
        <v>2.93</v>
      </c>
    </row>
    <row r="4574" spans="1:4" x14ac:dyDescent="0.25">
      <c r="A4574" s="15">
        <f>Sheet2!A4574</f>
        <v>0</v>
      </c>
      <c r="B4574" s="8">
        <v>0</v>
      </c>
      <c r="C4574" s="9">
        <v>3.53</v>
      </c>
      <c r="D4574" s="13">
        <f t="shared" si="71"/>
        <v>3.53</v>
      </c>
    </row>
    <row r="4575" spans="1:4" x14ac:dyDescent="0.25">
      <c r="A4575" s="15">
        <f>Sheet2!A4575</f>
        <v>0</v>
      </c>
      <c r="B4575" s="8">
        <v>0</v>
      </c>
      <c r="C4575" s="9">
        <v>1.52</v>
      </c>
      <c r="D4575" s="13">
        <f t="shared" si="71"/>
        <v>1.52</v>
      </c>
    </row>
    <row r="4576" spans="1:4" x14ac:dyDescent="0.25">
      <c r="A4576" s="15">
        <f>Sheet2!A4576</f>
        <v>0</v>
      </c>
      <c r="B4576" s="8">
        <v>19.12</v>
      </c>
      <c r="C4576" s="9">
        <v>0</v>
      </c>
      <c r="D4576" s="13">
        <f t="shared" si="71"/>
        <v>19.12</v>
      </c>
    </row>
    <row r="4577" spans="1:4" x14ac:dyDescent="0.25">
      <c r="A4577" s="15">
        <f>Sheet2!A4577</f>
        <v>0</v>
      </c>
      <c r="B4577" s="8">
        <v>0</v>
      </c>
      <c r="C4577" s="9">
        <v>2.4300000000000002</v>
      </c>
      <c r="D4577" s="13">
        <f t="shared" si="71"/>
        <v>2.4300000000000002</v>
      </c>
    </row>
    <row r="4578" spans="1:4" x14ac:dyDescent="0.25">
      <c r="A4578" s="15">
        <f>Sheet2!A4578</f>
        <v>0</v>
      </c>
      <c r="B4578" s="8">
        <v>0</v>
      </c>
      <c r="C4578" s="9">
        <v>4.2</v>
      </c>
      <c r="D4578" s="13">
        <f t="shared" si="71"/>
        <v>4.2</v>
      </c>
    </row>
    <row r="4579" spans="1:4" x14ac:dyDescent="0.25">
      <c r="A4579" s="15">
        <f>Sheet2!A4579</f>
        <v>0</v>
      </c>
      <c r="B4579" s="8">
        <v>0</v>
      </c>
      <c r="C4579" s="9">
        <v>4.25</v>
      </c>
      <c r="D4579" s="13">
        <f t="shared" si="71"/>
        <v>4.25</v>
      </c>
    </row>
    <row r="4580" spans="1:4" x14ac:dyDescent="0.25">
      <c r="A4580" s="15">
        <f>Sheet2!A4580</f>
        <v>0</v>
      </c>
      <c r="B4580" s="8">
        <v>0</v>
      </c>
      <c r="C4580" s="9">
        <v>4.0199999999999996</v>
      </c>
      <c r="D4580" s="13">
        <f t="shared" si="71"/>
        <v>4.0199999999999996</v>
      </c>
    </row>
    <row r="4581" spans="1:4" x14ac:dyDescent="0.25">
      <c r="A4581" s="15">
        <f>Sheet2!A4581</f>
        <v>0</v>
      </c>
      <c r="B4581" s="8">
        <v>0</v>
      </c>
      <c r="C4581" s="9">
        <v>1.46</v>
      </c>
      <c r="D4581" s="13">
        <f t="shared" si="71"/>
        <v>1.46</v>
      </c>
    </row>
    <row r="4582" spans="1:4" x14ac:dyDescent="0.25">
      <c r="A4582" s="15">
        <f>Sheet2!A4582</f>
        <v>0</v>
      </c>
      <c r="B4582" s="8">
        <v>19.16</v>
      </c>
      <c r="C4582" s="9">
        <v>0</v>
      </c>
      <c r="D4582" s="13">
        <f t="shared" si="71"/>
        <v>19.16</v>
      </c>
    </row>
    <row r="4583" spans="1:4" x14ac:dyDescent="0.25">
      <c r="A4583" s="15">
        <f>Sheet2!A4583</f>
        <v>0</v>
      </c>
      <c r="B4583" s="8">
        <v>0</v>
      </c>
      <c r="C4583" s="9">
        <v>2.16</v>
      </c>
      <c r="D4583" s="13">
        <f t="shared" si="71"/>
        <v>2.16</v>
      </c>
    </row>
    <row r="4584" spans="1:4" x14ac:dyDescent="0.25">
      <c r="A4584" s="15">
        <f>Sheet2!A4584</f>
        <v>0</v>
      </c>
      <c r="B4584" s="8">
        <v>0</v>
      </c>
      <c r="C4584" s="9">
        <v>3.71</v>
      </c>
      <c r="D4584" s="13">
        <f t="shared" si="71"/>
        <v>3.71</v>
      </c>
    </row>
    <row r="4585" spans="1:4" x14ac:dyDescent="0.25">
      <c r="A4585" s="15">
        <f>Sheet2!A4585</f>
        <v>0</v>
      </c>
      <c r="B4585" s="8">
        <v>0</v>
      </c>
      <c r="C4585" s="9">
        <v>3.42</v>
      </c>
      <c r="D4585" s="13">
        <f t="shared" si="71"/>
        <v>3.42</v>
      </c>
    </row>
    <row r="4586" spans="1:4" x14ac:dyDescent="0.25">
      <c r="A4586" s="15">
        <f>Sheet2!A4586</f>
        <v>0</v>
      </c>
      <c r="B4586" s="8">
        <v>0</v>
      </c>
      <c r="C4586" s="9">
        <v>3.64</v>
      </c>
      <c r="D4586" s="13">
        <f t="shared" si="71"/>
        <v>3.64</v>
      </c>
    </row>
    <row r="4587" spans="1:4" x14ac:dyDescent="0.25">
      <c r="A4587" s="15">
        <f>Sheet2!A4587</f>
        <v>0</v>
      </c>
      <c r="B4587" s="8">
        <v>0</v>
      </c>
      <c r="C4587" s="9">
        <v>0.75</v>
      </c>
      <c r="D4587" s="13">
        <f t="shared" si="71"/>
        <v>0.75</v>
      </c>
    </row>
    <row r="4588" spans="1:4" x14ac:dyDescent="0.25">
      <c r="A4588" s="15">
        <f>Sheet2!A4588</f>
        <v>0</v>
      </c>
      <c r="B4588" s="8">
        <v>14.19</v>
      </c>
      <c r="C4588" s="9">
        <v>0</v>
      </c>
      <c r="D4588" s="13">
        <f t="shared" si="71"/>
        <v>14.19</v>
      </c>
    </row>
    <row r="4589" spans="1:4" x14ac:dyDescent="0.25">
      <c r="A4589" s="15">
        <f>Sheet2!A4589</f>
        <v>0</v>
      </c>
      <c r="B4589" s="8">
        <v>0</v>
      </c>
      <c r="C4589" s="9">
        <v>1.57</v>
      </c>
      <c r="D4589" s="13">
        <f t="shared" si="71"/>
        <v>1.57</v>
      </c>
    </row>
    <row r="4590" spans="1:4" x14ac:dyDescent="0.25">
      <c r="A4590" s="15">
        <f>Sheet2!A4590</f>
        <v>0</v>
      </c>
      <c r="B4590" s="8">
        <v>0</v>
      </c>
      <c r="C4590" s="9">
        <v>2.98</v>
      </c>
      <c r="D4590" s="13">
        <f t="shared" si="71"/>
        <v>2.98</v>
      </c>
    </row>
    <row r="4591" spans="1:4" x14ac:dyDescent="0.25">
      <c r="A4591" s="15">
        <f>Sheet2!A4591</f>
        <v>0</v>
      </c>
      <c r="B4591" s="8">
        <v>0</v>
      </c>
      <c r="C4591" s="9">
        <v>2.0699999999999998</v>
      </c>
      <c r="D4591" s="13">
        <f t="shared" si="71"/>
        <v>2.0699999999999998</v>
      </c>
    </row>
    <row r="4592" spans="1:4" x14ac:dyDescent="0.25">
      <c r="A4592" s="15">
        <f>Sheet2!A4592</f>
        <v>0</v>
      </c>
      <c r="B4592" s="8">
        <v>0</v>
      </c>
      <c r="C4592" s="9">
        <v>3.39</v>
      </c>
      <c r="D4592" s="13">
        <f t="shared" si="71"/>
        <v>3.39</v>
      </c>
    </row>
    <row r="4593" spans="1:4" x14ac:dyDescent="0.25">
      <c r="A4593" s="15">
        <f>Sheet2!A4593</f>
        <v>0</v>
      </c>
      <c r="B4593" s="8">
        <v>0</v>
      </c>
      <c r="C4593" s="9">
        <v>0.92</v>
      </c>
      <c r="D4593" s="13">
        <f t="shared" si="71"/>
        <v>0.92</v>
      </c>
    </row>
    <row r="4594" spans="1:4" x14ac:dyDescent="0.25">
      <c r="A4594" s="15">
        <f>Sheet2!A4594</f>
        <v>0</v>
      </c>
      <c r="B4594" s="8">
        <v>0</v>
      </c>
      <c r="C4594" s="9">
        <v>0.66</v>
      </c>
      <c r="D4594" s="13">
        <f t="shared" si="71"/>
        <v>0.66</v>
      </c>
    </row>
    <row r="4595" spans="1:4" x14ac:dyDescent="0.25">
      <c r="A4595" s="15">
        <f>Sheet2!A4595</f>
        <v>0</v>
      </c>
      <c r="B4595" s="8">
        <v>0</v>
      </c>
      <c r="C4595" s="9">
        <v>1.93</v>
      </c>
      <c r="D4595" s="13">
        <f t="shared" si="71"/>
        <v>1.93</v>
      </c>
    </row>
    <row r="4596" spans="1:4" x14ac:dyDescent="0.25">
      <c r="A4596" s="15">
        <f>Sheet2!A4596</f>
        <v>0</v>
      </c>
      <c r="B4596" s="8">
        <v>0</v>
      </c>
      <c r="C4596" s="9">
        <v>3.44</v>
      </c>
      <c r="D4596" s="13">
        <f t="shared" si="71"/>
        <v>3.44</v>
      </c>
    </row>
    <row r="4597" spans="1:4" x14ac:dyDescent="0.25">
      <c r="A4597" s="15">
        <f>Sheet2!A4597</f>
        <v>0</v>
      </c>
      <c r="B4597" s="8">
        <v>0</v>
      </c>
      <c r="C4597" s="9">
        <v>3.51</v>
      </c>
      <c r="D4597" s="13">
        <f t="shared" si="71"/>
        <v>3.51</v>
      </c>
    </row>
    <row r="4598" spans="1:4" x14ac:dyDescent="0.25">
      <c r="A4598" s="15">
        <f>Sheet2!A4598</f>
        <v>0</v>
      </c>
      <c r="B4598" s="8">
        <v>0</v>
      </c>
      <c r="C4598" s="9">
        <v>3.64</v>
      </c>
      <c r="D4598" s="13">
        <f t="shared" si="71"/>
        <v>3.64</v>
      </c>
    </row>
    <row r="4599" spans="1:4" x14ac:dyDescent="0.25">
      <c r="A4599" s="15">
        <f>Sheet2!A4599</f>
        <v>0</v>
      </c>
      <c r="B4599" s="8">
        <v>0</v>
      </c>
      <c r="C4599" s="9">
        <v>1.81</v>
      </c>
      <c r="D4599" s="13">
        <f t="shared" si="71"/>
        <v>1.81</v>
      </c>
    </row>
    <row r="4600" spans="1:4" x14ac:dyDescent="0.25">
      <c r="A4600" s="15">
        <f>Sheet2!A4600</f>
        <v>0</v>
      </c>
      <c r="B4600" s="8">
        <v>11.33</v>
      </c>
      <c r="C4600" s="9">
        <v>0</v>
      </c>
      <c r="D4600" s="13">
        <f t="shared" si="71"/>
        <v>11.33</v>
      </c>
    </row>
    <row r="4601" spans="1:4" x14ac:dyDescent="0.25">
      <c r="A4601" s="15">
        <f>Sheet2!A4601</f>
        <v>0</v>
      </c>
      <c r="B4601" s="8">
        <v>0</v>
      </c>
      <c r="C4601" s="9">
        <v>1.9</v>
      </c>
      <c r="D4601" s="13">
        <f t="shared" si="71"/>
        <v>1.9</v>
      </c>
    </row>
    <row r="4602" spans="1:4" x14ac:dyDescent="0.25">
      <c r="A4602" s="15">
        <f>Sheet2!A4602</f>
        <v>0</v>
      </c>
      <c r="B4602" s="8">
        <v>0</v>
      </c>
      <c r="C4602" s="9">
        <v>3.49</v>
      </c>
      <c r="D4602" s="13">
        <f t="shared" si="71"/>
        <v>3.49</v>
      </c>
    </row>
    <row r="4603" spans="1:4" x14ac:dyDescent="0.25">
      <c r="A4603" s="15">
        <f>Sheet2!A4603</f>
        <v>0</v>
      </c>
      <c r="B4603" s="8">
        <v>0</v>
      </c>
      <c r="C4603" s="9">
        <v>3.13</v>
      </c>
      <c r="D4603" s="13">
        <f t="shared" si="71"/>
        <v>3.13</v>
      </c>
    </row>
    <row r="4604" spans="1:4" x14ac:dyDescent="0.25">
      <c r="A4604" s="15">
        <f>Sheet2!A4604</f>
        <v>0</v>
      </c>
      <c r="B4604" s="8">
        <v>0</v>
      </c>
      <c r="C4604" s="9">
        <v>4.0199999999999996</v>
      </c>
      <c r="D4604" s="13">
        <f t="shared" si="71"/>
        <v>4.0199999999999996</v>
      </c>
    </row>
    <row r="4605" spans="1:4" x14ac:dyDescent="0.25">
      <c r="A4605" s="15">
        <f>Sheet2!A4605</f>
        <v>0</v>
      </c>
      <c r="B4605" s="8">
        <v>0</v>
      </c>
      <c r="C4605" s="9">
        <v>1.31</v>
      </c>
      <c r="D4605" s="13">
        <f t="shared" si="71"/>
        <v>1.31</v>
      </c>
    </row>
    <row r="4606" spans="1:4" x14ac:dyDescent="0.25">
      <c r="A4606" s="15">
        <f>Sheet2!A4606</f>
        <v>0</v>
      </c>
      <c r="B4606" s="8">
        <v>19.77</v>
      </c>
      <c r="C4606" s="9">
        <v>0</v>
      </c>
      <c r="D4606" s="13">
        <f t="shared" si="71"/>
        <v>19.77</v>
      </c>
    </row>
    <row r="4607" spans="1:4" x14ac:dyDescent="0.25">
      <c r="A4607" s="15">
        <f>Sheet2!A4607</f>
        <v>0</v>
      </c>
      <c r="B4607" s="8">
        <v>0</v>
      </c>
      <c r="C4607" s="9">
        <v>2.39</v>
      </c>
      <c r="D4607" s="13">
        <f t="shared" si="71"/>
        <v>2.39</v>
      </c>
    </row>
    <row r="4608" spans="1:4" x14ac:dyDescent="0.25">
      <c r="A4608" s="15">
        <f>Sheet2!A4608</f>
        <v>0</v>
      </c>
      <c r="B4608" s="8">
        <v>0</v>
      </c>
      <c r="C4608" s="9">
        <v>3.61</v>
      </c>
      <c r="D4608" s="13">
        <f t="shared" si="71"/>
        <v>3.61</v>
      </c>
    </row>
    <row r="4609" spans="1:4" x14ac:dyDescent="0.25">
      <c r="A4609" s="15">
        <f>Sheet2!A4609</f>
        <v>0</v>
      </c>
      <c r="B4609" s="8">
        <v>0</v>
      </c>
      <c r="C4609" s="9">
        <v>1.76</v>
      </c>
      <c r="D4609" s="13">
        <f t="shared" si="71"/>
        <v>1.76</v>
      </c>
    </row>
    <row r="4610" spans="1:4" x14ac:dyDescent="0.25">
      <c r="A4610" s="15">
        <f>Sheet2!A4610</f>
        <v>0</v>
      </c>
      <c r="B4610" s="8">
        <v>14.99</v>
      </c>
      <c r="C4610" s="9">
        <v>0</v>
      </c>
      <c r="D4610" s="13">
        <f t="shared" si="71"/>
        <v>14.99</v>
      </c>
    </row>
    <row r="4611" spans="1:4" x14ac:dyDescent="0.25">
      <c r="A4611" s="15">
        <f>Sheet2!A4611</f>
        <v>0</v>
      </c>
      <c r="B4611" s="8">
        <v>0</v>
      </c>
      <c r="C4611" s="9">
        <v>1.3</v>
      </c>
      <c r="D4611" s="13">
        <f t="shared" ref="D4611:D4674" si="72">B4611+C4611</f>
        <v>1.3</v>
      </c>
    </row>
    <row r="4612" spans="1:4" x14ac:dyDescent="0.25">
      <c r="A4612" s="15">
        <f>Sheet2!A4612</f>
        <v>0</v>
      </c>
      <c r="B4612" s="8">
        <v>0</v>
      </c>
      <c r="C4612" s="9">
        <v>2.95</v>
      </c>
      <c r="D4612" s="13">
        <f t="shared" si="72"/>
        <v>2.95</v>
      </c>
    </row>
    <row r="4613" spans="1:4" x14ac:dyDescent="0.25">
      <c r="A4613" s="15">
        <f>Sheet2!A4613</f>
        <v>0</v>
      </c>
      <c r="B4613" s="8">
        <v>0</v>
      </c>
      <c r="C4613" s="9">
        <v>1.49</v>
      </c>
      <c r="D4613" s="13">
        <f t="shared" si="72"/>
        <v>1.49</v>
      </c>
    </row>
    <row r="4614" spans="1:4" x14ac:dyDescent="0.25">
      <c r="A4614" s="15">
        <f>Sheet2!A4614</f>
        <v>0</v>
      </c>
      <c r="B4614" s="8">
        <v>13.53</v>
      </c>
      <c r="C4614" s="9">
        <v>0</v>
      </c>
      <c r="D4614" s="13">
        <f t="shared" si="72"/>
        <v>13.53</v>
      </c>
    </row>
    <row r="4615" spans="1:4" x14ac:dyDescent="0.25">
      <c r="A4615" s="15">
        <f>Sheet2!A4615</f>
        <v>0</v>
      </c>
      <c r="B4615" s="8">
        <v>0</v>
      </c>
      <c r="C4615" s="9">
        <v>1.6</v>
      </c>
      <c r="D4615" s="13">
        <f t="shared" si="72"/>
        <v>1.6</v>
      </c>
    </row>
    <row r="4616" spans="1:4" x14ac:dyDescent="0.25">
      <c r="A4616" s="15">
        <f>Sheet2!A4616</f>
        <v>0</v>
      </c>
      <c r="B4616" s="8">
        <v>0</v>
      </c>
      <c r="C4616" s="9">
        <v>3.31</v>
      </c>
      <c r="D4616" s="13">
        <f t="shared" si="72"/>
        <v>3.31</v>
      </c>
    </row>
    <row r="4617" spans="1:4" x14ac:dyDescent="0.25">
      <c r="A4617" s="15">
        <f>Sheet2!A4617</f>
        <v>0</v>
      </c>
      <c r="B4617" s="8">
        <v>0</v>
      </c>
      <c r="C4617" s="9">
        <v>3.65</v>
      </c>
      <c r="D4617" s="13">
        <f t="shared" si="72"/>
        <v>3.65</v>
      </c>
    </row>
    <row r="4618" spans="1:4" x14ac:dyDescent="0.25">
      <c r="A4618" s="15">
        <f>Sheet2!A4618</f>
        <v>0</v>
      </c>
      <c r="B4618" s="8">
        <v>0</v>
      </c>
      <c r="C4618" s="9">
        <v>3.77</v>
      </c>
      <c r="D4618" s="13">
        <f t="shared" si="72"/>
        <v>3.77</v>
      </c>
    </row>
    <row r="4619" spans="1:4" x14ac:dyDescent="0.25">
      <c r="A4619" s="15">
        <f>Sheet2!A4619</f>
        <v>0</v>
      </c>
      <c r="B4619" s="8">
        <v>0</v>
      </c>
      <c r="C4619" s="9">
        <v>1.56</v>
      </c>
      <c r="D4619" s="13">
        <f t="shared" si="72"/>
        <v>1.56</v>
      </c>
    </row>
    <row r="4620" spans="1:4" x14ac:dyDescent="0.25">
      <c r="A4620" s="15">
        <f>Sheet2!A4620</f>
        <v>0</v>
      </c>
      <c r="B4620" s="8">
        <v>19.22</v>
      </c>
      <c r="C4620" s="9">
        <v>0</v>
      </c>
      <c r="D4620" s="13">
        <f t="shared" si="72"/>
        <v>19.22</v>
      </c>
    </row>
    <row r="4621" spans="1:4" x14ac:dyDescent="0.25">
      <c r="A4621" s="15">
        <f>Sheet2!A4621</f>
        <v>0</v>
      </c>
      <c r="B4621" s="8">
        <v>0</v>
      </c>
      <c r="C4621" s="9">
        <v>3.18</v>
      </c>
      <c r="D4621" s="13">
        <f t="shared" si="72"/>
        <v>3.18</v>
      </c>
    </row>
    <row r="4622" spans="1:4" x14ac:dyDescent="0.25">
      <c r="A4622" s="15">
        <f>Sheet2!A4622</f>
        <v>0</v>
      </c>
      <c r="B4622" s="8">
        <v>0</v>
      </c>
      <c r="C4622" s="9">
        <v>3.09</v>
      </c>
      <c r="D4622" s="13">
        <f t="shared" si="72"/>
        <v>3.09</v>
      </c>
    </row>
    <row r="4623" spans="1:4" x14ac:dyDescent="0.25">
      <c r="A4623" s="15">
        <f>Sheet2!A4623</f>
        <v>0</v>
      </c>
      <c r="B4623" s="8">
        <v>0</v>
      </c>
      <c r="C4623" s="9">
        <v>3.3</v>
      </c>
      <c r="D4623" s="13">
        <f t="shared" si="72"/>
        <v>3.3</v>
      </c>
    </row>
    <row r="4624" spans="1:4" x14ac:dyDescent="0.25">
      <c r="A4624" s="15">
        <f>Sheet2!A4624</f>
        <v>0</v>
      </c>
      <c r="B4624" s="8">
        <v>0</v>
      </c>
      <c r="C4624" s="9">
        <v>3.68</v>
      </c>
      <c r="D4624" s="13">
        <f t="shared" si="72"/>
        <v>3.68</v>
      </c>
    </row>
    <row r="4625" spans="1:4" x14ac:dyDescent="0.25">
      <c r="A4625" s="15">
        <f>Sheet2!A4625</f>
        <v>0</v>
      </c>
      <c r="B4625" s="8">
        <v>20.11</v>
      </c>
      <c r="C4625" s="9">
        <v>0</v>
      </c>
      <c r="D4625" s="13">
        <f t="shared" si="72"/>
        <v>20.11</v>
      </c>
    </row>
    <row r="4626" spans="1:4" x14ac:dyDescent="0.25">
      <c r="A4626" s="15">
        <f>Sheet2!A4626</f>
        <v>0</v>
      </c>
      <c r="B4626" s="8">
        <v>15.47</v>
      </c>
      <c r="C4626" s="9">
        <v>0</v>
      </c>
      <c r="D4626" s="13">
        <f t="shared" si="72"/>
        <v>15.47</v>
      </c>
    </row>
    <row r="4627" spans="1:4" x14ac:dyDescent="0.25">
      <c r="A4627" s="15">
        <f>Sheet2!A4627</f>
        <v>0</v>
      </c>
      <c r="B4627" s="8">
        <v>0</v>
      </c>
      <c r="C4627" s="9">
        <v>1.03</v>
      </c>
      <c r="D4627" s="13">
        <f t="shared" si="72"/>
        <v>1.03</v>
      </c>
    </row>
    <row r="4628" spans="1:4" x14ac:dyDescent="0.25">
      <c r="A4628" s="15">
        <f>Sheet2!A4628</f>
        <v>0</v>
      </c>
      <c r="B4628" s="8">
        <v>0</v>
      </c>
      <c r="C4628" s="9">
        <v>1.17</v>
      </c>
      <c r="D4628" s="13">
        <f t="shared" si="72"/>
        <v>1.17</v>
      </c>
    </row>
    <row r="4629" spans="1:4" x14ac:dyDescent="0.25">
      <c r="A4629" s="15">
        <f>Sheet2!A4629</f>
        <v>0</v>
      </c>
      <c r="B4629" s="8">
        <v>0</v>
      </c>
      <c r="C4629" s="9">
        <v>4.1900000000000004</v>
      </c>
      <c r="D4629" s="13">
        <f t="shared" si="72"/>
        <v>4.1900000000000004</v>
      </c>
    </row>
    <row r="4630" spans="1:4" x14ac:dyDescent="0.25">
      <c r="A4630" s="15">
        <f>Sheet2!A4630</f>
        <v>0</v>
      </c>
      <c r="B4630" s="8">
        <v>0</v>
      </c>
      <c r="C4630" s="9">
        <v>4</v>
      </c>
      <c r="D4630" s="13">
        <f t="shared" si="72"/>
        <v>4</v>
      </c>
    </row>
    <row r="4631" spans="1:4" x14ac:dyDescent="0.25">
      <c r="A4631" s="15">
        <f>Sheet2!A4631</f>
        <v>0</v>
      </c>
      <c r="B4631" s="8">
        <v>0</v>
      </c>
      <c r="C4631" s="9">
        <v>1.18</v>
      </c>
      <c r="D4631" s="13">
        <f t="shared" si="72"/>
        <v>1.18</v>
      </c>
    </row>
    <row r="4632" spans="1:4" x14ac:dyDescent="0.25">
      <c r="A4632" s="15">
        <f>Sheet2!A4632</f>
        <v>0</v>
      </c>
      <c r="B4632" s="8">
        <v>0</v>
      </c>
      <c r="C4632" s="9">
        <v>2.15</v>
      </c>
      <c r="D4632" s="13">
        <f t="shared" si="72"/>
        <v>2.15</v>
      </c>
    </row>
    <row r="4633" spans="1:4" x14ac:dyDescent="0.25">
      <c r="A4633" s="15">
        <f>Sheet2!A4633</f>
        <v>0</v>
      </c>
      <c r="B4633" s="8">
        <v>0</v>
      </c>
      <c r="C4633" s="9">
        <v>1.29</v>
      </c>
      <c r="D4633" s="13">
        <f t="shared" si="72"/>
        <v>1.29</v>
      </c>
    </row>
    <row r="4634" spans="1:4" x14ac:dyDescent="0.25">
      <c r="A4634" s="15">
        <f>Sheet2!A4634</f>
        <v>0</v>
      </c>
      <c r="B4634" s="8">
        <v>14.7</v>
      </c>
      <c r="C4634" s="9">
        <v>0</v>
      </c>
      <c r="D4634" s="13">
        <f t="shared" si="72"/>
        <v>14.7</v>
      </c>
    </row>
    <row r="4635" spans="1:4" x14ac:dyDescent="0.25">
      <c r="A4635" s="15">
        <f>Sheet2!A4635</f>
        <v>0</v>
      </c>
      <c r="B4635" s="8">
        <v>0</v>
      </c>
      <c r="C4635" s="9">
        <v>1.81</v>
      </c>
      <c r="D4635" s="13">
        <f t="shared" si="72"/>
        <v>1.81</v>
      </c>
    </row>
    <row r="4636" spans="1:4" x14ac:dyDescent="0.25">
      <c r="A4636" s="15">
        <f>Sheet2!A4636</f>
        <v>0</v>
      </c>
      <c r="B4636" s="8">
        <v>0</v>
      </c>
      <c r="C4636" s="9">
        <v>2.97</v>
      </c>
      <c r="D4636" s="13">
        <f t="shared" si="72"/>
        <v>2.97</v>
      </c>
    </row>
    <row r="4637" spans="1:4" x14ac:dyDescent="0.25">
      <c r="A4637" s="15">
        <f>Sheet2!A4637</f>
        <v>0</v>
      </c>
      <c r="B4637" s="8">
        <v>0</v>
      </c>
      <c r="C4637" s="9">
        <v>2.4500000000000002</v>
      </c>
      <c r="D4637" s="13">
        <f t="shared" si="72"/>
        <v>2.4500000000000002</v>
      </c>
    </row>
    <row r="4638" spans="1:4" x14ac:dyDescent="0.25">
      <c r="A4638" s="15">
        <f>Sheet2!A4638</f>
        <v>0</v>
      </c>
      <c r="B4638" s="8">
        <v>14.14</v>
      </c>
      <c r="C4638" s="9">
        <v>0</v>
      </c>
      <c r="D4638" s="13">
        <f t="shared" si="72"/>
        <v>14.14</v>
      </c>
    </row>
    <row r="4639" spans="1:4" x14ac:dyDescent="0.25">
      <c r="A4639" s="15">
        <f>Sheet2!A4639</f>
        <v>0</v>
      </c>
      <c r="B4639" s="8">
        <v>13.73</v>
      </c>
      <c r="C4639" s="9">
        <v>0</v>
      </c>
      <c r="D4639" s="13">
        <f t="shared" si="72"/>
        <v>13.73</v>
      </c>
    </row>
    <row r="4640" spans="1:4" x14ac:dyDescent="0.25">
      <c r="A4640" s="15">
        <f>Sheet2!A4640</f>
        <v>0</v>
      </c>
      <c r="B4640" s="8">
        <v>13.65</v>
      </c>
      <c r="C4640" s="9">
        <v>0</v>
      </c>
      <c r="D4640" s="13">
        <f t="shared" si="72"/>
        <v>13.65</v>
      </c>
    </row>
    <row r="4641" spans="1:4" x14ac:dyDescent="0.25">
      <c r="A4641" s="15">
        <f>Sheet2!A4641</f>
        <v>0</v>
      </c>
      <c r="B4641" s="8">
        <v>11.99</v>
      </c>
      <c r="C4641" s="9">
        <v>0</v>
      </c>
      <c r="D4641" s="13">
        <f t="shared" si="72"/>
        <v>11.99</v>
      </c>
    </row>
    <row r="4642" spans="1:4" x14ac:dyDescent="0.25">
      <c r="A4642" s="15">
        <f>Sheet2!A4642</f>
        <v>0</v>
      </c>
      <c r="B4642" s="8">
        <v>0</v>
      </c>
      <c r="C4642" s="9">
        <v>0.65</v>
      </c>
      <c r="D4642" s="13">
        <f t="shared" si="72"/>
        <v>0.65</v>
      </c>
    </row>
    <row r="4643" spans="1:4" x14ac:dyDescent="0.25">
      <c r="A4643" s="15">
        <f>Sheet2!A4643</f>
        <v>0</v>
      </c>
      <c r="B4643" s="8">
        <v>0</v>
      </c>
      <c r="C4643" s="9">
        <v>3.1</v>
      </c>
      <c r="D4643" s="13">
        <f t="shared" si="72"/>
        <v>3.1</v>
      </c>
    </row>
    <row r="4644" spans="1:4" x14ac:dyDescent="0.25">
      <c r="A4644" s="15">
        <f>Sheet2!A4644</f>
        <v>0</v>
      </c>
      <c r="B4644" s="8">
        <v>0</v>
      </c>
      <c r="C4644" s="9">
        <v>3.66</v>
      </c>
      <c r="D4644" s="13">
        <f t="shared" si="72"/>
        <v>3.66</v>
      </c>
    </row>
    <row r="4645" spans="1:4" x14ac:dyDescent="0.25">
      <c r="A4645" s="15">
        <f>Sheet2!A4645</f>
        <v>0</v>
      </c>
      <c r="B4645" s="8">
        <v>0</v>
      </c>
      <c r="C4645" s="9">
        <v>1.1200000000000001</v>
      </c>
      <c r="D4645" s="13">
        <f t="shared" si="72"/>
        <v>1.1200000000000001</v>
      </c>
    </row>
    <row r="4646" spans="1:4" x14ac:dyDescent="0.25">
      <c r="A4646" s="15">
        <f>Sheet2!A4646</f>
        <v>0</v>
      </c>
      <c r="B4646" s="8">
        <v>17.809999999999999</v>
      </c>
      <c r="C4646" s="9">
        <v>0</v>
      </c>
      <c r="D4646" s="13">
        <f t="shared" si="72"/>
        <v>17.809999999999999</v>
      </c>
    </row>
    <row r="4647" spans="1:4" x14ac:dyDescent="0.25">
      <c r="A4647" s="15">
        <f>Sheet2!A4647</f>
        <v>0</v>
      </c>
      <c r="B4647" s="8">
        <v>0</v>
      </c>
      <c r="C4647" s="9">
        <v>2.11</v>
      </c>
      <c r="D4647" s="13">
        <f t="shared" si="72"/>
        <v>2.11</v>
      </c>
    </row>
    <row r="4648" spans="1:4" x14ac:dyDescent="0.25">
      <c r="A4648" s="15">
        <f>Sheet2!A4648</f>
        <v>0</v>
      </c>
      <c r="B4648" s="8">
        <v>0</v>
      </c>
      <c r="C4648" s="9">
        <v>3.2</v>
      </c>
      <c r="D4648" s="13">
        <f t="shared" si="72"/>
        <v>3.2</v>
      </c>
    </row>
    <row r="4649" spans="1:4" x14ac:dyDescent="0.25">
      <c r="A4649" s="15">
        <f>Sheet2!A4649</f>
        <v>0</v>
      </c>
      <c r="B4649" s="8">
        <v>0</v>
      </c>
      <c r="C4649" s="9">
        <v>0.89</v>
      </c>
      <c r="D4649" s="13">
        <f t="shared" si="72"/>
        <v>0.89</v>
      </c>
    </row>
    <row r="4650" spans="1:4" x14ac:dyDescent="0.25">
      <c r="A4650" s="15">
        <f>Sheet2!A4650</f>
        <v>0</v>
      </c>
      <c r="B4650" s="8">
        <v>16.489999999999998</v>
      </c>
      <c r="C4650" s="9">
        <v>0</v>
      </c>
      <c r="D4650" s="13">
        <f t="shared" si="72"/>
        <v>16.489999999999998</v>
      </c>
    </row>
    <row r="4651" spans="1:4" x14ac:dyDescent="0.25">
      <c r="A4651" s="15">
        <f>Sheet2!A4651</f>
        <v>0</v>
      </c>
      <c r="B4651" s="8">
        <v>0</v>
      </c>
      <c r="C4651" s="9">
        <v>2.73</v>
      </c>
      <c r="D4651" s="13">
        <f t="shared" si="72"/>
        <v>2.73</v>
      </c>
    </row>
    <row r="4652" spans="1:4" x14ac:dyDescent="0.25">
      <c r="A4652" s="15">
        <f>Sheet2!A4652</f>
        <v>0</v>
      </c>
      <c r="B4652" s="8">
        <v>0</v>
      </c>
      <c r="C4652" s="9">
        <v>3.8</v>
      </c>
      <c r="D4652" s="13">
        <f t="shared" si="72"/>
        <v>3.8</v>
      </c>
    </row>
    <row r="4653" spans="1:4" x14ac:dyDescent="0.25">
      <c r="A4653" s="15">
        <f>Sheet2!A4653</f>
        <v>0</v>
      </c>
      <c r="B4653" s="8">
        <v>0</v>
      </c>
      <c r="C4653" s="9">
        <v>1.39</v>
      </c>
      <c r="D4653" s="13">
        <f t="shared" si="72"/>
        <v>1.39</v>
      </c>
    </row>
    <row r="4654" spans="1:4" x14ac:dyDescent="0.25">
      <c r="A4654" s="15">
        <f>Sheet2!A4654</f>
        <v>0</v>
      </c>
      <c r="B4654" s="8">
        <v>15.79</v>
      </c>
      <c r="C4654" s="9">
        <v>0</v>
      </c>
      <c r="D4654" s="13">
        <f t="shared" si="72"/>
        <v>15.79</v>
      </c>
    </row>
    <row r="4655" spans="1:4" x14ac:dyDescent="0.25">
      <c r="A4655" s="15">
        <f>Sheet2!A4655</f>
        <v>0</v>
      </c>
      <c r="B4655" s="8">
        <v>0</v>
      </c>
      <c r="C4655" s="9">
        <v>2.73</v>
      </c>
      <c r="D4655" s="13">
        <f t="shared" si="72"/>
        <v>2.73</v>
      </c>
    </row>
    <row r="4656" spans="1:4" x14ac:dyDescent="0.25">
      <c r="A4656" s="15">
        <f>Sheet2!A4656</f>
        <v>0</v>
      </c>
      <c r="B4656" s="8">
        <v>0</v>
      </c>
      <c r="C4656" s="9">
        <v>3.68</v>
      </c>
      <c r="D4656" s="13">
        <f t="shared" si="72"/>
        <v>3.68</v>
      </c>
    </row>
    <row r="4657" spans="1:4" x14ac:dyDescent="0.25">
      <c r="A4657" s="15">
        <f>Sheet2!A4657</f>
        <v>0</v>
      </c>
      <c r="B4657" s="8">
        <v>0</v>
      </c>
      <c r="C4657" s="9">
        <v>1.22</v>
      </c>
      <c r="D4657" s="13">
        <f t="shared" si="72"/>
        <v>1.22</v>
      </c>
    </row>
    <row r="4658" spans="1:4" x14ac:dyDescent="0.25">
      <c r="A4658" s="15">
        <f>Sheet2!A4658</f>
        <v>0</v>
      </c>
      <c r="B4658" s="8">
        <v>14.5</v>
      </c>
      <c r="C4658" s="9">
        <v>0</v>
      </c>
      <c r="D4658" s="13">
        <f t="shared" si="72"/>
        <v>14.5</v>
      </c>
    </row>
    <row r="4659" spans="1:4" x14ac:dyDescent="0.25">
      <c r="A4659" s="15">
        <f>Sheet2!A4659</f>
        <v>0</v>
      </c>
      <c r="B4659" s="8">
        <v>0</v>
      </c>
      <c r="C4659" s="9">
        <v>0.95</v>
      </c>
      <c r="D4659" s="13">
        <f t="shared" si="72"/>
        <v>0.95</v>
      </c>
    </row>
    <row r="4660" spans="1:4" x14ac:dyDescent="0.25">
      <c r="A4660" s="15">
        <f>Sheet2!A4660</f>
        <v>0</v>
      </c>
      <c r="B4660" s="8">
        <v>0</v>
      </c>
      <c r="C4660" s="9">
        <v>2.56</v>
      </c>
      <c r="D4660" s="13">
        <f t="shared" si="72"/>
        <v>2.56</v>
      </c>
    </row>
    <row r="4661" spans="1:4" x14ac:dyDescent="0.25">
      <c r="A4661" s="15">
        <f>Sheet2!A4661</f>
        <v>0</v>
      </c>
      <c r="B4661" s="8">
        <v>0</v>
      </c>
      <c r="C4661" s="9">
        <v>0.38</v>
      </c>
      <c r="D4661" s="13">
        <f t="shared" si="72"/>
        <v>0.38</v>
      </c>
    </row>
    <row r="4662" spans="1:4" x14ac:dyDescent="0.25">
      <c r="A4662" s="15">
        <f>Sheet2!A4662</f>
        <v>0</v>
      </c>
      <c r="B4662" s="8">
        <v>8.86</v>
      </c>
      <c r="C4662" s="9">
        <v>0</v>
      </c>
      <c r="D4662" s="13">
        <f t="shared" si="72"/>
        <v>8.86</v>
      </c>
    </row>
    <row r="4663" spans="1:4" x14ac:dyDescent="0.25">
      <c r="A4663" s="15">
        <f>Sheet2!A4663</f>
        <v>0</v>
      </c>
      <c r="B4663" s="8">
        <v>0</v>
      </c>
      <c r="C4663" s="9">
        <v>0.72</v>
      </c>
      <c r="D4663" s="13">
        <f t="shared" si="72"/>
        <v>0.72</v>
      </c>
    </row>
    <row r="4664" spans="1:4" x14ac:dyDescent="0.25">
      <c r="A4664" s="15">
        <f>Sheet2!A4664</f>
        <v>0</v>
      </c>
      <c r="B4664" s="8">
        <v>0</v>
      </c>
      <c r="C4664" s="9">
        <v>2.21</v>
      </c>
      <c r="D4664" s="13">
        <f t="shared" si="72"/>
        <v>2.21</v>
      </c>
    </row>
    <row r="4665" spans="1:4" x14ac:dyDescent="0.25">
      <c r="A4665" s="15">
        <f>Sheet2!A4665</f>
        <v>0</v>
      </c>
      <c r="B4665" s="8">
        <v>0</v>
      </c>
      <c r="C4665" s="9">
        <v>1.01</v>
      </c>
      <c r="D4665" s="13">
        <f t="shared" si="72"/>
        <v>1.01</v>
      </c>
    </row>
    <row r="4666" spans="1:4" x14ac:dyDescent="0.25">
      <c r="A4666" s="15">
        <f>Sheet2!A4666</f>
        <v>0</v>
      </c>
      <c r="B4666" s="8">
        <v>11.96</v>
      </c>
      <c r="C4666" s="9">
        <v>0</v>
      </c>
      <c r="D4666" s="13">
        <f t="shared" si="72"/>
        <v>11.96</v>
      </c>
    </row>
    <row r="4667" spans="1:4" x14ac:dyDescent="0.25">
      <c r="A4667" s="15">
        <f>Sheet2!A4667</f>
        <v>0</v>
      </c>
      <c r="B4667" s="8">
        <v>0</v>
      </c>
      <c r="C4667" s="9">
        <v>2.23</v>
      </c>
      <c r="D4667" s="13">
        <f t="shared" si="72"/>
        <v>2.23</v>
      </c>
    </row>
    <row r="4668" spans="1:4" x14ac:dyDescent="0.25">
      <c r="A4668" s="15">
        <f>Sheet2!A4668</f>
        <v>0</v>
      </c>
      <c r="B4668" s="8">
        <v>0</v>
      </c>
      <c r="C4668" s="9">
        <v>3.56</v>
      </c>
      <c r="D4668" s="13">
        <f t="shared" si="72"/>
        <v>3.56</v>
      </c>
    </row>
    <row r="4669" spans="1:4" x14ac:dyDescent="0.25">
      <c r="A4669" s="15">
        <f>Sheet2!A4669</f>
        <v>0</v>
      </c>
      <c r="B4669" s="8">
        <v>0</v>
      </c>
      <c r="C4669" s="9">
        <v>3.51</v>
      </c>
      <c r="D4669" s="13">
        <f t="shared" si="72"/>
        <v>3.51</v>
      </c>
    </row>
    <row r="4670" spans="1:4" x14ac:dyDescent="0.25">
      <c r="A4670" s="15">
        <f>Sheet2!A4670</f>
        <v>0</v>
      </c>
      <c r="B4670" s="8">
        <v>0</v>
      </c>
      <c r="C4670" s="9">
        <v>3.36</v>
      </c>
      <c r="D4670" s="13">
        <f t="shared" si="72"/>
        <v>3.36</v>
      </c>
    </row>
    <row r="4671" spans="1:4" x14ac:dyDescent="0.25">
      <c r="A4671" s="15">
        <f>Sheet2!A4671</f>
        <v>0</v>
      </c>
      <c r="B4671" s="8">
        <v>0</v>
      </c>
      <c r="C4671" s="9">
        <v>0.74</v>
      </c>
      <c r="D4671" s="13">
        <f t="shared" si="72"/>
        <v>0.74</v>
      </c>
    </row>
    <row r="4672" spans="1:4" x14ac:dyDescent="0.25">
      <c r="A4672" s="15">
        <f>Sheet2!A4672</f>
        <v>0</v>
      </c>
      <c r="B4672" s="8">
        <v>0</v>
      </c>
      <c r="C4672" s="9">
        <v>3.61</v>
      </c>
      <c r="D4672" s="13">
        <f t="shared" si="72"/>
        <v>3.61</v>
      </c>
    </row>
    <row r="4673" spans="1:4" x14ac:dyDescent="0.25">
      <c r="A4673" s="15">
        <f>Sheet2!A4673</f>
        <v>0</v>
      </c>
      <c r="B4673" s="8">
        <v>0</v>
      </c>
      <c r="C4673" s="9">
        <v>3.03</v>
      </c>
      <c r="D4673" s="13">
        <f t="shared" si="72"/>
        <v>3.03</v>
      </c>
    </row>
    <row r="4674" spans="1:4" x14ac:dyDescent="0.25">
      <c r="A4674" s="15">
        <f>Sheet2!A4674</f>
        <v>0</v>
      </c>
      <c r="B4674" s="8">
        <v>0</v>
      </c>
      <c r="C4674" s="9">
        <v>1.5</v>
      </c>
      <c r="D4674" s="13">
        <f t="shared" si="72"/>
        <v>1.5</v>
      </c>
    </row>
    <row r="4675" spans="1:4" x14ac:dyDescent="0.25">
      <c r="A4675" s="15">
        <f>Sheet2!A4675</f>
        <v>0</v>
      </c>
      <c r="B4675" s="8">
        <v>0</v>
      </c>
      <c r="C4675" s="9">
        <v>2.09</v>
      </c>
      <c r="D4675" s="13">
        <f t="shared" ref="D4675:D4738" si="73">B4675+C4675</f>
        <v>2.09</v>
      </c>
    </row>
    <row r="4676" spans="1:4" x14ac:dyDescent="0.25">
      <c r="A4676" s="15">
        <f>Sheet2!A4676</f>
        <v>0</v>
      </c>
      <c r="B4676" s="8">
        <v>0</v>
      </c>
      <c r="C4676" s="9">
        <v>3.87</v>
      </c>
      <c r="D4676" s="13">
        <f t="shared" si="73"/>
        <v>3.87</v>
      </c>
    </row>
    <row r="4677" spans="1:4" x14ac:dyDescent="0.25">
      <c r="A4677" s="15">
        <f>Sheet2!A4677</f>
        <v>0</v>
      </c>
      <c r="B4677" s="8">
        <v>0</v>
      </c>
      <c r="C4677" s="9">
        <v>3.71</v>
      </c>
      <c r="D4677" s="13">
        <f t="shared" si="73"/>
        <v>3.71</v>
      </c>
    </row>
    <row r="4678" spans="1:4" x14ac:dyDescent="0.25">
      <c r="A4678" s="15">
        <f>Sheet2!A4678</f>
        <v>0</v>
      </c>
      <c r="B4678" s="8">
        <v>0</v>
      </c>
      <c r="C4678" s="9">
        <v>3.78</v>
      </c>
      <c r="D4678" s="13">
        <f t="shared" si="73"/>
        <v>3.78</v>
      </c>
    </row>
    <row r="4679" spans="1:4" x14ac:dyDescent="0.25">
      <c r="A4679" s="15">
        <f>Sheet2!A4679</f>
        <v>0</v>
      </c>
      <c r="B4679" s="8">
        <v>0</v>
      </c>
      <c r="C4679" s="9">
        <v>1.56</v>
      </c>
      <c r="D4679" s="13">
        <f t="shared" si="73"/>
        <v>1.56</v>
      </c>
    </row>
    <row r="4680" spans="1:4" x14ac:dyDescent="0.25">
      <c r="A4680" s="15">
        <f>Sheet2!A4680</f>
        <v>0</v>
      </c>
      <c r="B4680" s="8">
        <v>17.62</v>
      </c>
      <c r="C4680" s="9">
        <v>0</v>
      </c>
      <c r="D4680" s="13">
        <f t="shared" si="73"/>
        <v>17.62</v>
      </c>
    </row>
    <row r="4681" spans="1:4" x14ac:dyDescent="0.25">
      <c r="A4681" s="15">
        <f>Sheet2!A4681</f>
        <v>0</v>
      </c>
      <c r="B4681" s="8">
        <v>0</v>
      </c>
      <c r="C4681" s="9">
        <v>0.52</v>
      </c>
      <c r="D4681" s="13">
        <f t="shared" si="73"/>
        <v>0.52</v>
      </c>
    </row>
    <row r="4682" spans="1:4" x14ac:dyDescent="0.25">
      <c r="A4682" s="15">
        <f>Sheet2!A4682</f>
        <v>0</v>
      </c>
      <c r="B4682" s="8">
        <v>0</v>
      </c>
      <c r="C4682" s="9">
        <v>2.87</v>
      </c>
      <c r="D4682" s="13">
        <f t="shared" si="73"/>
        <v>2.87</v>
      </c>
    </row>
    <row r="4683" spans="1:4" x14ac:dyDescent="0.25">
      <c r="A4683" s="15">
        <f>Sheet2!A4683</f>
        <v>0</v>
      </c>
      <c r="B4683" s="8">
        <v>0</v>
      </c>
      <c r="C4683" s="9">
        <v>0.95</v>
      </c>
      <c r="D4683" s="13">
        <f t="shared" si="73"/>
        <v>0.95</v>
      </c>
    </row>
    <row r="4684" spans="1:4" x14ac:dyDescent="0.25">
      <c r="A4684" s="15">
        <f>Sheet2!A4684</f>
        <v>0</v>
      </c>
      <c r="B4684" s="8">
        <v>11.24</v>
      </c>
      <c r="C4684" s="9">
        <v>0</v>
      </c>
      <c r="D4684" s="13">
        <f t="shared" si="73"/>
        <v>11.24</v>
      </c>
    </row>
    <row r="4685" spans="1:4" x14ac:dyDescent="0.25">
      <c r="A4685" s="15">
        <f>Sheet2!A4685</f>
        <v>0</v>
      </c>
      <c r="B4685" s="8">
        <v>0</v>
      </c>
      <c r="C4685" s="9">
        <v>0.78</v>
      </c>
      <c r="D4685" s="13">
        <f t="shared" si="73"/>
        <v>0.78</v>
      </c>
    </row>
    <row r="4686" spans="1:4" x14ac:dyDescent="0.25">
      <c r="A4686" s="15">
        <f>Sheet2!A4686</f>
        <v>0</v>
      </c>
      <c r="B4686" s="8">
        <v>0</v>
      </c>
      <c r="C4686" s="9">
        <v>1.61</v>
      </c>
      <c r="D4686" s="13">
        <f t="shared" si="73"/>
        <v>1.61</v>
      </c>
    </row>
    <row r="4687" spans="1:4" x14ac:dyDescent="0.25">
      <c r="A4687" s="15">
        <f>Sheet2!A4687</f>
        <v>0</v>
      </c>
      <c r="B4687" s="8">
        <v>0</v>
      </c>
      <c r="C4687" s="9">
        <v>0.76</v>
      </c>
      <c r="D4687" s="13">
        <f t="shared" si="73"/>
        <v>0.76</v>
      </c>
    </row>
    <row r="4688" spans="1:4" x14ac:dyDescent="0.25">
      <c r="A4688" s="15">
        <f>Sheet2!A4688</f>
        <v>0</v>
      </c>
      <c r="B4688" s="8">
        <v>0</v>
      </c>
      <c r="C4688" s="9">
        <v>0.69</v>
      </c>
      <c r="D4688" s="13">
        <f t="shared" si="73"/>
        <v>0.69</v>
      </c>
    </row>
    <row r="4689" spans="1:4" x14ac:dyDescent="0.25">
      <c r="A4689" s="15">
        <f>Sheet2!A4689</f>
        <v>0</v>
      </c>
      <c r="B4689" s="8">
        <v>0</v>
      </c>
      <c r="C4689" s="9">
        <v>0.31</v>
      </c>
      <c r="D4689" s="13">
        <f t="shared" si="73"/>
        <v>0.31</v>
      </c>
    </row>
    <row r="4690" spans="1:4" x14ac:dyDescent="0.25">
      <c r="A4690" s="15">
        <f>Sheet2!A4690</f>
        <v>0</v>
      </c>
      <c r="B4690" s="8">
        <v>0</v>
      </c>
      <c r="C4690" s="9">
        <v>0.56000000000000005</v>
      </c>
      <c r="D4690" s="13">
        <f t="shared" si="73"/>
        <v>0.56000000000000005</v>
      </c>
    </row>
    <row r="4691" spans="1:4" x14ac:dyDescent="0.25">
      <c r="A4691" s="15">
        <f>Sheet2!A4691</f>
        <v>0</v>
      </c>
      <c r="B4691" s="8">
        <v>0</v>
      </c>
      <c r="C4691" s="9">
        <v>3.24</v>
      </c>
      <c r="D4691" s="13">
        <f t="shared" si="73"/>
        <v>3.24</v>
      </c>
    </row>
    <row r="4692" spans="1:4" x14ac:dyDescent="0.25">
      <c r="A4692" s="15">
        <f>Sheet2!A4692</f>
        <v>0</v>
      </c>
      <c r="B4692" s="8">
        <v>0</v>
      </c>
      <c r="C4692" s="9">
        <v>3.38</v>
      </c>
      <c r="D4692" s="13">
        <f t="shared" si="73"/>
        <v>3.38</v>
      </c>
    </row>
    <row r="4693" spans="1:4" x14ac:dyDescent="0.25">
      <c r="A4693" s="15">
        <f>Sheet2!A4693</f>
        <v>0</v>
      </c>
      <c r="B4693" s="8">
        <v>0</v>
      </c>
      <c r="C4693" s="9">
        <v>1.24</v>
      </c>
      <c r="D4693" s="13">
        <f t="shared" si="73"/>
        <v>1.24</v>
      </c>
    </row>
    <row r="4694" spans="1:4" x14ac:dyDescent="0.25">
      <c r="A4694" s="15">
        <f>Sheet2!A4694</f>
        <v>0</v>
      </c>
      <c r="B4694" s="8">
        <v>15.3</v>
      </c>
      <c r="C4694" s="9">
        <v>0</v>
      </c>
      <c r="D4694" s="13">
        <f t="shared" si="73"/>
        <v>15.3</v>
      </c>
    </row>
    <row r="4695" spans="1:4" x14ac:dyDescent="0.25">
      <c r="A4695" s="15">
        <f>Sheet2!A4695</f>
        <v>0</v>
      </c>
      <c r="B4695" s="8">
        <v>0</v>
      </c>
      <c r="C4695" s="9">
        <v>2.39</v>
      </c>
      <c r="D4695" s="13">
        <f t="shared" si="73"/>
        <v>2.39</v>
      </c>
    </row>
    <row r="4696" spans="1:4" x14ac:dyDescent="0.25">
      <c r="A4696" s="15">
        <f>Sheet2!A4696</f>
        <v>0</v>
      </c>
      <c r="B4696" s="8">
        <v>0</v>
      </c>
      <c r="C4696" s="9">
        <v>3.25</v>
      </c>
      <c r="D4696" s="13">
        <f t="shared" si="73"/>
        <v>3.25</v>
      </c>
    </row>
    <row r="4697" spans="1:4" x14ac:dyDescent="0.25">
      <c r="A4697" s="15">
        <f>Sheet2!A4697</f>
        <v>0</v>
      </c>
      <c r="B4697" s="8">
        <v>0</v>
      </c>
      <c r="C4697" s="9">
        <v>1.33</v>
      </c>
      <c r="D4697" s="13">
        <f t="shared" si="73"/>
        <v>1.33</v>
      </c>
    </row>
    <row r="4698" spans="1:4" x14ac:dyDescent="0.25">
      <c r="A4698" s="15">
        <f>Sheet2!A4698</f>
        <v>0</v>
      </c>
      <c r="B4698" s="8">
        <v>0</v>
      </c>
      <c r="C4698" s="9">
        <v>1.02</v>
      </c>
      <c r="D4698" s="13">
        <f t="shared" si="73"/>
        <v>1.02</v>
      </c>
    </row>
    <row r="4699" spans="1:4" x14ac:dyDescent="0.25">
      <c r="A4699" s="15">
        <f>Sheet2!A4699</f>
        <v>0</v>
      </c>
      <c r="B4699" s="8">
        <v>0</v>
      </c>
      <c r="C4699" s="9">
        <v>1.64</v>
      </c>
      <c r="D4699" s="13">
        <f t="shared" si="73"/>
        <v>1.64</v>
      </c>
    </row>
    <row r="4700" spans="1:4" x14ac:dyDescent="0.25">
      <c r="A4700" s="15">
        <f>Sheet2!A4700</f>
        <v>0</v>
      </c>
      <c r="B4700" s="8">
        <v>0</v>
      </c>
      <c r="C4700" s="9">
        <v>3.94</v>
      </c>
      <c r="D4700" s="13">
        <f t="shared" si="73"/>
        <v>3.94</v>
      </c>
    </row>
    <row r="4701" spans="1:4" x14ac:dyDescent="0.25">
      <c r="A4701" s="15">
        <f>Sheet2!A4701</f>
        <v>0</v>
      </c>
      <c r="B4701" s="8">
        <v>0</v>
      </c>
      <c r="C4701" s="9">
        <v>3.9</v>
      </c>
      <c r="D4701" s="13">
        <f t="shared" si="73"/>
        <v>3.9</v>
      </c>
    </row>
    <row r="4702" spans="1:4" x14ac:dyDescent="0.25">
      <c r="A4702" s="15">
        <f>Sheet2!A4702</f>
        <v>0</v>
      </c>
      <c r="B4702" s="8">
        <v>0</v>
      </c>
      <c r="C4702" s="9">
        <v>3.66</v>
      </c>
      <c r="D4702" s="13">
        <f t="shared" si="73"/>
        <v>3.66</v>
      </c>
    </row>
    <row r="4703" spans="1:4" x14ac:dyDescent="0.25">
      <c r="A4703" s="15">
        <f>Sheet2!A4703</f>
        <v>0</v>
      </c>
      <c r="B4703" s="8">
        <v>0</v>
      </c>
      <c r="C4703" s="9">
        <v>1.74</v>
      </c>
      <c r="D4703" s="13">
        <f t="shared" si="73"/>
        <v>1.74</v>
      </c>
    </row>
    <row r="4704" spans="1:4" x14ac:dyDescent="0.25">
      <c r="A4704" s="15">
        <f>Sheet2!A4704</f>
        <v>0</v>
      </c>
      <c r="B4704" s="8">
        <v>0</v>
      </c>
      <c r="C4704" s="9">
        <v>3.42</v>
      </c>
      <c r="D4704" s="13">
        <f t="shared" si="73"/>
        <v>3.42</v>
      </c>
    </row>
    <row r="4705" spans="1:4" x14ac:dyDescent="0.25">
      <c r="A4705" s="15">
        <f>Sheet2!A4705</f>
        <v>0</v>
      </c>
      <c r="B4705" s="8">
        <v>0</v>
      </c>
      <c r="C4705" s="9">
        <v>3.06</v>
      </c>
      <c r="D4705" s="13">
        <f t="shared" si="73"/>
        <v>3.06</v>
      </c>
    </row>
    <row r="4706" spans="1:4" x14ac:dyDescent="0.25">
      <c r="A4706" s="15">
        <f>Sheet2!A4706</f>
        <v>0</v>
      </c>
      <c r="B4706" s="8">
        <v>0</v>
      </c>
      <c r="C4706" s="9">
        <v>2.99</v>
      </c>
      <c r="D4706" s="13">
        <f t="shared" si="73"/>
        <v>2.99</v>
      </c>
    </row>
    <row r="4707" spans="1:4" x14ac:dyDescent="0.25">
      <c r="A4707" s="15">
        <f>Sheet2!A4707</f>
        <v>0</v>
      </c>
      <c r="B4707" s="8">
        <v>0</v>
      </c>
      <c r="C4707" s="9">
        <v>0.47</v>
      </c>
      <c r="D4707" s="13">
        <f t="shared" si="73"/>
        <v>0.47</v>
      </c>
    </row>
    <row r="4708" spans="1:4" x14ac:dyDescent="0.25">
      <c r="A4708" s="15">
        <f>Sheet2!A4708</f>
        <v>0</v>
      </c>
      <c r="B4708" s="8">
        <v>0</v>
      </c>
      <c r="C4708" s="9">
        <v>4.46</v>
      </c>
      <c r="D4708" s="13">
        <f t="shared" si="73"/>
        <v>4.46</v>
      </c>
    </row>
    <row r="4709" spans="1:4" x14ac:dyDescent="0.25">
      <c r="A4709" s="15">
        <f>Sheet2!A4709</f>
        <v>0</v>
      </c>
      <c r="B4709" s="8">
        <v>0</v>
      </c>
      <c r="C4709" s="9">
        <v>1.96</v>
      </c>
      <c r="D4709" s="13">
        <f t="shared" si="73"/>
        <v>1.96</v>
      </c>
    </row>
    <row r="4710" spans="1:4" x14ac:dyDescent="0.25">
      <c r="A4710" s="15">
        <f>Sheet2!A4710</f>
        <v>0</v>
      </c>
      <c r="B4710" s="8">
        <v>14.21</v>
      </c>
      <c r="C4710" s="9">
        <v>0</v>
      </c>
      <c r="D4710" s="13">
        <f t="shared" si="73"/>
        <v>14.21</v>
      </c>
    </row>
    <row r="4711" spans="1:4" x14ac:dyDescent="0.25">
      <c r="A4711" s="15">
        <f>Sheet2!A4711</f>
        <v>0</v>
      </c>
      <c r="B4711" s="8">
        <v>14.3</v>
      </c>
      <c r="C4711" s="9">
        <v>0</v>
      </c>
      <c r="D4711" s="13">
        <f t="shared" si="73"/>
        <v>14.3</v>
      </c>
    </row>
    <row r="4712" spans="1:4" x14ac:dyDescent="0.25">
      <c r="A4712" s="15">
        <f>Sheet2!A4712</f>
        <v>0</v>
      </c>
      <c r="B4712" s="8">
        <v>11.38</v>
      </c>
      <c r="C4712" s="9">
        <v>0</v>
      </c>
      <c r="D4712" s="13">
        <f t="shared" si="73"/>
        <v>11.38</v>
      </c>
    </row>
    <row r="4713" spans="1:4" x14ac:dyDescent="0.25">
      <c r="A4713" s="15">
        <f>Sheet2!A4713</f>
        <v>0</v>
      </c>
      <c r="B4713" s="8">
        <v>0</v>
      </c>
      <c r="C4713" s="9">
        <v>0.6</v>
      </c>
      <c r="D4713" s="13">
        <f t="shared" si="73"/>
        <v>0.6</v>
      </c>
    </row>
    <row r="4714" spans="1:4" x14ac:dyDescent="0.25">
      <c r="A4714" s="15">
        <f>Sheet2!A4714</f>
        <v>0</v>
      </c>
      <c r="B4714" s="8">
        <v>0</v>
      </c>
      <c r="C4714" s="9">
        <v>1.97</v>
      </c>
      <c r="D4714" s="13">
        <f t="shared" si="73"/>
        <v>1.97</v>
      </c>
    </row>
    <row r="4715" spans="1:4" x14ac:dyDescent="0.25">
      <c r="A4715" s="15">
        <f>Sheet2!A4715</f>
        <v>0</v>
      </c>
      <c r="B4715" s="8">
        <v>0</v>
      </c>
      <c r="C4715" s="9">
        <v>3.4</v>
      </c>
      <c r="D4715" s="13">
        <f t="shared" si="73"/>
        <v>3.4</v>
      </c>
    </row>
    <row r="4716" spans="1:4" x14ac:dyDescent="0.25">
      <c r="A4716" s="15">
        <f>Sheet2!A4716</f>
        <v>0</v>
      </c>
      <c r="B4716" s="8">
        <v>0</v>
      </c>
      <c r="C4716" s="9">
        <v>3.68</v>
      </c>
      <c r="D4716" s="13">
        <f t="shared" si="73"/>
        <v>3.68</v>
      </c>
    </row>
    <row r="4717" spans="1:4" x14ac:dyDescent="0.25">
      <c r="A4717" s="15">
        <f>Sheet2!A4717</f>
        <v>0</v>
      </c>
      <c r="B4717" s="8">
        <v>0</v>
      </c>
      <c r="C4717" s="9">
        <v>1.1499999999999999</v>
      </c>
      <c r="D4717" s="13">
        <f t="shared" si="73"/>
        <v>1.1499999999999999</v>
      </c>
    </row>
    <row r="4718" spans="1:4" x14ac:dyDescent="0.25">
      <c r="A4718" s="15">
        <f>Sheet2!A4718</f>
        <v>0</v>
      </c>
      <c r="B4718" s="8">
        <v>17.53</v>
      </c>
      <c r="C4718" s="9">
        <v>0</v>
      </c>
      <c r="D4718" s="13">
        <f t="shared" si="73"/>
        <v>17.53</v>
      </c>
    </row>
    <row r="4719" spans="1:4" x14ac:dyDescent="0.25">
      <c r="A4719" s="15">
        <f>Sheet2!A4719</f>
        <v>0</v>
      </c>
      <c r="B4719" s="8">
        <v>0</v>
      </c>
      <c r="C4719" s="9">
        <v>2.38</v>
      </c>
      <c r="D4719" s="13">
        <f t="shared" si="73"/>
        <v>2.38</v>
      </c>
    </row>
    <row r="4720" spans="1:4" x14ac:dyDescent="0.25">
      <c r="A4720" s="15">
        <f>Sheet2!A4720</f>
        <v>0</v>
      </c>
      <c r="B4720" s="8">
        <v>0</v>
      </c>
      <c r="C4720" s="9">
        <v>3.61</v>
      </c>
      <c r="D4720" s="13">
        <f t="shared" si="73"/>
        <v>3.61</v>
      </c>
    </row>
    <row r="4721" spans="1:4" x14ac:dyDescent="0.25">
      <c r="A4721" s="15">
        <f>Sheet2!A4721</f>
        <v>0</v>
      </c>
      <c r="B4721" s="8">
        <v>0</v>
      </c>
      <c r="C4721" s="9">
        <v>3.03</v>
      </c>
      <c r="D4721" s="13">
        <f t="shared" si="73"/>
        <v>3.03</v>
      </c>
    </row>
    <row r="4722" spans="1:4" x14ac:dyDescent="0.25">
      <c r="A4722" s="15">
        <f>Sheet2!A4722</f>
        <v>0</v>
      </c>
      <c r="B4722" s="8">
        <v>0</v>
      </c>
      <c r="C4722" s="9">
        <v>1.5</v>
      </c>
      <c r="D4722" s="13">
        <f t="shared" si="73"/>
        <v>1.5</v>
      </c>
    </row>
    <row r="4723" spans="1:4" x14ac:dyDescent="0.25">
      <c r="A4723" s="15">
        <f>Sheet2!A4723</f>
        <v>0</v>
      </c>
      <c r="B4723" s="8">
        <v>0</v>
      </c>
      <c r="C4723" s="9">
        <v>2.09</v>
      </c>
      <c r="D4723" s="13">
        <f t="shared" si="73"/>
        <v>2.09</v>
      </c>
    </row>
    <row r="4724" spans="1:4" x14ac:dyDescent="0.25">
      <c r="A4724" s="15">
        <f>Sheet2!A4724</f>
        <v>0</v>
      </c>
      <c r="B4724" s="8">
        <v>0</v>
      </c>
      <c r="C4724" s="9">
        <v>3.87</v>
      </c>
      <c r="D4724" s="13">
        <f t="shared" si="73"/>
        <v>3.87</v>
      </c>
    </row>
    <row r="4725" spans="1:4" x14ac:dyDescent="0.25">
      <c r="A4725" s="15">
        <f>Sheet2!A4725</f>
        <v>0</v>
      </c>
      <c r="B4725" s="8">
        <v>0</v>
      </c>
      <c r="C4725" s="9">
        <v>3.71</v>
      </c>
      <c r="D4725" s="13">
        <f t="shared" si="73"/>
        <v>3.71</v>
      </c>
    </row>
    <row r="4726" spans="1:4" x14ac:dyDescent="0.25">
      <c r="A4726" s="15">
        <f>Sheet2!A4726</f>
        <v>0</v>
      </c>
      <c r="B4726" s="8">
        <v>0</v>
      </c>
      <c r="C4726" s="9">
        <v>3.78</v>
      </c>
      <c r="D4726" s="13">
        <f t="shared" si="73"/>
        <v>3.78</v>
      </c>
    </row>
    <row r="4727" spans="1:4" x14ac:dyDescent="0.25">
      <c r="A4727" s="15">
        <f>Sheet2!A4727</f>
        <v>0</v>
      </c>
      <c r="B4727" s="8">
        <v>0</v>
      </c>
      <c r="C4727" s="9">
        <v>1.56</v>
      </c>
      <c r="D4727" s="13">
        <f t="shared" si="73"/>
        <v>1.56</v>
      </c>
    </row>
    <row r="4728" spans="1:4" x14ac:dyDescent="0.25">
      <c r="A4728" s="15">
        <f>Sheet2!A4728</f>
        <v>0</v>
      </c>
      <c r="B4728" s="8">
        <v>17.62</v>
      </c>
      <c r="C4728" s="9">
        <v>0</v>
      </c>
      <c r="D4728" s="13">
        <f t="shared" si="73"/>
        <v>17.62</v>
      </c>
    </row>
    <row r="4729" spans="1:4" x14ac:dyDescent="0.25">
      <c r="A4729" s="15">
        <f>Sheet2!A4729</f>
        <v>0</v>
      </c>
      <c r="B4729" s="8">
        <v>0</v>
      </c>
      <c r="C4729" s="9">
        <v>0.52</v>
      </c>
      <c r="D4729" s="13">
        <f t="shared" si="73"/>
        <v>0.52</v>
      </c>
    </row>
    <row r="4730" spans="1:4" x14ac:dyDescent="0.25">
      <c r="A4730" s="15">
        <f>Sheet2!A4730</f>
        <v>0</v>
      </c>
      <c r="B4730" s="8">
        <v>0</v>
      </c>
      <c r="C4730" s="9">
        <v>2.87</v>
      </c>
      <c r="D4730" s="13">
        <f t="shared" si="73"/>
        <v>2.87</v>
      </c>
    </row>
    <row r="4731" spans="1:4" x14ac:dyDescent="0.25">
      <c r="A4731" s="15">
        <f>Sheet2!A4731</f>
        <v>0</v>
      </c>
      <c r="B4731" s="8">
        <v>0</v>
      </c>
      <c r="C4731" s="9">
        <v>0.95</v>
      </c>
      <c r="D4731" s="13">
        <f t="shared" si="73"/>
        <v>0.95</v>
      </c>
    </row>
    <row r="4732" spans="1:4" x14ac:dyDescent="0.25">
      <c r="A4732" s="15">
        <f>Sheet2!A4732</f>
        <v>0</v>
      </c>
      <c r="B4732" s="8">
        <v>11.24</v>
      </c>
      <c r="C4732" s="9">
        <v>0</v>
      </c>
      <c r="D4732" s="13">
        <f t="shared" si="73"/>
        <v>11.24</v>
      </c>
    </row>
    <row r="4733" spans="1:4" x14ac:dyDescent="0.25">
      <c r="A4733" s="15">
        <f>Sheet2!A4733</f>
        <v>0</v>
      </c>
      <c r="B4733" s="8">
        <v>0</v>
      </c>
      <c r="C4733" s="9">
        <v>0.78</v>
      </c>
      <c r="D4733" s="13">
        <f t="shared" si="73"/>
        <v>0.78</v>
      </c>
    </row>
    <row r="4734" spans="1:4" x14ac:dyDescent="0.25">
      <c r="A4734" s="15">
        <f>Sheet2!A4734</f>
        <v>0</v>
      </c>
      <c r="B4734" s="8">
        <v>0</v>
      </c>
      <c r="C4734" s="9">
        <v>1.61</v>
      </c>
      <c r="D4734" s="13">
        <f t="shared" si="73"/>
        <v>1.61</v>
      </c>
    </row>
    <row r="4735" spans="1:4" x14ac:dyDescent="0.25">
      <c r="A4735" s="15">
        <f>Sheet2!A4735</f>
        <v>0</v>
      </c>
      <c r="B4735" s="8">
        <v>0</v>
      </c>
      <c r="C4735" s="9">
        <v>0.76</v>
      </c>
      <c r="D4735" s="13">
        <f t="shared" si="73"/>
        <v>0.76</v>
      </c>
    </row>
    <row r="4736" spans="1:4" x14ac:dyDescent="0.25">
      <c r="A4736" s="15">
        <f>Sheet2!A4736</f>
        <v>0</v>
      </c>
      <c r="B4736" s="8">
        <v>0</v>
      </c>
      <c r="C4736" s="9">
        <v>0.69</v>
      </c>
      <c r="D4736" s="13">
        <f t="shared" si="73"/>
        <v>0.69</v>
      </c>
    </row>
    <row r="4737" spans="1:4" x14ac:dyDescent="0.25">
      <c r="A4737" s="15">
        <f>Sheet2!A4737</f>
        <v>0</v>
      </c>
      <c r="B4737" s="8">
        <v>0</v>
      </c>
      <c r="C4737" s="9">
        <v>0.31</v>
      </c>
      <c r="D4737" s="13">
        <f t="shared" si="73"/>
        <v>0.31</v>
      </c>
    </row>
    <row r="4738" spans="1:4" x14ac:dyDescent="0.25">
      <c r="A4738" s="15">
        <f>Sheet2!A4738</f>
        <v>0</v>
      </c>
      <c r="B4738" s="8">
        <v>0</v>
      </c>
      <c r="C4738" s="9">
        <v>0.56000000000000005</v>
      </c>
      <c r="D4738" s="13">
        <f t="shared" si="73"/>
        <v>0.56000000000000005</v>
      </c>
    </row>
    <row r="4739" spans="1:4" x14ac:dyDescent="0.25">
      <c r="A4739" s="15">
        <f>Sheet2!A4739</f>
        <v>0</v>
      </c>
      <c r="B4739" s="8">
        <v>0</v>
      </c>
      <c r="C4739" s="9">
        <v>3.24</v>
      </c>
      <c r="D4739" s="13">
        <f t="shared" ref="D4739:D4802" si="74">B4739+C4739</f>
        <v>3.24</v>
      </c>
    </row>
    <row r="4740" spans="1:4" x14ac:dyDescent="0.25">
      <c r="A4740" s="15">
        <f>Sheet2!A4740</f>
        <v>0</v>
      </c>
      <c r="B4740" s="8">
        <v>0</v>
      </c>
      <c r="C4740" s="9">
        <v>3.38</v>
      </c>
      <c r="D4740" s="13">
        <f t="shared" si="74"/>
        <v>3.38</v>
      </c>
    </row>
    <row r="4741" spans="1:4" x14ac:dyDescent="0.25">
      <c r="A4741" s="15">
        <f>Sheet2!A4741</f>
        <v>0</v>
      </c>
      <c r="B4741" s="8">
        <v>0</v>
      </c>
      <c r="C4741" s="9">
        <v>1.24</v>
      </c>
      <c r="D4741" s="13">
        <f t="shared" si="74"/>
        <v>1.24</v>
      </c>
    </row>
    <row r="4742" spans="1:4" x14ac:dyDescent="0.25">
      <c r="A4742" s="15">
        <f>Sheet2!A4742</f>
        <v>0</v>
      </c>
      <c r="B4742" s="8">
        <v>15.3</v>
      </c>
      <c r="C4742" s="9">
        <v>0</v>
      </c>
      <c r="D4742" s="13">
        <f t="shared" si="74"/>
        <v>15.3</v>
      </c>
    </row>
    <row r="4743" spans="1:4" x14ac:dyDescent="0.25">
      <c r="A4743" s="15">
        <f>Sheet2!A4743</f>
        <v>0</v>
      </c>
      <c r="B4743" s="8">
        <v>0</v>
      </c>
      <c r="C4743" s="9">
        <v>2.39</v>
      </c>
      <c r="D4743" s="13">
        <f t="shared" si="74"/>
        <v>2.39</v>
      </c>
    </row>
    <row r="4744" spans="1:4" x14ac:dyDescent="0.25">
      <c r="A4744" s="15">
        <f>Sheet2!A4744</f>
        <v>0</v>
      </c>
      <c r="B4744" s="8">
        <v>0</v>
      </c>
      <c r="C4744" s="9">
        <v>3.25</v>
      </c>
      <c r="D4744" s="13">
        <f t="shared" si="74"/>
        <v>3.25</v>
      </c>
    </row>
    <row r="4745" spans="1:4" x14ac:dyDescent="0.25">
      <c r="A4745" s="15">
        <f>Sheet2!A4745</f>
        <v>0</v>
      </c>
      <c r="B4745" s="8">
        <v>0</v>
      </c>
      <c r="C4745" s="9">
        <v>1.33</v>
      </c>
      <c r="D4745" s="13">
        <f t="shared" si="74"/>
        <v>1.33</v>
      </c>
    </row>
    <row r="4746" spans="1:4" x14ac:dyDescent="0.25">
      <c r="A4746" s="15">
        <f>Sheet2!A4746</f>
        <v>0</v>
      </c>
      <c r="B4746" s="8">
        <v>0</v>
      </c>
      <c r="C4746" s="9">
        <v>1.02</v>
      </c>
      <c r="D4746" s="13">
        <f t="shared" si="74"/>
        <v>1.02</v>
      </c>
    </row>
    <row r="4747" spans="1:4" x14ac:dyDescent="0.25">
      <c r="A4747" s="15">
        <f>Sheet2!A4747</f>
        <v>0</v>
      </c>
      <c r="B4747" s="8">
        <v>0</v>
      </c>
      <c r="C4747" s="9">
        <v>1.64</v>
      </c>
      <c r="D4747" s="13">
        <f t="shared" si="74"/>
        <v>1.64</v>
      </c>
    </row>
    <row r="4748" spans="1:4" x14ac:dyDescent="0.25">
      <c r="A4748" s="15">
        <f>Sheet2!A4748</f>
        <v>0</v>
      </c>
      <c r="B4748" s="8">
        <v>0</v>
      </c>
      <c r="C4748" s="9">
        <v>3.94</v>
      </c>
      <c r="D4748" s="13">
        <f t="shared" si="74"/>
        <v>3.94</v>
      </c>
    </row>
    <row r="4749" spans="1:4" x14ac:dyDescent="0.25">
      <c r="A4749" s="15">
        <f>Sheet2!A4749</f>
        <v>0</v>
      </c>
      <c r="B4749" s="8">
        <v>0</v>
      </c>
      <c r="C4749" s="9">
        <v>3.9</v>
      </c>
      <c r="D4749" s="13">
        <f t="shared" si="74"/>
        <v>3.9</v>
      </c>
    </row>
    <row r="4750" spans="1:4" x14ac:dyDescent="0.25">
      <c r="A4750" s="15">
        <f>Sheet2!A4750</f>
        <v>0</v>
      </c>
      <c r="B4750" s="8">
        <v>0</v>
      </c>
      <c r="C4750" s="9">
        <v>3.66</v>
      </c>
      <c r="D4750" s="13">
        <f t="shared" si="74"/>
        <v>3.66</v>
      </c>
    </row>
    <row r="4751" spans="1:4" x14ac:dyDescent="0.25">
      <c r="A4751" s="15">
        <f>Sheet2!A4751</f>
        <v>0</v>
      </c>
      <c r="B4751" s="8">
        <v>0</v>
      </c>
      <c r="C4751" s="9">
        <v>1.08</v>
      </c>
      <c r="D4751" s="13">
        <f t="shared" si="74"/>
        <v>1.08</v>
      </c>
    </row>
    <row r="4752" spans="1:4" x14ac:dyDescent="0.25">
      <c r="A4752" s="15">
        <f>Sheet2!A4752</f>
        <v>0</v>
      </c>
      <c r="B4752" s="8">
        <v>15.05</v>
      </c>
      <c r="C4752" s="9">
        <v>0</v>
      </c>
      <c r="D4752" s="13">
        <f t="shared" si="74"/>
        <v>15.05</v>
      </c>
    </row>
    <row r="4753" spans="1:4" x14ac:dyDescent="0.25">
      <c r="A4753" s="15">
        <f>Sheet2!A4753</f>
        <v>0</v>
      </c>
      <c r="B4753" s="8">
        <v>0</v>
      </c>
      <c r="C4753" s="9">
        <v>1.4</v>
      </c>
      <c r="D4753" s="13">
        <f t="shared" si="74"/>
        <v>1.4</v>
      </c>
    </row>
    <row r="4754" spans="1:4" x14ac:dyDescent="0.25">
      <c r="A4754" s="15">
        <f>Sheet2!A4754</f>
        <v>0</v>
      </c>
      <c r="B4754" s="8">
        <v>0</v>
      </c>
      <c r="C4754" s="9">
        <v>2.42</v>
      </c>
      <c r="D4754" s="13">
        <f t="shared" si="74"/>
        <v>2.42</v>
      </c>
    </row>
    <row r="4755" spans="1:4" x14ac:dyDescent="0.25">
      <c r="A4755" s="15">
        <f>Sheet2!A4755</f>
        <v>0</v>
      </c>
      <c r="B4755" s="8">
        <v>0</v>
      </c>
      <c r="C4755" s="9">
        <v>2.13</v>
      </c>
      <c r="D4755" s="13">
        <f t="shared" si="74"/>
        <v>2.13</v>
      </c>
    </row>
    <row r="4756" spans="1:4" x14ac:dyDescent="0.25">
      <c r="A4756" s="15">
        <f>Sheet2!A4756</f>
        <v>0</v>
      </c>
      <c r="B4756" s="8">
        <v>12.83</v>
      </c>
      <c r="C4756" s="9">
        <v>0</v>
      </c>
      <c r="D4756" s="13">
        <f t="shared" si="74"/>
        <v>12.83</v>
      </c>
    </row>
    <row r="4757" spans="1:4" x14ac:dyDescent="0.25">
      <c r="A4757" s="15">
        <f>Sheet2!A4757</f>
        <v>0</v>
      </c>
      <c r="B4757" s="8">
        <v>9.7899999999999991</v>
      </c>
      <c r="C4757" s="9">
        <v>0</v>
      </c>
      <c r="D4757" s="13">
        <f t="shared" si="74"/>
        <v>9.7899999999999991</v>
      </c>
    </row>
    <row r="4758" spans="1:4" x14ac:dyDescent="0.25">
      <c r="A4758" s="15">
        <f>Sheet2!A4758</f>
        <v>0</v>
      </c>
      <c r="B4758" s="8">
        <v>12.32</v>
      </c>
      <c r="C4758" s="9">
        <v>0</v>
      </c>
      <c r="D4758" s="13">
        <f t="shared" si="74"/>
        <v>12.32</v>
      </c>
    </row>
    <row r="4759" spans="1:4" x14ac:dyDescent="0.25">
      <c r="A4759" s="15">
        <f>Sheet2!A4759</f>
        <v>0</v>
      </c>
      <c r="B4759" s="8">
        <v>12.75</v>
      </c>
      <c r="C4759" s="9">
        <v>0</v>
      </c>
      <c r="D4759" s="13">
        <f t="shared" si="74"/>
        <v>12.75</v>
      </c>
    </row>
    <row r="4760" spans="1:4" x14ac:dyDescent="0.25">
      <c r="A4760" s="15">
        <f>Sheet2!A4760</f>
        <v>0</v>
      </c>
      <c r="B4760" s="8">
        <v>7.51</v>
      </c>
      <c r="C4760" s="9">
        <v>0</v>
      </c>
      <c r="D4760" s="13">
        <f t="shared" si="74"/>
        <v>7.51</v>
      </c>
    </row>
    <row r="4761" spans="1:4" x14ac:dyDescent="0.25">
      <c r="A4761" s="15">
        <f>Sheet2!A4761</f>
        <v>0</v>
      </c>
      <c r="B4761" s="8">
        <v>0</v>
      </c>
      <c r="C4761" s="9">
        <v>1.33</v>
      </c>
      <c r="D4761" s="13">
        <f t="shared" si="74"/>
        <v>1.33</v>
      </c>
    </row>
    <row r="4762" spans="1:4" x14ac:dyDescent="0.25">
      <c r="A4762" s="15">
        <f>Sheet2!A4762</f>
        <v>0</v>
      </c>
      <c r="B4762" s="8">
        <v>0</v>
      </c>
      <c r="C4762" s="9">
        <v>2.95</v>
      </c>
      <c r="D4762" s="13">
        <f t="shared" si="74"/>
        <v>2.95</v>
      </c>
    </row>
    <row r="4763" spans="1:4" x14ac:dyDescent="0.25">
      <c r="A4763" s="15">
        <f>Sheet2!A4763</f>
        <v>0</v>
      </c>
      <c r="B4763" s="8">
        <v>0</v>
      </c>
      <c r="C4763" s="9">
        <v>1.49</v>
      </c>
      <c r="D4763" s="13">
        <f t="shared" si="74"/>
        <v>1.49</v>
      </c>
    </row>
    <row r="4764" spans="1:4" x14ac:dyDescent="0.25">
      <c r="A4764" s="15">
        <f>Sheet2!A4764</f>
        <v>0</v>
      </c>
      <c r="B4764" s="8">
        <v>0</v>
      </c>
      <c r="C4764" s="9">
        <v>1.49</v>
      </c>
      <c r="D4764" s="13">
        <f t="shared" si="74"/>
        <v>1.49</v>
      </c>
    </row>
    <row r="4765" spans="1:4" x14ac:dyDescent="0.25">
      <c r="A4765" s="15">
        <f>Sheet2!A4765</f>
        <v>0</v>
      </c>
      <c r="B4765" s="8">
        <v>0</v>
      </c>
      <c r="C4765" s="9">
        <v>1.8</v>
      </c>
      <c r="D4765" s="13">
        <f t="shared" si="74"/>
        <v>1.8</v>
      </c>
    </row>
    <row r="4766" spans="1:4" x14ac:dyDescent="0.25">
      <c r="A4766" s="15">
        <f>Sheet2!A4766</f>
        <v>0</v>
      </c>
      <c r="B4766" s="8">
        <v>0</v>
      </c>
      <c r="C4766" s="9">
        <v>1.88</v>
      </c>
      <c r="D4766" s="13">
        <f t="shared" si="74"/>
        <v>1.88</v>
      </c>
    </row>
    <row r="4767" spans="1:4" x14ac:dyDescent="0.25">
      <c r="A4767" s="15">
        <f>Sheet2!A4767</f>
        <v>0</v>
      </c>
      <c r="B4767" s="8">
        <v>0</v>
      </c>
      <c r="C4767" s="9">
        <v>1.2</v>
      </c>
      <c r="D4767" s="13">
        <f t="shared" si="74"/>
        <v>1.2</v>
      </c>
    </row>
    <row r="4768" spans="1:4" x14ac:dyDescent="0.25">
      <c r="A4768" s="15">
        <f>Sheet2!A4768</f>
        <v>0</v>
      </c>
      <c r="B4768" s="8">
        <v>0</v>
      </c>
      <c r="C4768" s="9">
        <v>0.55000000000000004</v>
      </c>
      <c r="D4768" s="13">
        <f t="shared" si="74"/>
        <v>0.55000000000000004</v>
      </c>
    </row>
    <row r="4769" spans="1:4" x14ac:dyDescent="0.25">
      <c r="A4769" s="15">
        <f>Sheet2!A4769</f>
        <v>0</v>
      </c>
      <c r="B4769" s="8">
        <v>0</v>
      </c>
      <c r="C4769" s="9">
        <v>1.69</v>
      </c>
      <c r="D4769" s="13">
        <f t="shared" si="74"/>
        <v>1.69</v>
      </c>
    </row>
    <row r="4770" spans="1:4" x14ac:dyDescent="0.25">
      <c r="A4770" s="15">
        <f>Sheet2!A4770</f>
        <v>0</v>
      </c>
      <c r="B4770" s="8">
        <v>0</v>
      </c>
      <c r="C4770" s="9">
        <v>2.58</v>
      </c>
      <c r="D4770" s="13">
        <f t="shared" si="74"/>
        <v>2.58</v>
      </c>
    </row>
    <row r="4771" spans="1:4" x14ac:dyDescent="0.25">
      <c r="A4771" s="15">
        <f>Sheet2!A4771</f>
        <v>0</v>
      </c>
      <c r="B4771" s="8">
        <v>0</v>
      </c>
      <c r="C4771" s="9">
        <v>2.13</v>
      </c>
      <c r="D4771" s="13">
        <f t="shared" si="74"/>
        <v>2.13</v>
      </c>
    </row>
    <row r="4772" spans="1:4" x14ac:dyDescent="0.25">
      <c r="A4772" s="15">
        <f>Sheet2!A4772</f>
        <v>0</v>
      </c>
      <c r="B4772" s="8">
        <v>0</v>
      </c>
      <c r="C4772" s="9">
        <v>1.1499999999999999</v>
      </c>
      <c r="D4772" s="13">
        <f t="shared" si="74"/>
        <v>1.1499999999999999</v>
      </c>
    </row>
    <row r="4773" spans="1:4" x14ac:dyDescent="0.25">
      <c r="A4773" s="15">
        <f>Sheet2!A4773</f>
        <v>0</v>
      </c>
      <c r="B4773" s="8">
        <v>0</v>
      </c>
      <c r="C4773" s="9">
        <v>2.2799999999999998</v>
      </c>
      <c r="D4773" s="13">
        <f t="shared" si="74"/>
        <v>2.2799999999999998</v>
      </c>
    </row>
    <row r="4774" spans="1:4" x14ac:dyDescent="0.25">
      <c r="A4774" s="15">
        <f>Sheet2!A4774</f>
        <v>0</v>
      </c>
      <c r="B4774" s="8">
        <v>0</v>
      </c>
      <c r="C4774" s="9">
        <v>2.2999999999999998</v>
      </c>
      <c r="D4774" s="13">
        <f t="shared" si="74"/>
        <v>2.2999999999999998</v>
      </c>
    </row>
    <row r="4775" spans="1:4" x14ac:dyDescent="0.25">
      <c r="A4775" s="15">
        <f>Sheet2!A4775</f>
        <v>0</v>
      </c>
      <c r="B4775" s="8">
        <v>0</v>
      </c>
      <c r="C4775" s="9">
        <v>2.1800000000000002</v>
      </c>
      <c r="D4775" s="13">
        <f t="shared" si="74"/>
        <v>2.1800000000000002</v>
      </c>
    </row>
    <row r="4776" spans="1:4" x14ac:dyDescent="0.25">
      <c r="A4776" s="15">
        <f>Sheet2!A4776</f>
        <v>0</v>
      </c>
      <c r="B4776" s="8">
        <v>0</v>
      </c>
      <c r="C4776" s="9">
        <v>3.51</v>
      </c>
      <c r="D4776" s="13">
        <f t="shared" si="74"/>
        <v>3.51</v>
      </c>
    </row>
    <row r="4777" spans="1:4" x14ac:dyDescent="0.25">
      <c r="A4777" s="15">
        <f>Sheet2!A4777</f>
        <v>0</v>
      </c>
      <c r="B4777" s="8">
        <v>0</v>
      </c>
      <c r="C4777" s="9">
        <v>1.1200000000000001</v>
      </c>
      <c r="D4777" s="13">
        <f t="shared" si="74"/>
        <v>1.1200000000000001</v>
      </c>
    </row>
    <row r="4778" spans="1:4" x14ac:dyDescent="0.25">
      <c r="A4778" s="15">
        <f>Sheet2!A4778</f>
        <v>0</v>
      </c>
      <c r="B4778" s="8">
        <v>18.47</v>
      </c>
      <c r="C4778" s="9">
        <v>0</v>
      </c>
      <c r="D4778" s="13">
        <f t="shared" si="74"/>
        <v>18.47</v>
      </c>
    </row>
    <row r="4779" spans="1:4" x14ac:dyDescent="0.25">
      <c r="A4779" s="15">
        <f>Sheet2!A4779</f>
        <v>0</v>
      </c>
      <c r="B4779" s="8">
        <v>0</v>
      </c>
      <c r="C4779" s="9">
        <v>2.34</v>
      </c>
      <c r="D4779" s="13">
        <f t="shared" si="74"/>
        <v>2.34</v>
      </c>
    </row>
    <row r="4780" spans="1:4" x14ac:dyDescent="0.25">
      <c r="A4780" s="15">
        <f>Sheet2!A4780</f>
        <v>0</v>
      </c>
      <c r="B4780" s="8">
        <v>0</v>
      </c>
      <c r="C4780" s="9">
        <v>4.46</v>
      </c>
      <c r="D4780" s="13">
        <f t="shared" si="74"/>
        <v>4.46</v>
      </c>
    </row>
    <row r="4781" spans="1:4" x14ac:dyDescent="0.25">
      <c r="A4781" s="15">
        <f>Sheet2!A4781</f>
        <v>0</v>
      </c>
      <c r="B4781" s="8">
        <v>0</v>
      </c>
      <c r="C4781" s="9">
        <v>1.96</v>
      </c>
      <c r="D4781" s="13">
        <f t="shared" si="74"/>
        <v>1.96</v>
      </c>
    </row>
    <row r="4782" spans="1:4" x14ac:dyDescent="0.25">
      <c r="A4782" s="15">
        <f>Sheet2!A4782</f>
        <v>0</v>
      </c>
      <c r="B4782" s="8">
        <v>14.21</v>
      </c>
      <c r="C4782" s="9">
        <v>0</v>
      </c>
      <c r="D4782" s="13">
        <f t="shared" si="74"/>
        <v>14.21</v>
      </c>
    </row>
    <row r="4783" spans="1:4" x14ac:dyDescent="0.25">
      <c r="A4783" s="15">
        <f>Sheet2!A4783</f>
        <v>0</v>
      </c>
      <c r="B4783" s="8">
        <v>14.3</v>
      </c>
      <c r="C4783" s="9">
        <v>0</v>
      </c>
      <c r="D4783" s="13">
        <f t="shared" si="74"/>
        <v>14.3</v>
      </c>
    </row>
    <row r="4784" spans="1:4" x14ac:dyDescent="0.25">
      <c r="A4784" s="15">
        <f>Sheet2!A4784</f>
        <v>0</v>
      </c>
      <c r="B4784" s="8">
        <v>0</v>
      </c>
      <c r="C4784" s="9">
        <v>0.33</v>
      </c>
      <c r="D4784" s="13">
        <f t="shared" si="74"/>
        <v>0.33</v>
      </c>
    </row>
    <row r="4785" spans="1:4" x14ac:dyDescent="0.25">
      <c r="A4785" s="15">
        <f>Sheet2!A4785</f>
        <v>0</v>
      </c>
      <c r="B4785" s="8">
        <v>0</v>
      </c>
      <c r="C4785" s="9">
        <v>1.2</v>
      </c>
      <c r="D4785" s="13">
        <f t="shared" si="74"/>
        <v>1.2</v>
      </c>
    </row>
    <row r="4786" spans="1:4" x14ac:dyDescent="0.25">
      <c r="A4786" s="15">
        <f>Sheet2!A4786</f>
        <v>0</v>
      </c>
      <c r="B4786" s="8">
        <v>0</v>
      </c>
      <c r="C4786" s="9">
        <v>1.76</v>
      </c>
      <c r="D4786" s="13">
        <f t="shared" si="74"/>
        <v>1.76</v>
      </c>
    </row>
    <row r="4787" spans="1:4" x14ac:dyDescent="0.25">
      <c r="A4787" s="15">
        <f>Sheet2!A4787</f>
        <v>0</v>
      </c>
      <c r="B4787" s="8">
        <v>0</v>
      </c>
      <c r="C4787" s="9">
        <v>0.72</v>
      </c>
      <c r="D4787" s="13">
        <f t="shared" si="74"/>
        <v>0.72</v>
      </c>
    </row>
    <row r="4788" spans="1:4" x14ac:dyDescent="0.25">
      <c r="A4788" s="15">
        <f>Sheet2!A4788</f>
        <v>0</v>
      </c>
      <c r="B4788" s="8">
        <v>17.510000000000002</v>
      </c>
      <c r="C4788" s="9">
        <v>0</v>
      </c>
      <c r="D4788" s="13">
        <f t="shared" si="74"/>
        <v>17.510000000000002</v>
      </c>
    </row>
    <row r="4789" spans="1:4" x14ac:dyDescent="0.25">
      <c r="A4789" s="15">
        <f>Sheet2!A4789</f>
        <v>0</v>
      </c>
      <c r="B4789" s="8">
        <v>0</v>
      </c>
      <c r="C4789" s="9">
        <v>1.17</v>
      </c>
      <c r="D4789" s="13">
        <f t="shared" si="74"/>
        <v>1.17</v>
      </c>
    </row>
    <row r="4790" spans="1:4" x14ac:dyDescent="0.25">
      <c r="A4790" s="15">
        <f>Sheet2!A4790</f>
        <v>0</v>
      </c>
      <c r="B4790" s="8">
        <v>0</v>
      </c>
      <c r="C4790" s="9">
        <v>2.52</v>
      </c>
      <c r="D4790" s="13">
        <f t="shared" si="74"/>
        <v>2.52</v>
      </c>
    </row>
    <row r="4791" spans="1:4" x14ac:dyDescent="0.25">
      <c r="A4791" s="15">
        <f>Sheet2!A4791</f>
        <v>0</v>
      </c>
      <c r="B4791" s="8">
        <v>0</v>
      </c>
      <c r="C4791" s="9">
        <v>1.1299999999999999</v>
      </c>
      <c r="D4791" s="13">
        <f t="shared" si="74"/>
        <v>1.1299999999999999</v>
      </c>
    </row>
    <row r="4792" spans="1:4" x14ac:dyDescent="0.25">
      <c r="A4792" s="15">
        <f>Sheet2!A4792</f>
        <v>0</v>
      </c>
      <c r="B4792" s="8">
        <v>7.59</v>
      </c>
      <c r="C4792" s="9">
        <v>0</v>
      </c>
      <c r="D4792" s="13">
        <f t="shared" si="74"/>
        <v>7.59</v>
      </c>
    </row>
    <row r="4793" spans="1:4" x14ac:dyDescent="0.25">
      <c r="A4793" s="15">
        <f>Sheet2!A4793</f>
        <v>0</v>
      </c>
      <c r="B4793" s="8">
        <v>0</v>
      </c>
      <c r="C4793" s="9">
        <v>2.97</v>
      </c>
      <c r="D4793" s="13">
        <f t="shared" si="74"/>
        <v>2.97</v>
      </c>
    </row>
    <row r="4794" spans="1:4" x14ac:dyDescent="0.25">
      <c r="A4794" s="15">
        <f>Sheet2!A4794</f>
        <v>0</v>
      </c>
      <c r="B4794" s="8">
        <v>0</v>
      </c>
      <c r="C4794" s="9">
        <v>3.49</v>
      </c>
      <c r="D4794" s="13">
        <f t="shared" si="74"/>
        <v>3.49</v>
      </c>
    </row>
    <row r="4795" spans="1:4" x14ac:dyDescent="0.25">
      <c r="A4795" s="15">
        <f>Sheet2!A4795</f>
        <v>0</v>
      </c>
      <c r="B4795" s="8">
        <v>0</v>
      </c>
      <c r="C4795" s="9">
        <v>3.13</v>
      </c>
      <c r="D4795" s="13">
        <f t="shared" si="74"/>
        <v>3.13</v>
      </c>
    </row>
    <row r="4796" spans="1:4" x14ac:dyDescent="0.25">
      <c r="A4796" s="15">
        <f>Sheet2!A4796</f>
        <v>0</v>
      </c>
      <c r="B4796" s="8">
        <v>0</v>
      </c>
      <c r="C4796" s="9">
        <v>3.12</v>
      </c>
      <c r="D4796" s="13">
        <f t="shared" si="74"/>
        <v>3.12</v>
      </c>
    </row>
    <row r="4797" spans="1:4" x14ac:dyDescent="0.25">
      <c r="A4797" s="15">
        <f>Sheet2!A4797</f>
        <v>0</v>
      </c>
      <c r="B4797" s="8">
        <v>0</v>
      </c>
      <c r="C4797" s="9">
        <v>3.53</v>
      </c>
      <c r="D4797" s="13">
        <f t="shared" si="74"/>
        <v>3.53</v>
      </c>
    </row>
    <row r="4798" spans="1:4" x14ac:dyDescent="0.25">
      <c r="A4798" s="15">
        <f>Sheet2!A4798</f>
        <v>0</v>
      </c>
      <c r="B4798" s="8">
        <v>18.850000000000001</v>
      </c>
      <c r="C4798" s="9">
        <v>0</v>
      </c>
      <c r="D4798" s="13">
        <f t="shared" si="74"/>
        <v>18.850000000000001</v>
      </c>
    </row>
    <row r="4799" spans="1:4" x14ac:dyDescent="0.25">
      <c r="A4799" s="15">
        <f>Sheet2!A4799</f>
        <v>0</v>
      </c>
      <c r="B4799" s="8">
        <v>13.74</v>
      </c>
      <c r="C4799" s="9">
        <v>0</v>
      </c>
      <c r="D4799" s="13">
        <f t="shared" si="74"/>
        <v>13.74</v>
      </c>
    </row>
    <row r="4800" spans="1:4" x14ac:dyDescent="0.25">
      <c r="A4800" s="15">
        <f>Sheet2!A4800</f>
        <v>0</v>
      </c>
      <c r="B4800" s="8">
        <v>17.11</v>
      </c>
      <c r="C4800" s="9">
        <v>0</v>
      </c>
      <c r="D4800" s="13">
        <f t="shared" si="74"/>
        <v>17.11</v>
      </c>
    </row>
    <row r="4801" spans="1:4" x14ac:dyDescent="0.25">
      <c r="A4801" s="15">
        <f>Sheet2!A4801</f>
        <v>0</v>
      </c>
      <c r="B4801" s="8">
        <v>0</v>
      </c>
      <c r="C4801" s="9">
        <v>1.28</v>
      </c>
      <c r="D4801" s="13">
        <f t="shared" si="74"/>
        <v>1.28</v>
      </c>
    </row>
    <row r="4802" spans="1:4" x14ac:dyDescent="0.25">
      <c r="A4802" s="15">
        <f>Sheet2!A4802</f>
        <v>0</v>
      </c>
      <c r="B4802" s="8">
        <v>0</v>
      </c>
      <c r="C4802" s="9">
        <v>3.12</v>
      </c>
      <c r="D4802" s="13">
        <f t="shared" si="74"/>
        <v>3.12</v>
      </c>
    </row>
    <row r="4803" spans="1:4" x14ac:dyDescent="0.25">
      <c r="A4803" s="15">
        <f>Sheet2!A4803</f>
        <v>0</v>
      </c>
      <c r="B4803" s="8">
        <v>0</v>
      </c>
      <c r="C4803" s="9">
        <v>1.48</v>
      </c>
      <c r="D4803" s="13">
        <f t="shared" ref="D4803:D4866" si="75">B4803+C4803</f>
        <v>1.48</v>
      </c>
    </row>
    <row r="4804" spans="1:4" x14ac:dyDescent="0.25">
      <c r="A4804" s="15">
        <f>Sheet2!A4804</f>
        <v>0</v>
      </c>
      <c r="B4804" s="8">
        <v>13.58</v>
      </c>
      <c r="C4804" s="9">
        <v>0</v>
      </c>
      <c r="D4804" s="13">
        <f t="shared" si="75"/>
        <v>13.58</v>
      </c>
    </row>
    <row r="4805" spans="1:4" x14ac:dyDescent="0.25">
      <c r="A4805" s="15">
        <f>Sheet2!A4805</f>
        <v>0</v>
      </c>
      <c r="B4805" s="8">
        <v>12.27</v>
      </c>
      <c r="C4805" s="9">
        <v>0</v>
      </c>
      <c r="D4805" s="13">
        <f t="shared" si="75"/>
        <v>12.27</v>
      </c>
    </row>
    <row r="4806" spans="1:4" x14ac:dyDescent="0.25">
      <c r="A4806" s="15">
        <f>Sheet2!A4806</f>
        <v>0</v>
      </c>
      <c r="B4806" s="8">
        <v>12.38</v>
      </c>
      <c r="C4806" s="9">
        <v>0</v>
      </c>
      <c r="D4806" s="13">
        <f t="shared" si="75"/>
        <v>12.38</v>
      </c>
    </row>
    <row r="4807" spans="1:4" x14ac:dyDescent="0.25">
      <c r="A4807" s="15">
        <f>Sheet2!A4807</f>
        <v>0</v>
      </c>
      <c r="B4807" s="8">
        <v>0</v>
      </c>
      <c r="C4807" s="9">
        <v>1.7</v>
      </c>
      <c r="D4807" s="13">
        <f t="shared" si="75"/>
        <v>1.7</v>
      </c>
    </row>
    <row r="4808" spans="1:4" x14ac:dyDescent="0.25">
      <c r="A4808" s="15">
        <f>Sheet2!A4808</f>
        <v>0</v>
      </c>
      <c r="B4808" s="8">
        <v>0</v>
      </c>
      <c r="C4808" s="9">
        <v>2.95</v>
      </c>
      <c r="D4808" s="13">
        <f t="shared" si="75"/>
        <v>2.95</v>
      </c>
    </row>
    <row r="4809" spans="1:4" x14ac:dyDescent="0.25">
      <c r="A4809" s="15">
        <f>Sheet2!A4809</f>
        <v>0</v>
      </c>
      <c r="B4809" s="8">
        <v>0</v>
      </c>
      <c r="C4809" s="9">
        <v>1.43</v>
      </c>
      <c r="D4809" s="13">
        <f t="shared" si="75"/>
        <v>1.43</v>
      </c>
    </row>
    <row r="4810" spans="1:4" x14ac:dyDescent="0.25">
      <c r="A4810" s="15">
        <f>Sheet2!A4810</f>
        <v>0</v>
      </c>
      <c r="B4810" s="8">
        <v>14.59</v>
      </c>
      <c r="C4810" s="9">
        <v>0</v>
      </c>
      <c r="D4810" s="13">
        <f t="shared" si="75"/>
        <v>14.59</v>
      </c>
    </row>
    <row r="4811" spans="1:4" x14ac:dyDescent="0.25">
      <c r="A4811" s="15">
        <f>Sheet2!A4811</f>
        <v>0</v>
      </c>
      <c r="B4811" s="8">
        <v>0</v>
      </c>
      <c r="C4811" s="9">
        <v>1.54</v>
      </c>
      <c r="D4811" s="13">
        <f t="shared" si="75"/>
        <v>1.54</v>
      </c>
    </row>
    <row r="4812" spans="1:4" x14ac:dyDescent="0.25">
      <c r="A4812" s="15">
        <f>Sheet2!A4812</f>
        <v>0</v>
      </c>
      <c r="B4812" s="8">
        <v>0</v>
      </c>
      <c r="C4812" s="9">
        <v>3.1</v>
      </c>
      <c r="D4812" s="13">
        <f t="shared" si="75"/>
        <v>3.1</v>
      </c>
    </row>
    <row r="4813" spans="1:4" x14ac:dyDescent="0.25">
      <c r="A4813" s="15">
        <f>Sheet2!A4813</f>
        <v>0</v>
      </c>
      <c r="B4813" s="8">
        <v>0</v>
      </c>
      <c r="C4813" s="9">
        <v>3.09</v>
      </c>
      <c r="D4813" s="13">
        <f t="shared" si="75"/>
        <v>3.09</v>
      </c>
    </row>
    <row r="4814" spans="1:4" x14ac:dyDescent="0.25">
      <c r="A4814" s="15">
        <f>Sheet2!A4814</f>
        <v>0</v>
      </c>
      <c r="B4814" s="8">
        <v>0</v>
      </c>
      <c r="C4814" s="9">
        <v>0.89</v>
      </c>
      <c r="D4814" s="13">
        <f t="shared" si="75"/>
        <v>0.89</v>
      </c>
    </row>
    <row r="4815" spans="1:4" x14ac:dyDescent="0.25">
      <c r="A4815" s="15">
        <f>Sheet2!A4815</f>
        <v>0</v>
      </c>
      <c r="B4815" s="8">
        <v>0</v>
      </c>
      <c r="C4815" s="9">
        <v>1.22</v>
      </c>
      <c r="D4815" s="13">
        <f t="shared" si="75"/>
        <v>1.22</v>
      </c>
    </row>
    <row r="4816" spans="1:4" x14ac:dyDescent="0.25">
      <c r="A4816" s="15">
        <f>Sheet2!A4816</f>
        <v>0</v>
      </c>
      <c r="B4816" s="8">
        <v>0</v>
      </c>
      <c r="C4816" s="9">
        <v>3.31</v>
      </c>
      <c r="D4816" s="13">
        <f t="shared" si="75"/>
        <v>3.31</v>
      </c>
    </row>
    <row r="4817" spans="1:4" x14ac:dyDescent="0.25">
      <c r="A4817" s="15">
        <f>Sheet2!A4817</f>
        <v>0</v>
      </c>
      <c r="B4817" s="8">
        <v>0</v>
      </c>
      <c r="C4817" s="9">
        <v>3.31</v>
      </c>
      <c r="D4817" s="13">
        <f t="shared" si="75"/>
        <v>3.31</v>
      </c>
    </row>
    <row r="4818" spans="1:4" x14ac:dyDescent="0.25">
      <c r="A4818" s="15">
        <f>Sheet2!A4818</f>
        <v>0</v>
      </c>
      <c r="B4818" s="8">
        <v>0</v>
      </c>
      <c r="C4818" s="9">
        <v>3.37</v>
      </c>
      <c r="D4818" s="13">
        <f t="shared" si="75"/>
        <v>3.37</v>
      </c>
    </row>
    <row r="4819" spans="1:4" x14ac:dyDescent="0.25">
      <c r="A4819" s="15">
        <f>Sheet2!A4819</f>
        <v>0</v>
      </c>
      <c r="B4819" s="8">
        <v>0</v>
      </c>
      <c r="C4819" s="9">
        <v>1.25</v>
      </c>
      <c r="D4819" s="13">
        <f t="shared" si="75"/>
        <v>1.25</v>
      </c>
    </row>
    <row r="4820" spans="1:4" x14ac:dyDescent="0.25">
      <c r="A4820" s="15">
        <f>Sheet2!A4820</f>
        <v>0</v>
      </c>
      <c r="B4820" s="8">
        <v>0</v>
      </c>
      <c r="C4820" s="9">
        <v>1.1599999999999999</v>
      </c>
      <c r="D4820" s="13">
        <f t="shared" si="75"/>
        <v>1.1599999999999999</v>
      </c>
    </row>
    <row r="4821" spans="1:4" x14ac:dyDescent="0.25">
      <c r="A4821" s="15">
        <f>Sheet2!A4821</f>
        <v>0</v>
      </c>
      <c r="B4821" s="8">
        <v>0</v>
      </c>
      <c r="C4821" s="9">
        <v>3.57</v>
      </c>
      <c r="D4821" s="13">
        <f t="shared" si="75"/>
        <v>3.57</v>
      </c>
    </row>
    <row r="4822" spans="1:4" x14ac:dyDescent="0.25">
      <c r="A4822" s="15">
        <f>Sheet2!A4822</f>
        <v>0</v>
      </c>
      <c r="B4822" s="8">
        <v>0</v>
      </c>
      <c r="C4822" s="9">
        <v>3.71</v>
      </c>
      <c r="D4822" s="13">
        <f t="shared" si="75"/>
        <v>3.71</v>
      </c>
    </row>
    <row r="4823" spans="1:4" x14ac:dyDescent="0.25">
      <c r="A4823" s="15">
        <f>Sheet2!A4823</f>
        <v>0</v>
      </c>
      <c r="B4823" s="8">
        <v>0</v>
      </c>
      <c r="C4823" s="9">
        <v>3.61</v>
      </c>
      <c r="D4823" s="13">
        <f t="shared" si="75"/>
        <v>3.61</v>
      </c>
    </row>
    <row r="4824" spans="1:4" x14ac:dyDescent="0.25">
      <c r="A4824" s="15">
        <f>Sheet2!A4824</f>
        <v>0</v>
      </c>
      <c r="B4824" s="8">
        <v>0</v>
      </c>
      <c r="C4824" s="9">
        <v>3.57</v>
      </c>
      <c r="D4824" s="13">
        <f t="shared" si="75"/>
        <v>3.57</v>
      </c>
    </row>
    <row r="4825" spans="1:4" x14ac:dyDescent="0.25">
      <c r="A4825" s="15">
        <f>Sheet2!A4825</f>
        <v>0</v>
      </c>
      <c r="B4825" s="8">
        <v>0</v>
      </c>
      <c r="C4825" s="9">
        <v>3.11</v>
      </c>
      <c r="D4825" s="13">
        <f t="shared" si="75"/>
        <v>3.11</v>
      </c>
    </row>
    <row r="4826" spans="1:4" x14ac:dyDescent="0.25">
      <c r="A4826" s="15">
        <f>Sheet2!A4826</f>
        <v>0</v>
      </c>
      <c r="B4826" s="8">
        <v>0</v>
      </c>
      <c r="C4826" s="9">
        <v>2.97</v>
      </c>
      <c r="D4826" s="13">
        <f t="shared" si="75"/>
        <v>2.97</v>
      </c>
    </row>
    <row r="4827" spans="1:4" x14ac:dyDescent="0.25">
      <c r="A4827" s="15">
        <f>Sheet2!A4827</f>
        <v>0</v>
      </c>
      <c r="B4827" s="8">
        <v>0</v>
      </c>
      <c r="C4827" s="9">
        <v>2.68</v>
      </c>
      <c r="D4827" s="13">
        <f t="shared" si="75"/>
        <v>2.68</v>
      </c>
    </row>
    <row r="4828" spans="1:4" x14ac:dyDescent="0.25">
      <c r="A4828" s="15">
        <f>Sheet2!A4828</f>
        <v>0</v>
      </c>
      <c r="B4828" s="8">
        <v>0</v>
      </c>
      <c r="C4828" s="9">
        <v>4.16</v>
      </c>
      <c r="D4828" s="13">
        <f t="shared" si="75"/>
        <v>4.16</v>
      </c>
    </row>
    <row r="4829" spans="1:4" x14ac:dyDescent="0.25">
      <c r="A4829" s="15">
        <f>Sheet2!A4829</f>
        <v>0</v>
      </c>
      <c r="B4829" s="8">
        <v>0</v>
      </c>
      <c r="C4829" s="9">
        <v>4.26</v>
      </c>
      <c r="D4829" s="13">
        <f t="shared" si="75"/>
        <v>4.26</v>
      </c>
    </row>
    <row r="4830" spans="1:4" x14ac:dyDescent="0.25">
      <c r="A4830" s="15">
        <f>Sheet2!A4830</f>
        <v>0</v>
      </c>
      <c r="B4830" s="8">
        <v>0</v>
      </c>
      <c r="C4830" s="9">
        <v>4.34</v>
      </c>
      <c r="D4830" s="13">
        <f t="shared" si="75"/>
        <v>4.34</v>
      </c>
    </row>
    <row r="4831" spans="1:4" x14ac:dyDescent="0.25">
      <c r="A4831" s="15">
        <f>Sheet2!A4831</f>
        <v>0</v>
      </c>
      <c r="B4831" s="8">
        <v>0</v>
      </c>
      <c r="C4831" s="9">
        <v>3.54</v>
      </c>
      <c r="D4831" s="13">
        <f t="shared" si="75"/>
        <v>3.54</v>
      </c>
    </row>
    <row r="4832" spans="1:4" x14ac:dyDescent="0.25">
      <c r="A4832" s="15">
        <f>Sheet2!A4832</f>
        <v>0</v>
      </c>
      <c r="B4832" s="8">
        <v>0</v>
      </c>
      <c r="C4832" s="9">
        <v>4.5</v>
      </c>
      <c r="D4832" s="13">
        <f t="shared" si="75"/>
        <v>4.5</v>
      </c>
    </row>
    <row r="4833" spans="1:4" x14ac:dyDescent="0.25">
      <c r="A4833" s="15">
        <f>Sheet2!A4833</f>
        <v>0</v>
      </c>
      <c r="B4833" s="8">
        <v>0</v>
      </c>
      <c r="C4833" s="9">
        <v>1.77</v>
      </c>
      <c r="D4833" s="13">
        <f t="shared" si="75"/>
        <v>1.77</v>
      </c>
    </row>
    <row r="4834" spans="1:4" x14ac:dyDescent="0.25">
      <c r="A4834" s="15">
        <f>Sheet2!A4834</f>
        <v>0</v>
      </c>
      <c r="B4834" s="8">
        <v>0</v>
      </c>
      <c r="C4834" s="9">
        <v>3.69</v>
      </c>
      <c r="D4834" s="13">
        <f t="shared" si="75"/>
        <v>3.69</v>
      </c>
    </row>
    <row r="4835" spans="1:4" x14ac:dyDescent="0.25">
      <c r="A4835" s="15">
        <f>Sheet2!A4835</f>
        <v>0</v>
      </c>
      <c r="B4835" s="8">
        <v>0</v>
      </c>
      <c r="C4835" s="9">
        <v>3.84</v>
      </c>
      <c r="D4835" s="13">
        <f t="shared" si="75"/>
        <v>3.84</v>
      </c>
    </row>
    <row r="4836" spans="1:4" x14ac:dyDescent="0.25">
      <c r="A4836" s="15">
        <f>Sheet2!A4836</f>
        <v>0</v>
      </c>
      <c r="B4836" s="8">
        <v>0</v>
      </c>
      <c r="C4836" s="9">
        <v>3.51</v>
      </c>
      <c r="D4836" s="13">
        <f t="shared" si="75"/>
        <v>3.51</v>
      </c>
    </row>
    <row r="4837" spans="1:4" x14ac:dyDescent="0.25">
      <c r="A4837" s="15">
        <f>Sheet2!A4837</f>
        <v>0</v>
      </c>
      <c r="B4837" s="8">
        <v>0</v>
      </c>
      <c r="C4837" s="9">
        <v>4.2300000000000004</v>
      </c>
      <c r="D4837" s="13">
        <f t="shared" si="75"/>
        <v>4.2300000000000004</v>
      </c>
    </row>
    <row r="4838" spans="1:4" x14ac:dyDescent="0.25">
      <c r="A4838" s="15">
        <f>Sheet2!A4838</f>
        <v>0</v>
      </c>
      <c r="B4838" s="8">
        <v>0</v>
      </c>
      <c r="C4838" s="9">
        <v>1.55</v>
      </c>
      <c r="D4838" s="13">
        <f t="shared" si="75"/>
        <v>1.55</v>
      </c>
    </row>
    <row r="4839" spans="1:4" x14ac:dyDescent="0.25">
      <c r="A4839" s="15">
        <f>Sheet2!A4839</f>
        <v>0</v>
      </c>
      <c r="B4839" s="8">
        <v>0</v>
      </c>
      <c r="C4839" s="9">
        <v>3.8</v>
      </c>
      <c r="D4839" s="13">
        <f t="shared" si="75"/>
        <v>3.8</v>
      </c>
    </row>
    <row r="4840" spans="1:4" x14ac:dyDescent="0.25">
      <c r="A4840" s="15">
        <f>Sheet2!A4840</f>
        <v>0</v>
      </c>
      <c r="B4840" s="8">
        <v>0</v>
      </c>
      <c r="C4840" s="9">
        <v>3.57</v>
      </c>
      <c r="D4840" s="13">
        <f t="shared" si="75"/>
        <v>3.57</v>
      </c>
    </row>
    <row r="4841" spans="1:4" x14ac:dyDescent="0.25">
      <c r="A4841" s="15">
        <f>Sheet2!A4841</f>
        <v>0</v>
      </c>
      <c r="B4841" s="8">
        <v>0</v>
      </c>
      <c r="C4841" s="9">
        <v>3.78</v>
      </c>
      <c r="D4841" s="13">
        <f t="shared" si="75"/>
        <v>3.78</v>
      </c>
    </row>
    <row r="4842" spans="1:4" x14ac:dyDescent="0.25">
      <c r="A4842" s="15">
        <f>Sheet2!A4842</f>
        <v>0</v>
      </c>
      <c r="B4842" s="8">
        <v>0</v>
      </c>
      <c r="C4842" s="9">
        <v>3.92</v>
      </c>
      <c r="D4842" s="13">
        <f t="shared" si="75"/>
        <v>3.92</v>
      </c>
    </row>
    <row r="4843" spans="1:4" x14ac:dyDescent="0.25">
      <c r="A4843" s="15">
        <f>Sheet2!A4843</f>
        <v>0</v>
      </c>
      <c r="B4843" s="8">
        <v>0</v>
      </c>
      <c r="C4843" s="9">
        <v>0.98</v>
      </c>
      <c r="D4843" s="13">
        <f t="shared" si="75"/>
        <v>0.98</v>
      </c>
    </row>
    <row r="4844" spans="1:4" x14ac:dyDescent="0.25">
      <c r="A4844" s="15">
        <f>Sheet2!A4844</f>
        <v>0</v>
      </c>
      <c r="B4844" s="8">
        <v>21.72</v>
      </c>
      <c r="C4844" s="9">
        <v>0</v>
      </c>
      <c r="D4844" s="13">
        <f t="shared" si="75"/>
        <v>21.72</v>
      </c>
    </row>
    <row r="4845" spans="1:4" x14ac:dyDescent="0.25">
      <c r="A4845" s="15">
        <f>Sheet2!A4845</f>
        <v>0</v>
      </c>
      <c r="B4845" s="8">
        <v>7.27</v>
      </c>
      <c r="C4845" s="9">
        <v>0</v>
      </c>
      <c r="D4845" s="13">
        <f t="shared" si="75"/>
        <v>7.27</v>
      </c>
    </row>
    <row r="4846" spans="1:4" x14ac:dyDescent="0.25">
      <c r="A4846" s="15">
        <f>Sheet2!A4846</f>
        <v>0</v>
      </c>
      <c r="B4846" s="8">
        <v>0</v>
      </c>
      <c r="C4846" s="9">
        <v>0</v>
      </c>
      <c r="D4846" s="13">
        <f t="shared" si="75"/>
        <v>0</v>
      </c>
    </row>
    <row r="4847" spans="1:4" x14ac:dyDescent="0.25">
      <c r="A4847" s="15">
        <f>Sheet2!A4847</f>
        <v>0</v>
      </c>
      <c r="B4847" s="8">
        <v>0</v>
      </c>
      <c r="C4847" s="9">
        <v>0</v>
      </c>
      <c r="D4847" s="13">
        <f t="shared" si="75"/>
        <v>0</v>
      </c>
    </row>
    <row r="4848" spans="1:4" x14ac:dyDescent="0.25">
      <c r="A4848" s="15">
        <f>Sheet2!A4848</f>
        <v>0</v>
      </c>
      <c r="B4848" s="8">
        <v>1.76</v>
      </c>
      <c r="C4848" s="9">
        <v>0</v>
      </c>
      <c r="D4848" s="13">
        <f t="shared" si="75"/>
        <v>1.76</v>
      </c>
    </row>
    <row r="4849" spans="1:4" x14ac:dyDescent="0.25">
      <c r="A4849" s="15">
        <f>Sheet2!A4849</f>
        <v>0</v>
      </c>
      <c r="B4849" s="8">
        <v>17.95</v>
      </c>
      <c r="C4849" s="9">
        <v>0</v>
      </c>
      <c r="D4849" s="13">
        <f t="shared" si="75"/>
        <v>17.95</v>
      </c>
    </row>
    <row r="4850" spans="1:4" x14ac:dyDescent="0.25">
      <c r="A4850" s="15">
        <f>Sheet2!A4850</f>
        <v>0</v>
      </c>
      <c r="B4850" s="8">
        <v>15.33</v>
      </c>
      <c r="C4850" s="9">
        <v>0</v>
      </c>
      <c r="D4850" s="13">
        <f t="shared" si="75"/>
        <v>15.33</v>
      </c>
    </row>
    <row r="4851" spans="1:4" x14ac:dyDescent="0.25">
      <c r="A4851" s="15">
        <f>Sheet2!A4851</f>
        <v>0</v>
      </c>
      <c r="B4851" s="8">
        <v>5.75</v>
      </c>
      <c r="C4851" s="9">
        <v>0</v>
      </c>
      <c r="D4851" s="13">
        <f t="shared" si="75"/>
        <v>5.75</v>
      </c>
    </row>
    <row r="4852" spans="1:4" x14ac:dyDescent="0.25">
      <c r="A4852" s="15">
        <f>Sheet2!A4852</f>
        <v>0</v>
      </c>
      <c r="B4852" s="8">
        <v>11.88</v>
      </c>
      <c r="C4852" s="9">
        <v>0</v>
      </c>
      <c r="D4852" s="13">
        <f t="shared" si="75"/>
        <v>11.88</v>
      </c>
    </row>
    <row r="4853" spans="1:4" x14ac:dyDescent="0.25">
      <c r="A4853" s="15">
        <f>Sheet2!A4853</f>
        <v>0</v>
      </c>
      <c r="B4853" s="8">
        <v>10.09</v>
      </c>
      <c r="C4853" s="9">
        <v>0</v>
      </c>
      <c r="D4853" s="13">
        <f t="shared" si="75"/>
        <v>10.09</v>
      </c>
    </row>
    <row r="4854" spans="1:4" x14ac:dyDescent="0.25">
      <c r="A4854" s="15">
        <f>Sheet2!A4854</f>
        <v>0</v>
      </c>
      <c r="B4854" s="8">
        <v>10.71</v>
      </c>
      <c r="C4854" s="9">
        <v>0</v>
      </c>
      <c r="D4854" s="13">
        <f t="shared" si="75"/>
        <v>10.71</v>
      </c>
    </row>
    <row r="4855" spans="1:4" x14ac:dyDescent="0.25">
      <c r="A4855" s="15">
        <f>Sheet2!A4855</f>
        <v>0</v>
      </c>
      <c r="B4855" s="8">
        <v>2.68</v>
      </c>
      <c r="C4855" s="9">
        <v>0</v>
      </c>
      <c r="D4855" s="13">
        <f t="shared" si="75"/>
        <v>2.68</v>
      </c>
    </row>
    <row r="4856" spans="1:4" x14ac:dyDescent="0.25">
      <c r="A4856" s="15">
        <f>Sheet2!A4856</f>
        <v>0</v>
      </c>
      <c r="B4856" s="8">
        <v>0</v>
      </c>
      <c r="C4856" s="9">
        <v>0</v>
      </c>
      <c r="D4856" s="13">
        <f t="shared" si="75"/>
        <v>0</v>
      </c>
    </row>
    <row r="4857" spans="1:4" x14ac:dyDescent="0.25">
      <c r="A4857" s="15">
        <f>Sheet2!A4857</f>
        <v>0</v>
      </c>
      <c r="B4857" s="8">
        <v>8.8000000000000007</v>
      </c>
      <c r="C4857" s="9">
        <v>0</v>
      </c>
      <c r="D4857" s="13">
        <f t="shared" si="75"/>
        <v>8.8000000000000007</v>
      </c>
    </row>
    <row r="4858" spans="1:4" x14ac:dyDescent="0.25">
      <c r="A4858" s="15">
        <f>Sheet2!A4858</f>
        <v>0</v>
      </c>
      <c r="B4858" s="8">
        <v>11.01</v>
      </c>
      <c r="C4858" s="9">
        <v>0</v>
      </c>
      <c r="D4858" s="13">
        <f t="shared" si="75"/>
        <v>11.01</v>
      </c>
    </row>
    <row r="4859" spans="1:4" x14ac:dyDescent="0.25">
      <c r="A4859" s="15">
        <f>Sheet2!A4859</f>
        <v>0</v>
      </c>
      <c r="B4859" s="8">
        <v>4.0199999999999996</v>
      </c>
      <c r="C4859" s="9">
        <v>0</v>
      </c>
      <c r="D4859" s="13">
        <f t="shared" si="75"/>
        <v>4.0199999999999996</v>
      </c>
    </row>
    <row r="4860" spans="1:4" x14ac:dyDescent="0.25">
      <c r="A4860" s="15">
        <f>Sheet2!A4860</f>
        <v>0</v>
      </c>
      <c r="B4860" s="8">
        <v>0</v>
      </c>
      <c r="C4860" s="9">
        <v>0</v>
      </c>
      <c r="D4860" s="13">
        <f t="shared" si="75"/>
        <v>0</v>
      </c>
    </row>
    <row r="4861" spans="1:4" x14ac:dyDescent="0.25">
      <c r="A4861" s="15">
        <f>Sheet2!A4861</f>
        <v>0</v>
      </c>
      <c r="B4861" s="8">
        <v>8.19</v>
      </c>
      <c r="C4861" s="9">
        <v>0</v>
      </c>
      <c r="D4861" s="13">
        <f t="shared" si="75"/>
        <v>8.19</v>
      </c>
    </row>
    <row r="4862" spans="1:4" x14ac:dyDescent="0.25">
      <c r="A4862" s="15">
        <f>Sheet2!A4862</f>
        <v>0</v>
      </c>
      <c r="B4862" s="8">
        <v>5.77</v>
      </c>
      <c r="C4862" s="9">
        <v>0</v>
      </c>
      <c r="D4862" s="13">
        <f t="shared" si="75"/>
        <v>5.77</v>
      </c>
    </row>
    <row r="4863" spans="1:4" x14ac:dyDescent="0.25">
      <c r="A4863" s="15">
        <f>Sheet2!A4863</f>
        <v>0</v>
      </c>
      <c r="B4863" s="8">
        <v>2.87</v>
      </c>
      <c r="C4863" s="9">
        <v>0</v>
      </c>
      <c r="D4863" s="13">
        <f t="shared" si="75"/>
        <v>2.87</v>
      </c>
    </row>
    <row r="4864" spans="1:4" x14ac:dyDescent="0.25">
      <c r="A4864" s="15">
        <f>Sheet2!A4864</f>
        <v>0</v>
      </c>
      <c r="B4864" s="8">
        <v>0</v>
      </c>
      <c r="C4864" s="9">
        <v>1.24</v>
      </c>
      <c r="D4864" s="13">
        <f t="shared" si="75"/>
        <v>1.24</v>
      </c>
    </row>
    <row r="4865" spans="1:4" x14ac:dyDescent="0.25">
      <c r="A4865" s="15">
        <f>Sheet2!A4865</f>
        <v>0</v>
      </c>
      <c r="B4865" s="8">
        <v>0</v>
      </c>
      <c r="C4865" s="9">
        <v>1.46</v>
      </c>
      <c r="D4865" s="13">
        <f t="shared" si="75"/>
        <v>1.46</v>
      </c>
    </row>
    <row r="4866" spans="1:4" x14ac:dyDescent="0.25">
      <c r="A4866" s="15">
        <f>Sheet2!A4866</f>
        <v>0</v>
      </c>
      <c r="B4866" s="8">
        <v>0</v>
      </c>
      <c r="C4866" s="9">
        <v>0.22</v>
      </c>
      <c r="D4866" s="13">
        <f t="shared" si="75"/>
        <v>0.22</v>
      </c>
    </row>
    <row r="4867" spans="1:4" x14ac:dyDescent="0.25">
      <c r="A4867" s="15">
        <f>Sheet2!A4867</f>
        <v>0</v>
      </c>
      <c r="B4867" s="8">
        <v>0</v>
      </c>
      <c r="C4867" s="9">
        <v>1.25</v>
      </c>
      <c r="D4867" s="13">
        <f t="shared" ref="D4867:D4930" si="76">B4867+C4867</f>
        <v>1.25</v>
      </c>
    </row>
    <row r="4868" spans="1:4" x14ac:dyDescent="0.25">
      <c r="A4868" s="15">
        <f>Sheet2!A4868</f>
        <v>0</v>
      </c>
      <c r="B4868" s="8">
        <v>0</v>
      </c>
      <c r="C4868" s="9">
        <v>2.98</v>
      </c>
      <c r="D4868" s="13">
        <f t="shared" si="76"/>
        <v>2.98</v>
      </c>
    </row>
    <row r="4869" spans="1:4" x14ac:dyDescent="0.25">
      <c r="A4869" s="15">
        <f>Sheet2!A4869</f>
        <v>0</v>
      </c>
      <c r="B4869" s="8">
        <v>0</v>
      </c>
      <c r="C4869" s="9">
        <v>2.0699999999999998</v>
      </c>
      <c r="D4869" s="13">
        <f t="shared" si="76"/>
        <v>2.0699999999999998</v>
      </c>
    </row>
    <row r="4870" spans="1:4" x14ac:dyDescent="0.25">
      <c r="A4870" s="15">
        <f>Sheet2!A4870</f>
        <v>0</v>
      </c>
      <c r="B4870" s="8">
        <v>17.77</v>
      </c>
      <c r="C4870" s="9">
        <v>0</v>
      </c>
      <c r="D4870" s="13">
        <f t="shared" si="76"/>
        <v>17.77</v>
      </c>
    </row>
    <row r="4871" spans="1:4" x14ac:dyDescent="0.25">
      <c r="A4871" s="15">
        <f>Sheet2!A4871</f>
        <v>0</v>
      </c>
      <c r="B4871" s="8">
        <v>0</v>
      </c>
      <c r="C4871" s="9">
        <v>1.84</v>
      </c>
      <c r="D4871" s="13">
        <f t="shared" si="76"/>
        <v>1.84</v>
      </c>
    </row>
    <row r="4872" spans="1:4" x14ac:dyDescent="0.25">
      <c r="A4872" s="15">
        <f>Sheet2!A4872</f>
        <v>0</v>
      </c>
      <c r="B4872" s="8">
        <v>0</v>
      </c>
      <c r="C4872" s="9">
        <v>3.56</v>
      </c>
      <c r="D4872" s="13">
        <f t="shared" si="76"/>
        <v>3.56</v>
      </c>
    </row>
    <row r="4873" spans="1:4" x14ac:dyDescent="0.25">
      <c r="A4873" s="15">
        <f>Sheet2!A4873</f>
        <v>0</v>
      </c>
      <c r="B4873" s="8">
        <v>0</v>
      </c>
      <c r="C4873" s="9">
        <v>1.92</v>
      </c>
      <c r="D4873" s="13">
        <f t="shared" si="76"/>
        <v>1.92</v>
      </c>
    </row>
    <row r="4874" spans="1:4" x14ac:dyDescent="0.25">
      <c r="A4874" s="15">
        <f>Sheet2!A4874</f>
        <v>0</v>
      </c>
      <c r="B4874" s="8">
        <v>16.04</v>
      </c>
      <c r="C4874" s="9">
        <v>0</v>
      </c>
      <c r="D4874" s="13">
        <f t="shared" si="76"/>
        <v>16.04</v>
      </c>
    </row>
    <row r="4875" spans="1:4" x14ac:dyDescent="0.25">
      <c r="A4875" s="15">
        <f>Sheet2!A4875</f>
        <v>0</v>
      </c>
      <c r="B4875" s="8">
        <v>0</v>
      </c>
      <c r="C4875" s="9">
        <v>1.0900000000000001</v>
      </c>
      <c r="D4875" s="13">
        <f t="shared" si="76"/>
        <v>1.0900000000000001</v>
      </c>
    </row>
    <row r="4876" spans="1:4" x14ac:dyDescent="0.25">
      <c r="A4876" s="15">
        <f>Sheet2!A4876</f>
        <v>0</v>
      </c>
      <c r="B4876" s="8">
        <v>0</v>
      </c>
      <c r="C4876" s="9">
        <v>2.4700000000000002</v>
      </c>
      <c r="D4876" s="13">
        <f t="shared" si="76"/>
        <v>2.4700000000000002</v>
      </c>
    </row>
    <row r="4877" spans="1:4" x14ac:dyDescent="0.25">
      <c r="A4877" s="15">
        <f>Sheet2!A4877</f>
        <v>0</v>
      </c>
      <c r="B4877" s="8">
        <v>0</v>
      </c>
      <c r="C4877" s="9">
        <v>1.17</v>
      </c>
      <c r="D4877" s="13">
        <f t="shared" si="76"/>
        <v>1.17</v>
      </c>
    </row>
    <row r="4878" spans="1:4" x14ac:dyDescent="0.25">
      <c r="A4878" s="15">
        <f>Sheet2!A4878</f>
        <v>0</v>
      </c>
      <c r="B4878" s="8">
        <v>11.32</v>
      </c>
      <c r="C4878" s="9">
        <v>0</v>
      </c>
      <c r="D4878" s="13">
        <f t="shared" si="76"/>
        <v>11.32</v>
      </c>
    </row>
    <row r="4879" spans="1:4" x14ac:dyDescent="0.25">
      <c r="A4879" s="15">
        <f>Sheet2!A4879</f>
        <v>0</v>
      </c>
      <c r="B4879" s="8">
        <v>11.45</v>
      </c>
      <c r="C4879" s="9">
        <v>0</v>
      </c>
      <c r="D4879" s="13">
        <f t="shared" si="76"/>
        <v>11.45</v>
      </c>
    </row>
    <row r="4880" spans="1:4" x14ac:dyDescent="0.25">
      <c r="A4880" s="15">
        <f>Sheet2!A4880</f>
        <v>0</v>
      </c>
      <c r="B4880" s="8">
        <v>11.8</v>
      </c>
      <c r="C4880" s="9">
        <v>0</v>
      </c>
      <c r="D4880" s="13">
        <f t="shared" si="76"/>
        <v>11.8</v>
      </c>
    </row>
    <row r="4881" spans="1:4" x14ac:dyDescent="0.25">
      <c r="A4881" s="15">
        <f>Sheet2!A4881</f>
        <v>0</v>
      </c>
      <c r="B4881" s="8">
        <v>0</v>
      </c>
      <c r="C4881" s="9">
        <v>1.55</v>
      </c>
      <c r="D4881" s="13">
        <f t="shared" si="76"/>
        <v>1.55</v>
      </c>
    </row>
    <row r="4882" spans="1:4" x14ac:dyDescent="0.25">
      <c r="A4882" s="15">
        <f>Sheet2!A4882</f>
        <v>0</v>
      </c>
      <c r="B4882" s="8">
        <v>0</v>
      </c>
      <c r="C4882" s="9">
        <v>2.0299999999999998</v>
      </c>
      <c r="D4882" s="13">
        <f t="shared" si="76"/>
        <v>2.0299999999999998</v>
      </c>
    </row>
    <row r="4883" spans="1:4" x14ac:dyDescent="0.25">
      <c r="A4883" s="15">
        <f>Sheet2!A4883</f>
        <v>0</v>
      </c>
      <c r="B4883" s="8">
        <v>0</v>
      </c>
      <c r="C4883" s="9">
        <v>0.78</v>
      </c>
      <c r="D4883" s="13">
        <f t="shared" si="76"/>
        <v>0.78</v>
      </c>
    </row>
    <row r="4884" spans="1:4" x14ac:dyDescent="0.25">
      <c r="A4884" s="15">
        <f>Sheet2!A4884</f>
        <v>0</v>
      </c>
      <c r="B4884" s="8">
        <v>0</v>
      </c>
      <c r="C4884" s="9">
        <v>0.6</v>
      </c>
      <c r="D4884" s="13">
        <f t="shared" si="76"/>
        <v>0.6</v>
      </c>
    </row>
    <row r="4885" spans="1:4" x14ac:dyDescent="0.25">
      <c r="A4885" s="15">
        <f>Sheet2!A4885</f>
        <v>0</v>
      </c>
      <c r="B4885" s="8">
        <v>0</v>
      </c>
      <c r="C4885" s="9">
        <v>1.02</v>
      </c>
      <c r="D4885" s="13">
        <f t="shared" si="76"/>
        <v>1.02</v>
      </c>
    </row>
    <row r="4886" spans="1:4" x14ac:dyDescent="0.25">
      <c r="A4886" s="15">
        <f>Sheet2!A4886</f>
        <v>0</v>
      </c>
      <c r="B4886" s="8">
        <v>0</v>
      </c>
      <c r="C4886" s="9">
        <v>1.58</v>
      </c>
      <c r="D4886" s="13">
        <f t="shared" si="76"/>
        <v>1.58</v>
      </c>
    </row>
    <row r="4887" spans="1:4" x14ac:dyDescent="0.25">
      <c r="A4887" s="15">
        <f>Sheet2!A4887</f>
        <v>0</v>
      </c>
      <c r="B4887" s="8">
        <v>0</v>
      </c>
      <c r="C4887" s="9">
        <v>1.74</v>
      </c>
      <c r="D4887" s="13">
        <f t="shared" si="76"/>
        <v>1.74</v>
      </c>
    </row>
    <row r="4888" spans="1:4" x14ac:dyDescent="0.25">
      <c r="A4888" s="15">
        <f>Sheet2!A4888</f>
        <v>0</v>
      </c>
      <c r="B4888" s="8">
        <v>20.010000000000002</v>
      </c>
      <c r="C4888" s="9">
        <v>0</v>
      </c>
      <c r="D4888" s="13">
        <f t="shared" si="76"/>
        <v>20.010000000000002</v>
      </c>
    </row>
    <row r="4889" spans="1:4" x14ac:dyDescent="0.25">
      <c r="A4889" s="15">
        <f>Sheet2!A4889</f>
        <v>0</v>
      </c>
      <c r="B4889" s="8">
        <v>0</v>
      </c>
      <c r="C4889" s="9">
        <v>1.42</v>
      </c>
      <c r="D4889" s="13">
        <f t="shared" si="76"/>
        <v>1.42</v>
      </c>
    </row>
    <row r="4890" spans="1:4" x14ac:dyDescent="0.25">
      <c r="A4890" s="15">
        <f>Sheet2!A4890</f>
        <v>0</v>
      </c>
      <c r="B4890" s="8">
        <v>0</v>
      </c>
      <c r="C4890" s="9">
        <v>3.54</v>
      </c>
      <c r="D4890" s="13">
        <f t="shared" si="76"/>
        <v>3.54</v>
      </c>
    </row>
    <row r="4891" spans="1:4" x14ac:dyDescent="0.25">
      <c r="A4891" s="15">
        <f>Sheet2!A4891</f>
        <v>0</v>
      </c>
      <c r="B4891" s="8">
        <v>0</v>
      </c>
      <c r="C4891" s="9">
        <v>2.42</v>
      </c>
      <c r="D4891" s="13">
        <f t="shared" si="76"/>
        <v>2.42</v>
      </c>
    </row>
    <row r="4892" spans="1:4" x14ac:dyDescent="0.25">
      <c r="A4892" s="15">
        <f>Sheet2!A4892</f>
        <v>0</v>
      </c>
      <c r="B4892" s="8">
        <v>0</v>
      </c>
      <c r="C4892" s="9">
        <v>1.66</v>
      </c>
      <c r="D4892" s="13">
        <f t="shared" si="76"/>
        <v>1.66</v>
      </c>
    </row>
    <row r="4893" spans="1:4" x14ac:dyDescent="0.25">
      <c r="A4893" s="15">
        <f>Sheet2!A4893</f>
        <v>0</v>
      </c>
      <c r="B4893" s="8">
        <v>0</v>
      </c>
      <c r="C4893" s="9">
        <v>1.91</v>
      </c>
      <c r="D4893" s="13">
        <f t="shared" si="76"/>
        <v>1.91</v>
      </c>
    </row>
    <row r="4894" spans="1:4" x14ac:dyDescent="0.25">
      <c r="A4894" s="15">
        <f>Sheet2!A4894</f>
        <v>0</v>
      </c>
      <c r="B4894" s="8">
        <v>0</v>
      </c>
      <c r="C4894" s="9">
        <v>3.2</v>
      </c>
      <c r="D4894" s="13">
        <f t="shared" si="76"/>
        <v>3.2</v>
      </c>
    </row>
    <row r="4895" spans="1:4" x14ac:dyDescent="0.25">
      <c r="A4895" s="15">
        <f>Sheet2!A4895</f>
        <v>0</v>
      </c>
      <c r="B4895" s="8">
        <v>0</v>
      </c>
      <c r="C4895" s="9">
        <v>2.59</v>
      </c>
      <c r="D4895" s="13">
        <f t="shared" si="76"/>
        <v>2.59</v>
      </c>
    </row>
    <row r="4896" spans="1:4" x14ac:dyDescent="0.25">
      <c r="A4896" s="15">
        <f>Sheet2!A4896</f>
        <v>0</v>
      </c>
      <c r="B4896" s="8">
        <v>0</v>
      </c>
      <c r="C4896" s="9">
        <v>3.84</v>
      </c>
      <c r="D4896" s="13">
        <f t="shared" si="76"/>
        <v>3.84</v>
      </c>
    </row>
    <row r="4897" spans="1:4" x14ac:dyDescent="0.25">
      <c r="A4897" s="15">
        <f>Sheet2!A4897</f>
        <v>0</v>
      </c>
      <c r="B4897" s="8">
        <v>0</v>
      </c>
      <c r="C4897" s="9">
        <v>1.1599999999999999</v>
      </c>
      <c r="D4897" s="13">
        <f t="shared" si="76"/>
        <v>1.1599999999999999</v>
      </c>
    </row>
    <row r="4898" spans="1:4" x14ac:dyDescent="0.25">
      <c r="A4898" s="15">
        <f>Sheet2!A4898</f>
        <v>0</v>
      </c>
      <c r="B4898" s="8">
        <v>8.92</v>
      </c>
      <c r="C4898" s="9">
        <v>0</v>
      </c>
      <c r="D4898" s="13">
        <f t="shared" si="76"/>
        <v>8.92</v>
      </c>
    </row>
    <row r="4899" spans="1:4" x14ac:dyDescent="0.25">
      <c r="A4899" s="15">
        <f>Sheet2!A4899</f>
        <v>0</v>
      </c>
      <c r="B4899" s="8">
        <v>0</v>
      </c>
      <c r="C4899" s="9">
        <v>2.11</v>
      </c>
      <c r="D4899" s="13">
        <f t="shared" si="76"/>
        <v>2.11</v>
      </c>
    </row>
    <row r="4900" spans="1:4" x14ac:dyDescent="0.25">
      <c r="A4900" s="15">
        <f>Sheet2!A4900</f>
        <v>0</v>
      </c>
      <c r="B4900" s="8">
        <v>0</v>
      </c>
      <c r="C4900" s="9">
        <v>2.62</v>
      </c>
      <c r="D4900" s="13">
        <f t="shared" si="76"/>
        <v>2.62</v>
      </c>
    </row>
    <row r="4901" spans="1:4" x14ac:dyDescent="0.25">
      <c r="A4901" s="15">
        <f>Sheet2!A4901</f>
        <v>0</v>
      </c>
      <c r="B4901" s="8">
        <v>0</v>
      </c>
      <c r="C4901" s="9">
        <v>0.92</v>
      </c>
      <c r="D4901" s="13">
        <f t="shared" si="76"/>
        <v>0.92</v>
      </c>
    </row>
    <row r="4902" spans="1:4" x14ac:dyDescent="0.25">
      <c r="A4902" s="15">
        <f>Sheet2!A4902</f>
        <v>0</v>
      </c>
      <c r="B4902" s="8">
        <v>10.3</v>
      </c>
      <c r="C4902" s="9">
        <v>0</v>
      </c>
      <c r="D4902" s="13">
        <f t="shared" si="76"/>
        <v>10.3</v>
      </c>
    </row>
    <row r="4903" spans="1:4" x14ac:dyDescent="0.25">
      <c r="A4903" s="15">
        <f>Sheet2!A4903</f>
        <v>0</v>
      </c>
      <c r="B4903" s="8">
        <v>0</v>
      </c>
      <c r="C4903" s="9">
        <v>1.54</v>
      </c>
      <c r="D4903" s="13">
        <f t="shared" si="76"/>
        <v>1.54</v>
      </c>
    </row>
    <row r="4904" spans="1:4" x14ac:dyDescent="0.25">
      <c r="A4904" s="15">
        <f>Sheet2!A4904</f>
        <v>0</v>
      </c>
      <c r="B4904" s="8">
        <v>0</v>
      </c>
      <c r="C4904" s="9">
        <v>2.94</v>
      </c>
      <c r="D4904" s="13">
        <f t="shared" si="76"/>
        <v>2.94</v>
      </c>
    </row>
    <row r="4905" spans="1:4" x14ac:dyDescent="0.25">
      <c r="A4905" s="15">
        <f>Sheet2!A4905</f>
        <v>0</v>
      </c>
      <c r="B4905" s="8">
        <v>0</v>
      </c>
      <c r="C4905" s="9">
        <v>0.97</v>
      </c>
      <c r="D4905" s="13">
        <f t="shared" si="76"/>
        <v>0.97</v>
      </c>
    </row>
    <row r="4906" spans="1:4" x14ac:dyDescent="0.25">
      <c r="A4906" s="15">
        <f>Sheet2!A4906</f>
        <v>0</v>
      </c>
      <c r="B4906" s="8">
        <v>0</v>
      </c>
      <c r="C4906" s="9">
        <v>0.27</v>
      </c>
      <c r="D4906" s="13">
        <f t="shared" si="76"/>
        <v>0.27</v>
      </c>
    </row>
    <row r="4907" spans="1:4" x14ac:dyDescent="0.25">
      <c r="A4907" s="15">
        <f>Sheet2!A4907</f>
        <v>0</v>
      </c>
      <c r="B4907" s="8">
        <v>0</v>
      </c>
      <c r="C4907" s="9">
        <v>0.74</v>
      </c>
      <c r="D4907" s="13">
        <f t="shared" si="76"/>
        <v>0.74</v>
      </c>
    </row>
    <row r="4908" spans="1:4" x14ac:dyDescent="0.25">
      <c r="A4908" s="15">
        <f>Sheet2!A4908</f>
        <v>0</v>
      </c>
      <c r="B4908" s="8">
        <v>0</v>
      </c>
      <c r="C4908" s="9">
        <v>1.71</v>
      </c>
      <c r="D4908" s="13">
        <f t="shared" si="76"/>
        <v>1.71</v>
      </c>
    </row>
    <row r="4909" spans="1:4" x14ac:dyDescent="0.25">
      <c r="A4909" s="15">
        <f>Sheet2!A4909</f>
        <v>0</v>
      </c>
      <c r="B4909" s="8">
        <v>0</v>
      </c>
      <c r="C4909" s="9">
        <v>0.7</v>
      </c>
      <c r="D4909" s="13">
        <f t="shared" si="76"/>
        <v>0.7</v>
      </c>
    </row>
    <row r="4910" spans="1:4" x14ac:dyDescent="0.25">
      <c r="A4910" s="15">
        <f>Sheet2!A4910</f>
        <v>0</v>
      </c>
      <c r="B4910" s="8">
        <v>9.43</v>
      </c>
      <c r="C4910" s="9">
        <v>0</v>
      </c>
      <c r="D4910" s="13">
        <f t="shared" si="76"/>
        <v>9.43</v>
      </c>
    </row>
    <row r="4911" spans="1:4" x14ac:dyDescent="0.25">
      <c r="A4911" s="15">
        <f>Sheet2!A4911</f>
        <v>0</v>
      </c>
      <c r="B4911" s="8">
        <v>0</v>
      </c>
      <c r="C4911" s="9">
        <v>2.4500000000000002</v>
      </c>
      <c r="D4911" s="13">
        <f t="shared" si="76"/>
        <v>2.4500000000000002</v>
      </c>
    </row>
    <row r="4912" spans="1:4" x14ac:dyDescent="0.25">
      <c r="A4912" s="15">
        <f>Sheet2!A4912</f>
        <v>0</v>
      </c>
      <c r="B4912" s="8">
        <v>0</v>
      </c>
      <c r="C4912" s="9">
        <v>3.12</v>
      </c>
      <c r="D4912" s="13">
        <f t="shared" si="76"/>
        <v>3.12</v>
      </c>
    </row>
    <row r="4913" spans="1:4" x14ac:dyDescent="0.25">
      <c r="A4913" s="15">
        <f>Sheet2!A4913</f>
        <v>0</v>
      </c>
      <c r="B4913" s="8">
        <v>0</v>
      </c>
      <c r="C4913" s="9">
        <v>3.73</v>
      </c>
      <c r="D4913" s="13">
        <f t="shared" si="76"/>
        <v>3.73</v>
      </c>
    </row>
    <row r="4914" spans="1:4" x14ac:dyDescent="0.25">
      <c r="A4914" s="15">
        <f>Sheet2!A4914</f>
        <v>0</v>
      </c>
      <c r="B4914" s="8">
        <v>0</v>
      </c>
      <c r="C4914" s="9">
        <v>3.5</v>
      </c>
      <c r="D4914" s="13">
        <f t="shared" si="76"/>
        <v>3.5</v>
      </c>
    </row>
    <row r="4915" spans="1:4" x14ac:dyDescent="0.25">
      <c r="A4915" s="15">
        <f>Sheet2!A4915</f>
        <v>0</v>
      </c>
      <c r="B4915" s="8">
        <v>0</v>
      </c>
      <c r="C4915" s="9">
        <v>1.99</v>
      </c>
      <c r="D4915" s="13">
        <f t="shared" si="76"/>
        <v>1.99</v>
      </c>
    </row>
    <row r="4916" spans="1:4" x14ac:dyDescent="0.25">
      <c r="A4916" s="15">
        <f>Sheet2!A4916</f>
        <v>0</v>
      </c>
      <c r="B4916" s="8">
        <v>15.6</v>
      </c>
      <c r="C4916" s="9">
        <v>0</v>
      </c>
      <c r="D4916" s="13">
        <f t="shared" si="76"/>
        <v>15.6</v>
      </c>
    </row>
    <row r="4917" spans="1:4" x14ac:dyDescent="0.25">
      <c r="A4917" s="15">
        <f>Sheet2!A4917</f>
        <v>0</v>
      </c>
      <c r="B4917" s="8">
        <v>13.22</v>
      </c>
      <c r="C4917" s="9">
        <v>0</v>
      </c>
      <c r="D4917" s="13">
        <f t="shared" si="76"/>
        <v>13.22</v>
      </c>
    </row>
    <row r="4918" spans="1:4" x14ac:dyDescent="0.25">
      <c r="A4918" s="15">
        <f>Sheet2!A4918</f>
        <v>0</v>
      </c>
      <c r="B4918" s="8">
        <v>0</v>
      </c>
      <c r="C4918" s="9">
        <v>3.22</v>
      </c>
      <c r="D4918" s="13">
        <f t="shared" si="76"/>
        <v>3.22</v>
      </c>
    </row>
    <row r="4919" spans="1:4" x14ac:dyDescent="0.25">
      <c r="A4919" s="15">
        <f>Sheet2!A4919</f>
        <v>0</v>
      </c>
      <c r="B4919" s="8">
        <v>0</v>
      </c>
      <c r="C4919" s="9">
        <v>3.99</v>
      </c>
      <c r="D4919" s="13">
        <f t="shared" si="76"/>
        <v>3.99</v>
      </c>
    </row>
    <row r="4920" spans="1:4" x14ac:dyDescent="0.25">
      <c r="A4920" s="15">
        <f>Sheet2!A4920</f>
        <v>0</v>
      </c>
      <c r="B4920" s="8">
        <v>0</v>
      </c>
      <c r="C4920" s="9">
        <v>3.39</v>
      </c>
      <c r="D4920" s="13">
        <f t="shared" si="76"/>
        <v>3.39</v>
      </c>
    </row>
    <row r="4921" spans="1:4" x14ac:dyDescent="0.25">
      <c r="A4921" s="15">
        <f>Sheet2!A4921</f>
        <v>0</v>
      </c>
      <c r="B4921" s="8">
        <v>0</v>
      </c>
      <c r="C4921" s="9">
        <v>1.52</v>
      </c>
      <c r="D4921" s="13">
        <f t="shared" si="76"/>
        <v>1.52</v>
      </c>
    </row>
    <row r="4922" spans="1:4" x14ac:dyDescent="0.25">
      <c r="A4922" s="15">
        <f>Sheet2!A4922</f>
        <v>0</v>
      </c>
      <c r="B4922" s="8">
        <v>0</v>
      </c>
      <c r="C4922" s="9">
        <v>1.75</v>
      </c>
      <c r="D4922" s="13">
        <f t="shared" si="76"/>
        <v>1.75</v>
      </c>
    </row>
    <row r="4923" spans="1:4" x14ac:dyDescent="0.25">
      <c r="A4923" s="15">
        <f>Sheet2!A4923</f>
        <v>0</v>
      </c>
      <c r="B4923" s="8">
        <v>0</v>
      </c>
      <c r="C4923" s="9">
        <v>2.71</v>
      </c>
      <c r="D4923" s="13">
        <f t="shared" si="76"/>
        <v>2.71</v>
      </c>
    </row>
    <row r="4924" spans="1:4" x14ac:dyDescent="0.25">
      <c r="A4924" s="15">
        <f>Sheet2!A4924</f>
        <v>0</v>
      </c>
      <c r="B4924" s="8">
        <v>0</v>
      </c>
      <c r="C4924" s="9">
        <v>3.05</v>
      </c>
      <c r="D4924" s="13">
        <f t="shared" si="76"/>
        <v>3.05</v>
      </c>
    </row>
    <row r="4925" spans="1:4" x14ac:dyDescent="0.25">
      <c r="A4925" s="15">
        <f>Sheet2!A4925</f>
        <v>0</v>
      </c>
      <c r="B4925" s="8">
        <v>0</v>
      </c>
      <c r="C4925" s="9">
        <v>2.98</v>
      </c>
      <c r="D4925" s="13">
        <f t="shared" si="76"/>
        <v>2.98</v>
      </c>
    </row>
    <row r="4926" spans="1:4" x14ac:dyDescent="0.25">
      <c r="A4926" s="15">
        <f>Sheet2!A4926</f>
        <v>0</v>
      </c>
      <c r="B4926" s="8">
        <v>0</v>
      </c>
      <c r="C4926" s="9">
        <v>0.94</v>
      </c>
      <c r="D4926" s="13">
        <f t="shared" si="76"/>
        <v>0.94</v>
      </c>
    </row>
    <row r="4927" spans="1:4" x14ac:dyDescent="0.25">
      <c r="A4927" s="15">
        <f>Sheet2!A4927</f>
        <v>0</v>
      </c>
      <c r="B4927" s="8">
        <v>0</v>
      </c>
      <c r="C4927" s="9">
        <v>1.87</v>
      </c>
      <c r="D4927" s="13">
        <f t="shared" si="76"/>
        <v>1.87</v>
      </c>
    </row>
    <row r="4928" spans="1:4" x14ac:dyDescent="0.25">
      <c r="A4928" s="15">
        <f>Sheet2!A4928</f>
        <v>0</v>
      </c>
      <c r="B4928" s="8">
        <v>0</v>
      </c>
      <c r="C4928" s="9">
        <v>4</v>
      </c>
      <c r="D4928" s="13">
        <f t="shared" si="76"/>
        <v>4</v>
      </c>
    </row>
    <row r="4929" spans="1:4" x14ac:dyDescent="0.25">
      <c r="A4929" s="15">
        <f>Sheet2!A4929</f>
        <v>0</v>
      </c>
      <c r="B4929" s="8">
        <v>0</v>
      </c>
      <c r="C4929" s="9">
        <v>4.74</v>
      </c>
      <c r="D4929" s="13">
        <f t="shared" si="76"/>
        <v>4.74</v>
      </c>
    </row>
    <row r="4930" spans="1:4" x14ac:dyDescent="0.25">
      <c r="A4930" s="15">
        <f>Sheet2!A4930</f>
        <v>0</v>
      </c>
      <c r="B4930" s="8">
        <v>0</v>
      </c>
      <c r="C4930" s="9">
        <v>2.95</v>
      </c>
      <c r="D4930" s="13">
        <f t="shared" si="76"/>
        <v>2.95</v>
      </c>
    </row>
    <row r="4931" spans="1:4" x14ac:dyDescent="0.25">
      <c r="A4931" s="15">
        <f>Sheet2!A4931</f>
        <v>0</v>
      </c>
      <c r="B4931" s="8">
        <v>0</v>
      </c>
      <c r="C4931" s="9">
        <v>0.87</v>
      </c>
      <c r="D4931" s="13">
        <f t="shared" ref="D4931:D4994" si="77">B4931+C4931</f>
        <v>0.87</v>
      </c>
    </row>
    <row r="4932" spans="1:4" x14ac:dyDescent="0.25">
      <c r="A4932" s="15">
        <f>Sheet2!A4932</f>
        <v>0</v>
      </c>
      <c r="B4932" s="8">
        <v>14.63</v>
      </c>
      <c r="C4932" s="9">
        <v>0</v>
      </c>
      <c r="D4932" s="13">
        <f t="shared" si="77"/>
        <v>14.63</v>
      </c>
    </row>
    <row r="4933" spans="1:4" x14ac:dyDescent="0.25">
      <c r="A4933" s="15">
        <f>Sheet2!A4933</f>
        <v>0</v>
      </c>
      <c r="B4933" s="8">
        <v>0</v>
      </c>
      <c r="C4933" s="9">
        <v>0.57999999999999996</v>
      </c>
      <c r="D4933" s="13">
        <f t="shared" si="77"/>
        <v>0.57999999999999996</v>
      </c>
    </row>
    <row r="4934" spans="1:4" x14ac:dyDescent="0.25">
      <c r="A4934" s="15">
        <f>Sheet2!A4934</f>
        <v>0</v>
      </c>
      <c r="B4934" s="8">
        <v>0</v>
      </c>
      <c r="C4934" s="9">
        <v>0.46</v>
      </c>
      <c r="D4934" s="13">
        <f t="shared" si="77"/>
        <v>0.46</v>
      </c>
    </row>
    <row r="4935" spans="1:4" x14ac:dyDescent="0.25">
      <c r="A4935" s="15">
        <f>Sheet2!A4935</f>
        <v>0</v>
      </c>
      <c r="B4935" s="8">
        <v>0</v>
      </c>
      <c r="C4935" s="9">
        <v>0.96</v>
      </c>
      <c r="D4935" s="13">
        <f t="shared" si="77"/>
        <v>0.96</v>
      </c>
    </row>
    <row r="4936" spans="1:4" x14ac:dyDescent="0.25">
      <c r="A4936" s="15">
        <f>Sheet2!A4936</f>
        <v>0</v>
      </c>
      <c r="B4936" s="8">
        <v>0</v>
      </c>
      <c r="C4936" s="9">
        <v>0.69</v>
      </c>
      <c r="D4936" s="13">
        <f t="shared" si="77"/>
        <v>0.69</v>
      </c>
    </row>
    <row r="4937" spans="1:4" x14ac:dyDescent="0.25">
      <c r="A4937" s="15">
        <f>Sheet2!A4937</f>
        <v>0</v>
      </c>
      <c r="B4937" s="8">
        <v>0</v>
      </c>
      <c r="C4937" s="9">
        <v>1.95</v>
      </c>
      <c r="D4937" s="13">
        <f t="shared" si="77"/>
        <v>1.95</v>
      </c>
    </row>
    <row r="4938" spans="1:4" x14ac:dyDescent="0.25">
      <c r="A4938" s="15">
        <f>Sheet2!A4938</f>
        <v>0</v>
      </c>
      <c r="B4938" s="8">
        <v>0</v>
      </c>
      <c r="C4938" s="9">
        <v>3.53</v>
      </c>
      <c r="D4938" s="13">
        <f t="shared" si="77"/>
        <v>3.53</v>
      </c>
    </row>
    <row r="4939" spans="1:4" x14ac:dyDescent="0.25">
      <c r="A4939" s="15">
        <f>Sheet2!A4939</f>
        <v>0</v>
      </c>
      <c r="B4939" s="8">
        <v>0</v>
      </c>
      <c r="C4939" s="9">
        <v>3.84</v>
      </c>
      <c r="D4939" s="13">
        <f t="shared" si="77"/>
        <v>3.84</v>
      </c>
    </row>
    <row r="4940" spans="1:4" x14ac:dyDescent="0.25">
      <c r="A4940" s="15">
        <f>Sheet2!A4940</f>
        <v>0</v>
      </c>
      <c r="B4940" s="8">
        <v>0</v>
      </c>
      <c r="C4940" s="9">
        <v>3.65</v>
      </c>
      <c r="D4940" s="13">
        <f t="shared" si="77"/>
        <v>3.65</v>
      </c>
    </row>
    <row r="4941" spans="1:4" x14ac:dyDescent="0.25">
      <c r="A4941" s="15">
        <f>Sheet2!A4941</f>
        <v>0</v>
      </c>
      <c r="B4941" s="8">
        <v>0</v>
      </c>
      <c r="C4941" s="9">
        <v>1.06</v>
      </c>
      <c r="D4941" s="13">
        <f t="shared" si="77"/>
        <v>1.06</v>
      </c>
    </row>
    <row r="4942" spans="1:4" x14ac:dyDescent="0.25">
      <c r="A4942" s="15">
        <f>Sheet2!A4942</f>
        <v>0</v>
      </c>
      <c r="B4942" s="8">
        <v>15.86</v>
      </c>
      <c r="C4942" s="9">
        <v>0</v>
      </c>
      <c r="D4942" s="13">
        <f t="shared" si="77"/>
        <v>15.86</v>
      </c>
    </row>
    <row r="4943" spans="1:4" x14ac:dyDescent="0.25">
      <c r="A4943" s="15">
        <f>Sheet2!A4943</f>
        <v>0</v>
      </c>
      <c r="B4943" s="8">
        <v>0</v>
      </c>
      <c r="C4943" s="9">
        <v>2.42</v>
      </c>
      <c r="D4943" s="13">
        <f t="shared" si="77"/>
        <v>2.42</v>
      </c>
    </row>
    <row r="4944" spans="1:4" x14ac:dyDescent="0.25">
      <c r="A4944" s="15">
        <f>Sheet2!A4944</f>
        <v>0</v>
      </c>
      <c r="B4944" s="8">
        <v>0</v>
      </c>
      <c r="C4944" s="9">
        <v>4.3499999999999996</v>
      </c>
      <c r="D4944" s="13">
        <f t="shared" si="77"/>
        <v>4.3499999999999996</v>
      </c>
    </row>
    <row r="4945" spans="1:4" x14ac:dyDescent="0.25">
      <c r="A4945" s="15">
        <f>Sheet2!A4945</f>
        <v>0</v>
      </c>
      <c r="B4945" s="8">
        <v>0</v>
      </c>
      <c r="C4945" s="9">
        <v>4.68</v>
      </c>
      <c r="D4945" s="13">
        <f t="shared" si="77"/>
        <v>4.68</v>
      </c>
    </row>
    <row r="4946" spans="1:4" x14ac:dyDescent="0.25">
      <c r="A4946" s="15">
        <f>Sheet2!A4946</f>
        <v>0</v>
      </c>
      <c r="B4946" s="8">
        <v>0</v>
      </c>
      <c r="C4946" s="9">
        <v>4</v>
      </c>
      <c r="D4946" s="13">
        <f t="shared" si="77"/>
        <v>4</v>
      </c>
    </row>
    <row r="4947" spans="1:4" x14ac:dyDescent="0.25">
      <c r="A4947" s="15">
        <f>Sheet2!A4947</f>
        <v>0</v>
      </c>
      <c r="B4947" s="8">
        <v>0</v>
      </c>
      <c r="C4947" s="9">
        <v>3.35</v>
      </c>
      <c r="D4947" s="13">
        <f t="shared" si="77"/>
        <v>3.35</v>
      </c>
    </row>
    <row r="4948" spans="1:4" x14ac:dyDescent="0.25">
      <c r="A4948" s="15">
        <f>Sheet2!A4948</f>
        <v>0</v>
      </c>
      <c r="B4948" s="8">
        <v>13.12</v>
      </c>
      <c r="C4948" s="9">
        <v>0</v>
      </c>
      <c r="D4948" s="13">
        <f t="shared" si="77"/>
        <v>13.12</v>
      </c>
    </row>
    <row r="4949" spans="1:4" x14ac:dyDescent="0.25">
      <c r="A4949" s="15">
        <f>Sheet2!A4949</f>
        <v>0</v>
      </c>
      <c r="B4949" s="8">
        <v>11.67</v>
      </c>
      <c r="C4949" s="9">
        <v>0</v>
      </c>
      <c r="D4949" s="13">
        <f t="shared" si="77"/>
        <v>11.67</v>
      </c>
    </row>
    <row r="4950" spans="1:4" x14ac:dyDescent="0.25">
      <c r="A4950" s="15">
        <f>Sheet2!A4950</f>
        <v>0</v>
      </c>
      <c r="B4950" s="8">
        <v>11.29</v>
      </c>
      <c r="C4950" s="9">
        <v>0</v>
      </c>
      <c r="D4950" s="13">
        <f t="shared" si="77"/>
        <v>11.29</v>
      </c>
    </row>
    <row r="4951" spans="1:4" x14ac:dyDescent="0.25">
      <c r="A4951" s="15">
        <f>Sheet2!A4951</f>
        <v>0</v>
      </c>
      <c r="B4951" s="8">
        <v>12.38</v>
      </c>
      <c r="C4951" s="9">
        <v>0</v>
      </c>
      <c r="D4951" s="13">
        <f t="shared" si="77"/>
        <v>12.38</v>
      </c>
    </row>
    <row r="4952" spans="1:4" x14ac:dyDescent="0.25">
      <c r="A4952" s="15">
        <f>Sheet2!A4952</f>
        <v>0</v>
      </c>
      <c r="B4952" s="8">
        <v>14.06</v>
      </c>
      <c r="C4952" s="9">
        <v>0</v>
      </c>
      <c r="D4952" s="13">
        <f t="shared" si="77"/>
        <v>14.06</v>
      </c>
    </row>
    <row r="4953" spans="1:4" x14ac:dyDescent="0.25">
      <c r="A4953" s="15">
        <f>Sheet2!A4953</f>
        <v>0</v>
      </c>
      <c r="B4953" s="8">
        <v>0</v>
      </c>
      <c r="C4953" s="9">
        <v>0.34</v>
      </c>
      <c r="D4953" s="13">
        <f t="shared" si="77"/>
        <v>0.34</v>
      </c>
    </row>
    <row r="4954" spans="1:4" x14ac:dyDescent="0.25">
      <c r="A4954" s="15">
        <f>Sheet2!A4954</f>
        <v>0</v>
      </c>
      <c r="B4954" s="8">
        <v>0</v>
      </c>
      <c r="C4954" s="9">
        <v>1.64</v>
      </c>
      <c r="D4954" s="13">
        <f t="shared" si="77"/>
        <v>1.64</v>
      </c>
    </row>
    <row r="4955" spans="1:4" x14ac:dyDescent="0.25">
      <c r="A4955" s="15">
        <f>Sheet2!A4955</f>
        <v>0</v>
      </c>
      <c r="B4955" s="8">
        <v>0</v>
      </c>
      <c r="C4955" s="9">
        <v>1.74</v>
      </c>
      <c r="D4955" s="13">
        <f t="shared" si="77"/>
        <v>1.74</v>
      </c>
    </row>
    <row r="4956" spans="1:4" x14ac:dyDescent="0.25">
      <c r="A4956" s="15">
        <f>Sheet2!A4956</f>
        <v>0</v>
      </c>
      <c r="B4956" s="8">
        <v>0</v>
      </c>
      <c r="C4956" s="9">
        <v>1.7</v>
      </c>
      <c r="D4956" s="13">
        <f t="shared" si="77"/>
        <v>1.7</v>
      </c>
    </row>
    <row r="4957" spans="1:4" x14ac:dyDescent="0.25">
      <c r="A4957" s="15">
        <f>Sheet2!A4957</f>
        <v>0</v>
      </c>
      <c r="B4957" s="8">
        <v>0</v>
      </c>
      <c r="C4957" s="9">
        <v>0.74</v>
      </c>
      <c r="D4957" s="13">
        <f t="shared" si="77"/>
        <v>0.74</v>
      </c>
    </row>
    <row r="4958" spans="1:4" x14ac:dyDescent="0.25">
      <c r="A4958" s="15">
        <f>Sheet2!A4958</f>
        <v>0</v>
      </c>
      <c r="B4958" s="8">
        <v>4.8</v>
      </c>
      <c r="C4958" s="9">
        <v>0</v>
      </c>
      <c r="D4958" s="13">
        <f t="shared" si="77"/>
        <v>4.8</v>
      </c>
    </row>
    <row r="4959" spans="1:4" x14ac:dyDescent="0.25">
      <c r="A4959" s="15">
        <f>Sheet2!A4959</f>
        <v>0</v>
      </c>
      <c r="B4959" s="8">
        <v>0</v>
      </c>
      <c r="C4959" s="9">
        <v>1.26</v>
      </c>
      <c r="D4959" s="13">
        <f t="shared" si="77"/>
        <v>1.26</v>
      </c>
    </row>
    <row r="4960" spans="1:4" x14ac:dyDescent="0.25">
      <c r="A4960" s="15">
        <f>Sheet2!A4960</f>
        <v>0</v>
      </c>
      <c r="B4960" s="8">
        <v>16.350000000000001</v>
      </c>
      <c r="C4960" s="9">
        <v>0</v>
      </c>
      <c r="D4960" s="13">
        <f t="shared" si="77"/>
        <v>16.350000000000001</v>
      </c>
    </row>
    <row r="4961" spans="1:4" x14ac:dyDescent="0.25">
      <c r="A4961" s="15">
        <f>Sheet2!A4961</f>
        <v>0</v>
      </c>
      <c r="B4961" s="8">
        <v>0</v>
      </c>
      <c r="C4961" s="9">
        <v>1.84</v>
      </c>
      <c r="D4961" s="13">
        <f t="shared" si="77"/>
        <v>1.84</v>
      </c>
    </row>
    <row r="4962" spans="1:4" x14ac:dyDescent="0.25">
      <c r="A4962" s="15">
        <f>Sheet2!A4962</f>
        <v>0</v>
      </c>
      <c r="B4962" s="8">
        <v>0</v>
      </c>
      <c r="C4962" s="9">
        <v>3.36</v>
      </c>
      <c r="D4962" s="13">
        <f t="shared" si="77"/>
        <v>3.36</v>
      </c>
    </row>
    <row r="4963" spans="1:4" x14ac:dyDescent="0.25">
      <c r="A4963" s="15">
        <f>Sheet2!A4963</f>
        <v>0</v>
      </c>
      <c r="B4963" s="8">
        <v>0</v>
      </c>
      <c r="C4963" s="9">
        <v>3.2</v>
      </c>
      <c r="D4963" s="13">
        <f t="shared" si="77"/>
        <v>3.2</v>
      </c>
    </row>
    <row r="4964" spans="1:4" x14ac:dyDescent="0.25">
      <c r="A4964" s="15">
        <f>Sheet2!A4964</f>
        <v>0</v>
      </c>
      <c r="B4964" s="8">
        <v>0</v>
      </c>
      <c r="C4964" s="9">
        <v>3.63</v>
      </c>
      <c r="D4964" s="13">
        <f t="shared" si="77"/>
        <v>3.63</v>
      </c>
    </row>
    <row r="4965" spans="1:4" x14ac:dyDescent="0.25">
      <c r="A4965" s="15">
        <f>Sheet2!A4965</f>
        <v>0</v>
      </c>
      <c r="B4965" s="8">
        <v>0</v>
      </c>
      <c r="C4965" s="9">
        <v>1</v>
      </c>
      <c r="D4965" s="13">
        <f t="shared" si="77"/>
        <v>1</v>
      </c>
    </row>
    <row r="4966" spans="1:4" x14ac:dyDescent="0.25">
      <c r="A4966" s="15">
        <f>Sheet2!A4966</f>
        <v>0</v>
      </c>
      <c r="B4966" s="8">
        <v>15.16</v>
      </c>
      <c r="C4966" s="9">
        <v>0</v>
      </c>
      <c r="D4966" s="13">
        <f t="shared" si="77"/>
        <v>15.16</v>
      </c>
    </row>
    <row r="4967" spans="1:4" x14ac:dyDescent="0.25">
      <c r="A4967" s="15">
        <f>Sheet2!A4967</f>
        <v>0</v>
      </c>
      <c r="B4967" s="8">
        <v>0</v>
      </c>
      <c r="C4967" s="9">
        <v>1.61</v>
      </c>
      <c r="D4967" s="13">
        <f t="shared" si="77"/>
        <v>1.61</v>
      </c>
    </row>
    <row r="4968" spans="1:4" x14ac:dyDescent="0.25">
      <c r="A4968" s="15">
        <f>Sheet2!A4968</f>
        <v>0</v>
      </c>
      <c r="B4968" s="8">
        <v>0</v>
      </c>
      <c r="C4968" s="9">
        <v>3.68</v>
      </c>
      <c r="D4968" s="13">
        <f t="shared" si="77"/>
        <v>3.68</v>
      </c>
    </row>
    <row r="4969" spans="1:4" x14ac:dyDescent="0.25">
      <c r="A4969" s="15">
        <f>Sheet2!A4969</f>
        <v>0</v>
      </c>
      <c r="B4969" s="8">
        <v>0</v>
      </c>
      <c r="C4969" s="9">
        <v>1.43</v>
      </c>
      <c r="D4969" s="13">
        <f t="shared" si="77"/>
        <v>1.43</v>
      </c>
    </row>
    <row r="4970" spans="1:4" x14ac:dyDescent="0.25">
      <c r="A4970" s="15">
        <f>Sheet2!A4970</f>
        <v>0</v>
      </c>
      <c r="B4970" s="8">
        <v>13.13</v>
      </c>
      <c r="C4970" s="9">
        <v>0</v>
      </c>
      <c r="D4970" s="13">
        <f t="shared" si="77"/>
        <v>13.13</v>
      </c>
    </row>
    <row r="4971" spans="1:4" x14ac:dyDescent="0.25">
      <c r="A4971" s="15">
        <f>Sheet2!A4971</f>
        <v>0</v>
      </c>
      <c r="B4971" s="8">
        <v>0</v>
      </c>
      <c r="C4971" s="9">
        <v>1.06</v>
      </c>
      <c r="D4971" s="13">
        <f t="shared" si="77"/>
        <v>1.06</v>
      </c>
    </row>
    <row r="4972" spans="1:4" x14ac:dyDescent="0.25">
      <c r="A4972" s="15">
        <f>Sheet2!A4972</f>
        <v>0</v>
      </c>
      <c r="B4972" s="8">
        <v>0</v>
      </c>
      <c r="C4972" s="9">
        <v>1.49</v>
      </c>
      <c r="D4972" s="13">
        <f t="shared" si="77"/>
        <v>1.49</v>
      </c>
    </row>
    <row r="4973" spans="1:4" x14ac:dyDescent="0.25">
      <c r="A4973" s="15">
        <f>Sheet2!A4973</f>
        <v>0</v>
      </c>
      <c r="B4973" s="8">
        <v>0</v>
      </c>
      <c r="C4973" s="9">
        <v>0.71</v>
      </c>
      <c r="D4973" s="13">
        <f t="shared" si="77"/>
        <v>0.71</v>
      </c>
    </row>
    <row r="4974" spans="1:4" x14ac:dyDescent="0.25">
      <c r="A4974" s="15">
        <f>Sheet2!A4974</f>
        <v>0</v>
      </c>
      <c r="B4974" s="8">
        <v>9.89</v>
      </c>
      <c r="C4974" s="9">
        <v>0</v>
      </c>
      <c r="D4974" s="13">
        <f t="shared" si="77"/>
        <v>9.89</v>
      </c>
    </row>
    <row r="4975" spans="1:4" x14ac:dyDescent="0.25">
      <c r="A4975" s="15">
        <f>Sheet2!A4975</f>
        <v>0</v>
      </c>
      <c r="B4975" s="8">
        <v>0</v>
      </c>
      <c r="C4975" s="9">
        <v>1.53</v>
      </c>
      <c r="D4975" s="13">
        <f t="shared" si="77"/>
        <v>1.53</v>
      </c>
    </row>
    <row r="4976" spans="1:4" x14ac:dyDescent="0.25">
      <c r="A4976" s="15">
        <f>Sheet2!A4976</f>
        <v>0</v>
      </c>
      <c r="B4976" s="8">
        <v>0</v>
      </c>
      <c r="C4976" s="9">
        <v>2.84</v>
      </c>
      <c r="D4976" s="13">
        <f t="shared" si="77"/>
        <v>2.84</v>
      </c>
    </row>
    <row r="4977" spans="1:4" x14ac:dyDescent="0.25">
      <c r="A4977" s="15">
        <f>Sheet2!A4977</f>
        <v>0</v>
      </c>
      <c r="B4977" s="8">
        <v>0</v>
      </c>
      <c r="C4977" s="9">
        <v>1.26</v>
      </c>
      <c r="D4977" s="13">
        <f t="shared" si="77"/>
        <v>1.26</v>
      </c>
    </row>
    <row r="4978" spans="1:4" x14ac:dyDescent="0.25">
      <c r="A4978" s="15">
        <f>Sheet2!A4978</f>
        <v>0</v>
      </c>
      <c r="B4978" s="8">
        <v>13.94</v>
      </c>
      <c r="C4978" s="9">
        <v>0</v>
      </c>
      <c r="D4978" s="13">
        <f t="shared" si="77"/>
        <v>13.94</v>
      </c>
    </row>
    <row r="4979" spans="1:4" x14ac:dyDescent="0.25">
      <c r="A4979" s="15">
        <f>Sheet2!A4979</f>
        <v>0</v>
      </c>
      <c r="B4979" s="8">
        <v>0</v>
      </c>
      <c r="C4979" s="9">
        <v>2.5</v>
      </c>
      <c r="D4979" s="13">
        <f t="shared" si="77"/>
        <v>2.5</v>
      </c>
    </row>
    <row r="4980" spans="1:4" x14ac:dyDescent="0.25">
      <c r="A4980" s="15">
        <f>Sheet2!A4980</f>
        <v>0</v>
      </c>
      <c r="B4980" s="8">
        <v>0</v>
      </c>
      <c r="C4980" s="9">
        <v>2.79</v>
      </c>
      <c r="D4980" s="13">
        <f t="shared" si="77"/>
        <v>2.79</v>
      </c>
    </row>
    <row r="4981" spans="1:4" x14ac:dyDescent="0.25">
      <c r="A4981" s="15">
        <f>Sheet2!A4981</f>
        <v>0</v>
      </c>
      <c r="B4981" s="8">
        <v>0</v>
      </c>
      <c r="C4981" s="9">
        <v>3</v>
      </c>
      <c r="D4981" s="13">
        <f t="shared" si="77"/>
        <v>3</v>
      </c>
    </row>
    <row r="4982" spans="1:4" x14ac:dyDescent="0.25">
      <c r="A4982" s="15">
        <f>Sheet2!A4982</f>
        <v>0</v>
      </c>
      <c r="B4982" s="8">
        <v>0</v>
      </c>
      <c r="C4982" s="9">
        <v>3.05</v>
      </c>
      <c r="D4982" s="13">
        <f t="shared" si="77"/>
        <v>3.05</v>
      </c>
    </row>
    <row r="4983" spans="1:4" x14ac:dyDescent="0.25">
      <c r="A4983" s="15">
        <f>Sheet2!A4983</f>
        <v>0</v>
      </c>
      <c r="B4983" s="8">
        <v>0</v>
      </c>
      <c r="C4983" s="9">
        <v>0.93</v>
      </c>
      <c r="D4983" s="13">
        <f t="shared" si="77"/>
        <v>0.93</v>
      </c>
    </row>
    <row r="4984" spans="1:4" x14ac:dyDescent="0.25">
      <c r="A4984" s="15">
        <f>Sheet2!A4984</f>
        <v>0</v>
      </c>
      <c r="B4984" s="8">
        <v>0</v>
      </c>
      <c r="C4984" s="9">
        <v>1.59</v>
      </c>
      <c r="D4984" s="13">
        <f t="shared" si="77"/>
        <v>1.59</v>
      </c>
    </row>
    <row r="4985" spans="1:4" x14ac:dyDescent="0.25">
      <c r="A4985" s="15">
        <f>Sheet2!A4985</f>
        <v>0</v>
      </c>
      <c r="B4985" s="8">
        <v>0</v>
      </c>
      <c r="C4985" s="9">
        <v>1.5</v>
      </c>
      <c r="D4985" s="13">
        <f t="shared" si="77"/>
        <v>1.5</v>
      </c>
    </row>
    <row r="4986" spans="1:4" x14ac:dyDescent="0.25">
      <c r="A4986" s="15">
        <f>Sheet2!A4986</f>
        <v>0</v>
      </c>
      <c r="B4986" s="8">
        <v>16.440000000000001</v>
      </c>
      <c r="C4986" s="9">
        <v>0</v>
      </c>
      <c r="D4986" s="13">
        <f t="shared" si="77"/>
        <v>16.440000000000001</v>
      </c>
    </row>
    <row r="4987" spans="1:4" x14ac:dyDescent="0.25">
      <c r="A4987" s="15">
        <f>Sheet2!A4987</f>
        <v>0</v>
      </c>
      <c r="B4987" s="8">
        <v>0</v>
      </c>
      <c r="C4987" s="9">
        <v>0.25</v>
      </c>
      <c r="D4987" s="13">
        <f t="shared" si="77"/>
        <v>0.25</v>
      </c>
    </row>
    <row r="4988" spans="1:4" x14ac:dyDescent="0.25">
      <c r="A4988" s="15">
        <f>Sheet2!A4988</f>
        <v>0</v>
      </c>
      <c r="B4988" s="8">
        <v>0</v>
      </c>
      <c r="C4988" s="9">
        <v>3.36</v>
      </c>
      <c r="D4988" s="13">
        <f t="shared" si="77"/>
        <v>3.36</v>
      </c>
    </row>
    <row r="4989" spans="1:4" x14ac:dyDescent="0.25">
      <c r="A4989" s="15">
        <f>Sheet2!A4989</f>
        <v>0</v>
      </c>
      <c r="B4989" s="8">
        <v>0</v>
      </c>
      <c r="C4989" s="9">
        <v>1.55</v>
      </c>
      <c r="D4989" s="13">
        <f t="shared" si="77"/>
        <v>1.55</v>
      </c>
    </row>
    <row r="4990" spans="1:4" x14ac:dyDescent="0.25">
      <c r="A4990" s="15">
        <f>Sheet2!A4990</f>
        <v>0</v>
      </c>
      <c r="B4990" s="8">
        <v>13.89</v>
      </c>
      <c r="C4990" s="9">
        <v>0</v>
      </c>
      <c r="D4990" s="13">
        <f t="shared" si="77"/>
        <v>13.89</v>
      </c>
    </row>
    <row r="4991" spans="1:4" x14ac:dyDescent="0.25">
      <c r="A4991" s="15">
        <f>Sheet2!A4991</f>
        <v>0</v>
      </c>
      <c r="B4991" s="8">
        <v>0</v>
      </c>
      <c r="C4991" s="9">
        <v>1.41</v>
      </c>
      <c r="D4991" s="13">
        <f t="shared" si="77"/>
        <v>1.41</v>
      </c>
    </row>
    <row r="4992" spans="1:4" x14ac:dyDescent="0.25">
      <c r="A4992" s="15">
        <f>Sheet2!A4992</f>
        <v>0</v>
      </c>
      <c r="B4992" s="8">
        <v>0</v>
      </c>
      <c r="C4992" s="9">
        <v>2.75</v>
      </c>
      <c r="D4992" s="13">
        <f t="shared" si="77"/>
        <v>2.75</v>
      </c>
    </row>
    <row r="4993" spans="1:4" x14ac:dyDescent="0.25">
      <c r="A4993" s="15">
        <f>Sheet2!A4993</f>
        <v>0</v>
      </c>
      <c r="B4993" s="8">
        <v>0</v>
      </c>
      <c r="C4993" s="9">
        <v>2.6</v>
      </c>
      <c r="D4993" s="13">
        <f t="shared" si="77"/>
        <v>2.6</v>
      </c>
    </row>
    <row r="4994" spans="1:4" x14ac:dyDescent="0.25">
      <c r="A4994" s="15">
        <f>Sheet2!A4994</f>
        <v>0</v>
      </c>
      <c r="B4994" s="8">
        <v>0</v>
      </c>
      <c r="C4994" s="9">
        <v>2.7</v>
      </c>
      <c r="D4994" s="13">
        <f t="shared" si="77"/>
        <v>2.7</v>
      </c>
    </row>
    <row r="4995" spans="1:4" x14ac:dyDescent="0.25">
      <c r="A4995" s="15">
        <f>Sheet2!A4995</f>
        <v>0</v>
      </c>
      <c r="B4995" s="8">
        <v>0</v>
      </c>
      <c r="C4995" s="9">
        <v>1.18</v>
      </c>
      <c r="D4995" s="13">
        <f t="shared" ref="D4995:D5058" si="78">B4995+C4995</f>
        <v>1.18</v>
      </c>
    </row>
    <row r="4996" spans="1:4" x14ac:dyDescent="0.25">
      <c r="A4996" s="15">
        <f>Sheet2!A4996</f>
        <v>0</v>
      </c>
      <c r="B4996" s="8">
        <v>10.61</v>
      </c>
      <c r="C4996" s="9">
        <v>0</v>
      </c>
      <c r="D4996" s="13">
        <f t="shared" si="78"/>
        <v>10.61</v>
      </c>
    </row>
    <row r="4997" spans="1:4" x14ac:dyDescent="0.25">
      <c r="A4997" s="15">
        <f>Sheet2!A4997</f>
        <v>0</v>
      </c>
      <c r="B4997" s="8">
        <v>0</v>
      </c>
      <c r="C4997" s="9">
        <v>2.84</v>
      </c>
      <c r="D4997" s="13">
        <f t="shared" si="78"/>
        <v>2.84</v>
      </c>
    </row>
    <row r="4998" spans="1:4" x14ac:dyDescent="0.25">
      <c r="A4998" s="15">
        <f>Sheet2!A4998</f>
        <v>0</v>
      </c>
      <c r="B4998" s="8">
        <v>0</v>
      </c>
      <c r="C4998" s="9">
        <v>4.1500000000000004</v>
      </c>
      <c r="D4998" s="13">
        <f t="shared" si="78"/>
        <v>4.1500000000000004</v>
      </c>
    </row>
    <row r="4999" spans="1:4" x14ac:dyDescent="0.25">
      <c r="A4999" s="15">
        <f>Sheet2!A4999</f>
        <v>0</v>
      </c>
      <c r="B4999" s="8">
        <v>0</v>
      </c>
      <c r="C4999" s="9">
        <v>0.93</v>
      </c>
      <c r="D4999" s="13">
        <f t="shared" si="78"/>
        <v>0.93</v>
      </c>
    </row>
    <row r="5000" spans="1:4" x14ac:dyDescent="0.25">
      <c r="A5000" s="15">
        <f>Sheet2!A5000</f>
        <v>0</v>
      </c>
      <c r="B5000" s="8">
        <v>12</v>
      </c>
      <c r="C5000" s="9">
        <v>0</v>
      </c>
      <c r="D5000" s="13">
        <f t="shared" si="78"/>
        <v>12</v>
      </c>
    </row>
    <row r="5001" spans="1:4" x14ac:dyDescent="0.25">
      <c r="A5001" s="15">
        <f>Sheet2!A5001</f>
        <v>0</v>
      </c>
      <c r="B5001" s="8">
        <v>0</v>
      </c>
      <c r="C5001" s="9">
        <v>2.19</v>
      </c>
      <c r="D5001" s="13">
        <f t="shared" si="78"/>
        <v>2.19</v>
      </c>
    </row>
    <row r="5002" spans="1:4" x14ac:dyDescent="0.25">
      <c r="A5002" s="15">
        <f>Sheet2!A5002</f>
        <v>0</v>
      </c>
      <c r="B5002" s="8">
        <v>0</v>
      </c>
      <c r="C5002" s="9">
        <v>4.42</v>
      </c>
      <c r="D5002" s="13">
        <f t="shared" si="78"/>
        <v>4.42</v>
      </c>
    </row>
    <row r="5003" spans="1:4" x14ac:dyDescent="0.25">
      <c r="A5003" s="15">
        <f>Sheet2!A5003</f>
        <v>0</v>
      </c>
      <c r="B5003" s="8">
        <v>0</v>
      </c>
      <c r="C5003" s="9">
        <v>1.57</v>
      </c>
      <c r="D5003" s="13">
        <f t="shared" si="78"/>
        <v>1.57</v>
      </c>
    </row>
    <row r="5004" spans="1:4" x14ac:dyDescent="0.25">
      <c r="A5004" s="15">
        <f>Sheet2!A5004</f>
        <v>0</v>
      </c>
      <c r="B5004" s="8">
        <v>13.98</v>
      </c>
      <c r="C5004" s="9">
        <v>0</v>
      </c>
      <c r="D5004" s="13">
        <f t="shared" si="78"/>
        <v>13.98</v>
      </c>
    </row>
    <row r="5005" spans="1:4" x14ac:dyDescent="0.25">
      <c r="A5005" s="15">
        <f>Sheet2!A5005</f>
        <v>0</v>
      </c>
      <c r="B5005" s="8">
        <v>0</v>
      </c>
      <c r="C5005" s="9">
        <v>2.2400000000000002</v>
      </c>
      <c r="D5005" s="13">
        <f t="shared" si="78"/>
        <v>2.2400000000000002</v>
      </c>
    </row>
    <row r="5006" spans="1:4" x14ac:dyDescent="0.25">
      <c r="A5006" s="15">
        <f>Sheet2!A5006</f>
        <v>0</v>
      </c>
      <c r="B5006" s="8">
        <v>0</v>
      </c>
      <c r="C5006" s="9">
        <v>2.5099999999999998</v>
      </c>
      <c r="D5006" s="13">
        <f t="shared" si="78"/>
        <v>2.5099999999999998</v>
      </c>
    </row>
    <row r="5007" spans="1:4" x14ac:dyDescent="0.25">
      <c r="A5007" s="15">
        <f>Sheet2!A5007</f>
        <v>0</v>
      </c>
      <c r="B5007" s="8">
        <v>0</v>
      </c>
      <c r="C5007" s="9">
        <v>1.26</v>
      </c>
      <c r="D5007" s="13">
        <f t="shared" si="78"/>
        <v>1.26</v>
      </c>
    </row>
    <row r="5008" spans="1:4" x14ac:dyDescent="0.25">
      <c r="A5008" s="15">
        <f>Sheet2!A5008</f>
        <v>0</v>
      </c>
      <c r="B5008" s="8">
        <v>16.350000000000001</v>
      </c>
      <c r="C5008" s="9">
        <v>0</v>
      </c>
      <c r="D5008" s="13">
        <f t="shared" si="78"/>
        <v>16.350000000000001</v>
      </c>
    </row>
    <row r="5009" spans="1:4" x14ac:dyDescent="0.25">
      <c r="A5009" s="15">
        <f>Sheet2!A5009</f>
        <v>0</v>
      </c>
      <c r="B5009" s="8">
        <v>0</v>
      </c>
      <c r="C5009" s="9">
        <v>1.84</v>
      </c>
      <c r="D5009" s="13">
        <f t="shared" si="78"/>
        <v>1.84</v>
      </c>
    </row>
    <row r="5010" spans="1:4" x14ac:dyDescent="0.25">
      <c r="A5010" s="15">
        <f>Sheet2!A5010</f>
        <v>0</v>
      </c>
      <c r="B5010" s="8">
        <v>0</v>
      </c>
      <c r="C5010" s="9">
        <v>3.36</v>
      </c>
      <c r="D5010" s="13">
        <f t="shared" si="78"/>
        <v>3.36</v>
      </c>
    </row>
    <row r="5011" spans="1:4" x14ac:dyDescent="0.25">
      <c r="A5011" s="15">
        <f>Sheet2!A5011</f>
        <v>0</v>
      </c>
      <c r="B5011" s="8">
        <v>0</v>
      </c>
      <c r="C5011" s="9">
        <v>3.2</v>
      </c>
      <c r="D5011" s="13">
        <f t="shared" si="78"/>
        <v>3.2</v>
      </c>
    </row>
    <row r="5012" spans="1:4" x14ac:dyDescent="0.25">
      <c r="A5012" s="15">
        <f>Sheet2!A5012</f>
        <v>0</v>
      </c>
      <c r="B5012" s="8">
        <v>0</v>
      </c>
      <c r="C5012" s="9">
        <v>3.63</v>
      </c>
      <c r="D5012" s="13">
        <f t="shared" si="78"/>
        <v>3.63</v>
      </c>
    </row>
    <row r="5013" spans="1:4" x14ac:dyDescent="0.25">
      <c r="A5013" s="15">
        <f>Sheet2!A5013</f>
        <v>0</v>
      </c>
      <c r="B5013" s="8">
        <v>0</v>
      </c>
      <c r="C5013" s="9">
        <v>1</v>
      </c>
      <c r="D5013" s="13">
        <f t="shared" si="78"/>
        <v>1</v>
      </c>
    </row>
    <row r="5014" spans="1:4" x14ac:dyDescent="0.25">
      <c r="A5014" s="15">
        <f>Sheet2!A5014</f>
        <v>0</v>
      </c>
      <c r="B5014" s="8">
        <v>15.16</v>
      </c>
      <c r="C5014" s="9">
        <v>0</v>
      </c>
      <c r="D5014" s="13">
        <f t="shared" si="78"/>
        <v>15.16</v>
      </c>
    </row>
    <row r="5015" spans="1:4" x14ac:dyDescent="0.25">
      <c r="A5015" s="15">
        <f>Sheet2!A5015</f>
        <v>0</v>
      </c>
      <c r="B5015" s="8">
        <v>0</v>
      </c>
      <c r="C5015" s="9">
        <v>1.61</v>
      </c>
      <c r="D5015" s="13">
        <f t="shared" si="78"/>
        <v>1.61</v>
      </c>
    </row>
    <row r="5016" spans="1:4" x14ac:dyDescent="0.25">
      <c r="A5016" s="15">
        <f>Sheet2!A5016</f>
        <v>0</v>
      </c>
      <c r="B5016" s="8">
        <v>0</v>
      </c>
      <c r="C5016" s="9">
        <v>3.68</v>
      </c>
      <c r="D5016" s="13">
        <f t="shared" si="78"/>
        <v>3.68</v>
      </c>
    </row>
    <row r="5017" spans="1:4" x14ac:dyDescent="0.25">
      <c r="A5017" s="15">
        <f>Sheet2!A5017</f>
        <v>0</v>
      </c>
      <c r="B5017" s="8">
        <v>0</v>
      </c>
      <c r="C5017" s="9">
        <v>1.43</v>
      </c>
      <c r="D5017" s="13">
        <f t="shared" si="78"/>
        <v>1.43</v>
      </c>
    </row>
    <row r="5018" spans="1:4" x14ac:dyDescent="0.25">
      <c r="A5018" s="15">
        <f>Sheet2!A5018</f>
        <v>0</v>
      </c>
      <c r="B5018" s="8">
        <v>13.13</v>
      </c>
      <c r="C5018" s="9">
        <v>0</v>
      </c>
      <c r="D5018" s="13">
        <f t="shared" si="78"/>
        <v>13.13</v>
      </c>
    </row>
    <row r="5019" spans="1:4" x14ac:dyDescent="0.25">
      <c r="A5019" s="15">
        <f>Sheet2!A5019</f>
        <v>0</v>
      </c>
      <c r="B5019" s="8">
        <v>0</v>
      </c>
      <c r="C5019" s="9">
        <v>1.06</v>
      </c>
      <c r="D5019" s="13">
        <f t="shared" si="78"/>
        <v>1.06</v>
      </c>
    </row>
    <row r="5020" spans="1:4" x14ac:dyDescent="0.25">
      <c r="A5020" s="15">
        <f>Sheet2!A5020</f>
        <v>0</v>
      </c>
      <c r="B5020" s="8">
        <v>0</v>
      </c>
      <c r="C5020" s="9">
        <v>1.49</v>
      </c>
      <c r="D5020" s="13">
        <f t="shared" si="78"/>
        <v>1.49</v>
      </c>
    </row>
    <row r="5021" spans="1:4" x14ac:dyDescent="0.25">
      <c r="A5021" s="15">
        <f>Sheet2!A5021</f>
        <v>0</v>
      </c>
      <c r="B5021" s="8">
        <v>0</v>
      </c>
      <c r="C5021" s="9">
        <v>0.71</v>
      </c>
      <c r="D5021" s="13">
        <f t="shared" si="78"/>
        <v>0.71</v>
      </c>
    </row>
    <row r="5022" spans="1:4" x14ac:dyDescent="0.25">
      <c r="A5022" s="15">
        <f>Sheet2!A5022</f>
        <v>0</v>
      </c>
      <c r="B5022" s="8">
        <v>9.89</v>
      </c>
      <c r="C5022" s="9">
        <v>0</v>
      </c>
      <c r="D5022" s="13">
        <f t="shared" si="78"/>
        <v>9.89</v>
      </c>
    </row>
    <row r="5023" spans="1:4" x14ac:dyDescent="0.25">
      <c r="A5023" s="15">
        <f>Sheet2!A5023</f>
        <v>0</v>
      </c>
      <c r="B5023" s="8">
        <v>0</v>
      </c>
      <c r="C5023" s="9">
        <v>1.53</v>
      </c>
      <c r="D5023" s="13">
        <f t="shared" si="78"/>
        <v>1.53</v>
      </c>
    </row>
    <row r="5024" spans="1:4" x14ac:dyDescent="0.25">
      <c r="A5024" s="15">
        <f>Sheet2!A5024</f>
        <v>0</v>
      </c>
      <c r="B5024" s="8">
        <v>0</v>
      </c>
      <c r="C5024" s="9">
        <v>2.84</v>
      </c>
      <c r="D5024" s="13">
        <f t="shared" si="78"/>
        <v>2.84</v>
      </c>
    </row>
    <row r="5025" spans="1:4" x14ac:dyDescent="0.25">
      <c r="A5025" s="15">
        <f>Sheet2!A5025</f>
        <v>0</v>
      </c>
      <c r="B5025" s="8">
        <v>0</v>
      </c>
      <c r="C5025" s="9">
        <v>1.26</v>
      </c>
      <c r="D5025" s="13">
        <f t="shared" si="78"/>
        <v>1.26</v>
      </c>
    </row>
    <row r="5026" spans="1:4" x14ac:dyDescent="0.25">
      <c r="A5026" s="15">
        <f>Sheet2!A5026</f>
        <v>0</v>
      </c>
      <c r="B5026" s="8">
        <v>13.94</v>
      </c>
      <c r="C5026" s="9">
        <v>0</v>
      </c>
      <c r="D5026" s="13">
        <f t="shared" si="78"/>
        <v>13.94</v>
      </c>
    </row>
    <row r="5027" spans="1:4" x14ac:dyDescent="0.25">
      <c r="A5027" s="15">
        <f>Sheet2!A5027</f>
        <v>0</v>
      </c>
      <c r="B5027" s="8">
        <v>0</v>
      </c>
      <c r="C5027" s="9">
        <v>2.5</v>
      </c>
      <c r="D5027" s="13">
        <f t="shared" si="78"/>
        <v>2.5</v>
      </c>
    </row>
    <row r="5028" spans="1:4" x14ac:dyDescent="0.25">
      <c r="A5028" s="15">
        <f>Sheet2!A5028</f>
        <v>0</v>
      </c>
      <c r="B5028" s="8">
        <v>0</v>
      </c>
      <c r="C5028" s="9">
        <v>2.79</v>
      </c>
      <c r="D5028" s="13">
        <f t="shared" si="78"/>
        <v>2.79</v>
      </c>
    </row>
    <row r="5029" spans="1:4" x14ac:dyDescent="0.25">
      <c r="A5029" s="15">
        <f>Sheet2!A5029</f>
        <v>0</v>
      </c>
      <c r="B5029" s="8">
        <v>0</v>
      </c>
      <c r="C5029" s="9">
        <v>3</v>
      </c>
      <c r="D5029" s="13">
        <f t="shared" si="78"/>
        <v>3</v>
      </c>
    </row>
    <row r="5030" spans="1:4" x14ac:dyDescent="0.25">
      <c r="A5030" s="15">
        <f>Sheet2!A5030</f>
        <v>0</v>
      </c>
      <c r="B5030" s="8">
        <v>0</v>
      </c>
      <c r="C5030" s="9">
        <v>3.05</v>
      </c>
      <c r="D5030" s="13">
        <f t="shared" si="78"/>
        <v>3.05</v>
      </c>
    </row>
    <row r="5031" spans="1:4" x14ac:dyDescent="0.25">
      <c r="A5031" s="15">
        <f>Sheet2!A5031</f>
        <v>0</v>
      </c>
      <c r="B5031" s="8">
        <v>0</v>
      </c>
      <c r="C5031" s="9">
        <v>0.93</v>
      </c>
      <c r="D5031" s="13">
        <f t="shared" si="78"/>
        <v>0.93</v>
      </c>
    </row>
    <row r="5032" spans="1:4" x14ac:dyDescent="0.25">
      <c r="A5032" s="15">
        <f>Sheet2!A5032</f>
        <v>0</v>
      </c>
      <c r="B5032" s="8">
        <v>14.5</v>
      </c>
      <c r="C5032" s="9">
        <v>0</v>
      </c>
      <c r="D5032" s="13">
        <f t="shared" si="78"/>
        <v>14.5</v>
      </c>
    </row>
    <row r="5033" spans="1:4" x14ac:dyDescent="0.25">
      <c r="A5033" s="15">
        <f>Sheet2!A5033</f>
        <v>0</v>
      </c>
      <c r="B5033" s="8">
        <v>0</v>
      </c>
      <c r="C5033" s="9">
        <v>1.99</v>
      </c>
      <c r="D5033" s="13">
        <f t="shared" si="78"/>
        <v>1.99</v>
      </c>
    </row>
    <row r="5034" spans="1:4" x14ac:dyDescent="0.25">
      <c r="A5034" s="15">
        <f>Sheet2!A5034</f>
        <v>0</v>
      </c>
      <c r="B5034" s="8">
        <v>0</v>
      </c>
      <c r="C5034" s="9">
        <v>3.13</v>
      </c>
      <c r="D5034" s="13">
        <f t="shared" si="78"/>
        <v>3.13</v>
      </c>
    </row>
    <row r="5035" spans="1:4" x14ac:dyDescent="0.25">
      <c r="A5035" s="15">
        <f>Sheet2!A5035</f>
        <v>0</v>
      </c>
      <c r="B5035" s="8">
        <v>0</v>
      </c>
      <c r="C5035" s="9">
        <v>3.04</v>
      </c>
      <c r="D5035" s="13">
        <f t="shared" si="78"/>
        <v>3.04</v>
      </c>
    </row>
    <row r="5036" spans="1:4" x14ac:dyDescent="0.25">
      <c r="A5036" s="15">
        <f>Sheet2!A5036</f>
        <v>0</v>
      </c>
      <c r="B5036" s="8">
        <v>0</v>
      </c>
      <c r="C5036" s="9">
        <v>3.73</v>
      </c>
      <c r="D5036" s="13">
        <f t="shared" si="78"/>
        <v>3.73</v>
      </c>
    </row>
    <row r="5037" spans="1:4" x14ac:dyDescent="0.25">
      <c r="A5037" s="15">
        <f>Sheet2!A5037</f>
        <v>0</v>
      </c>
      <c r="B5037" s="8">
        <v>0</v>
      </c>
      <c r="C5037" s="9">
        <v>0.96</v>
      </c>
      <c r="D5037" s="13">
        <f t="shared" si="78"/>
        <v>0.96</v>
      </c>
    </row>
    <row r="5038" spans="1:4" x14ac:dyDescent="0.25">
      <c r="A5038" s="15">
        <f>Sheet2!A5038</f>
        <v>0</v>
      </c>
      <c r="B5038" s="8">
        <v>14.46</v>
      </c>
      <c r="C5038" s="9">
        <v>0</v>
      </c>
      <c r="D5038" s="13">
        <f t="shared" si="78"/>
        <v>14.46</v>
      </c>
    </row>
    <row r="5039" spans="1:4" x14ac:dyDescent="0.25">
      <c r="A5039" s="15">
        <f>Sheet2!A5039</f>
        <v>0</v>
      </c>
      <c r="B5039" s="8">
        <v>0</v>
      </c>
      <c r="C5039" s="9">
        <v>1.58</v>
      </c>
      <c r="D5039" s="13">
        <f t="shared" si="78"/>
        <v>1.58</v>
      </c>
    </row>
    <row r="5040" spans="1:4" x14ac:dyDescent="0.25">
      <c r="A5040" s="15">
        <f>Sheet2!A5040</f>
        <v>0</v>
      </c>
      <c r="B5040" s="8">
        <v>0</v>
      </c>
      <c r="C5040" s="9">
        <v>3.35</v>
      </c>
      <c r="D5040" s="13">
        <f t="shared" si="78"/>
        <v>3.35</v>
      </c>
    </row>
    <row r="5041" spans="1:4" x14ac:dyDescent="0.25">
      <c r="A5041" s="15">
        <f>Sheet2!A5041</f>
        <v>0</v>
      </c>
      <c r="B5041" s="8">
        <v>0</v>
      </c>
      <c r="C5041" s="9">
        <v>3.07</v>
      </c>
      <c r="D5041" s="13">
        <f t="shared" si="78"/>
        <v>3.07</v>
      </c>
    </row>
    <row r="5042" spans="1:4" x14ac:dyDescent="0.25">
      <c r="A5042" s="15">
        <f>Sheet2!A5042</f>
        <v>0</v>
      </c>
      <c r="B5042" s="8">
        <v>0</v>
      </c>
      <c r="C5042" s="9">
        <v>1.35</v>
      </c>
      <c r="D5042" s="13">
        <f t="shared" si="78"/>
        <v>1.35</v>
      </c>
    </row>
    <row r="5043" spans="1:4" x14ac:dyDescent="0.25">
      <c r="A5043" s="15">
        <f>Sheet2!A5043</f>
        <v>0</v>
      </c>
      <c r="B5043" s="8">
        <v>8.9</v>
      </c>
      <c r="C5043" s="9">
        <v>0</v>
      </c>
      <c r="D5043" s="13">
        <f t="shared" si="78"/>
        <v>8.9</v>
      </c>
    </row>
    <row r="5044" spans="1:4" x14ac:dyDescent="0.25">
      <c r="A5044" s="15">
        <f>Sheet2!A5044</f>
        <v>0</v>
      </c>
      <c r="B5044" s="8">
        <v>9.64</v>
      </c>
      <c r="C5044" s="9">
        <v>0</v>
      </c>
      <c r="D5044" s="13">
        <f t="shared" si="78"/>
        <v>9.64</v>
      </c>
    </row>
    <row r="5045" spans="1:4" x14ac:dyDescent="0.25">
      <c r="A5045" s="15">
        <f>Sheet2!A5045</f>
        <v>0</v>
      </c>
      <c r="B5045" s="8">
        <v>6.1</v>
      </c>
      <c r="C5045" s="9">
        <v>0</v>
      </c>
      <c r="D5045" s="13">
        <f t="shared" si="78"/>
        <v>6.1</v>
      </c>
    </row>
    <row r="5046" spans="1:4" x14ac:dyDescent="0.25">
      <c r="A5046" s="15">
        <f>Sheet2!A5046</f>
        <v>0</v>
      </c>
      <c r="B5046" s="8">
        <v>7.64</v>
      </c>
      <c r="C5046" s="9">
        <v>0</v>
      </c>
      <c r="D5046" s="13">
        <f t="shared" si="78"/>
        <v>7.64</v>
      </c>
    </row>
    <row r="5047" spans="1:4" x14ac:dyDescent="0.25">
      <c r="A5047" s="15">
        <f>Sheet2!A5047</f>
        <v>0</v>
      </c>
      <c r="B5047" s="8">
        <v>8.02</v>
      </c>
      <c r="C5047" s="9">
        <v>0</v>
      </c>
      <c r="D5047" s="13">
        <f t="shared" si="78"/>
        <v>8.02</v>
      </c>
    </row>
    <row r="5048" spans="1:4" x14ac:dyDescent="0.25">
      <c r="A5048" s="15">
        <f>Sheet2!A5048</f>
        <v>0</v>
      </c>
      <c r="B5048" s="8">
        <v>0</v>
      </c>
      <c r="C5048" s="9">
        <v>0.63</v>
      </c>
      <c r="D5048" s="13">
        <f t="shared" si="78"/>
        <v>0.63</v>
      </c>
    </row>
    <row r="5049" spans="1:4" x14ac:dyDescent="0.25">
      <c r="A5049" s="15">
        <f>Sheet2!A5049</f>
        <v>0</v>
      </c>
      <c r="B5049" s="8">
        <v>0</v>
      </c>
      <c r="C5049" s="9">
        <v>1.94</v>
      </c>
      <c r="D5049" s="13">
        <f t="shared" si="78"/>
        <v>1.94</v>
      </c>
    </row>
    <row r="5050" spans="1:4" x14ac:dyDescent="0.25">
      <c r="A5050" s="15">
        <f>Sheet2!A5050</f>
        <v>0</v>
      </c>
      <c r="B5050" s="8">
        <v>0</v>
      </c>
      <c r="C5050" s="9">
        <v>2.93</v>
      </c>
      <c r="D5050" s="13">
        <f t="shared" si="78"/>
        <v>2.93</v>
      </c>
    </row>
    <row r="5051" spans="1:4" x14ac:dyDescent="0.25">
      <c r="A5051" s="15">
        <f>Sheet2!A5051</f>
        <v>0</v>
      </c>
      <c r="B5051" s="8">
        <v>0</v>
      </c>
      <c r="C5051" s="9">
        <v>1.44</v>
      </c>
      <c r="D5051" s="13">
        <f t="shared" si="78"/>
        <v>1.44</v>
      </c>
    </row>
    <row r="5052" spans="1:4" x14ac:dyDescent="0.25">
      <c r="A5052" s="15">
        <f>Sheet2!A5052</f>
        <v>0</v>
      </c>
      <c r="B5052" s="8">
        <v>0</v>
      </c>
      <c r="C5052" s="9">
        <v>2.27</v>
      </c>
      <c r="D5052" s="13">
        <f t="shared" si="78"/>
        <v>2.27</v>
      </c>
    </row>
    <row r="5053" spans="1:4" x14ac:dyDescent="0.25">
      <c r="A5053" s="15">
        <f>Sheet2!A5053</f>
        <v>0</v>
      </c>
      <c r="B5053" s="8">
        <v>0</v>
      </c>
      <c r="C5053" s="9">
        <v>1.75</v>
      </c>
      <c r="D5053" s="13">
        <f t="shared" si="78"/>
        <v>1.75</v>
      </c>
    </row>
    <row r="5054" spans="1:4" x14ac:dyDescent="0.25">
      <c r="A5054" s="15">
        <f>Sheet2!A5054</f>
        <v>0</v>
      </c>
      <c r="B5054" s="8">
        <v>0</v>
      </c>
      <c r="C5054" s="9">
        <v>2.97</v>
      </c>
      <c r="D5054" s="13">
        <f t="shared" si="78"/>
        <v>2.97</v>
      </c>
    </row>
    <row r="5055" spans="1:4" x14ac:dyDescent="0.25">
      <c r="A5055" s="15">
        <f>Sheet2!A5055</f>
        <v>0</v>
      </c>
      <c r="B5055" s="8">
        <v>0</v>
      </c>
      <c r="C5055" s="9">
        <v>3.06</v>
      </c>
      <c r="D5055" s="13">
        <f t="shared" si="78"/>
        <v>3.06</v>
      </c>
    </row>
    <row r="5056" spans="1:4" x14ac:dyDescent="0.25">
      <c r="A5056" s="15">
        <f>Sheet2!A5056</f>
        <v>0</v>
      </c>
      <c r="B5056" s="8">
        <v>0</v>
      </c>
      <c r="C5056" s="9">
        <v>3.51</v>
      </c>
      <c r="D5056" s="13">
        <f t="shared" si="78"/>
        <v>3.51</v>
      </c>
    </row>
    <row r="5057" spans="1:4" x14ac:dyDescent="0.25">
      <c r="A5057" s="15">
        <f>Sheet2!A5057</f>
        <v>0</v>
      </c>
      <c r="B5057" s="8">
        <v>0</v>
      </c>
      <c r="C5057" s="9">
        <v>1.01</v>
      </c>
      <c r="D5057" s="13">
        <f t="shared" si="78"/>
        <v>1.01</v>
      </c>
    </row>
    <row r="5058" spans="1:4" x14ac:dyDescent="0.25">
      <c r="A5058" s="15">
        <f>Sheet2!A5058</f>
        <v>0</v>
      </c>
      <c r="B5058" s="8">
        <v>16.16</v>
      </c>
      <c r="C5058" s="9">
        <v>0</v>
      </c>
      <c r="D5058" s="13">
        <f t="shared" si="78"/>
        <v>16.16</v>
      </c>
    </row>
    <row r="5059" spans="1:4" x14ac:dyDescent="0.25">
      <c r="A5059" s="15">
        <f>Sheet2!A5059</f>
        <v>0</v>
      </c>
      <c r="B5059" s="8">
        <v>0</v>
      </c>
      <c r="C5059" s="9">
        <v>2.09</v>
      </c>
      <c r="D5059" s="13">
        <f t="shared" ref="D5059:D5122" si="79">B5059+C5059</f>
        <v>2.09</v>
      </c>
    </row>
    <row r="5060" spans="1:4" x14ac:dyDescent="0.25">
      <c r="A5060" s="15">
        <f>Sheet2!A5060</f>
        <v>0</v>
      </c>
      <c r="B5060" s="8">
        <v>0</v>
      </c>
      <c r="C5060" s="9">
        <v>3.09</v>
      </c>
      <c r="D5060" s="13">
        <f t="shared" si="79"/>
        <v>3.09</v>
      </c>
    </row>
    <row r="5061" spans="1:4" x14ac:dyDescent="0.25">
      <c r="A5061" s="15">
        <f>Sheet2!A5061</f>
        <v>0</v>
      </c>
      <c r="B5061" s="8">
        <v>0</v>
      </c>
      <c r="C5061" s="9">
        <v>3.62</v>
      </c>
      <c r="D5061" s="13">
        <f t="shared" si="79"/>
        <v>3.62</v>
      </c>
    </row>
    <row r="5062" spans="1:4" x14ac:dyDescent="0.25">
      <c r="A5062" s="15">
        <f>Sheet2!A5062</f>
        <v>0</v>
      </c>
      <c r="B5062" s="8">
        <v>0</v>
      </c>
      <c r="C5062" s="9">
        <v>3.57</v>
      </c>
      <c r="D5062" s="13">
        <f t="shared" si="79"/>
        <v>3.57</v>
      </c>
    </row>
    <row r="5063" spans="1:4" x14ac:dyDescent="0.25">
      <c r="A5063" s="15">
        <f>Sheet2!A5063</f>
        <v>0</v>
      </c>
      <c r="B5063" s="8">
        <v>0</v>
      </c>
      <c r="C5063" s="9">
        <v>1.24</v>
      </c>
      <c r="D5063" s="13">
        <f t="shared" si="79"/>
        <v>1.24</v>
      </c>
    </row>
    <row r="5064" spans="1:4" x14ac:dyDescent="0.25">
      <c r="A5064" s="15">
        <f>Sheet2!A5064</f>
        <v>0</v>
      </c>
      <c r="B5064" s="8">
        <v>14.29</v>
      </c>
      <c r="C5064" s="9">
        <v>0</v>
      </c>
      <c r="D5064" s="13">
        <f t="shared" si="79"/>
        <v>14.29</v>
      </c>
    </row>
    <row r="5065" spans="1:4" x14ac:dyDescent="0.25">
      <c r="A5065" s="15">
        <f>Sheet2!A5065</f>
        <v>0</v>
      </c>
      <c r="B5065" s="8">
        <v>0</v>
      </c>
      <c r="C5065" s="9">
        <v>1.87</v>
      </c>
      <c r="D5065" s="13">
        <f t="shared" si="79"/>
        <v>1.87</v>
      </c>
    </row>
    <row r="5066" spans="1:4" x14ac:dyDescent="0.25">
      <c r="A5066" s="15">
        <f>Sheet2!A5066</f>
        <v>0</v>
      </c>
      <c r="B5066" s="8">
        <v>0</v>
      </c>
      <c r="C5066" s="9">
        <v>0.44</v>
      </c>
      <c r="D5066" s="13">
        <f t="shared" si="79"/>
        <v>0.44</v>
      </c>
    </row>
    <row r="5067" spans="1:4" x14ac:dyDescent="0.25">
      <c r="A5067" s="15">
        <f>Sheet2!A5067</f>
        <v>0</v>
      </c>
      <c r="B5067" s="8">
        <v>5.66</v>
      </c>
      <c r="C5067" s="9">
        <v>0</v>
      </c>
      <c r="D5067" s="13">
        <f t="shared" si="79"/>
        <v>5.66</v>
      </c>
    </row>
    <row r="5068" spans="1:4" x14ac:dyDescent="0.25">
      <c r="A5068" s="15">
        <f>Sheet2!A5068</f>
        <v>0</v>
      </c>
      <c r="B5068" s="8">
        <v>12.79</v>
      </c>
      <c r="C5068" s="9">
        <v>0</v>
      </c>
      <c r="D5068" s="13">
        <f t="shared" si="79"/>
        <v>12.79</v>
      </c>
    </row>
    <row r="5069" spans="1:4" x14ac:dyDescent="0.25">
      <c r="A5069" s="15">
        <f>Sheet2!A5069</f>
        <v>0</v>
      </c>
      <c r="B5069" s="8">
        <v>4.74</v>
      </c>
      <c r="C5069" s="9">
        <v>0</v>
      </c>
      <c r="D5069" s="13">
        <f t="shared" si="79"/>
        <v>4.74</v>
      </c>
    </row>
    <row r="5070" spans="1:4" x14ac:dyDescent="0.25">
      <c r="A5070" s="15">
        <f>Sheet2!A5070</f>
        <v>0</v>
      </c>
      <c r="B5070" s="8">
        <v>4.74</v>
      </c>
      <c r="C5070" s="9">
        <v>0</v>
      </c>
      <c r="D5070" s="13">
        <f t="shared" si="79"/>
        <v>4.74</v>
      </c>
    </row>
    <row r="5071" spans="1:4" x14ac:dyDescent="0.25">
      <c r="A5071" s="15">
        <f>Sheet2!A5071</f>
        <v>0</v>
      </c>
      <c r="B5071" s="8">
        <v>5.93</v>
      </c>
      <c r="C5071" s="9">
        <v>0</v>
      </c>
      <c r="D5071" s="13">
        <f t="shared" si="79"/>
        <v>5.93</v>
      </c>
    </row>
    <row r="5072" spans="1:4" x14ac:dyDescent="0.25">
      <c r="A5072" s="15">
        <f>Sheet2!A5072</f>
        <v>0</v>
      </c>
      <c r="B5072" s="8">
        <v>17.89</v>
      </c>
      <c r="C5072" s="9">
        <v>0</v>
      </c>
      <c r="D5072" s="13">
        <f t="shared" si="79"/>
        <v>17.89</v>
      </c>
    </row>
    <row r="5073" spans="1:4" x14ac:dyDescent="0.25">
      <c r="A5073" s="15">
        <f>Sheet2!A5073</f>
        <v>0</v>
      </c>
      <c r="B5073" s="8">
        <v>0</v>
      </c>
      <c r="C5073" s="9">
        <v>1.28</v>
      </c>
      <c r="D5073" s="13">
        <f t="shared" si="79"/>
        <v>1.28</v>
      </c>
    </row>
    <row r="5074" spans="1:4" x14ac:dyDescent="0.25">
      <c r="A5074" s="15">
        <f>Sheet2!A5074</f>
        <v>0</v>
      </c>
      <c r="B5074" s="8">
        <v>0</v>
      </c>
      <c r="C5074" s="9">
        <v>2.83</v>
      </c>
      <c r="D5074" s="13">
        <f t="shared" si="79"/>
        <v>2.83</v>
      </c>
    </row>
    <row r="5075" spans="1:4" x14ac:dyDescent="0.25">
      <c r="A5075" s="15">
        <f>Sheet2!A5075</f>
        <v>0</v>
      </c>
      <c r="B5075" s="8">
        <v>0</v>
      </c>
      <c r="C5075" s="9">
        <v>2.86</v>
      </c>
      <c r="D5075" s="13">
        <f t="shared" si="79"/>
        <v>2.86</v>
      </c>
    </row>
    <row r="5076" spans="1:4" x14ac:dyDescent="0.25">
      <c r="A5076" s="15">
        <f>Sheet2!A5076</f>
        <v>0</v>
      </c>
      <c r="B5076" s="8">
        <v>0</v>
      </c>
      <c r="C5076" s="9">
        <v>2.98</v>
      </c>
      <c r="D5076" s="13">
        <f t="shared" si="79"/>
        <v>2.98</v>
      </c>
    </row>
    <row r="5077" spans="1:4" x14ac:dyDescent="0.25">
      <c r="A5077" s="15">
        <f>Sheet2!A5077</f>
        <v>0</v>
      </c>
      <c r="B5077" s="8">
        <v>0</v>
      </c>
      <c r="C5077" s="9">
        <v>1.52</v>
      </c>
      <c r="D5077" s="13">
        <f t="shared" si="79"/>
        <v>1.52</v>
      </c>
    </row>
    <row r="5078" spans="1:4" x14ac:dyDescent="0.25">
      <c r="A5078" s="15">
        <f>Sheet2!A5078</f>
        <v>0</v>
      </c>
      <c r="B5078" s="8">
        <v>0</v>
      </c>
      <c r="C5078" s="9">
        <v>2.39</v>
      </c>
      <c r="D5078" s="13">
        <f t="shared" si="79"/>
        <v>2.39</v>
      </c>
    </row>
    <row r="5079" spans="1:4" x14ac:dyDescent="0.25">
      <c r="A5079" s="15">
        <f>Sheet2!A5079</f>
        <v>0</v>
      </c>
      <c r="B5079" s="8">
        <v>0</v>
      </c>
      <c r="C5079" s="9">
        <v>1.5</v>
      </c>
      <c r="D5079" s="13">
        <f t="shared" si="79"/>
        <v>1.5</v>
      </c>
    </row>
    <row r="5080" spans="1:4" x14ac:dyDescent="0.25">
      <c r="A5080" s="15">
        <f>Sheet2!A5080</f>
        <v>0</v>
      </c>
      <c r="B5080" s="8">
        <v>0</v>
      </c>
      <c r="C5080" s="9">
        <v>3.29</v>
      </c>
      <c r="D5080" s="13">
        <f t="shared" si="79"/>
        <v>3.29</v>
      </c>
    </row>
    <row r="5081" spans="1:4" x14ac:dyDescent="0.25">
      <c r="A5081" s="15">
        <f>Sheet2!A5081</f>
        <v>0</v>
      </c>
      <c r="B5081" s="8">
        <v>0</v>
      </c>
      <c r="C5081" s="9">
        <v>3.37</v>
      </c>
      <c r="D5081" s="13">
        <f t="shared" si="79"/>
        <v>3.37</v>
      </c>
    </row>
    <row r="5082" spans="1:4" x14ac:dyDescent="0.25">
      <c r="A5082" s="15">
        <f>Sheet2!A5082</f>
        <v>0</v>
      </c>
      <c r="B5082" s="8">
        <v>0</v>
      </c>
      <c r="C5082" s="9">
        <v>3.38</v>
      </c>
      <c r="D5082" s="13">
        <f t="shared" si="79"/>
        <v>3.38</v>
      </c>
    </row>
    <row r="5083" spans="1:4" x14ac:dyDescent="0.25">
      <c r="A5083" s="15">
        <f>Sheet2!A5083</f>
        <v>0</v>
      </c>
      <c r="B5083" s="8">
        <v>0</v>
      </c>
      <c r="C5083" s="9">
        <v>1.65</v>
      </c>
      <c r="D5083" s="13">
        <f t="shared" si="79"/>
        <v>1.65</v>
      </c>
    </row>
    <row r="5084" spans="1:4" x14ac:dyDescent="0.25">
      <c r="A5084" s="15">
        <f>Sheet2!A5084</f>
        <v>0</v>
      </c>
      <c r="B5084" s="8">
        <v>0</v>
      </c>
      <c r="C5084" s="9">
        <v>0.64</v>
      </c>
      <c r="D5084" s="13">
        <f t="shared" si="79"/>
        <v>0.64</v>
      </c>
    </row>
    <row r="5085" spans="1:4" x14ac:dyDescent="0.25">
      <c r="A5085" s="15">
        <f>Sheet2!A5085</f>
        <v>0</v>
      </c>
      <c r="B5085" s="8">
        <v>0</v>
      </c>
      <c r="C5085" s="9">
        <v>3.69</v>
      </c>
      <c r="D5085" s="13">
        <f t="shared" si="79"/>
        <v>3.69</v>
      </c>
    </row>
    <row r="5086" spans="1:4" x14ac:dyDescent="0.25">
      <c r="A5086" s="15">
        <f>Sheet2!A5086</f>
        <v>0</v>
      </c>
      <c r="B5086" s="8">
        <v>0</v>
      </c>
      <c r="C5086" s="9">
        <v>3.48</v>
      </c>
      <c r="D5086" s="13">
        <f t="shared" si="79"/>
        <v>3.48</v>
      </c>
    </row>
    <row r="5087" spans="1:4" x14ac:dyDescent="0.25">
      <c r="A5087" s="15">
        <f>Sheet2!A5087</f>
        <v>0</v>
      </c>
      <c r="B5087" s="8">
        <v>0</v>
      </c>
      <c r="C5087" s="9">
        <v>1</v>
      </c>
      <c r="D5087" s="13">
        <f t="shared" si="79"/>
        <v>1</v>
      </c>
    </row>
    <row r="5088" spans="1:4" x14ac:dyDescent="0.25">
      <c r="A5088" s="15">
        <f>Sheet2!A5088</f>
        <v>0</v>
      </c>
      <c r="B5088" s="8">
        <v>0</v>
      </c>
      <c r="C5088" s="9">
        <v>0.66</v>
      </c>
      <c r="D5088" s="13">
        <f t="shared" si="79"/>
        <v>0.66</v>
      </c>
    </row>
    <row r="5089" spans="1:4" x14ac:dyDescent="0.25">
      <c r="A5089" s="15">
        <f>Sheet2!A5089</f>
        <v>0</v>
      </c>
      <c r="B5089" s="8">
        <v>0</v>
      </c>
      <c r="C5089" s="9">
        <v>0.69</v>
      </c>
      <c r="D5089" s="13">
        <f t="shared" si="79"/>
        <v>0.69</v>
      </c>
    </row>
    <row r="5090" spans="1:4" x14ac:dyDescent="0.25">
      <c r="A5090" s="15">
        <f>Sheet2!A5090</f>
        <v>0</v>
      </c>
      <c r="B5090" s="8">
        <v>0</v>
      </c>
      <c r="C5090" s="9">
        <v>1.27</v>
      </c>
      <c r="D5090" s="13">
        <f t="shared" si="79"/>
        <v>1.27</v>
      </c>
    </row>
    <row r="5091" spans="1:4" x14ac:dyDescent="0.25">
      <c r="A5091" s="15">
        <f>Sheet2!A5091</f>
        <v>0</v>
      </c>
      <c r="B5091" s="8">
        <v>0</v>
      </c>
      <c r="C5091" s="9">
        <v>1.43</v>
      </c>
      <c r="D5091" s="13">
        <f t="shared" si="79"/>
        <v>1.43</v>
      </c>
    </row>
    <row r="5092" spans="1:4" x14ac:dyDescent="0.25">
      <c r="A5092" s="15">
        <f>Sheet2!A5092</f>
        <v>0</v>
      </c>
      <c r="B5092" s="8">
        <v>9.7899999999999991</v>
      </c>
      <c r="C5092" s="9">
        <v>0</v>
      </c>
      <c r="D5092" s="13">
        <f t="shared" si="79"/>
        <v>9.7899999999999991</v>
      </c>
    </row>
    <row r="5093" spans="1:4" x14ac:dyDescent="0.25">
      <c r="A5093" s="15">
        <f>Sheet2!A5093</f>
        <v>0</v>
      </c>
      <c r="B5093" s="8">
        <v>9.07</v>
      </c>
      <c r="C5093" s="9">
        <v>0</v>
      </c>
      <c r="D5093" s="13">
        <f t="shared" si="79"/>
        <v>9.07</v>
      </c>
    </row>
    <row r="5094" spans="1:4" x14ac:dyDescent="0.25">
      <c r="A5094" s="15">
        <f>Sheet2!A5094</f>
        <v>0</v>
      </c>
      <c r="B5094" s="8">
        <v>9.01</v>
      </c>
      <c r="C5094" s="9">
        <v>0</v>
      </c>
      <c r="D5094" s="13">
        <f t="shared" si="79"/>
        <v>9.01</v>
      </c>
    </row>
    <row r="5095" spans="1:4" x14ac:dyDescent="0.25">
      <c r="A5095" s="15">
        <f>Sheet2!A5095</f>
        <v>0</v>
      </c>
      <c r="B5095" s="8">
        <v>0</v>
      </c>
      <c r="C5095" s="9">
        <v>1.6</v>
      </c>
      <c r="D5095" s="13">
        <f t="shared" si="79"/>
        <v>1.6</v>
      </c>
    </row>
    <row r="5096" spans="1:4" x14ac:dyDescent="0.25">
      <c r="A5096" s="15">
        <f>Sheet2!A5096</f>
        <v>0</v>
      </c>
      <c r="B5096" s="8">
        <v>0</v>
      </c>
      <c r="C5096" s="9">
        <v>2.9</v>
      </c>
      <c r="D5096" s="13">
        <f t="shared" si="79"/>
        <v>2.9</v>
      </c>
    </row>
    <row r="5097" spans="1:4" x14ac:dyDescent="0.25">
      <c r="A5097" s="15">
        <f>Sheet2!A5097</f>
        <v>0</v>
      </c>
      <c r="B5097" s="8">
        <v>0</v>
      </c>
      <c r="C5097" s="9">
        <v>1.37</v>
      </c>
      <c r="D5097" s="13">
        <f t="shared" si="79"/>
        <v>1.37</v>
      </c>
    </row>
    <row r="5098" spans="1:4" x14ac:dyDescent="0.25">
      <c r="A5098" s="15">
        <f>Sheet2!A5098</f>
        <v>0</v>
      </c>
      <c r="B5098" s="8">
        <v>12.24</v>
      </c>
      <c r="C5098" s="9">
        <v>0</v>
      </c>
      <c r="D5098" s="13">
        <f t="shared" si="79"/>
        <v>12.24</v>
      </c>
    </row>
    <row r="5099" spans="1:4" x14ac:dyDescent="0.25">
      <c r="A5099" s="15">
        <f>Sheet2!A5099</f>
        <v>0</v>
      </c>
      <c r="B5099" s="8">
        <v>0</v>
      </c>
      <c r="C5099" s="9">
        <v>1.7</v>
      </c>
      <c r="D5099" s="13">
        <f t="shared" si="79"/>
        <v>1.7</v>
      </c>
    </row>
    <row r="5100" spans="1:4" x14ac:dyDescent="0.25">
      <c r="A5100" s="15">
        <f>Sheet2!A5100</f>
        <v>0</v>
      </c>
      <c r="B5100" s="8">
        <v>0</v>
      </c>
      <c r="C5100" s="9">
        <v>3.03</v>
      </c>
      <c r="D5100" s="13">
        <f t="shared" si="79"/>
        <v>3.03</v>
      </c>
    </row>
    <row r="5101" spans="1:4" x14ac:dyDescent="0.25">
      <c r="A5101" s="15">
        <f>Sheet2!A5101</f>
        <v>0</v>
      </c>
      <c r="B5101" s="8">
        <v>0</v>
      </c>
      <c r="C5101" s="9">
        <v>1.35</v>
      </c>
      <c r="D5101" s="13">
        <f t="shared" si="79"/>
        <v>1.35</v>
      </c>
    </row>
    <row r="5102" spans="1:4" x14ac:dyDescent="0.25">
      <c r="A5102" s="15">
        <f>Sheet2!A5102</f>
        <v>0</v>
      </c>
      <c r="B5102" s="8">
        <v>0</v>
      </c>
      <c r="C5102" s="9">
        <v>0.56000000000000005</v>
      </c>
      <c r="D5102" s="13">
        <f t="shared" si="79"/>
        <v>0.56000000000000005</v>
      </c>
    </row>
    <row r="5103" spans="1:4" x14ac:dyDescent="0.25">
      <c r="A5103" s="15">
        <f>Sheet2!A5103</f>
        <v>0</v>
      </c>
      <c r="B5103" s="8">
        <v>3.7</v>
      </c>
      <c r="C5103" s="9">
        <v>0</v>
      </c>
      <c r="D5103" s="13">
        <f t="shared" si="79"/>
        <v>3.7</v>
      </c>
    </row>
    <row r="5104" spans="1:4" x14ac:dyDescent="0.25">
      <c r="A5104" s="15">
        <f>Sheet2!A5104</f>
        <v>0</v>
      </c>
      <c r="B5104" s="8">
        <v>0</v>
      </c>
      <c r="C5104" s="9">
        <v>3.54</v>
      </c>
      <c r="D5104" s="13">
        <f t="shared" si="79"/>
        <v>3.54</v>
      </c>
    </row>
    <row r="5105" spans="1:4" x14ac:dyDescent="0.25">
      <c r="A5105" s="15">
        <f>Sheet2!A5105</f>
        <v>0</v>
      </c>
      <c r="B5105" s="8">
        <v>0</v>
      </c>
      <c r="C5105" s="9">
        <v>1.32</v>
      </c>
      <c r="D5105" s="13">
        <f t="shared" si="79"/>
        <v>1.32</v>
      </c>
    </row>
    <row r="5106" spans="1:4" x14ac:dyDescent="0.25">
      <c r="A5106" s="15">
        <f>Sheet2!A5106</f>
        <v>0</v>
      </c>
      <c r="B5106" s="8">
        <v>14.38</v>
      </c>
      <c r="C5106" s="9">
        <v>0</v>
      </c>
      <c r="D5106" s="13">
        <f t="shared" si="79"/>
        <v>14.38</v>
      </c>
    </row>
    <row r="5107" spans="1:4" x14ac:dyDescent="0.25">
      <c r="A5107" s="15">
        <f>Sheet2!A5107</f>
        <v>0</v>
      </c>
      <c r="B5107" s="8">
        <v>0</v>
      </c>
      <c r="C5107" s="9">
        <v>2.87</v>
      </c>
      <c r="D5107" s="13">
        <f t="shared" si="79"/>
        <v>2.87</v>
      </c>
    </row>
    <row r="5108" spans="1:4" x14ac:dyDescent="0.25">
      <c r="A5108" s="15">
        <f>Sheet2!A5108</f>
        <v>0</v>
      </c>
      <c r="B5108" s="8">
        <v>4.9400000000000004</v>
      </c>
      <c r="C5108" s="9">
        <v>0</v>
      </c>
      <c r="D5108" s="13">
        <f t="shared" si="79"/>
        <v>4.9400000000000004</v>
      </c>
    </row>
    <row r="5109" spans="1:4" x14ac:dyDescent="0.25">
      <c r="A5109" s="15">
        <f>Sheet2!A5109</f>
        <v>0</v>
      </c>
      <c r="B5109" s="8">
        <v>0</v>
      </c>
      <c r="C5109" s="9">
        <v>2.5</v>
      </c>
      <c r="D5109" s="13">
        <f t="shared" si="79"/>
        <v>2.5</v>
      </c>
    </row>
    <row r="5110" spans="1:4" x14ac:dyDescent="0.25">
      <c r="A5110" s="15">
        <f>Sheet2!A5110</f>
        <v>0</v>
      </c>
      <c r="B5110" s="8">
        <v>0</v>
      </c>
      <c r="C5110" s="9">
        <v>3.72</v>
      </c>
      <c r="D5110" s="13">
        <f t="shared" si="79"/>
        <v>3.72</v>
      </c>
    </row>
    <row r="5111" spans="1:4" x14ac:dyDescent="0.25">
      <c r="A5111" s="15">
        <f>Sheet2!A5111</f>
        <v>0</v>
      </c>
      <c r="B5111" s="8">
        <v>0</v>
      </c>
      <c r="C5111" s="9">
        <v>1.1100000000000001</v>
      </c>
      <c r="D5111" s="13">
        <f t="shared" si="79"/>
        <v>1.1100000000000001</v>
      </c>
    </row>
    <row r="5112" spans="1:4" x14ac:dyDescent="0.25">
      <c r="A5112" s="15">
        <f>Sheet2!A5112</f>
        <v>0</v>
      </c>
      <c r="B5112" s="8">
        <v>10.28</v>
      </c>
      <c r="C5112" s="9">
        <v>0</v>
      </c>
      <c r="D5112" s="13">
        <f t="shared" si="79"/>
        <v>10.28</v>
      </c>
    </row>
    <row r="5113" spans="1:4" x14ac:dyDescent="0.25">
      <c r="A5113" s="15">
        <f>Sheet2!A5113</f>
        <v>0</v>
      </c>
      <c r="B5113" s="8">
        <v>0</v>
      </c>
      <c r="C5113" s="9">
        <v>0.3</v>
      </c>
      <c r="D5113" s="13">
        <f t="shared" si="79"/>
        <v>0.3</v>
      </c>
    </row>
    <row r="5114" spans="1:4" x14ac:dyDescent="0.25">
      <c r="A5114" s="15">
        <f>Sheet2!A5114</f>
        <v>0</v>
      </c>
      <c r="B5114" s="8">
        <v>0</v>
      </c>
      <c r="C5114" s="9">
        <v>1.69</v>
      </c>
      <c r="D5114" s="13">
        <f t="shared" si="79"/>
        <v>1.69</v>
      </c>
    </row>
    <row r="5115" spans="1:4" x14ac:dyDescent="0.25">
      <c r="A5115" s="15">
        <f>Sheet2!A5115</f>
        <v>0</v>
      </c>
      <c r="B5115" s="8">
        <v>0</v>
      </c>
      <c r="C5115" s="9">
        <v>1.91</v>
      </c>
      <c r="D5115" s="13">
        <f t="shared" si="79"/>
        <v>1.91</v>
      </c>
    </row>
    <row r="5116" spans="1:4" x14ac:dyDescent="0.25">
      <c r="A5116" s="15">
        <f>Sheet2!A5116</f>
        <v>0</v>
      </c>
      <c r="B5116" s="8">
        <v>0</v>
      </c>
      <c r="C5116" s="9">
        <v>2.12</v>
      </c>
      <c r="D5116" s="13">
        <f t="shared" si="79"/>
        <v>2.12</v>
      </c>
    </row>
    <row r="5117" spans="1:4" x14ac:dyDescent="0.25">
      <c r="A5117" s="15">
        <f>Sheet2!A5117</f>
        <v>0</v>
      </c>
      <c r="B5117" s="8">
        <v>12.81</v>
      </c>
      <c r="C5117" s="9">
        <v>0</v>
      </c>
      <c r="D5117" s="13">
        <f t="shared" si="79"/>
        <v>12.81</v>
      </c>
    </row>
    <row r="5118" spans="1:4" x14ac:dyDescent="0.25">
      <c r="A5118" s="15">
        <f>Sheet2!A5118</f>
        <v>0</v>
      </c>
      <c r="B5118" s="8">
        <v>11.38</v>
      </c>
      <c r="C5118" s="9">
        <v>0</v>
      </c>
      <c r="D5118" s="13">
        <f t="shared" si="79"/>
        <v>11.38</v>
      </c>
    </row>
    <row r="5119" spans="1:4" x14ac:dyDescent="0.25">
      <c r="A5119" s="15">
        <f>Sheet2!A5119</f>
        <v>0</v>
      </c>
      <c r="B5119" s="8">
        <v>0</v>
      </c>
      <c r="C5119" s="9">
        <v>1.88</v>
      </c>
      <c r="D5119" s="13">
        <f t="shared" si="79"/>
        <v>1.88</v>
      </c>
    </row>
    <row r="5120" spans="1:4" x14ac:dyDescent="0.25">
      <c r="A5120" s="15">
        <f>Sheet2!A5120</f>
        <v>0</v>
      </c>
      <c r="B5120" s="8">
        <v>0</v>
      </c>
      <c r="C5120" s="9">
        <v>2.91</v>
      </c>
      <c r="D5120" s="13">
        <f t="shared" si="79"/>
        <v>2.91</v>
      </c>
    </row>
    <row r="5121" spans="1:4" x14ac:dyDescent="0.25">
      <c r="A5121" s="15">
        <f>Sheet2!A5121</f>
        <v>0</v>
      </c>
      <c r="B5121" s="8">
        <v>0</v>
      </c>
      <c r="C5121" s="9">
        <v>0.62</v>
      </c>
      <c r="D5121" s="13">
        <f t="shared" si="79"/>
        <v>0.62</v>
      </c>
    </row>
    <row r="5122" spans="1:4" x14ac:dyDescent="0.25">
      <c r="A5122" s="15">
        <f>Sheet2!A5122</f>
        <v>0</v>
      </c>
      <c r="B5122" s="8">
        <v>13.62</v>
      </c>
      <c r="C5122" s="9">
        <v>0</v>
      </c>
      <c r="D5122" s="13">
        <f t="shared" si="79"/>
        <v>13.62</v>
      </c>
    </row>
    <row r="5123" spans="1:4" x14ac:dyDescent="0.25">
      <c r="A5123" s="15">
        <f>Sheet2!A5123</f>
        <v>0</v>
      </c>
      <c r="B5123" s="8">
        <v>0</v>
      </c>
      <c r="C5123" s="9">
        <v>1.83</v>
      </c>
      <c r="D5123" s="13">
        <f t="shared" ref="D5123:D5186" si="80">B5123+C5123</f>
        <v>1.83</v>
      </c>
    </row>
    <row r="5124" spans="1:4" x14ac:dyDescent="0.25">
      <c r="A5124" s="15">
        <f>Sheet2!A5124</f>
        <v>0</v>
      </c>
      <c r="B5124" s="8">
        <v>0</v>
      </c>
      <c r="C5124" s="9">
        <v>3.03</v>
      </c>
      <c r="D5124" s="13">
        <f t="shared" si="80"/>
        <v>3.03</v>
      </c>
    </row>
    <row r="5125" spans="1:4" x14ac:dyDescent="0.25">
      <c r="A5125" s="15">
        <f>Sheet2!A5125</f>
        <v>0</v>
      </c>
      <c r="B5125" s="8">
        <v>0</v>
      </c>
      <c r="C5125" s="9">
        <v>1.21</v>
      </c>
      <c r="D5125" s="13">
        <f t="shared" si="80"/>
        <v>1.21</v>
      </c>
    </row>
    <row r="5126" spans="1:4" x14ac:dyDescent="0.25">
      <c r="A5126" s="15">
        <f>Sheet2!A5126</f>
        <v>0</v>
      </c>
      <c r="B5126" s="8">
        <v>15.06</v>
      </c>
      <c r="C5126" s="9">
        <v>0</v>
      </c>
      <c r="D5126" s="13">
        <f t="shared" si="80"/>
        <v>15.06</v>
      </c>
    </row>
    <row r="5127" spans="1:4" x14ac:dyDescent="0.25">
      <c r="A5127" s="15">
        <f>Sheet2!A5127</f>
        <v>0</v>
      </c>
      <c r="B5127" s="8">
        <v>0</v>
      </c>
      <c r="C5127" s="9">
        <v>1.1000000000000001</v>
      </c>
      <c r="D5127" s="13">
        <f t="shared" si="80"/>
        <v>1.1000000000000001</v>
      </c>
    </row>
    <row r="5128" spans="1:4" x14ac:dyDescent="0.25">
      <c r="A5128" s="15">
        <f>Sheet2!A5128</f>
        <v>0</v>
      </c>
      <c r="B5128" s="8">
        <v>0</v>
      </c>
      <c r="C5128" s="9">
        <v>1.98</v>
      </c>
      <c r="D5128" s="13">
        <f t="shared" si="80"/>
        <v>1.98</v>
      </c>
    </row>
    <row r="5129" spans="1:4" x14ac:dyDescent="0.25">
      <c r="A5129" s="15">
        <f>Sheet2!A5129</f>
        <v>0</v>
      </c>
      <c r="B5129" s="8">
        <v>0</v>
      </c>
      <c r="C5129" s="9">
        <v>2.12</v>
      </c>
      <c r="D5129" s="13">
        <f t="shared" si="80"/>
        <v>2.12</v>
      </c>
    </row>
    <row r="5130" spans="1:4" x14ac:dyDescent="0.25">
      <c r="A5130" s="15">
        <f>Sheet2!A5130</f>
        <v>0</v>
      </c>
      <c r="B5130" s="8">
        <v>0</v>
      </c>
      <c r="C5130" s="9">
        <v>3.39</v>
      </c>
      <c r="D5130" s="13">
        <f t="shared" si="80"/>
        <v>3.39</v>
      </c>
    </row>
    <row r="5131" spans="1:4" x14ac:dyDescent="0.25">
      <c r="A5131" s="15">
        <f>Sheet2!A5131</f>
        <v>0</v>
      </c>
      <c r="B5131" s="8">
        <v>0</v>
      </c>
      <c r="C5131" s="9">
        <v>1.1499999999999999</v>
      </c>
      <c r="D5131" s="13">
        <f t="shared" si="80"/>
        <v>1.1499999999999999</v>
      </c>
    </row>
    <row r="5132" spans="1:4" x14ac:dyDescent="0.25">
      <c r="A5132" s="15">
        <f>Sheet2!A5132</f>
        <v>0</v>
      </c>
      <c r="B5132" s="8">
        <v>0</v>
      </c>
      <c r="C5132" s="9">
        <v>0.36</v>
      </c>
      <c r="D5132" s="13">
        <f t="shared" si="80"/>
        <v>0.36</v>
      </c>
    </row>
    <row r="5133" spans="1:4" x14ac:dyDescent="0.25">
      <c r="A5133" s="15">
        <f>Sheet2!A5133</f>
        <v>0</v>
      </c>
      <c r="B5133" s="8">
        <v>0</v>
      </c>
      <c r="C5133" s="9">
        <v>1.81</v>
      </c>
      <c r="D5133" s="13">
        <f t="shared" si="80"/>
        <v>1.81</v>
      </c>
    </row>
    <row r="5134" spans="1:4" x14ac:dyDescent="0.25">
      <c r="A5134" s="15">
        <f>Sheet2!A5134</f>
        <v>0</v>
      </c>
      <c r="B5134" s="8">
        <v>0</v>
      </c>
      <c r="C5134" s="9">
        <v>3.88</v>
      </c>
      <c r="D5134" s="13">
        <f t="shared" si="80"/>
        <v>3.88</v>
      </c>
    </row>
    <row r="5135" spans="1:4" x14ac:dyDescent="0.25">
      <c r="A5135" s="15">
        <f>Sheet2!A5135</f>
        <v>0</v>
      </c>
      <c r="B5135" s="8">
        <v>0</v>
      </c>
      <c r="C5135" s="9">
        <v>1.73</v>
      </c>
      <c r="D5135" s="13">
        <f t="shared" si="80"/>
        <v>1.73</v>
      </c>
    </row>
    <row r="5136" spans="1:4" x14ac:dyDescent="0.25">
      <c r="A5136" s="15">
        <f>Sheet2!A5136</f>
        <v>0</v>
      </c>
      <c r="B5136" s="8">
        <v>16.36</v>
      </c>
      <c r="C5136" s="9">
        <v>0</v>
      </c>
      <c r="D5136" s="13">
        <f t="shared" si="80"/>
        <v>16.36</v>
      </c>
    </row>
    <row r="5137" spans="1:4" x14ac:dyDescent="0.25">
      <c r="A5137" s="15">
        <f>Sheet2!A5137</f>
        <v>0</v>
      </c>
      <c r="B5137" s="8">
        <v>13.7</v>
      </c>
      <c r="C5137" s="9">
        <v>0</v>
      </c>
      <c r="D5137" s="13">
        <f t="shared" si="80"/>
        <v>13.7</v>
      </c>
    </row>
    <row r="5138" spans="1:4" x14ac:dyDescent="0.25">
      <c r="A5138" s="15">
        <f>Sheet2!A5138</f>
        <v>0</v>
      </c>
      <c r="B5138" s="8">
        <v>10.64</v>
      </c>
      <c r="C5138" s="9">
        <v>0</v>
      </c>
      <c r="D5138" s="13">
        <f t="shared" si="80"/>
        <v>10.64</v>
      </c>
    </row>
    <row r="5139" spans="1:4" x14ac:dyDescent="0.25">
      <c r="A5139" s="15">
        <f>Sheet2!A5139</f>
        <v>0</v>
      </c>
      <c r="B5139" s="8">
        <v>0</v>
      </c>
      <c r="C5139" s="9">
        <v>1.34</v>
      </c>
      <c r="D5139" s="13">
        <f t="shared" si="80"/>
        <v>1.34</v>
      </c>
    </row>
    <row r="5140" spans="1:4" x14ac:dyDescent="0.25">
      <c r="A5140" s="15">
        <f>Sheet2!A5140</f>
        <v>0</v>
      </c>
      <c r="B5140" s="8">
        <v>0</v>
      </c>
      <c r="C5140" s="9">
        <v>2.84</v>
      </c>
      <c r="D5140" s="13">
        <f t="shared" si="80"/>
        <v>2.84</v>
      </c>
    </row>
    <row r="5141" spans="1:4" x14ac:dyDescent="0.25">
      <c r="A5141" s="15">
        <f>Sheet2!A5141</f>
        <v>0</v>
      </c>
      <c r="B5141" s="8">
        <v>0</v>
      </c>
      <c r="C5141" s="9">
        <v>0.8</v>
      </c>
      <c r="D5141" s="13">
        <f t="shared" si="80"/>
        <v>0.8</v>
      </c>
    </row>
    <row r="5142" spans="1:4" x14ac:dyDescent="0.25">
      <c r="A5142" s="15">
        <f>Sheet2!A5142</f>
        <v>0</v>
      </c>
      <c r="B5142" s="8">
        <v>9.2799999999999994</v>
      </c>
      <c r="C5142" s="9">
        <v>0</v>
      </c>
      <c r="D5142" s="13">
        <f t="shared" si="80"/>
        <v>9.2799999999999994</v>
      </c>
    </row>
    <row r="5143" spans="1:4" x14ac:dyDescent="0.25">
      <c r="A5143" s="15">
        <f>Sheet2!A5143</f>
        <v>0</v>
      </c>
      <c r="B5143" s="8">
        <v>0</v>
      </c>
      <c r="C5143" s="9">
        <v>1.63</v>
      </c>
      <c r="D5143" s="13">
        <f t="shared" si="80"/>
        <v>1.63</v>
      </c>
    </row>
    <row r="5144" spans="1:4" x14ac:dyDescent="0.25">
      <c r="A5144" s="15">
        <f>Sheet2!A5144</f>
        <v>0</v>
      </c>
      <c r="B5144" s="8">
        <v>0</v>
      </c>
      <c r="C5144" s="9">
        <v>2.85</v>
      </c>
      <c r="D5144" s="13">
        <f t="shared" si="80"/>
        <v>2.85</v>
      </c>
    </row>
    <row r="5145" spans="1:4" x14ac:dyDescent="0.25">
      <c r="A5145" s="15">
        <f>Sheet2!A5145</f>
        <v>0</v>
      </c>
      <c r="B5145" s="8">
        <v>0</v>
      </c>
      <c r="C5145" s="9">
        <v>2.83</v>
      </c>
      <c r="D5145" s="13">
        <f t="shared" si="80"/>
        <v>2.83</v>
      </c>
    </row>
    <row r="5146" spans="1:4" x14ac:dyDescent="0.25">
      <c r="A5146" s="15">
        <f>Sheet2!A5146</f>
        <v>0</v>
      </c>
      <c r="B5146" s="8">
        <v>0</v>
      </c>
      <c r="C5146" s="9">
        <v>2.92</v>
      </c>
      <c r="D5146" s="13">
        <f t="shared" si="80"/>
        <v>2.92</v>
      </c>
    </row>
    <row r="5147" spans="1:4" x14ac:dyDescent="0.25">
      <c r="A5147" s="15">
        <f>Sheet2!A5147</f>
        <v>0</v>
      </c>
      <c r="B5147" s="8">
        <v>0</v>
      </c>
      <c r="C5147" s="9">
        <v>1.21</v>
      </c>
      <c r="D5147" s="13">
        <f t="shared" si="80"/>
        <v>1.21</v>
      </c>
    </row>
    <row r="5148" spans="1:4" x14ac:dyDescent="0.25">
      <c r="A5148" s="15">
        <f>Sheet2!A5148</f>
        <v>0</v>
      </c>
      <c r="B5148" s="8">
        <v>0</v>
      </c>
      <c r="C5148" s="9">
        <v>1.4</v>
      </c>
      <c r="D5148" s="13">
        <f t="shared" si="80"/>
        <v>1.4</v>
      </c>
    </row>
    <row r="5149" spans="1:4" x14ac:dyDescent="0.25">
      <c r="A5149" s="15">
        <f>Sheet2!A5149</f>
        <v>0</v>
      </c>
      <c r="B5149" s="8">
        <v>0</v>
      </c>
      <c r="C5149" s="9">
        <v>2.98</v>
      </c>
      <c r="D5149" s="13">
        <f t="shared" si="80"/>
        <v>2.98</v>
      </c>
    </row>
    <row r="5150" spans="1:4" x14ac:dyDescent="0.25">
      <c r="A5150" s="15">
        <f>Sheet2!A5150</f>
        <v>0</v>
      </c>
      <c r="B5150" s="8">
        <v>0</v>
      </c>
      <c r="C5150" s="9">
        <v>3.44</v>
      </c>
      <c r="D5150" s="13">
        <f t="shared" si="80"/>
        <v>3.44</v>
      </c>
    </row>
    <row r="5151" spans="1:4" x14ac:dyDescent="0.25">
      <c r="A5151" s="15">
        <f>Sheet2!A5151</f>
        <v>0</v>
      </c>
      <c r="B5151" s="8">
        <v>0</v>
      </c>
      <c r="C5151" s="9">
        <v>3.21</v>
      </c>
      <c r="D5151" s="13">
        <f t="shared" si="80"/>
        <v>3.21</v>
      </c>
    </row>
    <row r="5152" spans="1:4" x14ac:dyDescent="0.25">
      <c r="A5152" s="15">
        <f>Sheet2!A5152</f>
        <v>0</v>
      </c>
      <c r="B5152" s="8">
        <v>0</v>
      </c>
      <c r="C5152" s="9">
        <v>3.54</v>
      </c>
      <c r="D5152" s="13">
        <f t="shared" si="80"/>
        <v>3.54</v>
      </c>
    </row>
    <row r="5153" spans="1:4" x14ac:dyDescent="0.25">
      <c r="A5153" s="15">
        <f>Sheet2!A5153</f>
        <v>0</v>
      </c>
      <c r="B5153" s="8">
        <v>0</v>
      </c>
      <c r="C5153" s="9">
        <v>1.32</v>
      </c>
      <c r="D5153" s="13">
        <f t="shared" si="80"/>
        <v>1.32</v>
      </c>
    </row>
    <row r="5154" spans="1:4" x14ac:dyDescent="0.25">
      <c r="A5154" s="15">
        <f>Sheet2!A5154</f>
        <v>0</v>
      </c>
      <c r="B5154" s="8">
        <v>14.38</v>
      </c>
      <c r="C5154" s="9">
        <v>0</v>
      </c>
      <c r="D5154" s="13">
        <f t="shared" si="80"/>
        <v>14.38</v>
      </c>
    </row>
    <row r="5155" spans="1:4" x14ac:dyDescent="0.25">
      <c r="A5155" s="15">
        <f>Sheet2!A5155</f>
        <v>0</v>
      </c>
      <c r="B5155" s="8">
        <v>0</v>
      </c>
      <c r="C5155" s="9">
        <v>2.87</v>
      </c>
      <c r="D5155" s="13">
        <f t="shared" si="80"/>
        <v>2.87</v>
      </c>
    </row>
    <row r="5156" spans="1:4" x14ac:dyDescent="0.25">
      <c r="A5156" s="15">
        <f>Sheet2!A5156</f>
        <v>0</v>
      </c>
      <c r="B5156" s="8">
        <v>0</v>
      </c>
      <c r="C5156" s="9">
        <v>3.75</v>
      </c>
      <c r="D5156" s="13">
        <f t="shared" si="80"/>
        <v>3.75</v>
      </c>
    </row>
    <row r="5157" spans="1:4" x14ac:dyDescent="0.25">
      <c r="A5157" s="15">
        <f>Sheet2!A5157</f>
        <v>0</v>
      </c>
      <c r="B5157" s="8">
        <v>0</v>
      </c>
      <c r="C5157" s="9">
        <v>3.69</v>
      </c>
      <c r="D5157" s="13">
        <f t="shared" si="80"/>
        <v>3.69</v>
      </c>
    </row>
    <row r="5158" spans="1:4" x14ac:dyDescent="0.25">
      <c r="A5158" s="15">
        <f>Sheet2!A5158</f>
        <v>0</v>
      </c>
      <c r="B5158" s="8">
        <v>0</v>
      </c>
      <c r="C5158" s="9">
        <v>3.63</v>
      </c>
      <c r="D5158" s="13">
        <f t="shared" si="80"/>
        <v>3.63</v>
      </c>
    </row>
    <row r="5159" spans="1:4" x14ac:dyDescent="0.25">
      <c r="A5159" s="15">
        <f>Sheet2!A5159</f>
        <v>0</v>
      </c>
      <c r="B5159" s="8">
        <v>0</v>
      </c>
      <c r="C5159" s="9">
        <v>1.7</v>
      </c>
      <c r="D5159" s="13">
        <f t="shared" si="80"/>
        <v>1.7</v>
      </c>
    </row>
    <row r="5160" spans="1:4" x14ac:dyDescent="0.25">
      <c r="A5160" s="15">
        <f>Sheet2!A5160</f>
        <v>0</v>
      </c>
      <c r="B5160" s="8">
        <v>0</v>
      </c>
      <c r="C5160" s="9">
        <v>2.2000000000000002</v>
      </c>
      <c r="D5160" s="13">
        <f t="shared" si="80"/>
        <v>2.2000000000000002</v>
      </c>
    </row>
    <row r="5161" spans="1:4" x14ac:dyDescent="0.25">
      <c r="A5161" s="15">
        <f>Sheet2!A5161</f>
        <v>0</v>
      </c>
      <c r="B5161" s="8">
        <v>0</v>
      </c>
      <c r="C5161" s="9">
        <v>2.35</v>
      </c>
      <c r="D5161" s="13">
        <f t="shared" si="80"/>
        <v>2.35</v>
      </c>
    </row>
    <row r="5162" spans="1:4" x14ac:dyDescent="0.25">
      <c r="A5162" s="15">
        <f>Sheet2!A5162</f>
        <v>0</v>
      </c>
      <c r="B5162" s="8">
        <v>0</v>
      </c>
      <c r="C5162" s="9">
        <v>3.46</v>
      </c>
      <c r="D5162" s="13">
        <f t="shared" si="80"/>
        <v>3.46</v>
      </c>
    </row>
    <row r="5163" spans="1:4" x14ac:dyDescent="0.25">
      <c r="A5163" s="15">
        <f>Sheet2!A5163</f>
        <v>0</v>
      </c>
      <c r="B5163" s="8">
        <v>0</v>
      </c>
      <c r="C5163" s="9">
        <v>0.66</v>
      </c>
      <c r="D5163" s="13">
        <f t="shared" si="80"/>
        <v>0.66</v>
      </c>
    </row>
    <row r="5164" spans="1:4" x14ac:dyDescent="0.25">
      <c r="A5164" s="15">
        <f>Sheet2!A5164</f>
        <v>0</v>
      </c>
      <c r="B5164" s="8">
        <v>8.82</v>
      </c>
      <c r="C5164" s="9">
        <v>0</v>
      </c>
      <c r="D5164" s="13">
        <f t="shared" si="80"/>
        <v>8.82</v>
      </c>
    </row>
    <row r="5165" spans="1:4" x14ac:dyDescent="0.25">
      <c r="A5165" s="15">
        <f>Sheet2!A5165</f>
        <v>0</v>
      </c>
      <c r="B5165" s="8">
        <v>0</v>
      </c>
      <c r="C5165" s="9">
        <v>1.94</v>
      </c>
      <c r="D5165" s="13">
        <f t="shared" si="80"/>
        <v>1.94</v>
      </c>
    </row>
    <row r="5166" spans="1:4" x14ac:dyDescent="0.25">
      <c r="A5166" s="15">
        <f>Sheet2!A5166</f>
        <v>0</v>
      </c>
      <c r="B5166" s="8">
        <v>0</v>
      </c>
      <c r="C5166" s="9">
        <v>3.01</v>
      </c>
      <c r="D5166" s="13">
        <f t="shared" si="80"/>
        <v>3.01</v>
      </c>
    </row>
    <row r="5167" spans="1:4" x14ac:dyDescent="0.25">
      <c r="A5167" s="15">
        <f>Sheet2!A5167</f>
        <v>0</v>
      </c>
      <c r="B5167" s="8">
        <v>0</v>
      </c>
      <c r="C5167" s="9">
        <v>0.97</v>
      </c>
      <c r="D5167" s="13">
        <f t="shared" si="80"/>
        <v>0.97</v>
      </c>
    </row>
    <row r="5168" spans="1:4" x14ac:dyDescent="0.25">
      <c r="A5168" s="15">
        <f>Sheet2!A5168</f>
        <v>0</v>
      </c>
      <c r="B5168" s="8">
        <v>0</v>
      </c>
      <c r="C5168" s="9">
        <v>0.6</v>
      </c>
      <c r="D5168" s="13">
        <f t="shared" si="80"/>
        <v>0.6</v>
      </c>
    </row>
    <row r="5169" spans="1:4" x14ac:dyDescent="0.25">
      <c r="A5169" s="15">
        <f>Sheet2!A5169</f>
        <v>0</v>
      </c>
      <c r="B5169" s="8">
        <v>0</v>
      </c>
      <c r="C5169" s="9">
        <v>1.07</v>
      </c>
      <c r="D5169" s="13">
        <f t="shared" si="80"/>
        <v>1.07</v>
      </c>
    </row>
    <row r="5170" spans="1:4" x14ac:dyDescent="0.25">
      <c r="A5170" s="15">
        <f>Sheet2!A5170</f>
        <v>0</v>
      </c>
      <c r="B5170" s="8">
        <v>0</v>
      </c>
      <c r="C5170" s="9">
        <v>2.76</v>
      </c>
      <c r="D5170" s="13">
        <f t="shared" si="80"/>
        <v>2.76</v>
      </c>
    </row>
    <row r="5171" spans="1:4" x14ac:dyDescent="0.25">
      <c r="A5171" s="15">
        <f>Sheet2!A5171</f>
        <v>0</v>
      </c>
      <c r="B5171" s="8">
        <v>0</v>
      </c>
      <c r="C5171" s="9">
        <v>2.75</v>
      </c>
      <c r="D5171" s="13">
        <f t="shared" si="80"/>
        <v>2.75</v>
      </c>
    </row>
    <row r="5172" spans="1:4" x14ac:dyDescent="0.25">
      <c r="A5172" s="15">
        <f>Sheet2!A5172</f>
        <v>0</v>
      </c>
      <c r="B5172" s="8">
        <v>0</v>
      </c>
      <c r="C5172" s="9">
        <v>3.01</v>
      </c>
      <c r="D5172" s="13">
        <f t="shared" si="80"/>
        <v>3.01</v>
      </c>
    </row>
    <row r="5173" spans="1:4" x14ac:dyDescent="0.25">
      <c r="A5173" s="15">
        <f>Sheet2!A5173</f>
        <v>0</v>
      </c>
      <c r="B5173" s="8">
        <v>0</v>
      </c>
      <c r="C5173" s="9">
        <v>0.91</v>
      </c>
      <c r="D5173" s="13">
        <f t="shared" si="80"/>
        <v>0.91</v>
      </c>
    </row>
    <row r="5174" spans="1:4" x14ac:dyDescent="0.25">
      <c r="A5174" s="15">
        <f>Sheet2!A5174</f>
        <v>0</v>
      </c>
      <c r="B5174" s="8">
        <v>0</v>
      </c>
      <c r="C5174" s="9">
        <v>1.97</v>
      </c>
      <c r="D5174" s="13">
        <f t="shared" si="80"/>
        <v>1.97</v>
      </c>
    </row>
    <row r="5175" spans="1:4" x14ac:dyDescent="0.25">
      <c r="A5175" s="15">
        <f>Sheet2!A5175</f>
        <v>0</v>
      </c>
      <c r="B5175" s="8">
        <v>0</v>
      </c>
      <c r="C5175" s="9">
        <v>3.29</v>
      </c>
      <c r="D5175" s="13">
        <f t="shared" si="80"/>
        <v>3.29</v>
      </c>
    </row>
    <row r="5176" spans="1:4" x14ac:dyDescent="0.25">
      <c r="A5176" s="15">
        <f>Sheet2!A5176</f>
        <v>0</v>
      </c>
      <c r="B5176" s="8">
        <v>0</v>
      </c>
      <c r="C5176" s="9">
        <v>3.65</v>
      </c>
      <c r="D5176" s="13">
        <f t="shared" si="80"/>
        <v>3.65</v>
      </c>
    </row>
    <row r="5177" spans="1:4" x14ac:dyDescent="0.25">
      <c r="A5177" s="15">
        <f>Sheet2!A5177</f>
        <v>0</v>
      </c>
      <c r="B5177" s="8">
        <v>0</v>
      </c>
      <c r="C5177" s="9">
        <v>0.89</v>
      </c>
      <c r="D5177" s="13">
        <f t="shared" si="80"/>
        <v>0.89</v>
      </c>
    </row>
    <row r="5178" spans="1:4" x14ac:dyDescent="0.25">
      <c r="A5178" s="15">
        <f>Sheet2!A5178</f>
        <v>0</v>
      </c>
      <c r="B5178" s="8">
        <v>0</v>
      </c>
      <c r="C5178" s="9">
        <v>1.93</v>
      </c>
      <c r="D5178" s="13">
        <f t="shared" si="80"/>
        <v>1.93</v>
      </c>
    </row>
    <row r="5179" spans="1:4" x14ac:dyDescent="0.25">
      <c r="A5179" s="15">
        <f>Sheet2!A5179</f>
        <v>0</v>
      </c>
      <c r="B5179" s="8">
        <v>0</v>
      </c>
      <c r="C5179" s="9">
        <v>1.7</v>
      </c>
      <c r="D5179" s="13">
        <f t="shared" si="80"/>
        <v>1.7</v>
      </c>
    </row>
    <row r="5180" spans="1:4" x14ac:dyDescent="0.25">
      <c r="A5180" s="15">
        <f>Sheet2!A5180</f>
        <v>0</v>
      </c>
      <c r="B5180" s="8">
        <v>0</v>
      </c>
      <c r="C5180" s="9">
        <v>3.8</v>
      </c>
      <c r="D5180" s="13">
        <f t="shared" si="80"/>
        <v>3.8</v>
      </c>
    </row>
    <row r="5181" spans="1:4" x14ac:dyDescent="0.25">
      <c r="A5181" s="15">
        <f>Sheet2!A5181</f>
        <v>0</v>
      </c>
      <c r="B5181" s="8">
        <v>0</v>
      </c>
      <c r="C5181" s="9">
        <v>3.97</v>
      </c>
      <c r="D5181" s="13">
        <f t="shared" si="80"/>
        <v>3.97</v>
      </c>
    </row>
    <row r="5182" spans="1:4" x14ac:dyDescent="0.25">
      <c r="A5182" s="15">
        <f>Sheet2!A5182</f>
        <v>0</v>
      </c>
      <c r="B5182" s="8">
        <v>0</v>
      </c>
      <c r="C5182" s="9">
        <v>3.87</v>
      </c>
      <c r="D5182" s="13">
        <f t="shared" si="80"/>
        <v>3.87</v>
      </c>
    </row>
    <row r="5183" spans="1:4" x14ac:dyDescent="0.25">
      <c r="A5183" s="15">
        <f>Sheet2!A5183</f>
        <v>0</v>
      </c>
      <c r="B5183" s="8">
        <v>0</v>
      </c>
      <c r="C5183" s="9">
        <v>1.19</v>
      </c>
      <c r="D5183" s="13">
        <f t="shared" si="80"/>
        <v>1.19</v>
      </c>
    </row>
    <row r="5184" spans="1:4" x14ac:dyDescent="0.25">
      <c r="A5184" s="15">
        <f>Sheet2!A5184</f>
        <v>0</v>
      </c>
      <c r="B5184" s="8">
        <v>17.71</v>
      </c>
      <c r="C5184" s="9">
        <v>0</v>
      </c>
      <c r="D5184" s="13">
        <f t="shared" si="80"/>
        <v>17.71</v>
      </c>
    </row>
    <row r="5185" spans="1:4" x14ac:dyDescent="0.25">
      <c r="A5185" s="15">
        <f>Sheet2!A5185</f>
        <v>0</v>
      </c>
      <c r="B5185" s="8">
        <v>0</v>
      </c>
      <c r="C5185" s="9">
        <v>0.77</v>
      </c>
      <c r="D5185" s="13">
        <f t="shared" si="80"/>
        <v>0.77</v>
      </c>
    </row>
    <row r="5186" spans="1:4" x14ac:dyDescent="0.25">
      <c r="A5186" s="15">
        <f>Sheet2!A5186</f>
        <v>0</v>
      </c>
      <c r="B5186" s="8">
        <v>0</v>
      </c>
      <c r="C5186" s="9">
        <v>2.34</v>
      </c>
      <c r="D5186" s="13">
        <f t="shared" si="80"/>
        <v>2.34</v>
      </c>
    </row>
    <row r="5187" spans="1:4" x14ac:dyDescent="0.25">
      <c r="A5187" s="15">
        <f>Sheet2!A5187</f>
        <v>0</v>
      </c>
      <c r="B5187" s="8">
        <v>0</v>
      </c>
      <c r="C5187" s="9">
        <v>1.22</v>
      </c>
      <c r="D5187" s="13">
        <f t="shared" ref="D5187:D5250" si="81">B5187+C5187</f>
        <v>1.22</v>
      </c>
    </row>
    <row r="5188" spans="1:4" x14ac:dyDescent="0.25">
      <c r="A5188" s="15">
        <f>Sheet2!A5188</f>
        <v>0</v>
      </c>
      <c r="B5188" s="8">
        <v>16.18</v>
      </c>
      <c r="C5188" s="9">
        <v>0</v>
      </c>
      <c r="D5188" s="13">
        <f t="shared" si="81"/>
        <v>16.18</v>
      </c>
    </row>
    <row r="5189" spans="1:4" x14ac:dyDescent="0.25">
      <c r="A5189" s="15">
        <f>Sheet2!A5189</f>
        <v>0</v>
      </c>
      <c r="B5189" s="8">
        <v>0</v>
      </c>
      <c r="C5189" s="9">
        <v>2.87</v>
      </c>
      <c r="D5189" s="13">
        <f t="shared" si="81"/>
        <v>2.87</v>
      </c>
    </row>
    <row r="5190" spans="1:4" x14ac:dyDescent="0.25">
      <c r="A5190" s="15">
        <f>Sheet2!A5190</f>
        <v>0</v>
      </c>
      <c r="B5190" s="8">
        <v>0</v>
      </c>
      <c r="C5190" s="9">
        <v>4.4800000000000004</v>
      </c>
      <c r="D5190" s="13">
        <f t="shared" si="81"/>
        <v>4.4800000000000004</v>
      </c>
    </row>
    <row r="5191" spans="1:4" x14ac:dyDescent="0.25">
      <c r="A5191" s="15">
        <f>Sheet2!A5191</f>
        <v>0</v>
      </c>
      <c r="B5191" s="8">
        <v>0</v>
      </c>
      <c r="C5191" s="9">
        <v>3.39</v>
      </c>
      <c r="D5191" s="13">
        <f t="shared" si="81"/>
        <v>3.39</v>
      </c>
    </row>
    <row r="5192" spans="1:4" x14ac:dyDescent="0.25">
      <c r="A5192" s="15">
        <f>Sheet2!A5192</f>
        <v>0</v>
      </c>
      <c r="B5192" s="8">
        <v>0</v>
      </c>
      <c r="C5192" s="9">
        <v>2.13</v>
      </c>
      <c r="D5192" s="13">
        <f t="shared" si="81"/>
        <v>2.13</v>
      </c>
    </row>
    <row r="5193" spans="1:4" x14ac:dyDescent="0.25">
      <c r="A5193" s="15">
        <f>Sheet2!A5193</f>
        <v>0</v>
      </c>
      <c r="B5193" s="8">
        <v>18.7</v>
      </c>
      <c r="C5193" s="9">
        <v>0</v>
      </c>
      <c r="D5193" s="13">
        <f t="shared" si="81"/>
        <v>18.7</v>
      </c>
    </row>
    <row r="5194" spans="1:4" x14ac:dyDescent="0.25">
      <c r="A5194" s="15">
        <f>Sheet2!A5194</f>
        <v>0</v>
      </c>
      <c r="B5194" s="8">
        <v>0</v>
      </c>
      <c r="C5194" s="9">
        <v>2.54</v>
      </c>
      <c r="D5194" s="13">
        <f t="shared" si="81"/>
        <v>2.54</v>
      </c>
    </row>
    <row r="5195" spans="1:4" x14ac:dyDescent="0.25">
      <c r="A5195" s="15">
        <f>Sheet2!A5195</f>
        <v>0</v>
      </c>
      <c r="B5195" s="8">
        <v>0</v>
      </c>
      <c r="C5195" s="9">
        <v>2.61</v>
      </c>
      <c r="D5195" s="13">
        <f t="shared" si="81"/>
        <v>2.61</v>
      </c>
    </row>
    <row r="5196" spans="1:4" x14ac:dyDescent="0.25">
      <c r="A5196" s="15">
        <f>Sheet2!A5196</f>
        <v>0</v>
      </c>
      <c r="B5196" s="8">
        <v>0</v>
      </c>
      <c r="C5196" s="9">
        <v>1.19</v>
      </c>
      <c r="D5196" s="13">
        <f t="shared" si="81"/>
        <v>1.19</v>
      </c>
    </row>
    <row r="5197" spans="1:4" x14ac:dyDescent="0.25">
      <c r="A5197" s="15">
        <f>Sheet2!A5197</f>
        <v>0</v>
      </c>
      <c r="B5197" s="8">
        <v>0</v>
      </c>
      <c r="C5197" s="9">
        <v>0.71</v>
      </c>
      <c r="D5197" s="13">
        <f t="shared" si="81"/>
        <v>0.71</v>
      </c>
    </row>
    <row r="5198" spans="1:4" x14ac:dyDescent="0.25">
      <c r="A5198" s="15">
        <f>Sheet2!A5198</f>
        <v>0</v>
      </c>
      <c r="B5198" s="8">
        <v>0</v>
      </c>
      <c r="C5198" s="9">
        <v>1.97</v>
      </c>
      <c r="D5198" s="13">
        <f t="shared" si="81"/>
        <v>1.97</v>
      </c>
    </row>
    <row r="5199" spans="1:4" x14ac:dyDescent="0.25">
      <c r="A5199" s="15">
        <f>Sheet2!A5199</f>
        <v>0</v>
      </c>
      <c r="B5199" s="8">
        <v>0</v>
      </c>
      <c r="C5199" s="9">
        <v>3.29</v>
      </c>
      <c r="D5199" s="13">
        <f t="shared" si="81"/>
        <v>3.29</v>
      </c>
    </row>
    <row r="5200" spans="1:4" x14ac:dyDescent="0.25">
      <c r="A5200" s="15">
        <f>Sheet2!A5200</f>
        <v>0</v>
      </c>
      <c r="B5200" s="8">
        <v>0</v>
      </c>
      <c r="C5200" s="9">
        <v>3.65</v>
      </c>
      <c r="D5200" s="13">
        <f t="shared" si="81"/>
        <v>3.65</v>
      </c>
    </row>
    <row r="5201" spans="1:4" x14ac:dyDescent="0.25">
      <c r="A5201" s="15">
        <f>Sheet2!A5201</f>
        <v>0</v>
      </c>
      <c r="B5201" s="8">
        <v>0</v>
      </c>
      <c r="C5201" s="9">
        <v>1.86</v>
      </c>
      <c r="D5201" s="13">
        <f t="shared" si="81"/>
        <v>1.86</v>
      </c>
    </row>
    <row r="5202" spans="1:4" x14ac:dyDescent="0.25">
      <c r="A5202" s="15">
        <f>Sheet2!A5202</f>
        <v>0</v>
      </c>
      <c r="B5202" s="8">
        <v>22.44</v>
      </c>
      <c r="C5202" s="9">
        <v>0</v>
      </c>
      <c r="D5202" s="13">
        <f t="shared" si="81"/>
        <v>22.44</v>
      </c>
    </row>
    <row r="5203" spans="1:4" x14ac:dyDescent="0.25">
      <c r="A5203" s="15">
        <f>Sheet2!A5203</f>
        <v>0</v>
      </c>
      <c r="B5203" s="8">
        <v>0</v>
      </c>
      <c r="C5203" s="9">
        <v>2.04</v>
      </c>
      <c r="D5203" s="13">
        <f t="shared" si="81"/>
        <v>2.04</v>
      </c>
    </row>
    <row r="5204" spans="1:4" x14ac:dyDescent="0.25">
      <c r="A5204" s="15">
        <f>Sheet2!A5204</f>
        <v>0</v>
      </c>
      <c r="B5204" s="8">
        <v>0</v>
      </c>
      <c r="C5204" s="9">
        <v>3.99</v>
      </c>
      <c r="D5204" s="13">
        <f t="shared" si="81"/>
        <v>3.99</v>
      </c>
    </row>
    <row r="5205" spans="1:4" x14ac:dyDescent="0.25">
      <c r="A5205" s="15">
        <f>Sheet2!A5205</f>
        <v>0</v>
      </c>
      <c r="B5205" s="8">
        <v>0</v>
      </c>
      <c r="C5205" s="9">
        <v>3.2</v>
      </c>
      <c r="D5205" s="13">
        <f t="shared" si="81"/>
        <v>3.2</v>
      </c>
    </row>
    <row r="5206" spans="1:4" x14ac:dyDescent="0.25">
      <c r="A5206" s="15">
        <f>Sheet2!A5206</f>
        <v>0</v>
      </c>
      <c r="B5206" s="8">
        <v>0</v>
      </c>
      <c r="C5206" s="9">
        <v>3.66</v>
      </c>
      <c r="D5206" s="13">
        <f t="shared" si="81"/>
        <v>3.66</v>
      </c>
    </row>
    <row r="5207" spans="1:4" x14ac:dyDescent="0.25">
      <c r="A5207" s="15">
        <f>Sheet2!A5207</f>
        <v>0</v>
      </c>
      <c r="B5207" s="8">
        <v>0</v>
      </c>
      <c r="C5207" s="9">
        <v>1.56</v>
      </c>
      <c r="D5207" s="13">
        <f t="shared" si="81"/>
        <v>1.56</v>
      </c>
    </row>
    <row r="5208" spans="1:4" x14ac:dyDescent="0.25">
      <c r="A5208" s="15">
        <f>Sheet2!A5208</f>
        <v>0</v>
      </c>
      <c r="B5208" s="8">
        <v>16.63</v>
      </c>
      <c r="C5208" s="9">
        <v>0</v>
      </c>
      <c r="D5208" s="13">
        <f t="shared" si="81"/>
        <v>16.63</v>
      </c>
    </row>
    <row r="5209" spans="1:4" x14ac:dyDescent="0.25">
      <c r="A5209" s="15">
        <f>Sheet2!A5209</f>
        <v>0</v>
      </c>
      <c r="B5209" s="8">
        <v>0</v>
      </c>
      <c r="C5209" s="9">
        <v>1.04</v>
      </c>
      <c r="D5209" s="13">
        <f t="shared" si="81"/>
        <v>1.04</v>
      </c>
    </row>
    <row r="5210" spans="1:4" x14ac:dyDescent="0.25">
      <c r="A5210" s="15">
        <f>Sheet2!A5210</f>
        <v>0</v>
      </c>
      <c r="B5210" s="8">
        <v>0</v>
      </c>
      <c r="C5210" s="9">
        <v>1.51</v>
      </c>
      <c r="D5210" s="13">
        <f t="shared" si="81"/>
        <v>1.51</v>
      </c>
    </row>
    <row r="5211" spans="1:4" x14ac:dyDescent="0.25">
      <c r="A5211" s="15">
        <f>Sheet2!A5211</f>
        <v>0</v>
      </c>
      <c r="B5211" s="8">
        <v>0</v>
      </c>
      <c r="C5211" s="9">
        <v>0.56999999999999995</v>
      </c>
      <c r="D5211" s="13">
        <f t="shared" si="81"/>
        <v>0.56999999999999995</v>
      </c>
    </row>
    <row r="5212" spans="1:4" x14ac:dyDescent="0.25">
      <c r="A5212" s="15">
        <f>Sheet2!A5212</f>
        <v>0</v>
      </c>
      <c r="B5212" s="8">
        <v>9.76</v>
      </c>
      <c r="C5212" s="9">
        <v>0</v>
      </c>
      <c r="D5212" s="13">
        <f t="shared" si="81"/>
        <v>9.76</v>
      </c>
    </row>
    <row r="5213" spans="1:4" x14ac:dyDescent="0.25">
      <c r="A5213" s="15">
        <f>Sheet2!A5213</f>
        <v>0</v>
      </c>
      <c r="B5213" s="8">
        <v>0</v>
      </c>
      <c r="C5213" s="9">
        <v>1.52</v>
      </c>
      <c r="D5213" s="13">
        <f t="shared" si="81"/>
        <v>1.52</v>
      </c>
    </row>
    <row r="5214" spans="1:4" x14ac:dyDescent="0.25">
      <c r="A5214" s="15">
        <f>Sheet2!A5214</f>
        <v>0</v>
      </c>
      <c r="B5214" s="8">
        <v>0</v>
      </c>
      <c r="C5214" s="9">
        <v>2.97</v>
      </c>
      <c r="D5214" s="13">
        <f t="shared" si="81"/>
        <v>2.97</v>
      </c>
    </row>
    <row r="5215" spans="1:4" x14ac:dyDescent="0.25">
      <c r="A5215" s="15">
        <f>Sheet2!A5215</f>
        <v>0</v>
      </c>
      <c r="B5215" s="8">
        <v>0</v>
      </c>
      <c r="C5215" s="9">
        <v>0.71</v>
      </c>
      <c r="D5215" s="13">
        <f t="shared" si="81"/>
        <v>0.71</v>
      </c>
    </row>
    <row r="5216" spans="1:4" x14ac:dyDescent="0.25">
      <c r="A5216" s="15">
        <f>Sheet2!A5216</f>
        <v>0</v>
      </c>
      <c r="B5216" s="8">
        <v>0</v>
      </c>
      <c r="C5216" s="9">
        <v>1.57</v>
      </c>
      <c r="D5216" s="13">
        <f t="shared" si="81"/>
        <v>1.57</v>
      </c>
    </row>
    <row r="5217" spans="1:4" x14ac:dyDescent="0.25">
      <c r="A5217" s="15">
        <f>Sheet2!A5217</f>
        <v>0</v>
      </c>
      <c r="B5217" s="8">
        <v>0</v>
      </c>
      <c r="C5217" s="9">
        <v>1.31</v>
      </c>
      <c r="D5217" s="13">
        <f t="shared" si="81"/>
        <v>1.31</v>
      </c>
    </row>
    <row r="5218" spans="1:4" x14ac:dyDescent="0.25">
      <c r="A5218" s="15">
        <f>Sheet2!A5218</f>
        <v>0</v>
      </c>
      <c r="B5218" s="8">
        <v>10.82</v>
      </c>
      <c r="C5218" s="9">
        <v>0</v>
      </c>
      <c r="D5218" s="13">
        <f t="shared" si="81"/>
        <v>10.82</v>
      </c>
    </row>
    <row r="5219" spans="1:4" x14ac:dyDescent="0.25">
      <c r="A5219" s="15">
        <f>Sheet2!A5219</f>
        <v>0</v>
      </c>
      <c r="B5219" s="8">
        <v>0</v>
      </c>
      <c r="C5219" s="9">
        <v>2.96</v>
      </c>
      <c r="D5219" s="13">
        <f t="shared" si="81"/>
        <v>2.96</v>
      </c>
    </row>
    <row r="5220" spans="1:4" x14ac:dyDescent="0.25">
      <c r="A5220" s="15">
        <f>Sheet2!A5220</f>
        <v>0</v>
      </c>
      <c r="B5220" s="8">
        <v>0</v>
      </c>
      <c r="C5220" s="9">
        <v>2.68</v>
      </c>
      <c r="D5220" s="13">
        <f t="shared" si="81"/>
        <v>2.68</v>
      </c>
    </row>
    <row r="5221" spans="1:4" x14ac:dyDescent="0.25">
      <c r="A5221" s="15">
        <f>Sheet2!A5221</f>
        <v>0</v>
      </c>
      <c r="B5221" s="8">
        <v>0</v>
      </c>
      <c r="C5221" s="9">
        <v>2.91</v>
      </c>
      <c r="D5221" s="13">
        <f t="shared" si="81"/>
        <v>2.91</v>
      </c>
    </row>
    <row r="5222" spans="1:4" x14ac:dyDescent="0.25">
      <c r="A5222" s="15">
        <f>Sheet2!A5222</f>
        <v>0</v>
      </c>
      <c r="B5222" s="8">
        <v>0</v>
      </c>
      <c r="C5222" s="9">
        <v>0.72</v>
      </c>
      <c r="D5222" s="13">
        <f t="shared" si="81"/>
        <v>0.72</v>
      </c>
    </row>
    <row r="5223" spans="1:4" x14ac:dyDescent="0.25">
      <c r="A5223" s="15">
        <f>Sheet2!A5223</f>
        <v>0</v>
      </c>
      <c r="B5223" s="8">
        <v>0</v>
      </c>
      <c r="C5223" s="9">
        <v>1.54</v>
      </c>
      <c r="D5223" s="13">
        <f t="shared" si="81"/>
        <v>1.54</v>
      </c>
    </row>
    <row r="5224" spans="1:4" x14ac:dyDescent="0.25">
      <c r="A5224" s="15">
        <f>Sheet2!A5224</f>
        <v>0</v>
      </c>
      <c r="B5224" s="8">
        <v>0</v>
      </c>
      <c r="C5224" s="9">
        <v>3.29</v>
      </c>
      <c r="D5224" s="13">
        <f t="shared" si="81"/>
        <v>3.29</v>
      </c>
    </row>
    <row r="5225" spans="1:4" x14ac:dyDescent="0.25">
      <c r="A5225" s="15">
        <f>Sheet2!A5225</f>
        <v>0</v>
      </c>
      <c r="B5225" s="8">
        <v>0</v>
      </c>
      <c r="C5225" s="9">
        <v>3.03</v>
      </c>
      <c r="D5225" s="13">
        <f t="shared" si="81"/>
        <v>3.03</v>
      </c>
    </row>
    <row r="5226" spans="1:4" x14ac:dyDescent="0.25">
      <c r="A5226" s="15">
        <f>Sheet2!A5226</f>
        <v>0</v>
      </c>
      <c r="B5226" s="8">
        <v>0</v>
      </c>
      <c r="C5226" s="9">
        <v>3.22</v>
      </c>
      <c r="D5226" s="13">
        <f t="shared" si="81"/>
        <v>3.22</v>
      </c>
    </row>
    <row r="5227" spans="1:4" x14ac:dyDescent="0.25">
      <c r="A5227" s="15">
        <f>Sheet2!A5227</f>
        <v>0</v>
      </c>
      <c r="B5227" s="8">
        <v>0</v>
      </c>
      <c r="C5227" s="9">
        <v>1.41</v>
      </c>
      <c r="D5227" s="13">
        <f t="shared" si="81"/>
        <v>1.41</v>
      </c>
    </row>
    <row r="5228" spans="1:4" x14ac:dyDescent="0.25">
      <c r="A5228" s="15">
        <f>Sheet2!A5228</f>
        <v>0</v>
      </c>
      <c r="B5228" s="8">
        <v>18.14</v>
      </c>
      <c r="C5228" s="9">
        <v>0</v>
      </c>
      <c r="D5228" s="13">
        <f t="shared" si="81"/>
        <v>18.14</v>
      </c>
    </row>
    <row r="5229" spans="1:4" x14ac:dyDescent="0.25">
      <c r="A5229" s="15">
        <f>Sheet2!A5229</f>
        <v>0</v>
      </c>
      <c r="B5229" s="8">
        <v>0</v>
      </c>
      <c r="C5229" s="9">
        <v>2.0499999999999998</v>
      </c>
      <c r="D5229" s="13">
        <f t="shared" si="81"/>
        <v>2.0499999999999998</v>
      </c>
    </row>
    <row r="5230" spans="1:4" x14ac:dyDescent="0.25">
      <c r="A5230" s="15">
        <f>Sheet2!A5230</f>
        <v>0</v>
      </c>
      <c r="B5230" s="8">
        <v>0</v>
      </c>
      <c r="C5230" s="9">
        <v>3.35</v>
      </c>
      <c r="D5230" s="13">
        <f t="shared" si="81"/>
        <v>3.35</v>
      </c>
    </row>
    <row r="5231" spans="1:4" x14ac:dyDescent="0.25">
      <c r="A5231" s="15">
        <f>Sheet2!A5231</f>
        <v>0</v>
      </c>
      <c r="B5231" s="8">
        <v>0</v>
      </c>
      <c r="C5231" s="9">
        <v>1.59</v>
      </c>
      <c r="D5231" s="13">
        <f t="shared" si="81"/>
        <v>1.59</v>
      </c>
    </row>
    <row r="5232" spans="1:4" x14ac:dyDescent="0.25">
      <c r="A5232" s="15">
        <f>Sheet2!A5232</f>
        <v>0</v>
      </c>
      <c r="B5232" s="8">
        <v>17.559999999999999</v>
      </c>
      <c r="C5232" s="9">
        <v>0</v>
      </c>
      <c r="D5232" s="13">
        <f t="shared" si="81"/>
        <v>17.559999999999999</v>
      </c>
    </row>
    <row r="5233" spans="1:4" x14ac:dyDescent="0.25">
      <c r="A5233" s="15">
        <f>Sheet2!A5233</f>
        <v>0</v>
      </c>
      <c r="B5233" s="8">
        <v>0</v>
      </c>
      <c r="C5233" s="9">
        <v>1.47</v>
      </c>
      <c r="D5233" s="13">
        <f t="shared" si="81"/>
        <v>1.47</v>
      </c>
    </row>
    <row r="5234" spans="1:4" x14ac:dyDescent="0.25">
      <c r="A5234" s="15">
        <f>Sheet2!A5234</f>
        <v>0</v>
      </c>
      <c r="B5234" s="8">
        <v>0</v>
      </c>
      <c r="C5234" s="9">
        <v>2.0499999999999998</v>
      </c>
      <c r="D5234" s="13">
        <f t="shared" si="81"/>
        <v>2.0499999999999998</v>
      </c>
    </row>
    <row r="5235" spans="1:4" x14ac:dyDescent="0.25">
      <c r="A5235" s="15">
        <f>Sheet2!A5235</f>
        <v>0</v>
      </c>
      <c r="B5235" s="8">
        <v>0</v>
      </c>
      <c r="C5235" s="9">
        <v>1.86</v>
      </c>
      <c r="D5235" s="13">
        <f t="shared" si="81"/>
        <v>1.86</v>
      </c>
    </row>
    <row r="5236" spans="1:4" x14ac:dyDescent="0.25">
      <c r="A5236" s="15">
        <f>Sheet2!A5236</f>
        <v>0</v>
      </c>
      <c r="B5236" s="8">
        <v>0</v>
      </c>
      <c r="C5236" s="9">
        <v>0.68</v>
      </c>
      <c r="D5236" s="13">
        <f t="shared" si="81"/>
        <v>0.68</v>
      </c>
    </row>
    <row r="5237" spans="1:4" x14ac:dyDescent="0.25">
      <c r="A5237" s="15">
        <f>Sheet2!A5237</f>
        <v>0</v>
      </c>
      <c r="B5237" s="8">
        <v>0</v>
      </c>
      <c r="C5237" s="9">
        <v>1.1100000000000001</v>
      </c>
      <c r="D5237" s="13">
        <f t="shared" si="81"/>
        <v>1.1100000000000001</v>
      </c>
    </row>
    <row r="5238" spans="1:4" x14ac:dyDescent="0.25">
      <c r="A5238" s="15">
        <f>Sheet2!A5238</f>
        <v>0</v>
      </c>
      <c r="B5238" s="8">
        <v>0</v>
      </c>
      <c r="C5238" s="9">
        <v>3.14</v>
      </c>
      <c r="D5238" s="13">
        <f t="shared" si="81"/>
        <v>3.14</v>
      </c>
    </row>
    <row r="5239" spans="1:4" x14ac:dyDescent="0.25">
      <c r="A5239" s="15">
        <f>Sheet2!A5239</f>
        <v>0</v>
      </c>
      <c r="B5239" s="8">
        <v>0</v>
      </c>
      <c r="C5239" s="9">
        <v>1.77</v>
      </c>
      <c r="D5239" s="13">
        <f t="shared" si="81"/>
        <v>1.77</v>
      </c>
    </row>
    <row r="5240" spans="1:4" x14ac:dyDescent="0.25">
      <c r="A5240" s="15">
        <f>Sheet2!A5240</f>
        <v>0</v>
      </c>
      <c r="B5240" s="8">
        <v>18.850000000000001</v>
      </c>
      <c r="C5240" s="9">
        <v>0</v>
      </c>
      <c r="D5240" s="13">
        <f t="shared" si="81"/>
        <v>18.850000000000001</v>
      </c>
    </row>
    <row r="5241" spans="1:4" x14ac:dyDescent="0.25">
      <c r="A5241" s="15">
        <f>Sheet2!A5241</f>
        <v>0</v>
      </c>
      <c r="B5241" s="8">
        <v>0</v>
      </c>
      <c r="C5241" s="9">
        <v>0.73</v>
      </c>
      <c r="D5241" s="13">
        <f t="shared" si="81"/>
        <v>0.73</v>
      </c>
    </row>
    <row r="5242" spans="1:4" x14ac:dyDescent="0.25">
      <c r="A5242" s="15">
        <f>Sheet2!A5242</f>
        <v>0</v>
      </c>
      <c r="B5242" s="8">
        <v>0</v>
      </c>
      <c r="C5242" s="9">
        <v>1.32</v>
      </c>
      <c r="D5242" s="13">
        <f t="shared" si="81"/>
        <v>1.32</v>
      </c>
    </row>
    <row r="5243" spans="1:4" x14ac:dyDescent="0.25">
      <c r="A5243" s="15">
        <f>Sheet2!A5243</f>
        <v>0</v>
      </c>
      <c r="B5243" s="8">
        <v>0</v>
      </c>
      <c r="C5243" s="9">
        <v>1.5</v>
      </c>
      <c r="D5243" s="13">
        <f t="shared" si="81"/>
        <v>1.5</v>
      </c>
    </row>
    <row r="5244" spans="1:4" x14ac:dyDescent="0.25">
      <c r="A5244" s="15">
        <f>Sheet2!A5244</f>
        <v>0</v>
      </c>
      <c r="B5244" s="8">
        <v>0</v>
      </c>
      <c r="C5244" s="9">
        <v>3.49</v>
      </c>
      <c r="D5244" s="13">
        <f t="shared" si="81"/>
        <v>3.49</v>
      </c>
    </row>
    <row r="5245" spans="1:4" x14ac:dyDescent="0.25">
      <c r="A5245" s="15">
        <f>Sheet2!A5245</f>
        <v>0</v>
      </c>
      <c r="B5245" s="8">
        <v>0</v>
      </c>
      <c r="C5245" s="9">
        <v>1.53</v>
      </c>
      <c r="D5245" s="13">
        <f t="shared" si="81"/>
        <v>1.53</v>
      </c>
    </row>
    <row r="5246" spans="1:4" x14ac:dyDescent="0.25">
      <c r="A5246" s="15">
        <f>Sheet2!A5246</f>
        <v>0</v>
      </c>
      <c r="B5246" s="8">
        <v>0</v>
      </c>
      <c r="C5246" s="9">
        <v>0.59</v>
      </c>
      <c r="D5246" s="13">
        <f t="shared" si="81"/>
        <v>0.59</v>
      </c>
    </row>
    <row r="5247" spans="1:4" x14ac:dyDescent="0.25">
      <c r="A5247" s="15">
        <f>Sheet2!A5247</f>
        <v>0</v>
      </c>
      <c r="B5247" s="8">
        <v>0</v>
      </c>
      <c r="C5247" s="9">
        <v>1.87</v>
      </c>
      <c r="D5247" s="13">
        <f t="shared" si="81"/>
        <v>1.87</v>
      </c>
    </row>
    <row r="5248" spans="1:4" x14ac:dyDescent="0.25">
      <c r="A5248" s="15">
        <f>Sheet2!A5248</f>
        <v>0</v>
      </c>
      <c r="B5248" s="8">
        <v>0</v>
      </c>
      <c r="C5248" s="9">
        <v>3.02</v>
      </c>
      <c r="D5248" s="13">
        <f t="shared" si="81"/>
        <v>3.02</v>
      </c>
    </row>
    <row r="5249" spans="1:4" x14ac:dyDescent="0.25">
      <c r="A5249" s="15">
        <f>Sheet2!A5249</f>
        <v>0</v>
      </c>
      <c r="B5249" s="8">
        <v>0</v>
      </c>
      <c r="C5249" s="9">
        <v>3.07</v>
      </c>
      <c r="D5249" s="13">
        <f t="shared" si="81"/>
        <v>3.07</v>
      </c>
    </row>
    <row r="5250" spans="1:4" x14ac:dyDescent="0.25">
      <c r="A5250" s="15">
        <f>Sheet2!A5250</f>
        <v>0</v>
      </c>
      <c r="B5250" s="8">
        <v>0</v>
      </c>
      <c r="C5250" s="9">
        <v>2.92</v>
      </c>
      <c r="D5250" s="13">
        <f t="shared" si="81"/>
        <v>2.92</v>
      </c>
    </row>
    <row r="5251" spans="1:4" x14ac:dyDescent="0.25">
      <c r="A5251" s="15">
        <f>Sheet2!A5251</f>
        <v>0</v>
      </c>
      <c r="B5251" s="8">
        <v>0</v>
      </c>
      <c r="C5251" s="9">
        <v>2.41</v>
      </c>
      <c r="D5251" s="13">
        <f t="shared" ref="D5251:D5314" si="82">B5251+C5251</f>
        <v>2.41</v>
      </c>
    </row>
    <row r="5252" spans="1:4" x14ac:dyDescent="0.25">
      <c r="A5252" s="15">
        <f>Sheet2!A5252</f>
        <v>0</v>
      </c>
      <c r="B5252" s="8">
        <v>16.239999999999998</v>
      </c>
      <c r="C5252" s="9">
        <v>0</v>
      </c>
      <c r="D5252" s="13">
        <f t="shared" si="82"/>
        <v>16.239999999999998</v>
      </c>
    </row>
    <row r="5253" spans="1:4" x14ac:dyDescent="0.25">
      <c r="A5253" s="15">
        <f>Sheet2!A5253</f>
        <v>0</v>
      </c>
      <c r="B5253" s="8">
        <v>0</v>
      </c>
      <c r="C5253" s="9">
        <v>2.2000000000000002</v>
      </c>
      <c r="D5253" s="13">
        <f t="shared" si="82"/>
        <v>2.2000000000000002</v>
      </c>
    </row>
    <row r="5254" spans="1:4" x14ac:dyDescent="0.25">
      <c r="A5254" s="15">
        <f>Sheet2!A5254</f>
        <v>0</v>
      </c>
      <c r="B5254" s="8">
        <v>0</v>
      </c>
      <c r="C5254" s="9">
        <v>3.87</v>
      </c>
      <c r="D5254" s="13">
        <f t="shared" si="82"/>
        <v>3.87</v>
      </c>
    </row>
    <row r="5255" spans="1:4" x14ac:dyDescent="0.25">
      <c r="A5255" s="15">
        <f>Sheet2!A5255</f>
        <v>0</v>
      </c>
      <c r="B5255" s="8">
        <v>0</v>
      </c>
      <c r="C5255" s="9">
        <v>1.66</v>
      </c>
      <c r="D5255" s="13">
        <f t="shared" si="82"/>
        <v>1.66</v>
      </c>
    </row>
    <row r="5256" spans="1:4" x14ac:dyDescent="0.25">
      <c r="A5256" s="15">
        <f>Sheet2!A5256</f>
        <v>0</v>
      </c>
      <c r="B5256" s="8">
        <v>15.21</v>
      </c>
      <c r="C5256" s="9">
        <v>0</v>
      </c>
      <c r="D5256" s="13">
        <f t="shared" si="82"/>
        <v>15.21</v>
      </c>
    </row>
    <row r="5257" spans="1:4" x14ac:dyDescent="0.25">
      <c r="A5257" s="15">
        <f>Sheet2!A5257</f>
        <v>0</v>
      </c>
      <c r="B5257" s="8">
        <v>0</v>
      </c>
      <c r="C5257" s="9">
        <v>0.88</v>
      </c>
      <c r="D5257" s="13">
        <f t="shared" si="82"/>
        <v>0.88</v>
      </c>
    </row>
    <row r="5258" spans="1:4" x14ac:dyDescent="0.25">
      <c r="A5258" s="15">
        <f>Sheet2!A5258</f>
        <v>0</v>
      </c>
      <c r="B5258" s="8">
        <v>0</v>
      </c>
      <c r="C5258" s="9">
        <v>2.12</v>
      </c>
      <c r="D5258" s="13">
        <f t="shared" si="82"/>
        <v>2.12</v>
      </c>
    </row>
    <row r="5259" spans="1:4" x14ac:dyDescent="0.25">
      <c r="A5259" s="15">
        <f>Sheet2!A5259</f>
        <v>0</v>
      </c>
      <c r="B5259" s="8">
        <v>0</v>
      </c>
      <c r="C5259" s="9">
        <v>0.81</v>
      </c>
      <c r="D5259" s="13">
        <f t="shared" si="82"/>
        <v>0.81</v>
      </c>
    </row>
    <row r="5260" spans="1:4" x14ac:dyDescent="0.25">
      <c r="A5260" s="15">
        <f>Sheet2!A5260</f>
        <v>0</v>
      </c>
      <c r="B5260" s="8">
        <v>10.37</v>
      </c>
      <c r="C5260" s="9">
        <v>0</v>
      </c>
      <c r="D5260" s="13">
        <f t="shared" si="82"/>
        <v>10.37</v>
      </c>
    </row>
    <row r="5261" spans="1:4" x14ac:dyDescent="0.25">
      <c r="A5261" s="15">
        <f>Sheet2!A5261</f>
        <v>0</v>
      </c>
      <c r="B5261" s="8">
        <v>0</v>
      </c>
      <c r="C5261" s="9">
        <v>1.53</v>
      </c>
      <c r="D5261" s="13">
        <f t="shared" si="82"/>
        <v>1.53</v>
      </c>
    </row>
    <row r="5262" spans="1:4" x14ac:dyDescent="0.25">
      <c r="A5262" s="15">
        <f>Sheet2!A5262</f>
        <v>0</v>
      </c>
      <c r="B5262" s="8">
        <v>0</v>
      </c>
      <c r="C5262" s="9">
        <v>2.81</v>
      </c>
      <c r="D5262" s="13">
        <f t="shared" si="82"/>
        <v>2.81</v>
      </c>
    </row>
    <row r="5263" spans="1:4" x14ac:dyDescent="0.25">
      <c r="A5263" s="15">
        <f>Sheet2!A5263</f>
        <v>0</v>
      </c>
      <c r="B5263" s="8">
        <v>0</v>
      </c>
      <c r="C5263" s="9">
        <v>1.56</v>
      </c>
      <c r="D5263" s="13">
        <f t="shared" si="82"/>
        <v>1.56</v>
      </c>
    </row>
    <row r="5264" spans="1:4" x14ac:dyDescent="0.25">
      <c r="A5264" s="15">
        <f>Sheet2!A5264</f>
        <v>0</v>
      </c>
      <c r="B5264" s="8">
        <v>13.17</v>
      </c>
      <c r="C5264" s="9">
        <v>0</v>
      </c>
      <c r="D5264" s="13">
        <f t="shared" si="82"/>
        <v>13.17</v>
      </c>
    </row>
    <row r="5265" spans="1:4" x14ac:dyDescent="0.25">
      <c r="A5265" s="15">
        <f>Sheet2!A5265</f>
        <v>0</v>
      </c>
      <c r="B5265" s="8">
        <v>0</v>
      </c>
      <c r="C5265" s="9">
        <v>1.69</v>
      </c>
      <c r="D5265" s="13">
        <f t="shared" si="82"/>
        <v>1.69</v>
      </c>
    </row>
    <row r="5266" spans="1:4" x14ac:dyDescent="0.25">
      <c r="A5266" s="15">
        <f>Sheet2!A5266</f>
        <v>0</v>
      </c>
      <c r="B5266" s="8">
        <v>0</v>
      </c>
      <c r="C5266" s="9">
        <v>2.97</v>
      </c>
      <c r="D5266" s="13">
        <f t="shared" si="82"/>
        <v>2.97</v>
      </c>
    </row>
    <row r="5267" spans="1:4" x14ac:dyDescent="0.25">
      <c r="A5267" s="15">
        <f>Sheet2!A5267</f>
        <v>0</v>
      </c>
      <c r="B5267" s="8">
        <v>0</v>
      </c>
      <c r="C5267" s="9">
        <v>2.16</v>
      </c>
      <c r="D5267" s="13">
        <f t="shared" si="82"/>
        <v>2.16</v>
      </c>
    </row>
    <row r="5268" spans="1:4" x14ac:dyDescent="0.25">
      <c r="A5268" s="15">
        <f>Sheet2!A5268</f>
        <v>0</v>
      </c>
      <c r="B5268" s="8">
        <v>0</v>
      </c>
      <c r="C5268" s="9">
        <v>1.87</v>
      </c>
      <c r="D5268" s="13">
        <f t="shared" si="82"/>
        <v>1.87</v>
      </c>
    </row>
    <row r="5269" spans="1:4" x14ac:dyDescent="0.25">
      <c r="A5269" s="15">
        <f>Sheet2!A5269</f>
        <v>0</v>
      </c>
      <c r="B5269" s="8">
        <v>0</v>
      </c>
      <c r="C5269" s="9">
        <v>1.1299999999999999</v>
      </c>
      <c r="D5269" s="13">
        <f t="shared" si="82"/>
        <v>1.1299999999999999</v>
      </c>
    </row>
    <row r="5270" spans="1:4" x14ac:dyDescent="0.25">
      <c r="A5270" s="15">
        <f>Sheet2!A5270</f>
        <v>0</v>
      </c>
      <c r="B5270" s="8">
        <v>0</v>
      </c>
      <c r="C5270" s="9">
        <v>0.2</v>
      </c>
      <c r="D5270" s="13">
        <f t="shared" si="82"/>
        <v>0.2</v>
      </c>
    </row>
    <row r="5271" spans="1:4" x14ac:dyDescent="0.25">
      <c r="A5271" s="15">
        <f>Sheet2!A5271</f>
        <v>0</v>
      </c>
      <c r="B5271" s="8">
        <v>0</v>
      </c>
      <c r="C5271" s="9">
        <v>3.16</v>
      </c>
      <c r="D5271" s="13">
        <f t="shared" si="82"/>
        <v>3.16</v>
      </c>
    </row>
    <row r="5272" spans="1:4" x14ac:dyDescent="0.25">
      <c r="A5272" s="15">
        <f>Sheet2!A5272</f>
        <v>0</v>
      </c>
      <c r="B5272" s="8">
        <v>0</v>
      </c>
      <c r="C5272" s="9">
        <v>3.37</v>
      </c>
      <c r="D5272" s="13">
        <f t="shared" si="82"/>
        <v>3.37</v>
      </c>
    </row>
    <row r="5273" spans="1:4" x14ac:dyDescent="0.25">
      <c r="A5273" s="15">
        <f>Sheet2!A5273</f>
        <v>0</v>
      </c>
      <c r="B5273" s="8">
        <v>0</v>
      </c>
      <c r="C5273" s="9">
        <v>2.76</v>
      </c>
      <c r="D5273" s="13">
        <f t="shared" si="82"/>
        <v>2.76</v>
      </c>
    </row>
    <row r="5274" spans="1:4" x14ac:dyDescent="0.25">
      <c r="A5274" s="15">
        <f>Sheet2!A5274</f>
        <v>0</v>
      </c>
      <c r="B5274" s="8">
        <v>0</v>
      </c>
      <c r="C5274" s="9">
        <v>3.31</v>
      </c>
      <c r="D5274" s="13">
        <f t="shared" si="82"/>
        <v>3.31</v>
      </c>
    </row>
    <row r="5275" spans="1:4" x14ac:dyDescent="0.25">
      <c r="A5275" s="15">
        <f>Sheet2!A5275</f>
        <v>0</v>
      </c>
      <c r="B5275" s="8">
        <v>0</v>
      </c>
      <c r="C5275" s="9">
        <v>2.09</v>
      </c>
      <c r="D5275" s="13">
        <f t="shared" si="82"/>
        <v>2.09</v>
      </c>
    </row>
    <row r="5276" spans="1:4" x14ac:dyDescent="0.25">
      <c r="A5276" s="15">
        <f>Sheet2!A5276</f>
        <v>0</v>
      </c>
      <c r="B5276" s="8">
        <v>0</v>
      </c>
      <c r="C5276" s="9">
        <v>3.43</v>
      </c>
      <c r="D5276" s="13">
        <f t="shared" si="82"/>
        <v>3.43</v>
      </c>
    </row>
    <row r="5277" spans="1:4" x14ac:dyDescent="0.25">
      <c r="A5277" s="15">
        <f>Sheet2!A5277</f>
        <v>0</v>
      </c>
      <c r="B5277" s="8">
        <v>0</v>
      </c>
      <c r="C5277" s="9">
        <v>2.16</v>
      </c>
      <c r="D5277" s="13">
        <f t="shared" si="82"/>
        <v>2.16</v>
      </c>
    </row>
    <row r="5278" spans="1:4" x14ac:dyDescent="0.25">
      <c r="A5278" s="15">
        <f>Sheet2!A5278</f>
        <v>0</v>
      </c>
      <c r="B5278" s="8">
        <v>0</v>
      </c>
      <c r="C5278" s="9">
        <v>3.22</v>
      </c>
      <c r="D5278" s="13">
        <f t="shared" si="82"/>
        <v>3.22</v>
      </c>
    </row>
    <row r="5279" spans="1:4" x14ac:dyDescent="0.25">
      <c r="A5279" s="15">
        <f>Sheet2!A5279</f>
        <v>0</v>
      </c>
      <c r="B5279" s="8">
        <v>0</v>
      </c>
      <c r="C5279" s="9">
        <v>0.7</v>
      </c>
      <c r="D5279" s="13">
        <f t="shared" si="82"/>
        <v>0.7</v>
      </c>
    </row>
    <row r="5280" spans="1:4" x14ac:dyDescent="0.25">
      <c r="A5280" s="15">
        <f>Sheet2!A5280</f>
        <v>0</v>
      </c>
      <c r="B5280" s="8">
        <v>0</v>
      </c>
      <c r="C5280" s="9">
        <v>2.39</v>
      </c>
      <c r="D5280" s="13">
        <f t="shared" si="82"/>
        <v>2.39</v>
      </c>
    </row>
    <row r="5281" spans="1:4" x14ac:dyDescent="0.25">
      <c r="A5281" s="15">
        <f>Sheet2!A5281</f>
        <v>0</v>
      </c>
      <c r="B5281" s="8">
        <v>0</v>
      </c>
      <c r="C5281" s="9">
        <v>0.83</v>
      </c>
      <c r="D5281" s="13">
        <f t="shared" si="82"/>
        <v>0.83</v>
      </c>
    </row>
    <row r="5282" spans="1:4" x14ac:dyDescent="0.25">
      <c r="A5282" s="15">
        <f>Sheet2!A5282</f>
        <v>0</v>
      </c>
      <c r="B5282" s="8">
        <v>0</v>
      </c>
      <c r="C5282" s="9">
        <v>1.52</v>
      </c>
      <c r="D5282" s="13">
        <f t="shared" si="82"/>
        <v>1.52</v>
      </c>
    </row>
    <row r="5283" spans="1:4" x14ac:dyDescent="0.25">
      <c r="A5283" s="15">
        <f>Sheet2!A5283</f>
        <v>0</v>
      </c>
      <c r="B5283" s="8">
        <v>0</v>
      </c>
      <c r="C5283" s="9">
        <v>0.35</v>
      </c>
      <c r="D5283" s="13">
        <f t="shared" si="82"/>
        <v>0.35</v>
      </c>
    </row>
    <row r="5284" spans="1:4" x14ac:dyDescent="0.25">
      <c r="A5284" s="15">
        <f>Sheet2!A5284</f>
        <v>0</v>
      </c>
      <c r="B5284" s="8">
        <v>11.48</v>
      </c>
      <c r="C5284" s="9">
        <v>0</v>
      </c>
      <c r="D5284" s="13">
        <f t="shared" si="82"/>
        <v>11.48</v>
      </c>
    </row>
    <row r="5285" spans="1:4" x14ac:dyDescent="0.25">
      <c r="A5285" s="15">
        <f>Sheet2!A5285</f>
        <v>0</v>
      </c>
      <c r="B5285" s="8">
        <v>10.31</v>
      </c>
      <c r="C5285" s="9">
        <v>0</v>
      </c>
      <c r="D5285" s="13">
        <f t="shared" si="82"/>
        <v>10.31</v>
      </c>
    </row>
    <row r="5286" spans="1:4" x14ac:dyDescent="0.25">
      <c r="A5286" s="15">
        <f>Sheet2!A5286</f>
        <v>0</v>
      </c>
      <c r="B5286" s="8">
        <v>0</v>
      </c>
      <c r="C5286" s="9">
        <v>1.8</v>
      </c>
      <c r="D5286" s="13">
        <f t="shared" si="82"/>
        <v>1.8</v>
      </c>
    </row>
    <row r="5287" spans="1:4" x14ac:dyDescent="0.25">
      <c r="A5287" s="15">
        <f>Sheet2!A5287</f>
        <v>0</v>
      </c>
      <c r="B5287" s="8">
        <v>0</v>
      </c>
      <c r="C5287" s="9">
        <v>2.87</v>
      </c>
      <c r="D5287" s="13">
        <f t="shared" si="82"/>
        <v>2.87</v>
      </c>
    </row>
    <row r="5288" spans="1:4" x14ac:dyDescent="0.25">
      <c r="A5288" s="15">
        <f>Sheet2!A5288</f>
        <v>0</v>
      </c>
      <c r="B5288" s="8">
        <v>0</v>
      </c>
      <c r="C5288" s="9">
        <v>1.82</v>
      </c>
      <c r="D5288" s="13">
        <f t="shared" si="82"/>
        <v>1.82</v>
      </c>
    </row>
    <row r="5289" spans="1:4" x14ac:dyDescent="0.25">
      <c r="A5289" s="15">
        <f>Sheet2!A5289</f>
        <v>0</v>
      </c>
      <c r="B5289" s="8">
        <v>11.31</v>
      </c>
      <c r="C5289" s="9">
        <v>0</v>
      </c>
      <c r="D5289" s="13">
        <f t="shared" si="82"/>
        <v>11.31</v>
      </c>
    </row>
    <row r="5290" spans="1:4" x14ac:dyDescent="0.25">
      <c r="A5290" s="15">
        <f>Sheet2!A5290</f>
        <v>0</v>
      </c>
      <c r="B5290" s="8">
        <v>9.98</v>
      </c>
      <c r="C5290" s="9">
        <v>0</v>
      </c>
      <c r="D5290" s="13">
        <f t="shared" si="82"/>
        <v>9.98</v>
      </c>
    </row>
    <row r="5291" spans="1:4" x14ac:dyDescent="0.25">
      <c r="A5291" s="15">
        <f>Sheet2!A5291</f>
        <v>0</v>
      </c>
      <c r="B5291" s="8">
        <v>8.49</v>
      </c>
      <c r="C5291" s="9">
        <v>0</v>
      </c>
      <c r="D5291" s="13">
        <f t="shared" si="82"/>
        <v>8.49</v>
      </c>
    </row>
    <row r="5292" spans="1:4" x14ac:dyDescent="0.25">
      <c r="A5292" s="15">
        <f>Sheet2!A5292</f>
        <v>0</v>
      </c>
      <c r="B5292" s="8">
        <v>8.75</v>
      </c>
      <c r="C5292" s="9">
        <v>0</v>
      </c>
      <c r="D5292" s="13">
        <f t="shared" si="82"/>
        <v>8.75</v>
      </c>
    </row>
    <row r="5293" spans="1:4" x14ac:dyDescent="0.25">
      <c r="A5293" s="15">
        <f>Sheet2!A5293</f>
        <v>0</v>
      </c>
      <c r="B5293" s="8">
        <v>0</v>
      </c>
      <c r="C5293" s="9">
        <v>1.58</v>
      </c>
      <c r="D5293" s="13">
        <f t="shared" si="82"/>
        <v>1.58</v>
      </c>
    </row>
    <row r="5294" spans="1:4" x14ac:dyDescent="0.25">
      <c r="A5294" s="15">
        <f>Sheet2!A5294</f>
        <v>0</v>
      </c>
      <c r="B5294" s="8">
        <v>0</v>
      </c>
      <c r="C5294" s="9">
        <v>3.44</v>
      </c>
      <c r="D5294" s="13">
        <f t="shared" si="82"/>
        <v>3.44</v>
      </c>
    </row>
    <row r="5295" spans="1:4" x14ac:dyDescent="0.25">
      <c r="A5295" s="15">
        <f>Sheet2!A5295</f>
        <v>0</v>
      </c>
      <c r="B5295" s="8">
        <v>0</v>
      </c>
      <c r="C5295" s="9">
        <v>3.17</v>
      </c>
      <c r="D5295" s="13">
        <f t="shared" si="82"/>
        <v>3.17</v>
      </c>
    </row>
    <row r="5296" spans="1:4" x14ac:dyDescent="0.25">
      <c r="A5296" s="15">
        <f>Sheet2!A5296</f>
        <v>0</v>
      </c>
      <c r="B5296" s="8">
        <v>0</v>
      </c>
      <c r="C5296" s="9">
        <v>3.03</v>
      </c>
      <c r="D5296" s="13">
        <f t="shared" si="82"/>
        <v>3.03</v>
      </c>
    </row>
    <row r="5297" spans="1:4" x14ac:dyDescent="0.25">
      <c r="A5297" s="15">
        <f>Sheet2!A5297</f>
        <v>0</v>
      </c>
      <c r="B5297" s="8">
        <v>0</v>
      </c>
      <c r="C5297" s="9">
        <v>1.1399999999999999</v>
      </c>
      <c r="D5297" s="13">
        <f t="shared" si="82"/>
        <v>1.1399999999999999</v>
      </c>
    </row>
    <row r="5298" spans="1:4" x14ac:dyDescent="0.25">
      <c r="A5298" s="15">
        <f>Sheet2!A5298</f>
        <v>0</v>
      </c>
      <c r="B5298" s="8">
        <v>16.86</v>
      </c>
      <c r="C5298" s="9">
        <v>0</v>
      </c>
      <c r="D5298" s="13">
        <f t="shared" si="82"/>
        <v>16.86</v>
      </c>
    </row>
    <row r="5299" spans="1:4" x14ac:dyDescent="0.25">
      <c r="A5299" s="15">
        <f>Sheet2!A5299</f>
        <v>0</v>
      </c>
      <c r="B5299" s="8">
        <v>0</v>
      </c>
      <c r="C5299" s="9">
        <v>2.0499999999999998</v>
      </c>
      <c r="D5299" s="13">
        <f t="shared" si="82"/>
        <v>2.0499999999999998</v>
      </c>
    </row>
    <row r="5300" spans="1:4" x14ac:dyDescent="0.25">
      <c r="A5300" s="15">
        <f>Sheet2!A5300</f>
        <v>0</v>
      </c>
      <c r="B5300" s="8">
        <v>0</v>
      </c>
      <c r="C5300" s="9">
        <v>4.1500000000000004</v>
      </c>
      <c r="D5300" s="13">
        <f t="shared" si="82"/>
        <v>4.1500000000000004</v>
      </c>
    </row>
    <row r="5301" spans="1:4" x14ac:dyDescent="0.25">
      <c r="A5301" s="15">
        <f>Sheet2!A5301</f>
        <v>0</v>
      </c>
      <c r="B5301" s="8">
        <v>0</v>
      </c>
      <c r="C5301" s="9">
        <v>4.3099999999999996</v>
      </c>
      <c r="D5301" s="13">
        <f t="shared" si="82"/>
        <v>4.3099999999999996</v>
      </c>
    </row>
    <row r="5302" spans="1:4" x14ac:dyDescent="0.25">
      <c r="A5302" s="15">
        <f>Sheet2!A5302</f>
        <v>0</v>
      </c>
      <c r="B5302" s="8">
        <v>0</v>
      </c>
      <c r="C5302" s="9">
        <v>4.1399999999999997</v>
      </c>
      <c r="D5302" s="13">
        <f t="shared" si="82"/>
        <v>4.1399999999999997</v>
      </c>
    </row>
    <row r="5303" spans="1:4" x14ac:dyDescent="0.25">
      <c r="A5303" s="15">
        <f>Sheet2!A5303</f>
        <v>0</v>
      </c>
      <c r="B5303" s="8">
        <v>0</v>
      </c>
      <c r="C5303" s="9">
        <v>1.6</v>
      </c>
      <c r="D5303" s="13">
        <f t="shared" si="82"/>
        <v>1.6</v>
      </c>
    </row>
    <row r="5304" spans="1:4" x14ac:dyDescent="0.25">
      <c r="A5304" s="15">
        <f>Sheet2!A5304</f>
        <v>0</v>
      </c>
      <c r="B5304" s="8">
        <v>14.53</v>
      </c>
      <c r="C5304" s="9">
        <v>0</v>
      </c>
      <c r="D5304" s="13">
        <f t="shared" si="82"/>
        <v>14.53</v>
      </c>
    </row>
    <row r="5305" spans="1:4" x14ac:dyDescent="0.25">
      <c r="A5305" s="15">
        <f>Sheet2!A5305</f>
        <v>0</v>
      </c>
      <c r="B5305" s="8">
        <v>0</v>
      </c>
      <c r="C5305" s="9">
        <v>1.67</v>
      </c>
      <c r="D5305" s="13">
        <f t="shared" si="82"/>
        <v>1.67</v>
      </c>
    </row>
    <row r="5306" spans="1:4" x14ac:dyDescent="0.25">
      <c r="A5306" s="15">
        <f>Sheet2!A5306</f>
        <v>0</v>
      </c>
      <c r="B5306" s="8">
        <v>0</v>
      </c>
      <c r="C5306" s="9">
        <v>3.08</v>
      </c>
      <c r="D5306" s="13">
        <f t="shared" si="82"/>
        <v>3.08</v>
      </c>
    </row>
    <row r="5307" spans="1:4" x14ac:dyDescent="0.25">
      <c r="A5307" s="15">
        <f>Sheet2!A5307</f>
        <v>0</v>
      </c>
      <c r="B5307" s="8">
        <v>0</v>
      </c>
      <c r="C5307" s="9">
        <v>1.19</v>
      </c>
      <c r="D5307" s="13">
        <f t="shared" si="82"/>
        <v>1.19</v>
      </c>
    </row>
    <row r="5308" spans="1:4" x14ac:dyDescent="0.25">
      <c r="A5308" s="15">
        <f>Sheet2!A5308</f>
        <v>0</v>
      </c>
      <c r="B5308" s="8">
        <v>11.69</v>
      </c>
      <c r="C5308" s="9">
        <v>0</v>
      </c>
      <c r="D5308" s="13">
        <f t="shared" si="82"/>
        <v>11.69</v>
      </c>
    </row>
    <row r="5309" spans="1:4" x14ac:dyDescent="0.25">
      <c r="A5309" s="15">
        <f>Sheet2!A5309</f>
        <v>0</v>
      </c>
      <c r="B5309" s="8">
        <v>0</v>
      </c>
      <c r="C5309" s="9">
        <v>1.44</v>
      </c>
      <c r="D5309" s="13">
        <f t="shared" si="82"/>
        <v>1.44</v>
      </c>
    </row>
    <row r="5310" spans="1:4" x14ac:dyDescent="0.25">
      <c r="A5310" s="15">
        <f>Sheet2!A5310</f>
        <v>0</v>
      </c>
      <c r="B5310" s="8">
        <v>0</v>
      </c>
      <c r="C5310" s="9">
        <v>2.9</v>
      </c>
      <c r="D5310" s="13">
        <f t="shared" si="82"/>
        <v>2.9</v>
      </c>
    </row>
    <row r="5311" spans="1:4" x14ac:dyDescent="0.25">
      <c r="A5311" s="15">
        <f>Sheet2!A5311</f>
        <v>0</v>
      </c>
      <c r="B5311" s="8">
        <v>0</v>
      </c>
      <c r="C5311" s="9">
        <v>0.96</v>
      </c>
      <c r="D5311" s="13">
        <f t="shared" si="82"/>
        <v>0.96</v>
      </c>
    </row>
    <row r="5312" spans="1:4" x14ac:dyDescent="0.25">
      <c r="A5312" s="15">
        <f>Sheet2!A5312</f>
        <v>0</v>
      </c>
      <c r="B5312" s="8">
        <v>12.03</v>
      </c>
      <c r="C5312" s="9">
        <v>0</v>
      </c>
      <c r="D5312" s="13">
        <f t="shared" si="82"/>
        <v>12.03</v>
      </c>
    </row>
    <row r="5313" spans="1:4" x14ac:dyDescent="0.25">
      <c r="A5313" s="15">
        <f>Sheet2!A5313</f>
        <v>0</v>
      </c>
      <c r="B5313" s="8">
        <v>14.42</v>
      </c>
      <c r="C5313" s="9">
        <v>0</v>
      </c>
      <c r="D5313" s="13">
        <f t="shared" si="82"/>
        <v>14.42</v>
      </c>
    </row>
    <row r="5314" spans="1:4" x14ac:dyDescent="0.25">
      <c r="A5314" s="15">
        <f>Sheet2!A5314</f>
        <v>0</v>
      </c>
      <c r="B5314" s="8">
        <v>15.1</v>
      </c>
      <c r="C5314" s="9">
        <v>0</v>
      </c>
      <c r="D5314" s="13">
        <f t="shared" si="82"/>
        <v>15.1</v>
      </c>
    </row>
    <row r="5315" spans="1:4" x14ac:dyDescent="0.25">
      <c r="A5315" s="15">
        <f>Sheet2!A5315</f>
        <v>0</v>
      </c>
      <c r="B5315" s="8">
        <v>0</v>
      </c>
      <c r="C5315" s="9">
        <v>0.59</v>
      </c>
      <c r="D5315" s="13">
        <f t="shared" ref="D5315:D5378" si="83">B5315+C5315</f>
        <v>0.59</v>
      </c>
    </row>
    <row r="5316" spans="1:4" x14ac:dyDescent="0.25">
      <c r="A5316" s="15">
        <f>Sheet2!A5316</f>
        <v>0</v>
      </c>
      <c r="B5316" s="8">
        <v>0</v>
      </c>
      <c r="C5316" s="9">
        <v>1.86</v>
      </c>
      <c r="D5316" s="13">
        <f t="shared" si="83"/>
        <v>1.86</v>
      </c>
    </row>
    <row r="5317" spans="1:4" x14ac:dyDescent="0.25">
      <c r="A5317" s="15">
        <f>Sheet2!A5317</f>
        <v>0</v>
      </c>
      <c r="B5317" s="8">
        <v>0</v>
      </c>
      <c r="C5317" s="9">
        <v>0.82</v>
      </c>
      <c r="D5317" s="13">
        <f t="shared" si="83"/>
        <v>0.82</v>
      </c>
    </row>
    <row r="5318" spans="1:4" x14ac:dyDescent="0.25">
      <c r="A5318" s="15">
        <f>Sheet2!A5318</f>
        <v>0</v>
      </c>
      <c r="B5318" s="8">
        <v>18.649999999999999</v>
      </c>
      <c r="C5318" s="9">
        <v>0</v>
      </c>
      <c r="D5318" s="13">
        <f t="shared" si="83"/>
        <v>18.649999999999999</v>
      </c>
    </row>
    <row r="5319" spans="1:4" x14ac:dyDescent="0.25">
      <c r="A5319" s="15">
        <f>Sheet2!A5319</f>
        <v>0</v>
      </c>
      <c r="B5319" s="8">
        <v>0</v>
      </c>
      <c r="C5319" s="9">
        <v>1.35</v>
      </c>
      <c r="D5319" s="13">
        <f t="shared" si="83"/>
        <v>1.35</v>
      </c>
    </row>
    <row r="5320" spans="1:4" x14ac:dyDescent="0.25">
      <c r="A5320" s="15">
        <f>Sheet2!A5320</f>
        <v>0</v>
      </c>
      <c r="B5320" s="8">
        <v>0</v>
      </c>
      <c r="C5320" s="9">
        <v>1.78</v>
      </c>
      <c r="D5320" s="13">
        <f t="shared" si="83"/>
        <v>1.78</v>
      </c>
    </row>
    <row r="5321" spans="1:4" x14ac:dyDescent="0.25">
      <c r="A5321" s="15">
        <f>Sheet2!A5321</f>
        <v>0</v>
      </c>
      <c r="B5321" s="8">
        <v>0</v>
      </c>
      <c r="C5321" s="9">
        <v>0.71</v>
      </c>
      <c r="D5321" s="13">
        <f t="shared" si="83"/>
        <v>0.71</v>
      </c>
    </row>
    <row r="5322" spans="1:4" x14ac:dyDescent="0.25">
      <c r="A5322" s="15">
        <f>Sheet2!A5322</f>
        <v>0</v>
      </c>
      <c r="B5322" s="8">
        <v>11.6</v>
      </c>
      <c r="C5322" s="9">
        <v>0</v>
      </c>
      <c r="D5322" s="13">
        <f t="shared" si="83"/>
        <v>11.6</v>
      </c>
    </row>
    <row r="5323" spans="1:4" x14ac:dyDescent="0.25">
      <c r="A5323" s="15">
        <f>Sheet2!A5323</f>
        <v>0</v>
      </c>
      <c r="B5323" s="8">
        <v>0</v>
      </c>
      <c r="C5323" s="9">
        <v>2.25</v>
      </c>
      <c r="D5323" s="13">
        <f t="shared" si="83"/>
        <v>2.25</v>
      </c>
    </row>
    <row r="5324" spans="1:4" x14ac:dyDescent="0.25">
      <c r="A5324" s="15">
        <f>Sheet2!A5324</f>
        <v>0</v>
      </c>
      <c r="B5324" s="8">
        <v>0</v>
      </c>
      <c r="C5324" s="9">
        <v>4.37</v>
      </c>
      <c r="D5324" s="13">
        <f t="shared" si="83"/>
        <v>4.37</v>
      </c>
    </row>
    <row r="5325" spans="1:4" x14ac:dyDescent="0.25">
      <c r="A5325" s="15">
        <f>Sheet2!A5325</f>
        <v>0</v>
      </c>
      <c r="B5325" s="8">
        <v>0</v>
      </c>
      <c r="C5325" s="9">
        <v>1.9</v>
      </c>
      <c r="D5325" s="13">
        <f t="shared" si="83"/>
        <v>1.9</v>
      </c>
    </row>
    <row r="5326" spans="1:4" x14ac:dyDescent="0.25">
      <c r="A5326" s="15">
        <f>Sheet2!A5326</f>
        <v>0</v>
      </c>
      <c r="B5326" s="8">
        <v>19.64</v>
      </c>
      <c r="C5326" s="9">
        <v>0</v>
      </c>
      <c r="D5326" s="13">
        <f t="shared" si="83"/>
        <v>19.64</v>
      </c>
    </row>
    <row r="5327" spans="1:4" x14ac:dyDescent="0.25">
      <c r="A5327" s="15">
        <f>Sheet2!A5327</f>
        <v>0</v>
      </c>
      <c r="B5327" s="8">
        <v>0</v>
      </c>
      <c r="C5327" s="9">
        <v>2.0299999999999998</v>
      </c>
      <c r="D5327" s="13">
        <f t="shared" si="83"/>
        <v>2.0299999999999998</v>
      </c>
    </row>
    <row r="5328" spans="1:4" x14ac:dyDescent="0.25">
      <c r="A5328" s="15">
        <f>Sheet2!A5328</f>
        <v>0</v>
      </c>
      <c r="B5328" s="8">
        <v>0</v>
      </c>
      <c r="C5328" s="9">
        <v>3.44</v>
      </c>
      <c r="D5328" s="13">
        <f t="shared" si="83"/>
        <v>3.44</v>
      </c>
    </row>
    <row r="5329" spans="1:4" x14ac:dyDescent="0.25">
      <c r="A5329" s="15">
        <f>Sheet2!A5329</f>
        <v>0</v>
      </c>
      <c r="B5329" s="8">
        <v>0</v>
      </c>
      <c r="C5329" s="9">
        <v>2.79</v>
      </c>
      <c r="D5329" s="13">
        <f t="shared" si="83"/>
        <v>2.79</v>
      </c>
    </row>
    <row r="5330" spans="1:4" x14ac:dyDescent="0.25">
      <c r="A5330" s="15">
        <f>Sheet2!A5330</f>
        <v>0</v>
      </c>
      <c r="B5330" s="8">
        <v>16.21</v>
      </c>
      <c r="C5330" s="9">
        <v>0</v>
      </c>
      <c r="D5330" s="13">
        <f t="shared" si="83"/>
        <v>16.21</v>
      </c>
    </row>
    <row r="5331" spans="1:4" x14ac:dyDescent="0.25">
      <c r="A5331" s="15">
        <f>Sheet2!A5331</f>
        <v>0</v>
      </c>
      <c r="B5331" s="8">
        <v>14.02</v>
      </c>
      <c r="C5331" s="9">
        <v>0</v>
      </c>
      <c r="D5331" s="13">
        <f t="shared" si="83"/>
        <v>14.02</v>
      </c>
    </row>
    <row r="5332" spans="1:4" x14ac:dyDescent="0.25">
      <c r="A5332" s="15">
        <f>Sheet2!A5332</f>
        <v>0</v>
      </c>
      <c r="B5332" s="8">
        <v>0</v>
      </c>
      <c r="C5332" s="9">
        <v>0.52</v>
      </c>
      <c r="D5332" s="13">
        <f t="shared" si="83"/>
        <v>0.52</v>
      </c>
    </row>
    <row r="5333" spans="1:4" x14ac:dyDescent="0.25">
      <c r="A5333" s="15">
        <f>Sheet2!A5333</f>
        <v>0</v>
      </c>
      <c r="B5333" s="8">
        <v>0</v>
      </c>
      <c r="C5333" s="9">
        <v>1.1200000000000001</v>
      </c>
      <c r="D5333" s="13">
        <f t="shared" si="83"/>
        <v>1.1200000000000001</v>
      </c>
    </row>
    <row r="5334" spans="1:4" x14ac:dyDescent="0.25">
      <c r="A5334" s="15">
        <f>Sheet2!A5334</f>
        <v>0</v>
      </c>
      <c r="B5334" s="8">
        <v>0</v>
      </c>
      <c r="C5334" s="9">
        <v>1.1000000000000001</v>
      </c>
      <c r="D5334" s="13">
        <f t="shared" si="83"/>
        <v>1.1000000000000001</v>
      </c>
    </row>
    <row r="5335" spans="1:4" x14ac:dyDescent="0.25">
      <c r="A5335" s="15">
        <f>Sheet2!A5335</f>
        <v>0</v>
      </c>
      <c r="B5335" s="8">
        <v>0</v>
      </c>
      <c r="C5335" s="9">
        <v>1.25</v>
      </c>
      <c r="D5335" s="13">
        <f t="shared" si="83"/>
        <v>1.25</v>
      </c>
    </row>
    <row r="5336" spans="1:4" x14ac:dyDescent="0.25">
      <c r="A5336" s="15">
        <f>Sheet2!A5336</f>
        <v>0</v>
      </c>
      <c r="B5336" s="8">
        <v>12.46</v>
      </c>
      <c r="C5336" s="9">
        <v>0</v>
      </c>
      <c r="D5336" s="13">
        <f t="shared" si="83"/>
        <v>12.46</v>
      </c>
    </row>
    <row r="5337" spans="1:4" x14ac:dyDescent="0.25">
      <c r="A5337" s="15">
        <f>Sheet2!A5337</f>
        <v>0</v>
      </c>
      <c r="B5337" s="8">
        <v>0</v>
      </c>
      <c r="C5337" s="9">
        <v>1.28</v>
      </c>
      <c r="D5337" s="13">
        <f t="shared" si="83"/>
        <v>1.28</v>
      </c>
    </row>
    <row r="5338" spans="1:4" x14ac:dyDescent="0.25">
      <c r="A5338" s="15">
        <f>Sheet2!A5338</f>
        <v>0</v>
      </c>
      <c r="B5338" s="8">
        <v>0</v>
      </c>
      <c r="C5338" s="9">
        <v>2.74</v>
      </c>
      <c r="D5338" s="13">
        <f t="shared" si="83"/>
        <v>2.74</v>
      </c>
    </row>
    <row r="5339" spans="1:4" x14ac:dyDescent="0.25">
      <c r="A5339" s="15">
        <f>Sheet2!A5339</f>
        <v>0</v>
      </c>
      <c r="B5339" s="8">
        <v>0</v>
      </c>
      <c r="C5339" s="9">
        <v>2.61</v>
      </c>
      <c r="D5339" s="13">
        <f t="shared" si="83"/>
        <v>2.61</v>
      </c>
    </row>
    <row r="5340" spans="1:4" x14ac:dyDescent="0.25">
      <c r="A5340" s="15">
        <f>Sheet2!A5340</f>
        <v>0</v>
      </c>
      <c r="B5340" s="8">
        <v>0</v>
      </c>
      <c r="C5340" s="9">
        <v>0.72</v>
      </c>
      <c r="D5340" s="13">
        <f t="shared" si="83"/>
        <v>0.72</v>
      </c>
    </row>
    <row r="5341" spans="1:4" x14ac:dyDescent="0.25">
      <c r="A5341" s="15">
        <f>Sheet2!A5341</f>
        <v>0</v>
      </c>
      <c r="B5341" s="8">
        <v>0</v>
      </c>
      <c r="C5341" s="9">
        <v>1.64</v>
      </c>
      <c r="D5341" s="13">
        <f t="shared" si="83"/>
        <v>1.64</v>
      </c>
    </row>
    <row r="5342" spans="1:4" x14ac:dyDescent="0.25">
      <c r="A5342" s="15">
        <f>Sheet2!A5342</f>
        <v>0</v>
      </c>
      <c r="B5342" s="8">
        <v>0</v>
      </c>
      <c r="C5342" s="9">
        <v>2.36</v>
      </c>
      <c r="D5342" s="13">
        <f t="shared" si="83"/>
        <v>2.36</v>
      </c>
    </row>
    <row r="5343" spans="1:4" x14ac:dyDescent="0.25">
      <c r="A5343" s="15">
        <f>Sheet2!A5343</f>
        <v>0</v>
      </c>
      <c r="B5343" s="8">
        <v>0</v>
      </c>
      <c r="C5343" s="9">
        <v>1.98</v>
      </c>
      <c r="D5343" s="13">
        <f t="shared" si="83"/>
        <v>1.98</v>
      </c>
    </row>
    <row r="5344" spans="1:4" x14ac:dyDescent="0.25">
      <c r="A5344" s="15">
        <f>Sheet2!A5344</f>
        <v>0</v>
      </c>
      <c r="B5344" s="8">
        <v>0</v>
      </c>
      <c r="C5344" s="9">
        <v>0.1</v>
      </c>
      <c r="D5344" s="13">
        <f t="shared" si="83"/>
        <v>0.1</v>
      </c>
    </row>
    <row r="5345" spans="1:4" x14ac:dyDescent="0.25">
      <c r="A5345" s="15">
        <f>Sheet2!A5345</f>
        <v>0</v>
      </c>
      <c r="B5345" s="8">
        <v>0</v>
      </c>
      <c r="C5345" s="9">
        <v>1.32</v>
      </c>
      <c r="D5345" s="13">
        <f t="shared" si="83"/>
        <v>1.32</v>
      </c>
    </row>
    <row r="5346" spans="1:4" x14ac:dyDescent="0.25">
      <c r="A5346" s="15">
        <f>Sheet2!A5346</f>
        <v>0</v>
      </c>
      <c r="B5346" s="8">
        <v>0</v>
      </c>
      <c r="C5346" s="9">
        <v>3.2</v>
      </c>
      <c r="D5346" s="13">
        <f t="shared" si="83"/>
        <v>3.2</v>
      </c>
    </row>
    <row r="5347" spans="1:4" x14ac:dyDescent="0.25">
      <c r="A5347" s="15">
        <f>Sheet2!A5347</f>
        <v>0</v>
      </c>
      <c r="B5347" s="8">
        <v>0</v>
      </c>
      <c r="C5347" s="9">
        <v>2.91</v>
      </c>
      <c r="D5347" s="13">
        <f t="shared" si="83"/>
        <v>2.91</v>
      </c>
    </row>
    <row r="5348" spans="1:4" x14ac:dyDescent="0.25">
      <c r="A5348" s="15">
        <f>Sheet2!A5348</f>
        <v>0</v>
      </c>
      <c r="B5348" s="8">
        <v>0</v>
      </c>
      <c r="C5348" s="9">
        <v>3.47</v>
      </c>
      <c r="D5348" s="13">
        <f t="shared" si="83"/>
        <v>3.47</v>
      </c>
    </row>
    <row r="5349" spans="1:4" x14ac:dyDescent="0.25">
      <c r="A5349" s="15">
        <f>Sheet2!A5349</f>
        <v>0</v>
      </c>
      <c r="B5349" s="8">
        <v>0</v>
      </c>
      <c r="C5349" s="9">
        <v>0.93</v>
      </c>
      <c r="D5349" s="13">
        <f t="shared" si="83"/>
        <v>0.93</v>
      </c>
    </row>
    <row r="5350" spans="1:4" x14ac:dyDescent="0.25">
      <c r="A5350" s="15">
        <f>Sheet2!A5350</f>
        <v>0</v>
      </c>
      <c r="B5350" s="8">
        <v>0</v>
      </c>
      <c r="C5350" s="9">
        <v>2.0499999999999998</v>
      </c>
      <c r="D5350" s="13">
        <f t="shared" si="83"/>
        <v>2.0499999999999998</v>
      </c>
    </row>
    <row r="5351" spans="1:4" x14ac:dyDescent="0.25">
      <c r="A5351" s="15">
        <f>Sheet2!A5351</f>
        <v>0</v>
      </c>
      <c r="B5351" s="8">
        <v>0</v>
      </c>
      <c r="C5351" s="9">
        <v>3.19</v>
      </c>
      <c r="D5351" s="13">
        <f t="shared" si="83"/>
        <v>3.19</v>
      </c>
    </row>
    <row r="5352" spans="1:4" x14ac:dyDescent="0.25">
      <c r="A5352" s="15">
        <f>Sheet2!A5352</f>
        <v>0</v>
      </c>
      <c r="B5352" s="8">
        <v>0</v>
      </c>
      <c r="C5352" s="9">
        <v>2.92</v>
      </c>
      <c r="D5352" s="13">
        <f t="shared" si="83"/>
        <v>2.92</v>
      </c>
    </row>
    <row r="5353" spans="1:4" x14ac:dyDescent="0.25">
      <c r="A5353" s="15">
        <f>Sheet2!A5353</f>
        <v>0</v>
      </c>
      <c r="B5353" s="8">
        <v>0</v>
      </c>
      <c r="C5353" s="9">
        <v>1.45</v>
      </c>
      <c r="D5353" s="13">
        <f t="shared" si="83"/>
        <v>1.45</v>
      </c>
    </row>
    <row r="5354" spans="1:4" x14ac:dyDescent="0.25">
      <c r="A5354" s="15">
        <f>Sheet2!A5354</f>
        <v>0</v>
      </c>
      <c r="B5354" s="8">
        <v>0</v>
      </c>
      <c r="C5354" s="9">
        <v>0.35</v>
      </c>
      <c r="D5354" s="13">
        <f t="shared" si="83"/>
        <v>0.35</v>
      </c>
    </row>
    <row r="5355" spans="1:4" x14ac:dyDescent="0.25">
      <c r="A5355" s="15">
        <f>Sheet2!A5355</f>
        <v>0</v>
      </c>
      <c r="B5355" s="8">
        <v>0</v>
      </c>
      <c r="C5355" s="9">
        <v>0.6</v>
      </c>
      <c r="D5355" s="13">
        <f t="shared" si="83"/>
        <v>0.6</v>
      </c>
    </row>
    <row r="5356" spans="1:4" x14ac:dyDescent="0.25">
      <c r="A5356" s="15">
        <f>Sheet2!A5356</f>
        <v>0</v>
      </c>
      <c r="B5356" s="8">
        <v>0</v>
      </c>
      <c r="C5356" s="9">
        <v>2.79</v>
      </c>
      <c r="D5356" s="13">
        <f t="shared" si="83"/>
        <v>2.79</v>
      </c>
    </row>
    <row r="5357" spans="1:4" x14ac:dyDescent="0.25">
      <c r="A5357" s="15">
        <f>Sheet2!A5357</f>
        <v>0</v>
      </c>
      <c r="B5357" s="8">
        <v>0</v>
      </c>
      <c r="C5357" s="9">
        <v>2.64</v>
      </c>
      <c r="D5357" s="13">
        <f t="shared" si="83"/>
        <v>2.64</v>
      </c>
    </row>
    <row r="5358" spans="1:4" x14ac:dyDescent="0.25">
      <c r="A5358" s="15">
        <f>Sheet2!A5358</f>
        <v>0</v>
      </c>
      <c r="B5358" s="8">
        <v>0</v>
      </c>
      <c r="C5358" s="9">
        <v>2.72</v>
      </c>
      <c r="D5358" s="13">
        <f t="shared" si="83"/>
        <v>2.72</v>
      </c>
    </row>
    <row r="5359" spans="1:4" x14ac:dyDescent="0.25">
      <c r="A5359" s="15">
        <f>Sheet2!A5359</f>
        <v>0</v>
      </c>
      <c r="B5359" s="8">
        <v>0</v>
      </c>
      <c r="C5359" s="9">
        <v>0.85</v>
      </c>
      <c r="D5359" s="13">
        <f t="shared" si="83"/>
        <v>0.85</v>
      </c>
    </row>
    <row r="5360" spans="1:4" x14ac:dyDescent="0.25">
      <c r="A5360" s="15">
        <f>Sheet2!A5360</f>
        <v>0</v>
      </c>
      <c r="B5360" s="8">
        <v>11.52</v>
      </c>
      <c r="C5360" s="9">
        <v>0</v>
      </c>
      <c r="D5360" s="13">
        <f t="shared" si="83"/>
        <v>11.52</v>
      </c>
    </row>
    <row r="5361" spans="1:4" x14ac:dyDescent="0.25">
      <c r="A5361" s="15">
        <f>Sheet2!A5361</f>
        <v>0</v>
      </c>
      <c r="B5361" s="8">
        <v>0</v>
      </c>
      <c r="C5361" s="9">
        <v>2.42</v>
      </c>
      <c r="D5361" s="13">
        <f t="shared" si="83"/>
        <v>2.42</v>
      </c>
    </row>
    <row r="5362" spans="1:4" x14ac:dyDescent="0.25">
      <c r="A5362" s="15">
        <f>Sheet2!A5362</f>
        <v>0</v>
      </c>
      <c r="B5362" s="8">
        <v>0</v>
      </c>
      <c r="C5362" s="9">
        <v>2.76</v>
      </c>
      <c r="D5362" s="13">
        <f t="shared" si="83"/>
        <v>2.76</v>
      </c>
    </row>
    <row r="5363" spans="1:4" x14ac:dyDescent="0.25">
      <c r="A5363" s="15">
        <f>Sheet2!A5363</f>
        <v>0</v>
      </c>
      <c r="B5363" s="8">
        <v>0</v>
      </c>
      <c r="C5363" s="9">
        <v>2.92</v>
      </c>
      <c r="D5363" s="13">
        <f t="shared" si="83"/>
        <v>2.92</v>
      </c>
    </row>
    <row r="5364" spans="1:4" x14ac:dyDescent="0.25">
      <c r="A5364" s="15">
        <f>Sheet2!A5364</f>
        <v>0</v>
      </c>
      <c r="B5364" s="8">
        <v>0</v>
      </c>
      <c r="C5364" s="9">
        <v>1.83</v>
      </c>
      <c r="D5364" s="13">
        <f t="shared" si="83"/>
        <v>1.83</v>
      </c>
    </row>
    <row r="5365" spans="1:4" x14ac:dyDescent="0.25">
      <c r="A5365" s="15">
        <f>Sheet2!A5365</f>
        <v>0</v>
      </c>
      <c r="B5365" s="8">
        <v>0</v>
      </c>
      <c r="C5365" s="9">
        <v>0.61</v>
      </c>
      <c r="D5365" s="13">
        <f t="shared" si="83"/>
        <v>0.61</v>
      </c>
    </row>
    <row r="5366" spans="1:4" x14ac:dyDescent="0.25">
      <c r="A5366" s="15">
        <f>Sheet2!A5366</f>
        <v>0</v>
      </c>
      <c r="B5366" s="8">
        <v>0</v>
      </c>
      <c r="C5366" s="9">
        <v>1.86</v>
      </c>
      <c r="D5366" s="13">
        <f t="shared" si="83"/>
        <v>1.86</v>
      </c>
    </row>
    <row r="5367" spans="1:4" x14ac:dyDescent="0.25">
      <c r="A5367" s="15">
        <f>Sheet2!A5367</f>
        <v>0</v>
      </c>
      <c r="B5367" s="8">
        <v>0</v>
      </c>
      <c r="C5367" s="9">
        <v>3.11</v>
      </c>
      <c r="D5367" s="13">
        <f t="shared" si="83"/>
        <v>3.11</v>
      </c>
    </row>
    <row r="5368" spans="1:4" x14ac:dyDescent="0.25">
      <c r="A5368" s="15">
        <f>Sheet2!A5368</f>
        <v>0</v>
      </c>
      <c r="B5368" s="8">
        <v>0</v>
      </c>
      <c r="C5368" s="9">
        <v>2.66</v>
      </c>
      <c r="D5368" s="13">
        <f t="shared" si="83"/>
        <v>2.66</v>
      </c>
    </row>
    <row r="5369" spans="1:4" x14ac:dyDescent="0.25">
      <c r="A5369" s="15">
        <f>Sheet2!A5369</f>
        <v>0</v>
      </c>
      <c r="B5369" s="8">
        <v>0</v>
      </c>
      <c r="C5369" s="9">
        <v>2.87</v>
      </c>
      <c r="D5369" s="13">
        <f t="shared" si="83"/>
        <v>2.87</v>
      </c>
    </row>
    <row r="5370" spans="1:4" x14ac:dyDescent="0.25">
      <c r="A5370" s="15">
        <f>Sheet2!A5370</f>
        <v>0</v>
      </c>
      <c r="B5370" s="8">
        <v>0</v>
      </c>
      <c r="C5370" s="9">
        <v>2.19</v>
      </c>
      <c r="D5370" s="13">
        <f t="shared" si="83"/>
        <v>2.19</v>
      </c>
    </row>
    <row r="5371" spans="1:4" x14ac:dyDescent="0.25">
      <c r="A5371" s="15">
        <f>Sheet2!A5371</f>
        <v>0</v>
      </c>
      <c r="B5371" s="8">
        <v>18.97</v>
      </c>
      <c r="C5371" s="9">
        <v>0</v>
      </c>
      <c r="D5371" s="13">
        <f t="shared" si="83"/>
        <v>18.97</v>
      </c>
    </row>
    <row r="5372" spans="1:4" x14ac:dyDescent="0.25">
      <c r="A5372" s="15">
        <f>Sheet2!A5372</f>
        <v>0</v>
      </c>
      <c r="B5372" s="8">
        <v>0</v>
      </c>
      <c r="C5372" s="9">
        <v>0.95</v>
      </c>
      <c r="D5372" s="13">
        <f t="shared" si="83"/>
        <v>0.95</v>
      </c>
    </row>
    <row r="5373" spans="1:4" x14ac:dyDescent="0.25">
      <c r="A5373" s="15">
        <f>Sheet2!A5373</f>
        <v>0</v>
      </c>
      <c r="B5373" s="8">
        <v>0</v>
      </c>
      <c r="C5373" s="9">
        <v>2.2400000000000002</v>
      </c>
      <c r="D5373" s="13">
        <f t="shared" si="83"/>
        <v>2.2400000000000002</v>
      </c>
    </row>
    <row r="5374" spans="1:4" x14ac:dyDescent="0.25">
      <c r="A5374" s="15">
        <f>Sheet2!A5374</f>
        <v>0</v>
      </c>
      <c r="B5374" s="8">
        <v>0</v>
      </c>
      <c r="C5374" s="9">
        <v>3.17</v>
      </c>
      <c r="D5374" s="13">
        <f t="shared" si="83"/>
        <v>3.17</v>
      </c>
    </row>
    <row r="5375" spans="1:4" x14ac:dyDescent="0.25">
      <c r="A5375" s="15">
        <f>Sheet2!A5375</f>
        <v>0</v>
      </c>
      <c r="B5375" s="8">
        <v>0</v>
      </c>
      <c r="C5375" s="9">
        <v>1.34</v>
      </c>
      <c r="D5375" s="13">
        <f t="shared" si="83"/>
        <v>1.34</v>
      </c>
    </row>
    <row r="5376" spans="1:4" x14ac:dyDescent="0.25">
      <c r="A5376" s="15">
        <f>Sheet2!A5376</f>
        <v>0</v>
      </c>
      <c r="B5376" s="8">
        <v>12.83</v>
      </c>
      <c r="C5376" s="9">
        <v>0</v>
      </c>
      <c r="D5376" s="13">
        <f t="shared" si="83"/>
        <v>12.83</v>
      </c>
    </row>
    <row r="5377" spans="1:4" x14ac:dyDescent="0.25">
      <c r="A5377" s="15">
        <f>Sheet2!A5377</f>
        <v>0</v>
      </c>
      <c r="B5377" s="8">
        <v>0</v>
      </c>
      <c r="C5377" s="9">
        <v>0.56999999999999995</v>
      </c>
      <c r="D5377" s="13">
        <f t="shared" si="83"/>
        <v>0.56999999999999995</v>
      </c>
    </row>
    <row r="5378" spans="1:4" x14ac:dyDescent="0.25">
      <c r="A5378" s="15">
        <f>Sheet2!A5378</f>
        <v>0</v>
      </c>
      <c r="B5378" s="8">
        <v>0</v>
      </c>
      <c r="C5378" s="9">
        <v>1.18</v>
      </c>
      <c r="D5378" s="13">
        <f t="shared" si="83"/>
        <v>1.18</v>
      </c>
    </row>
    <row r="5379" spans="1:4" x14ac:dyDescent="0.25">
      <c r="A5379" s="15">
        <f>Sheet2!A5379</f>
        <v>0</v>
      </c>
      <c r="B5379" s="8">
        <v>0</v>
      </c>
      <c r="C5379" s="9">
        <v>0.62</v>
      </c>
      <c r="D5379" s="13">
        <f t="shared" ref="D5379:D5442" si="84">B5379+C5379</f>
        <v>0.62</v>
      </c>
    </row>
    <row r="5380" spans="1:4" x14ac:dyDescent="0.25">
      <c r="A5380" s="15">
        <f>Sheet2!A5380</f>
        <v>0</v>
      </c>
      <c r="B5380" s="8">
        <v>10.82</v>
      </c>
      <c r="C5380" s="9">
        <v>0</v>
      </c>
      <c r="D5380" s="13">
        <f t="shared" si="84"/>
        <v>10.82</v>
      </c>
    </row>
    <row r="5381" spans="1:4" x14ac:dyDescent="0.25">
      <c r="A5381" s="15">
        <f>Sheet2!A5381</f>
        <v>0</v>
      </c>
      <c r="B5381" s="8">
        <v>0</v>
      </c>
      <c r="C5381" s="9">
        <v>1.43</v>
      </c>
      <c r="D5381" s="13">
        <f t="shared" si="84"/>
        <v>1.43</v>
      </c>
    </row>
    <row r="5382" spans="1:4" x14ac:dyDescent="0.25">
      <c r="A5382" s="15">
        <f>Sheet2!A5382</f>
        <v>0</v>
      </c>
      <c r="B5382" s="8">
        <v>0</v>
      </c>
      <c r="C5382" s="9">
        <v>2.29</v>
      </c>
      <c r="D5382" s="13">
        <f t="shared" si="84"/>
        <v>2.29</v>
      </c>
    </row>
    <row r="5383" spans="1:4" x14ac:dyDescent="0.25">
      <c r="A5383" s="15">
        <f>Sheet2!A5383</f>
        <v>0</v>
      </c>
      <c r="B5383" s="8">
        <v>0</v>
      </c>
      <c r="C5383" s="9">
        <v>1.54</v>
      </c>
      <c r="D5383" s="13">
        <f t="shared" si="84"/>
        <v>1.54</v>
      </c>
    </row>
    <row r="5384" spans="1:4" x14ac:dyDescent="0.25">
      <c r="A5384" s="15">
        <f>Sheet2!A5384</f>
        <v>0</v>
      </c>
      <c r="B5384" s="8">
        <v>10.94</v>
      </c>
      <c r="C5384" s="9">
        <v>0</v>
      </c>
      <c r="D5384" s="13">
        <f t="shared" si="84"/>
        <v>10.94</v>
      </c>
    </row>
    <row r="5385" spans="1:4" x14ac:dyDescent="0.25">
      <c r="A5385" s="15">
        <f>Sheet2!A5385</f>
        <v>0</v>
      </c>
      <c r="B5385" s="8">
        <v>0</v>
      </c>
      <c r="C5385" s="9">
        <v>0.39</v>
      </c>
      <c r="D5385" s="13">
        <f t="shared" si="84"/>
        <v>0.39</v>
      </c>
    </row>
    <row r="5386" spans="1:4" x14ac:dyDescent="0.25">
      <c r="A5386" s="15">
        <f>Sheet2!A5386</f>
        <v>0</v>
      </c>
      <c r="B5386" s="8">
        <v>0</v>
      </c>
      <c r="C5386" s="9">
        <v>0.67</v>
      </c>
      <c r="D5386" s="13">
        <f t="shared" si="84"/>
        <v>0.67</v>
      </c>
    </row>
    <row r="5387" spans="1:4" x14ac:dyDescent="0.25">
      <c r="A5387" s="15">
        <f>Sheet2!A5387</f>
        <v>0</v>
      </c>
      <c r="B5387" s="8">
        <v>0</v>
      </c>
      <c r="C5387" s="9">
        <v>0.28000000000000003</v>
      </c>
      <c r="D5387" s="13">
        <f t="shared" si="84"/>
        <v>0.28000000000000003</v>
      </c>
    </row>
    <row r="5388" spans="1:4" x14ac:dyDescent="0.25">
      <c r="A5388" s="15">
        <f>Sheet2!A5388</f>
        <v>0</v>
      </c>
      <c r="B5388" s="8">
        <v>12.24</v>
      </c>
      <c r="C5388" s="9">
        <v>0</v>
      </c>
      <c r="D5388" s="13">
        <f t="shared" si="84"/>
        <v>12.24</v>
      </c>
    </row>
    <row r="5389" spans="1:4" x14ac:dyDescent="0.25">
      <c r="A5389" s="15">
        <f>Sheet2!A5389</f>
        <v>0</v>
      </c>
      <c r="B5389" s="8">
        <v>5.43</v>
      </c>
      <c r="C5389" s="9">
        <v>0</v>
      </c>
      <c r="D5389" s="13">
        <f t="shared" si="84"/>
        <v>5.43</v>
      </c>
    </row>
    <row r="5390" spans="1:4" x14ac:dyDescent="0.25">
      <c r="A5390" s="15">
        <f>Sheet2!A5390</f>
        <v>0</v>
      </c>
      <c r="B5390" s="8">
        <v>0</v>
      </c>
      <c r="C5390" s="9">
        <v>0.73</v>
      </c>
      <c r="D5390" s="13">
        <f t="shared" si="84"/>
        <v>0.73</v>
      </c>
    </row>
    <row r="5391" spans="1:4" x14ac:dyDescent="0.25">
      <c r="A5391" s="15">
        <f>Sheet2!A5391</f>
        <v>0</v>
      </c>
      <c r="B5391" s="8">
        <v>0</v>
      </c>
      <c r="C5391" s="9">
        <v>0.51</v>
      </c>
      <c r="D5391" s="13">
        <f t="shared" si="84"/>
        <v>0.51</v>
      </c>
    </row>
    <row r="5392" spans="1:4" x14ac:dyDescent="0.25">
      <c r="A5392" s="15">
        <f>Sheet2!A5392</f>
        <v>0</v>
      </c>
      <c r="B5392" s="8">
        <v>13.41</v>
      </c>
      <c r="C5392" s="9">
        <v>0</v>
      </c>
      <c r="D5392" s="13">
        <f t="shared" si="84"/>
        <v>13.41</v>
      </c>
    </row>
    <row r="5393" spans="1:4" x14ac:dyDescent="0.25">
      <c r="A5393" s="15">
        <f>Sheet2!A5393</f>
        <v>0</v>
      </c>
      <c r="B5393" s="8">
        <v>0</v>
      </c>
      <c r="C5393" s="9">
        <v>1.9</v>
      </c>
      <c r="D5393" s="13">
        <f t="shared" si="84"/>
        <v>1.9</v>
      </c>
    </row>
    <row r="5394" spans="1:4" x14ac:dyDescent="0.25">
      <c r="A5394" s="15">
        <f>Sheet2!A5394</f>
        <v>0</v>
      </c>
      <c r="B5394" s="8">
        <v>0</v>
      </c>
      <c r="C5394" s="9">
        <v>3.59</v>
      </c>
      <c r="D5394" s="13">
        <f t="shared" si="84"/>
        <v>3.59</v>
      </c>
    </row>
    <row r="5395" spans="1:4" x14ac:dyDescent="0.25">
      <c r="A5395" s="15">
        <f>Sheet2!A5395</f>
        <v>0</v>
      </c>
      <c r="B5395" s="8">
        <v>0</v>
      </c>
      <c r="C5395" s="9">
        <v>3.73</v>
      </c>
      <c r="D5395" s="13">
        <f t="shared" si="84"/>
        <v>3.73</v>
      </c>
    </row>
    <row r="5396" spans="1:4" x14ac:dyDescent="0.25">
      <c r="A5396" s="15">
        <f>Sheet2!A5396</f>
        <v>0</v>
      </c>
      <c r="B5396" s="8">
        <v>0</v>
      </c>
      <c r="C5396" s="9">
        <v>3.83</v>
      </c>
      <c r="D5396" s="13">
        <f t="shared" si="84"/>
        <v>3.83</v>
      </c>
    </row>
    <row r="5397" spans="1:4" x14ac:dyDescent="0.25">
      <c r="A5397" s="15">
        <f>Sheet2!A5397</f>
        <v>0</v>
      </c>
      <c r="B5397" s="8">
        <v>0</v>
      </c>
      <c r="C5397" s="9">
        <v>0.89</v>
      </c>
      <c r="D5397" s="13">
        <f t="shared" si="84"/>
        <v>0.89</v>
      </c>
    </row>
    <row r="5398" spans="1:4" x14ac:dyDescent="0.25">
      <c r="A5398" s="15">
        <f>Sheet2!A5398</f>
        <v>0</v>
      </c>
      <c r="B5398" s="8">
        <v>13.89</v>
      </c>
      <c r="C5398" s="9">
        <v>0</v>
      </c>
      <c r="D5398" s="13">
        <f t="shared" si="84"/>
        <v>13.89</v>
      </c>
    </row>
    <row r="5399" spans="1:4" x14ac:dyDescent="0.25">
      <c r="A5399" s="15">
        <f>Sheet2!A5399</f>
        <v>0</v>
      </c>
      <c r="B5399" s="8">
        <v>0</v>
      </c>
      <c r="C5399" s="9">
        <v>2.5299999999999998</v>
      </c>
      <c r="D5399" s="13">
        <f t="shared" si="84"/>
        <v>2.5299999999999998</v>
      </c>
    </row>
    <row r="5400" spans="1:4" x14ac:dyDescent="0.25">
      <c r="A5400" s="15">
        <f>Sheet2!A5400</f>
        <v>0</v>
      </c>
      <c r="B5400" s="8">
        <v>0</v>
      </c>
      <c r="C5400" s="9">
        <v>3.62</v>
      </c>
      <c r="D5400" s="13">
        <f t="shared" si="84"/>
        <v>3.62</v>
      </c>
    </row>
    <row r="5401" spans="1:4" x14ac:dyDescent="0.25">
      <c r="A5401" s="15">
        <f>Sheet2!A5401</f>
        <v>0</v>
      </c>
      <c r="B5401" s="8">
        <v>0</v>
      </c>
      <c r="C5401" s="9">
        <v>1.66</v>
      </c>
      <c r="D5401" s="13">
        <f t="shared" si="84"/>
        <v>1.66</v>
      </c>
    </row>
    <row r="5402" spans="1:4" x14ac:dyDescent="0.25">
      <c r="A5402" s="15">
        <f>Sheet2!A5402</f>
        <v>0</v>
      </c>
      <c r="B5402" s="8">
        <v>10.19</v>
      </c>
      <c r="C5402" s="9">
        <v>0</v>
      </c>
      <c r="D5402" s="13">
        <f t="shared" si="84"/>
        <v>10.19</v>
      </c>
    </row>
    <row r="5403" spans="1:4" x14ac:dyDescent="0.25">
      <c r="A5403" s="15">
        <f>Sheet2!A5403</f>
        <v>0</v>
      </c>
      <c r="B5403" s="8">
        <v>0</v>
      </c>
      <c r="C5403" s="9">
        <v>1.02</v>
      </c>
      <c r="D5403" s="13">
        <f t="shared" si="84"/>
        <v>1.02</v>
      </c>
    </row>
    <row r="5404" spans="1:4" x14ac:dyDescent="0.25">
      <c r="A5404" s="15">
        <f>Sheet2!A5404</f>
        <v>0</v>
      </c>
      <c r="B5404" s="8">
        <v>0</v>
      </c>
      <c r="C5404" s="9">
        <v>2.9</v>
      </c>
      <c r="D5404" s="13">
        <f t="shared" si="84"/>
        <v>2.9</v>
      </c>
    </row>
    <row r="5405" spans="1:4" x14ac:dyDescent="0.25">
      <c r="A5405" s="15">
        <f>Sheet2!A5405</f>
        <v>0</v>
      </c>
      <c r="B5405" s="8">
        <v>0</v>
      </c>
      <c r="C5405" s="9">
        <v>2.5499999999999998</v>
      </c>
      <c r="D5405" s="13">
        <f t="shared" si="84"/>
        <v>2.5499999999999998</v>
      </c>
    </row>
    <row r="5406" spans="1:4" x14ac:dyDescent="0.25">
      <c r="A5406" s="15">
        <f>Sheet2!A5406</f>
        <v>0</v>
      </c>
      <c r="B5406" s="8">
        <v>10.79</v>
      </c>
      <c r="C5406" s="9">
        <v>0</v>
      </c>
      <c r="D5406" s="13">
        <f t="shared" si="84"/>
        <v>10.79</v>
      </c>
    </row>
    <row r="5407" spans="1:4" x14ac:dyDescent="0.25">
      <c r="A5407" s="15">
        <f>Sheet2!A5407</f>
        <v>0</v>
      </c>
      <c r="B5407" s="8">
        <v>0</v>
      </c>
      <c r="C5407" s="9">
        <v>0.96</v>
      </c>
      <c r="D5407" s="13">
        <f t="shared" si="84"/>
        <v>0.96</v>
      </c>
    </row>
    <row r="5408" spans="1:4" x14ac:dyDescent="0.25">
      <c r="A5408" s="15">
        <f>Sheet2!A5408</f>
        <v>0</v>
      </c>
      <c r="B5408" s="8">
        <v>0</v>
      </c>
      <c r="C5408" s="9">
        <v>1.33</v>
      </c>
      <c r="D5408" s="13">
        <f t="shared" si="84"/>
        <v>1.33</v>
      </c>
    </row>
    <row r="5409" spans="1:4" x14ac:dyDescent="0.25">
      <c r="A5409" s="15">
        <f>Sheet2!A5409</f>
        <v>0</v>
      </c>
      <c r="B5409" s="8">
        <v>9.19</v>
      </c>
      <c r="C5409" s="9">
        <v>0</v>
      </c>
      <c r="D5409" s="13">
        <f t="shared" si="84"/>
        <v>9.19</v>
      </c>
    </row>
    <row r="5410" spans="1:4" x14ac:dyDescent="0.25">
      <c r="A5410" s="15">
        <f>Sheet2!A5410</f>
        <v>0</v>
      </c>
      <c r="B5410" s="8">
        <v>11.31</v>
      </c>
      <c r="C5410" s="9">
        <v>0</v>
      </c>
      <c r="D5410" s="13">
        <f t="shared" si="84"/>
        <v>11.31</v>
      </c>
    </row>
    <row r="5411" spans="1:4" x14ac:dyDescent="0.25">
      <c r="A5411" s="15">
        <f>Sheet2!A5411</f>
        <v>0</v>
      </c>
      <c r="B5411" s="8">
        <v>3.64</v>
      </c>
      <c r="C5411" s="9">
        <v>0</v>
      </c>
      <c r="D5411" s="13">
        <f t="shared" si="84"/>
        <v>3.64</v>
      </c>
    </row>
    <row r="5412" spans="1:4" x14ac:dyDescent="0.25">
      <c r="A5412" s="15">
        <f>Sheet2!A5412</f>
        <v>0</v>
      </c>
      <c r="B5412" s="8">
        <v>0</v>
      </c>
      <c r="C5412" s="9">
        <v>0.75</v>
      </c>
      <c r="D5412" s="13">
        <f t="shared" si="84"/>
        <v>0.75</v>
      </c>
    </row>
    <row r="5413" spans="1:4" x14ac:dyDescent="0.25">
      <c r="A5413" s="15">
        <f>Sheet2!A5413</f>
        <v>0</v>
      </c>
      <c r="B5413" s="8">
        <v>0</v>
      </c>
      <c r="C5413" s="9">
        <v>0.21</v>
      </c>
      <c r="D5413" s="13">
        <f t="shared" si="84"/>
        <v>0.21</v>
      </c>
    </row>
    <row r="5414" spans="1:4" x14ac:dyDescent="0.25">
      <c r="A5414" s="15">
        <f>Sheet2!A5414</f>
        <v>0</v>
      </c>
      <c r="B5414" s="8">
        <v>10.01</v>
      </c>
      <c r="C5414" s="9">
        <v>0</v>
      </c>
      <c r="D5414" s="13">
        <f t="shared" si="84"/>
        <v>10.01</v>
      </c>
    </row>
    <row r="5415" spans="1:4" x14ac:dyDescent="0.25">
      <c r="A5415" s="15">
        <f>Sheet2!A5415</f>
        <v>0</v>
      </c>
      <c r="B5415" s="8">
        <v>0</v>
      </c>
      <c r="C5415" s="9">
        <v>1.21</v>
      </c>
      <c r="D5415" s="13">
        <f t="shared" si="84"/>
        <v>1.21</v>
      </c>
    </row>
    <row r="5416" spans="1:4" x14ac:dyDescent="0.25">
      <c r="A5416" s="15">
        <f>Sheet2!A5416</f>
        <v>0</v>
      </c>
      <c r="B5416" s="8">
        <v>0</v>
      </c>
      <c r="C5416" s="9">
        <v>2.85</v>
      </c>
      <c r="D5416" s="13">
        <f t="shared" si="84"/>
        <v>2.85</v>
      </c>
    </row>
    <row r="5417" spans="1:4" x14ac:dyDescent="0.25">
      <c r="A5417" s="15">
        <f>Sheet2!A5417</f>
        <v>0</v>
      </c>
      <c r="B5417" s="8">
        <v>0</v>
      </c>
      <c r="C5417" s="9">
        <v>3.05</v>
      </c>
      <c r="D5417" s="13">
        <f t="shared" si="84"/>
        <v>3.05</v>
      </c>
    </row>
    <row r="5418" spans="1:4" x14ac:dyDescent="0.25">
      <c r="A5418" s="15">
        <f>Sheet2!A5418</f>
        <v>0</v>
      </c>
      <c r="B5418" s="8">
        <v>0</v>
      </c>
      <c r="C5418" s="9">
        <v>2.63</v>
      </c>
      <c r="D5418" s="13">
        <f t="shared" si="84"/>
        <v>2.63</v>
      </c>
    </row>
    <row r="5419" spans="1:4" x14ac:dyDescent="0.25">
      <c r="A5419" s="15">
        <f>Sheet2!A5419</f>
        <v>0</v>
      </c>
      <c r="B5419" s="8">
        <v>0</v>
      </c>
      <c r="C5419" s="9">
        <v>1.29</v>
      </c>
      <c r="D5419" s="13">
        <f t="shared" si="84"/>
        <v>1.29</v>
      </c>
    </row>
    <row r="5420" spans="1:4" x14ac:dyDescent="0.25">
      <c r="A5420" s="15">
        <f>Sheet2!A5420</f>
        <v>0</v>
      </c>
      <c r="B5420" s="8">
        <v>0</v>
      </c>
      <c r="C5420" s="9">
        <v>0.43</v>
      </c>
      <c r="D5420" s="13">
        <f t="shared" si="84"/>
        <v>0.43</v>
      </c>
    </row>
    <row r="5421" spans="1:4" x14ac:dyDescent="0.25">
      <c r="A5421" s="15">
        <f>Sheet2!A5421</f>
        <v>0</v>
      </c>
      <c r="B5421" s="8">
        <v>0</v>
      </c>
      <c r="C5421" s="9">
        <v>1.01</v>
      </c>
      <c r="D5421" s="13">
        <f t="shared" si="84"/>
        <v>1.01</v>
      </c>
    </row>
    <row r="5422" spans="1:4" x14ac:dyDescent="0.25">
      <c r="A5422" s="15">
        <f>Sheet2!A5422</f>
        <v>0</v>
      </c>
      <c r="B5422" s="8">
        <v>0</v>
      </c>
      <c r="C5422" s="9">
        <v>1.39</v>
      </c>
      <c r="D5422" s="13">
        <f t="shared" si="84"/>
        <v>1.39</v>
      </c>
    </row>
    <row r="5423" spans="1:4" x14ac:dyDescent="0.25">
      <c r="A5423" s="15">
        <f>Sheet2!A5423</f>
        <v>0</v>
      </c>
      <c r="B5423" s="8">
        <v>0</v>
      </c>
      <c r="C5423" s="9">
        <v>1</v>
      </c>
      <c r="D5423" s="13">
        <f t="shared" si="84"/>
        <v>1</v>
      </c>
    </row>
    <row r="5424" spans="1:4" x14ac:dyDescent="0.25">
      <c r="A5424" s="15">
        <f>Sheet2!A5424</f>
        <v>0</v>
      </c>
      <c r="B5424" s="8">
        <v>0</v>
      </c>
      <c r="C5424" s="9">
        <v>2.46</v>
      </c>
      <c r="D5424" s="13">
        <f t="shared" si="84"/>
        <v>2.46</v>
      </c>
    </row>
    <row r="5425" spans="1:4" x14ac:dyDescent="0.25">
      <c r="A5425" s="15">
        <f>Sheet2!A5425</f>
        <v>0</v>
      </c>
      <c r="B5425" s="8">
        <v>0</v>
      </c>
      <c r="C5425" s="9">
        <v>2.85</v>
      </c>
      <c r="D5425" s="13">
        <f t="shared" si="84"/>
        <v>2.85</v>
      </c>
    </row>
    <row r="5426" spans="1:4" x14ac:dyDescent="0.25">
      <c r="A5426" s="15">
        <f>Sheet2!A5426</f>
        <v>0</v>
      </c>
      <c r="B5426" s="8">
        <v>0</v>
      </c>
      <c r="C5426" s="9">
        <v>1.8</v>
      </c>
      <c r="D5426" s="13">
        <f t="shared" si="84"/>
        <v>1.8</v>
      </c>
    </row>
    <row r="5427" spans="1:4" x14ac:dyDescent="0.25">
      <c r="A5427" s="15">
        <f>Sheet2!A5427</f>
        <v>0</v>
      </c>
      <c r="B5427" s="8">
        <v>0</v>
      </c>
      <c r="C5427" s="9">
        <v>0.54</v>
      </c>
      <c r="D5427" s="13">
        <f t="shared" si="84"/>
        <v>0.54</v>
      </c>
    </row>
    <row r="5428" spans="1:4" x14ac:dyDescent="0.25">
      <c r="A5428" s="15">
        <f>Sheet2!A5428</f>
        <v>0</v>
      </c>
      <c r="B5428" s="8">
        <v>0</v>
      </c>
      <c r="C5428" s="9">
        <v>2.63</v>
      </c>
      <c r="D5428" s="13">
        <f t="shared" si="84"/>
        <v>2.63</v>
      </c>
    </row>
    <row r="5429" spans="1:4" x14ac:dyDescent="0.25">
      <c r="A5429" s="15">
        <f>Sheet2!A5429</f>
        <v>0</v>
      </c>
      <c r="B5429" s="8">
        <v>0</v>
      </c>
      <c r="C5429" s="9">
        <v>2.68</v>
      </c>
      <c r="D5429" s="13">
        <f t="shared" si="84"/>
        <v>2.68</v>
      </c>
    </row>
    <row r="5430" spans="1:4" x14ac:dyDescent="0.25">
      <c r="A5430" s="15">
        <f>Sheet2!A5430</f>
        <v>0</v>
      </c>
      <c r="B5430" s="8">
        <v>15.15</v>
      </c>
      <c r="C5430" s="9">
        <v>0</v>
      </c>
      <c r="D5430" s="13">
        <f t="shared" si="84"/>
        <v>15.15</v>
      </c>
    </row>
    <row r="5431" spans="1:4" x14ac:dyDescent="0.25">
      <c r="A5431" s="15">
        <f>Sheet2!A5431</f>
        <v>0</v>
      </c>
      <c r="B5431" s="8">
        <v>14.74</v>
      </c>
      <c r="C5431" s="9">
        <v>0</v>
      </c>
      <c r="D5431" s="13">
        <f t="shared" si="84"/>
        <v>14.74</v>
      </c>
    </row>
    <row r="5432" spans="1:4" x14ac:dyDescent="0.25">
      <c r="A5432" s="15">
        <f>Sheet2!A5432</f>
        <v>0</v>
      </c>
      <c r="B5432" s="8">
        <v>0</v>
      </c>
      <c r="C5432" s="9">
        <v>1.86</v>
      </c>
      <c r="D5432" s="13">
        <f t="shared" si="84"/>
        <v>1.86</v>
      </c>
    </row>
    <row r="5433" spans="1:4" x14ac:dyDescent="0.25">
      <c r="A5433" s="15">
        <f>Sheet2!A5433</f>
        <v>0</v>
      </c>
      <c r="B5433" s="8">
        <v>0</v>
      </c>
      <c r="C5433" s="9">
        <v>2.13</v>
      </c>
      <c r="D5433" s="13">
        <f t="shared" si="84"/>
        <v>2.13</v>
      </c>
    </row>
    <row r="5434" spans="1:4" x14ac:dyDescent="0.25">
      <c r="A5434" s="15">
        <f>Sheet2!A5434</f>
        <v>0</v>
      </c>
      <c r="B5434" s="8">
        <v>0</v>
      </c>
      <c r="C5434" s="9">
        <v>2.4</v>
      </c>
      <c r="D5434" s="13">
        <f t="shared" si="84"/>
        <v>2.4</v>
      </c>
    </row>
    <row r="5435" spans="1:4" x14ac:dyDescent="0.25">
      <c r="A5435" s="15">
        <f>Sheet2!A5435</f>
        <v>0</v>
      </c>
      <c r="B5435" s="8">
        <v>0</v>
      </c>
      <c r="C5435" s="9">
        <v>0.82</v>
      </c>
      <c r="D5435" s="13">
        <f t="shared" si="84"/>
        <v>0.82</v>
      </c>
    </row>
    <row r="5436" spans="1:4" x14ac:dyDescent="0.25">
      <c r="A5436" s="15">
        <f>Sheet2!A5436</f>
        <v>0</v>
      </c>
      <c r="B5436" s="8">
        <v>16.079999999999998</v>
      </c>
      <c r="C5436" s="9">
        <v>0</v>
      </c>
      <c r="D5436" s="13">
        <f t="shared" si="84"/>
        <v>16.079999999999998</v>
      </c>
    </row>
    <row r="5437" spans="1:4" x14ac:dyDescent="0.25">
      <c r="A5437" s="15">
        <f>Sheet2!A5437</f>
        <v>0</v>
      </c>
      <c r="B5437" s="8">
        <v>0</v>
      </c>
      <c r="C5437" s="9">
        <v>0.62</v>
      </c>
      <c r="D5437" s="13">
        <f t="shared" si="84"/>
        <v>0.62</v>
      </c>
    </row>
    <row r="5438" spans="1:4" x14ac:dyDescent="0.25">
      <c r="A5438" s="15">
        <f>Sheet2!A5438</f>
        <v>0</v>
      </c>
      <c r="B5438" s="8">
        <v>0</v>
      </c>
      <c r="C5438" s="9">
        <v>1.63</v>
      </c>
      <c r="D5438" s="13">
        <f t="shared" si="84"/>
        <v>1.63</v>
      </c>
    </row>
    <row r="5439" spans="1:4" x14ac:dyDescent="0.25">
      <c r="A5439" s="15">
        <f>Sheet2!A5439</f>
        <v>0</v>
      </c>
      <c r="B5439" s="8">
        <v>0</v>
      </c>
      <c r="C5439" s="9">
        <v>0.84</v>
      </c>
      <c r="D5439" s="13">
        <f t="shared" si="84"/>
        <v>0.84</v>
      </c>
    </row>
    <row r="5440" spans="1:4" x14ac:dyDescent="0.25">
      <c r="A5440" s="15">
        <f>Sheet2!A5440</f>
        <v>0</v>
      </c>
      <c r="B5440" s="8">
        <v>16</v>
      </c>
      <c r="C5440" s="9">
        <v>0</v>
      </c>
      <c r="D5440" s="13">
        <f t="shared" si="84"/>
        <v>16</v>
      </c>
    </row>
    <row r="5441" spans="1:4" x14ac:dyDescent="0.25">
      <c r="A5441" s="15">
        <f>Sheet2!A5441</f>
        <v>0</v>
      </c>
      <c r="B5441" s="8">
        <v>7.69</v>
      </c>
      <c r="C5441" s="9">
        <v>0</v>
      </c>
      <c r="D5441" s="13">
        <f t="shared" si="84"/>
        <v>7.69</v>
      </c>
    </row>
    <row r="5442" spans="1:4" x14ac:dyDescent="0.25">
      <c r="A5442" s="15">
        <f>Sheet2!A5442</f>
        <v>0</v>
      </c>
      <c r="B5442" s="8">
        <v>0</v>
      </c>
      <c r="C5442" s="9">
        <v>1.35</v>
      </c>
      <c r="D5442" s="13">
        <f t="shared" si="84"/>
        <v>1.35</v>
      </c>
    </row>
    <row r="5443" spans="1:4" x14ac:dyDescent="0.25">
      <c r="A5443" s="15">
        <f>Sheet2!A5443</f>
        <v>0</v>
      </c>
      <c r="B5443" s="8">
        <v>0</v>
      </c>
      <c r="C5443" s="9">
        <v>3.01</v>
      </c>
      <c r="D5443" s="13">
        <f t="shared" ref="D5443:D5506" si="85">B5443+C5443</f>
        <v>3.01</v>
      </c>
    </row>
    <row r="5444" spans="1:4" x14ac:dyDescent="0.25">
      <c r="A5444" s="15">
        <f>Sheet2!A5444</f>
        <v>0</v>
      </c>
      <c r="B5444" s="8">
        <v>14.4</v>
      </c>
      <c r="C5444" s="9">
        <v>0</v>
      </c>
      <c r="D5444" s="13">
        <f t="shared" si="85"/>
        <v>14.4</v>
      </c>
    </row>
    <row r="5445" spans="1:4" x14ac:dyDescent="0.25">
      <c r="A5445" s="15">
        <f>Sheet2!A5445</f>
        <v>0</v>
      </c>
      <c r="B5445" s="8">
        <v>0</v>
      </c>
      <c r="C5445" s="9">
        <v>1.48</v>
      </c>
      <c r="D5445" s="13">
        <f t="shared" si="85"/>
        <v>1.48</v>
      </c>
    </row>
    <row r="5446" spans="1:4" x14ac:dyDescent="0.25">
      <c r="A5446" s="15">
        <f>Sheet2!A5446</f>
        <v>0</v>
      </c>
      <c r="B5446" s="8">
        <v>0</v>
      </c>
      <c r="C5446" s="9">
        <v>1.72</v>
      </c>
      <c r="D5446" s="13">
        <f t="shared" si="85"/>
        <v>1.72</v>
      </c>
    </row>
    <row r="5447" spans="1:4" x14ac:dyDescent="0.25">
      <c r="A5447" s="15">
        <f>Sheet2!A5447</f>
        <v>0</v>
      </c>
      <c r="B5447" s="8">
        <v>0</v>
      </c>
      <c r="C5447" s="9">
        <v>0.79</v>
      </c>
      <c r="D5447" s="13">
        <f t="shared" si="85"/>
        <v>0.79</v>
      </c>
    </row>
    <row r="5448" spans="1:4" x14ac:dyDescent="0.25">
      <c r="A5448" s="15">
        <f>Sheet2!A5448</f>
        <v>0</v>
      </c>
      <c r="B5448" s="8">
        <v>11.98</v>
      </c>
      <c r="C5448" s="9">
        <v>0</v>
      </c>
      <c r="D5448" s="13">
        <f t="shared" si="85"/>
        <v>11.98</v>
      </c>
    </row>
    <row r="5449" spans="1:4" x14ac:dyDescent="0.25">
      <c r="A5449" s="15">
        <f>Sheet2!A5449</f>
        <v>0</v>
      </c>
      <c r="B5449" s="8">
        <v>0</v>
      </c>
      <c r="C5449" s="9">
        <v>1.6</v>
      </c>
      <c r="D5449" s="13">
        <f t="shared" si="85"/>
        <v>1.6</v>
      </c>
    </row>
    <row r="5450" spans="1:4" x14ac:dyDescent="0.25">
      <c r="A5450" s="15">
        <f>Sheet2!A5450</f>
        <v>0</v>
      </c>
      <c r="B5450" s="8">
        <v>0</v>
      </c>
      <c r="C5450" s="9">
        <v>1.22</v>
      </c>
      <c r="D5450" s="13">
        <f t="shared" si="85"/>
        <v>1.22</v>
      </c>
    </row>
    <row r="5451" spans="1:4" x14ac:dyDescent="0.25">
      <c r="A5451" s="15">
        <f>Sheet2!A5451</f>
        <v>0</v>
      </c>
      <c r="B5451" s="8">
        <v>0</v>
      </c>
      <c r="C5451" s="9">
        <v>0.48</v>
      </c>
      <c r="D5451" s="13">
        <f t="shared" si="85"/>
        <v>0.48</v>
      </c>
    </row>
    <row r="5452" spans="1:4" x14ac:dyDescent="0.25">
      <c r="A5452" s="15">
        <f>Sheet2!A5452</f>
        <v>0</v>
      </c>
      <c r="B5452" s="8">
        <v>12.34</v>
      </c>
      <c r="C5452" s="9">
        <v>0</v>
      </c>
      <c r="D5452" s="13">
        <f t="shared" si="85"/>
        <v>12.34</v>
      </c>
    </row>
    <row r="5453" spans="1:4" x14ac:dyDescent="0.25">
      <c r="A5453" s="15">
        <f>Sheet2!A5453</f>
        <v>0</v>
      </c>
      <c r="B5453" s="8">
        <v>11.15</v>
      </c>
      <c r="C5453" s="9">
        <v>0</v>
      </c>
      <c r="D5453" s="13">
        <f t="shared" si="85"/>
        <v>11.15</v>
      </c>
    </row>
    <row r="5454" spans="1:4" x14ac:dyDescent="0.25">
      <c r="A5454" s="15">
        <f>Sheet2!A5454</f>
        <v>0</v>
      </c>
      <c r="B5454" s="8">
        <v>11.34</v>
      </c>
      <c r="C5454" s="9">
        <v>0</v>
      </c>
      <c r="D5454" s="13">
        <f t="shared" si="85"/>
        <v>11.34</v>
      </c>
    </row>
    <row r="5455" spans="1:4" x14ac:dyDescent="0.25">
      <c r="A5455" s="15">
        <f>Sheet2!A5455</f>
        <v>0</v>
      </c>
      <c r="B5455" s="8">
        <v>0</v>
      </c>
      <c r="C5455" s="9">
        <v>1.7</v>
      </c>
      <c r="D5455" s="13">
        <f t="shared" si="85"/>
        <v>1.7</v>
      </c>
    </row>
    <row r="5456" spans="1:4" x14ac:dyDescent="0.25">
      <c r="A5456" s="15">
        <f>Sheet2!A5456</f>
        <v>0</v>
      </c>
      <c r="B5456" s="8">
        <v>0</v>
      </c>
      <c r="C5456" s="9">
        <v>2.68</v>
      </c>
      <c r="D5456" s="13">
        <f t="shared" si="85"/>
        <v>2.68</v>
      </c>
    </row>
    <row r="5457" spans="1:4" x14ac:dyDescent="0.25">
      <c r="A5457" s="15">
        <f>Sheet2!A5457</f>
        <v>0</v>
      </c>
      <c r="B5457" s="8">
        <v>0</v>
      </c>
      <c r="C5457" s="9">
        <v>1.24</v>
      </c>
      <c r="D5457" s="13">
        <f t="shared" si="85"/>
        <v>1.24</v>
      </c>
    </row>
    <row r="5458" spans="1:4" x14ac:dyDescent="0.25">
      <c r="A5458" s="15">
        <f>Sheet2!A5458</f>
        <v>0</v>
      </c>
      <c r="B5458" s="8">
        <v>14.89</v>
      </c>
      <c r="C5458" s="9">
        <v>0</v>
      </c>
      <c r="D5458" s="13">
        <f t="shared" si="85"/>
        <v>14.89</v>
      </c>
    </row>
    <row r="5459" spans="1:4" x14ac:dyDescent="0.25">
      <c r="A5459" s="15">
        <f>Sheet2!A5459</f>
        <v>0</v>
      </c>
      <c r="B5459" s="8">
        <v>0</v>
      </c>
      <c r="C5459" s="9">
        <v>0.68</v>
      </c>
      <c r="D5459" s="13">
        <f t="shared" si="85"/>
        <v>0.68</v>
      </c>
    </row>
    <row r="5460" spans="1:4" x14ac:dyDescent="0.25">
      <c r="A5460" s="15">
        <f>Sheet2!A5460</f>
        <v>0</v>
      </c>
      <c r="B5460" s="8">
        <v>0</v>
      </c>
      <c r="C5460" s="9">
        <v>0.36</v>
      </c>
      <c r="D5460" s="13">
        <f t="shared" si="85"/>
        <v>0.36</v>
      </c>
    </row>
    <row r="5461" spans="1:4" x14ac:dyDescent="0.25">
      <c r="A5461" s="15">
        <f>Sheet2!A5461</f>
        <v>0</v>
      </c>
      <c r="B5461" s="8">
        <v>0</v>
      </c>
      <c r="C5461" s="9">
        <v>0.52</v>
      </c>
      <c r="D5461" s="13">
        <f t="shared" si="85"/>
        <v>0.52</v>
      </c>
    </row>
    <row r="5462" spans="1:4" x14ac:dyDescent="0.25">
      <c r="A5462" s="15">
        <f>Sheet2!A5462</f>
        <v>0</v>
      </c>
      <c r="B5462" s="8">
        <v>0</v>
      </c>
      <c r="C5462" s="9">
        <v>1.26</v>
      </c>
      <c r="D5462" s="13">
        <f t="shared" si="85"/>
        <v>1.26</v>
      </c>
    </row>
    <row r="5463" spans="1:4" x14ac:dyDescent="0.25">
      <c r="A5463" s="15">
        <f>Sheet2!A5463</f>
        <v>0</v>
      </c>
      <c r="B5463" s="8">
        <v>0</v>
      </c>
      <c r="C5463" s="9">
        <v>1.78</v>
      </c>
      <c r="D5463" s="13">
        <f t="shared" si="85"/>
        <v>1.78</v>
      </c>
    </row>
    <row r="5464" spans="1:4" x14ac:dyDescent="0.25">
      <c r="A5464" s="15">
        <f>Sheet2!A5464</f>
        <v>0</v>
      </c>
      <c r="B5464" s="8">
        <v>17.309999999999999</v>
      </c>
      <c r="C5464" s="9">
        <v>0</v>
      </c>
      <c r="D5464" s="13">
        <f t="shared" si="85"/>
        <v>17.309999999999999</v>
      </c>
    </row>
    <row r="5465" spans="1:4" x14ac:dyDescent="0.25">
      <c r="A5465" s="15">
        <f>Sheet2!A5465</f>
        <v>0</v>
      </c>
      <c r="B5465" s="8">
        <v>0</v>
      </c>
      <c r="C5465" s="9">
        <v>1.02</v>
      </c>
      <c r="D5465" s="13">
        <f t="shared" si="85"/>
        <v>1.02</v>
      </c>
    </row>
    <row r="5466" spans="1:4" x14ac:dyDescent="0.25">
      <c r="A5466" s="15">
        <f>Sheet2!A5466</f>
        <v>0</v>
      </c>
      <c r="B5466" s="8">
        <v>0</v>
      </c>
      <c r="C5466" s="9">
        <v>1.29</v>
      </c>
      <c r="D5466" s="13">
        <f t="shared" si="85"/>
        <v>1.29</v>
      </c>
    </row>
    <row r="5467" spans="1:4" x14ac:dyDescent="0.25">
      <c r="A5467" s="15">
        <f>Sheet2!A5467</f>
        <v>0</v>
      </c>
      <c r="B5467" s="8">
        <v>0</v>
      </c>
      <c r="C5467" s="9">
        <v>1.08</v>
      </c>
      <c r="D5467" s="13">
        <f t="shared" si="85"/>
        <v>1.08</v>
      </c>
    </row>
    <row r="5468" spans="1:4" x14ac:dyDescent="0.25">
      <c r="A5468" s="15">
        <f>Sheet2!A5468</f>
        <v>0</v>
      </c>
      <c r="B5468" s="8">
        <v>13.65</v>
      </c>
      <c r="C5468" s="9">
        <v>0</v>
      </c>
      <c r="D5468" s="13">
        <f t="shared" si="85"/>
        <v>13.65</v>
      </c>
    </row>
    <row r="5469" spans="1:4" x14ac:dyDescent="0.25">
      <c r="A5469" s="15">
        <f>Sheet2!A5469</f>
        <v>0</v>
      </c>
      <c r="B5469" s="8">
        <v>0</v>
      </c>
      <c r="C5469" s="9">
        <v>2.48</v>
      </c>
      <c r="D5469" s="13">
        <f t="shared" si="85"/>
        <v>2.48</v>
      </c>
    </row>
    <row r="5470" spans="1:4" x14ac:dyDescent="0.25">
      <c r="A5470" s="15">
        <f>Sheet2!A5470</f>
        <v>0</v>
      </c>
      <c r="B5470" s="8">
        <v>0</v>
      </c>
      <c r="C5470" s="9">
        <v>3.61</v>
      </c>
      <c r="D5470" s="13">
        <f t="shared" si="85"/>
        <v>3.61</v>
      </c>
    </row>
    <row r="5471" spans="1:4" x14ac:dyDescent="0.25">
      <c r="A5471" s="15">
        <f>Sheet2!A5471</f>
        <v>0</v>
      </c>
      <c r="B5471" s="8">
        <v>0</v>
      </c>
      <c r="C5471" s="9">
        <v>1.07</v>
      </c>
      <c r="D5471" s="13">
        <f t="shared" si="85"/>
        <v>1.07</v>
      </c>
    </row>
    <row r="5472" spans="1:4" x14ac:dyDescent="0.25">
      <c r="A5472" s="15">
        <f>Sheet2!A5472</f>
        <v>0</v>
      </c>
      <c r="B5472" s="8">
        <v>13.28</v>
      </c>
      <c r="C5472" s="9">
        <v>0</v>
      </c>
      <c r="D5472" s="13">
        <f t="shared" si="85"/>
        <v>13.28</v>
      </c>
    </row>
    <row r="5473" spans="1:4" x14ac:dyDescent="0.25">
      <c r="A5473" s="15">
        <f>Sheet2!A5473</f>
        <v>0</v>
      </c>
      <c r="B5473" s="8">
        <v>0</v>
      </c>
      <c r="C5473" s="9">
        <v>1.24</v>
      </c>
      <c r="D5473" s="13">
        <f t="shared" si="85"/>
        <v>1.24</v>
      </c>
    </row>
    <row r="5474" spans="1:4" x14ac:dyDescent="0.25">
      <c r="A5474" s="15">
        <f>Sheet2!A5474</f>
        <v>0</v>
      </c>
      <c r="B5474" s="8">
        <v>0</v>
      </c>
      <c r="C5474" s="9">
        <v>0.67</v>
      </c>
      <c r="D5474" s="13">
        <f t="shared" si="85"/>
        <v>0.67</v>
      </c>
    </row>
    <row r="5475" spans="1:4" x14ac:dyDescent="0.25">
      <c r="A5475" s="15">
        <f>Sheet2!A5475</f>
        <v>0</v>
      </c>
      <c r="B5475" s="8">
        <v>4.6900000000000004</v>
      </c>
      <c r="C5475" s="9">
        <v>0</v>
      </c>
      <c r="D5475" s="13">
        <f t="shared" si="85"/>
        <v>4.6900000000000004</v>
      </c>
    </row>
    <row r="5476" spans="1:4" x14ac:dyDescent="0.25">
      <c r="A5476" s="15">
        <f>Sheet2!A5476</f>
        <v>0</v>
      </c>
      <c r="B5476" s="8">
        <v>11.18</v>
      </c>
      <c r="C5476" s="9">
        <v>0</v>
      </c>
      <c r="D5476" s="13">
        <f t="shared" si="85"/>
        <v>11.18</v>
      </c>
    </row>
    <row r="5477" spans="1:4" x14ac:dyDescent="0.25">
      <c r="A5477" s="15">
        <f>Sheet2!A5477</f>
        <v>0</v>
      </c>
      <c r="B5477" s="8">
        <v>3.5</v>
      </c>
      <c r="C5477" s="9">
        <v>0</v>
      </c>
      <c r="D5477" s="13">
        <f t="shared" si="85"/>
        <v>3.5</v>
      </c>
    </row>
    <row r="5478" spans="1:4" x14ac:dyDescent="0.25">
      <c r="A5478" s="15">
        <f>Sheet2!A5478</f>
        <v>0</v>
      </c>
      <c r="B5478" s="8">
        <v>0</v>
      </c>
      <c r="C5478" s="9">
        <v>0.05</v>
      </c>
      <c r="D5478" s="13">
        <f t="shared" si="85"/>
        <v>0.05</v>
      </c>
    </row>
    <row r="5479" spans="1:4" x14ac:dyDescent="0.25">
      <c r="A5479" s="15">
        <f>Sheet2!A5479</f>
        <v>0</v>
      </c>
      <c r="B5479" s="8">
        <v>8.27</v>
      </c>
      <c r="C5479" s="9">
        <v>0</v>
      </c>
      <c r="D5479" s="13">
        <f t="shared" si="85"/>
        <v>8.27</v>
      </c>
    </row>
    <row r="5480" spans="1:4" x14ac:dyDescent="0.25">
      <c r="A5480" s="15">
        <f>Sheet2!A5480</f>
        <v>0</v>
      </c>
      <c r="B5480" s="8">
        <v>12.52</v>
      </c>
      <c r="C5480" s="9">
        <v>0</v>
      </c>
      <c r="D5480" s="13">
        <f t="shared" si="85"/>
        <v>12.52</v>
      </c>
    </row>
    <row r="5481" spans="1:4" x14ac:dyDescent="0.25">
      <c r="A5481" s="15">
        <f>Sheet2!A5481</f>
        <v>0</v>
      </c>
      <c r="B5481" s="8">
        <v>12.94</v>
      </c>
      <c r="C5481" s="9">
        <v>0</v>
      </c>
      <c r="D5481" s="13">
        <f t="shared" si="85"/>
        <v>12.94</v>
      </c>
    </row>
    <row r="5482" spans="1:4" x14ac:dyDescent="0.25">
      <c r="A5482" s="15">
        <f>Sheet2!A5482</f>
        <v>0</v>
      </c>
      <c r="B5482" s="8">
        <v>13.28</v>
      </c>
      <c r="C5482" s="9">
        <v>0</v>
      </c>
      <c r="D5482" s="13">
        <f t="shared" si="85"/>
        <v>13.28</v>
      </c>
    </row>
    <row r="5483" spans="1:4" x14ac:dyDescent="0.25">
      <c r="A5483" s="15">
        <f>Sheet2!A5483</f>
        <v>0</v>
      </c>
      <c r="B5483" s="8">
        <v>0</v>
      </c>
      <c r="C5483" s="9">
        <v>0.47</v>
      </c>
      <c r="D5483" s="13">
        <f t="shared" si="85"/>
        <v>0.47</v>
      </c>
    </row>
    <row r="5484" spans="1:4" x14ac:dyDescent="0.25">
      <c r="A5484" s="15">
        <f>Sheet2!A5484</f>
        <v>0</v>
      </c>
      <c r="B5484" s="8">
        <v>0</v>
      </c>
      <c r="C5484" s="9">
        <v>1.5</v>
      </c>
      <c r="D5484" s="13">
        <f t="shared" si="85"/>
        <v>1.5</v>
      </c>
    </row>
    <row r="5485" spans="1:4" x14ac:dyDescent="0.25">
      <c r="A5485" s="15">
        <f>Sheet2!A5485</f>
        <v>0</v>
      </c>
      <c r="B5485" s="8">
        <v>0</v>
      </c>
      <c r="C5485" s="9">
        <v>0.75</v>
      </c>
      <c r="D5485" s="13">
        <f t="shared" si="85"/>
        <v>0.75</v>
      </c>
    </row>
    <row r="5486" spans="1:4" x14ac:dyDescent="0.25">
      <c r="A5486" s="15">
        <f>Sheet2!A5486</f>
        <v>0</v>
      </c>
      <c r="B5486" s="8">
        <v>11.02</v>
      </c>
      <c r="C5486" s="9">
        <v>0</v>
      </c>
      <c r="D5486" s="13">
        <f t="shared" si="85"/>
        <v>11.02</v>
      </c>
    </row>
    <row r="5487" spans="1:4" x14ac:dyDescent="0.25">
      <c r="A5487" s="15">
        <f>Sheet2!A5487</f>
        <v>0</v>
      </c>
      <c r="B5487" s="8">
        <v>0</v>
      </c>
      <c r="C5487" s="9">
        <v>1.44</v>
      </c>
      <c r="D5487" s="13">
        <f t="shared" si="85"/>
        <v>1.44</v>
      </c>
    </row>
    <row r="5488" spans="1:4" x14ac:dyDescent="0.25">
      <c r="A5488" s="15">
        <f>Sheet2!A5488</f>
        <v>0</v>
      </c>
      <c r="B5488" s="8">
        <v>0</v>
      </c>
      <c r="C5488" s="9">
        <v>3.16</v>
      </c>
      <c r="D5488" s="13">
        <f t="shared" si="85"/>
        <v>3.16</v>
      </c>
    </row>
    <row r="5489" spans="1:4" x14ac:dyDescent="0.25">
      <c r="A5489" s="15">
        <f>Sheet2!A5489</f>
        <v>0</v>
      </c>
      <c r="B5489" s="8">
        <v>0</v>
      </c>
      <c r="C5489" s="9">
        <v>1.02</v>
      </c>
      <c r="D5489" s="13">
        <f t="shared" si="85"/>
        <v>1.02</v>
      </c>
    </row>
    <row r="5490" spans="1:4" x14ac:dyDescent="0.25">
      <c r="A5490" s="15">
        <f>Sheet2!A5490</f>
        <v>0</v>
      </c>
      <c r="B5490" s="8">
        <v>10.52</v>
      </c>
      <c r="C5490" s="9">
        <v>0</v>
      </c>
      <c r="D5490" s="13">
        <f t="shared" si="85"/>
        <v>10.52</v>
      </c>
    </row>
    <row r="5491" spans="1:4" x14ac:dyDescent="0.25">
      <c r="A5491" s="15">
        <f>Sheet2!A5491</f>
        <v>0</v>
      </c>
      <c r="B5491" s="8">
        <v>0</v>
      </c>
      <c r="C5491" s="9">
        <v>1.55</v>
      </c>
      <c r="D5491" s="13">
        <f t="shared" si="85"/>
        <v>1.55</v>
      </c>
    </row>
    <row r="5492" spans="1:4" x14ac:dyDescent="0.25">
      <c r="A5492" s="15">
        <f>Sheet2!A5492</f>
        <v>0</v>
      </c>
      <c r="B5492" s="8">
        <v>0</v>
      </c>
      <c r="C5492" s="9">
        <v>1.81</v>
      </c>
      <c r="D5492" s="13">
        <f t="shared" si="85"/>
        <v>1.81</v>
      </c>
    </row>
    <row r="5493" spans="1:4" x14ac:dyDescent="0.25">
      <c r="A5493" s="15">
        <f>Sheet2!A5493</f>
        <v>0</v>
      </c>
      <c r="B5493" s="8">
        <v>0</v>
      </c>
      <c r="C5493" s="9">
        <v>0.9</v>
      </c>
      <c r="D5493" s="13">
        <f t="shared" si="85"/>
        <v>0.9</v>
      </c>
    </row>
    <row r="5494" spans="1:4" x14ac:dyDescent="0.25">
      <c r="A5494" s="15">
        <f>Sheet2!A5494</f>
        <v>0</v>
      </c>
      <c r="B5494" s="8">
        <v>9.9</v>
      </c>
      <c r="C5494" s="9">
        <v>0</v>
      </c>
      <c r="D5494" s="13">
        <f t="shared" si="85"/>
        <v>9.9</v>
      </c>
    </row>
    <row r="5495" spans="1:4" x14ac:dyDescent="0.25">
      <c r="A5495" s="15">
        <f>Sheet2!A5495</f>
        <v>0</v>
      </c>
      <c r="B5495" s="8">
        <v>0</v>
      </c>
      <c r="C5495" s="9">
        <v>0.5</v>
      </c>
      <c r="D5495" s="13">
        <f t="shared" si="85"/>
        <v>0.5</v>
      </c>
    </row>
    <row r="5496" spans="1:4" x14ac:dyDescent="0.25">
      <c r="A5496" s="15">
        <f>Sheet2!A5496</f>
        <v>0</v>
      </c>
      <c r="B5496" s="8">
        <v>0</v>
      </c>
      <c r="C5496" s="9">
        <v>2.64</v>
      </c>
      <c r="D5496" s="13">
        <f t="shared" si="85"/>
        <v>2.64</v>
      </c>
    </row>
    <row r="5497" spans="1:4" x14ac:dyDescent="0.25">
      <c r="A5497" s="15">
        <f>Sheet2!A5497</f>
        <v>0</v>
      </c>
      <c r="B5497" s="8">
        <v>0</v>
      </c>
      <c r="C5497" s="9">
        <v>1.2</v>
      </c>
      <c r="D5497" s="13">
        <f t="shared" si="85"/>
        <v>1.2</v>
      </c>
    </row>
    <row r="5498" spans="1:4" x14ac:dyDescent="0.25">
      <c r="A5498" s="15">
        <f>Sheet2!A5498</f>
        <v>0</v>
      </c>
      <c r="B5498" s="8">
        <v>11.62</v>
      </c>
      <c r="C5498" s="9">
        <v>0</v>
      </c>
      <c r="D5498" s="13">
        <f t="shared" si="85"/>
        <v>11.62</v>
      </c>
    </row>
    <row r="5499" spans="1:4" x14ac:dyDescent="0.25">
      <c r="A5499" s="15">
        <f>Sheet2!A5499</f>
        <v>0</v>
      </c>
      <c r="B5499" s="8">
        <v>0</v>
      </c>
      <c r="C5499" s="9">
        <v>1.82</v>
      </c>
      <c r="D5499" s="13">
        <f t="shared" si="85"/>
        <v>1.82</v>
      </c>
    </row>
    <row r="5500" spans="1:4" x14ac:dyDescent="0.25">
      <c r="A5500" s="15">
        <f>Sheet2!A5500</f>
        <v>0</v>
      </c>
      <c r="B5500" s="8">
        <v>0</v>
      </c>
      <c r="C5500" s="9">
        <v>2.96</v>
      </c>
      <c r="D5500" s="13">
        <f t="shared" si="85"/>
        <v>2.96</v>
      </c>
    </row>
    <row r="5501" spans="1:4" x14ac:dyDescent="0.25">
      <c r="A5501" s="15">
        <f>Sheet2!A5501</f>
        <v>0</v>
      </c>
      <c r="B5501" s="8">
        <v>0</v>
      </c>
      <c r="C5501" s="9">
        <v>1.36</v>
      </c>
      <c r="D5501" s="13">
        <f t="shared" si="85"/>
        <v>1.36</v>
      </c>
    </row>
    <row r="5502" spans="1:4" x14ac:dyDescent="0.25">
      <c r="A5502" s="15">
        <f>Sheet2!A5502</f>
        <v>0</v>
      </c>
      <c r="B5502" s="8">
        <v>10.67</v>
      </c>
      <c r="C5502" s="9">
        <v>0</v>
      </c>
      <c r="D5502" s="13">
        <f t="shared" si="85"/>
        <v>10.67</v>
      </c>
    </row>
    <row r="5503" spans="1:4" x14ac:dyDescent="0.25">
      <c r="A5503" s="15">
        <f>Sheet2!A5503</f>
        <v>0</v>
      </c>
      <c r="B5503" s="8">
        <v>11.06</v>
      </c>
      <c r="C5503" s="9">
        <v>0</v>
      </c>
      <c r="D5503" s="13">
        <f t="shared" si="85"/>
        <v>11.06</v>
      </c>
    </row>
    <row r="5504" spans="1:4" x14ac:dyDescent="0.25">
      <c r="A5504" s="15">
        <f>Sheet2!A5504</f>
        <v>0</v>
      </c>
      <c r="B5504" s="8">
        <v>11.72</v>
      </c>
      <c r="C5504" s="9">
        <v>0</v>
      </c>
      <c r="D5504" s="13">
        <f t="shared" si="85"/>
        <v>11.72</v>
      </c>
    </row>
    <row r="5505" spans="1:4" x14ac:dyDescent="0.25">
      <c r="A5505" s="15">
        <f>Sheet2!A5505</f>
        <v>0</v>
      </c>
      <c r="B5505" s="8">
        <v>0</v>
      </c>
      <c r="C5505" s="9">
        <v>1.87</v>
      </c>
      <c r="D5505" s="13">
        <f t="shared" si="85"/>
        <v>1.87</v>
      </c>
    </row>
    <row r="5506" spans="1:4" x14ac:dyDescent="0.25">
      <c r="A5506" s="15">
        <f>Sheet2!A5506</f>
        <v>0</v>
      </c>
      <c r="B5506" s="8">
        <v>0</v>
      </c>
      <c r="C5506" s="9">
        <v>2.21</v>
      </c>
      <c r="D5506" s="13">
        <f t="shared" si="85"/>
        <v>2.21</v>
      </c>
    </row>
    <row r="5507" spans="1:4" x14ac:dyDescent="0.25">
      <c r="A5507" s="15">
        <f>Sheet2!A5507</f>
        <v>0</v>
      </c>
      <c r="B5507" s="8">
        <v>0</v>
      </c>
      <c r="C5507" s="9">
        <v>0.6</v>
      </c>
      <c r="D5507" s="13">
        <f t="shared" ref="D5507:D5570" si="86">B5507+C5507</f>
        <v>0.6</v>
      </c>
    </row>
    <row r="5508" spans="1:4" x14ac:dyDescent="0.25">
      <c r="A5508" s="15">
        <f>Sheet2!A5508</f>
        <v>0</v>
      </c>
      <c r="B5508" s="8">
        <v>14.06</v>
      </c>
      <c r="C5508" s="9">
        <v>0</v>
      </c>
      <c r="D5508" s="13">
        <f t="shared" si="86"/>
        <v>14.06</v>
      </c>
    </row>
    <row r="5509" spans="1:4" x14ac:dyDescent="0.25">
      <c r="A5509" s="15">
        <f>Sheet2!A5509</f>
        <v>0</v>
      </c>
      <c r="B5509" s="8">
        <v>0</v>
      </c>
      <c r="C5509" s="9">
        <v>0.41</v>
      </c>
      <c r="D5509" s="13">
        <f t="shared" si="86"/>
        <v>0.41</v>
      </c>
    </row>
    <row r="5510" spans="1:4" x14ac:dyDescent="0.25">
      <c r="A5510" s="15">
        <f>Sheet2!A5510</f>
        <v>0</v>
      </c>
      <c r="B5510" s="8">
        <v>0</v>
      </c>
      <c r="C5510" s="9">
        <v>0.43</v>
      </c>
      <c r="D5510" s="13">
        <f t="shared" si="86"/>
        <v>0.43</v>
      </c>
    </row>
    <row r="5511" spans="1:4" x14ac:dyDescent="0.25">
      <c r="A5511" s="15">
        <f>Sheet2!A5511</f>
        <v>0</v>
      </c>
      <c r="B5511" s="8">
        <v>0</v>
      </c>
      <c r="C5511" s="9">
        <v>0.71</v>
      </c>
      <c r="D5511" s="13">
        <f t="shared" si="86"/>
        <v>0.71</v>
      </c>
    </row>
    <row r="5512" spans="1:4" x14ac:dyDescent="0.25">
      <c r="A5512" s="15">
        <f>Sheet2!A5512</f>
        <v>0</v>
      </c>
      <c r="B5512" s="8">
        <v>14.38</v>
      </c>
      <c r="C5512" s="9">
        <v>0</v>
      </c>
      <c r="D5512" s="13">
        <f t="shared" si="86"/>
        <v>14.38</v>
      </c>
    </row>
    <row r="5513" spans="1:4" x14ac:dyDescent="0.25">
      <c r="A5513" s="15">
        <f>Sheet2!A5513</f>
        <v>0</v>
      </c>
      <c r="B5513" s="8">
        <v>0</v>
      </c>
      <c r="C5513" s="9">
        <v>0.8</v>
      </c>
      <c r="D5513" s="13">
        <f t="shared" si="86"/>
        <v>0.8</v>
      </c>
    </row>
    <row r="5514" spans="1:4" x14ac:dyDescent="0.25">
      <c r="A5514" s="15">
        <f>Sheet2!A5514</f>
        <v>0</v>
      </c>
      <c r="B5514" s="8">
        <v>0</v>
      </c>
      <c r="C5514" s="9">
        <v>3.7</v>
      </c>
      <c r="D5514" s="13">
        <f t="shared" si="86"/>
        <v>3.7</v>
      </c>
    </row>
    <row r="5515" spans="1:4" x14ac:dyDescent="0.25">
      <c r="A5515" s="15">
        <f>Sheet2!A5515</f>
        <v>0</v>
      </c>
      <c r="B5515" s="8">
        <v>0</v>
      </c>
      <c r="C5515" s="9">
        <v>1.61</v>
      </c>
      <c r="D5515" s="13">
        <f t="shared" si="86"/>
        <v>1.61</v>
      </c>
    </row>
    <row r="5516" spans="1:4" x14ac:dyDescent="0.25">
      <c r="A5516" s="15">
        <f>Sheet2!A5516</f>
        <v>0</v>
      </c>
      <c r="B5516" s="8">
        <v>13.4</v>
      </c>
      <c r="C5516" s="9">
        <v>0</v>
      </c>
      <c r="D5516" s="13">
        <f t="shared" si="86"/>
        <v>13.4</v>
      </c>
    </row>
    <row r="5517" spans="1:4" x14ac:dyDescent="0.25">
      <c r="A5517" s="15">
        <f>Sheet2!A5517</f>
        <v>0</v>
      </c>
      <c r="B5517" s="8">
        <v>0</v>
      </c>
      <c r="C5517" s="9">
        <v>1.44</v>
      </c>
      <c r="D5517" s="13">
        <f t="shared" si="86"/>
        <v>1.44</v>
      </c>
    </row>
    <row r="5518" spans="1:4" x14ac:dyDescent="0.25">
      <c r="A5518" s="15">
        <f>Sheet2!A5518</f>
        <v>0</v>
      </c>
      <c r="B5518" s="8">
        <v>0</v>
      </c>
      <c r="C5518" s="9">
        <v>2.69</v>
      </c>
      <c r="D5518" s="13">
        <f t="shared" si="86"/>
        <v>2.69</v>
      </c>
    </row>
    <row r="5519" spans="1:4" x14ac:dyDescent="0.25">
      <c r="A5519" s="15">
        <f>Sheet2!A5519</f>
        <v>0</v>
      </c>
      <c r="B5519" s="8">
        <v>0</v>
      </c>
      <c r="C5519" s="9">
        <v>0.67</v>
      </c>
      <c r="D5519" s="13">
        <f t="shared" si="86"/>
        <v>0.67</v>
      </c>
    </row>
    <row r="5520" spans="1:4" x14ac:dyDescent="0.25">
      <c r="A5520" s="15">
        <f>Sheet2!A5520</f>
        <v>0</v>
      </c>
      <c r="B5520" s="8">
        <v>11.87</v>
      </c>
      <c r="C5520" s="9">
        <v>0</v>
      </c>
      <c r="D5520" s="13">
        <f t="shared" si="86"/>
        <v>11.87</v>
      </c>
    </row>
    <row r="5521" spans="1:4" x14ac:dyDescent="0.25">
      <c r="A5521" s="15">
        <f>Sheet2!A5521</f>
        <v>0</v>
      </c>
      <c r="B5521" s="8">
        <v>7.83</v>
      </c>
      <c r="C5521" s="9">
        <v>0</v>
      </c>
      <c r="D5521" s="13">
        <f t="shared" si="86"/>
        <v>7.83</v>
      </c>
    </row>
    <row r="5522" spans="1:4" x14ac:dyDescent="0.25">
      <c r="A5522" s="15">
        <f>Sheet2!A5522</f>
        <v>0</v>
      </c>
      <c r="B5522" s="8">
        <v>0</v>
      </c>
      <c r="C5522" s="9">
        <v>0.22</v>
      </c>
      <c r="D5522" s="13">
        <f t="shared" si="86"/>
        <v>0.22</v>
      </c>
    </row>
    <row r="5523" spans="1:4" x14ac:dyDescent="0.25">
      <c r="A5523" s="15">
        <f>Sheet2!A5523</f>
        <v>0</v>
      </c>
      <c r="B5523" s="8">
        <v>6.34</v>
      </c>
      <c r="C5523" s="9">
        <v>0</v>
      </c>
      <c r="D5523" s="13">
        <f t="shared" si="86"/>
        <v>6.34</v>
      </c>
    </row>
    <row r="5524" spans="1:4" x14ac:dyDescent="0.25">
      <c r="A5524" s="15">
        <f>Sheet2!A5524</f>
        <v>0</v>
      </c>
      <c r="B5524" s="8">
        <v>10.07</v>
      </c>
      <c r="C5524" s="9">
        <v>0</v>
      </c>
      <c r="D5524" s="13">
        <f t="shared" si="86"/>
        <v>10.07</v>
      </c>
    </row>
    <row r="5525" spans="1:4" x14ac:dyDescent="0.25">
      <c r="A5525" s="15">
        <f>Sheet2!A5525</f>
        <v>0</v>
      </c>
      <c r="B5525" s="8">
        <v>9.5399999999999991</v>
      </c>
      <c r="C5525" s="9">
        <v>0</v>
      </c>
      <c r="D5525" s="13">
        <f t="shared" si="86"/>
        <v>9.5399999999999991</v>
      </c>
    </row>
    <row r="5526" spans="1:4" x14ac:dyDescent="0.25">
      <c r="A5526" s="15">
        <f>Sheet2!A5526</f>
        <v>0</v>
      </c>
      <c r="B5526" s="8">
        <v>9.7899999999999991</v>
      </c>
      <c r="C5526" s="9">
        <v>0</v>
      </c>
      <c r="D5526" s="13">
        <f t="shared" si="86"/>
        <v>9.7899999999999991</v>
      </c>
    </row>
    <row r="5527" spans="1:4" x14ac:dyDescent="0.25">
      <c r="A5527" s="15">
        <f>Sheet2!A5527</f>
        <v>0</v>
      </c>
      <c r="B5527" s="8">
        <v>2.25</v>
      </c>
      <c r="C5527" s="9">
        <v>0</v>
      </c>
      <c r="D5527" s="13">
        <f t="shared" si="86"/>
        <v>2.25</v>
      </c>
    </row>
    <row r="5528" spans="1:4" x14ac:dyDescent="0.25">
      <c r="A5528" s="15">
        <f>Sheet2!A5528</f>
        <v>0</v>
      </c>
      <c r="B5528" s="8">
        <v>0</v>
      </c>
      <c r="C5528" s="9">
        <v>0.09</v>
      </c>
      <c r="D5528" s="13">
        <f t="shared" si="86"/>
        <v>0.09</v>
      </c>
    </row>
    <row r="5529" spans="1:4" x14ac:dyDescent="0.25">
      <c r="A5529" s="15">
        <f>Sheet2!A5529</f>
        <v>0</v>
      </c>
      <c r="B5529" s="8">
        <v>7.18</v>
      </c>
      <c r="C5529" s="9">
        <v>0</v>
      </c>
      <c r="D5529" s="13">
        <f t="shared" si="86"/>
        <v>7.18</v>
      </c>
    </row>
    <row r="5530" spans="1:4" x14ac:dyDescent="0.25">
      <c r="A5530" s="15">
        <f>Sheet2!A5530</f>
        <v>0</v>
      </c>
      <c r="B5530" s="8">
        <v>12.35</v>
      </c>
      <c r="C5530" s="9">
        <v>0</v>
      </c>
      <c r="D5530" s="13">
        <f t="shared" si="86"/>
        <v>12.35</v>
      </c>
    </row>
    <row r="5531" spans="1:4" x14ac:dyDescent="0.25">
      <c r="A5531" s="15">
        <f>Sheet2!A5531</f>
        <v>0</v>
      </c>
      <c r="B5531" s="8">
        <v>5.37</v>
      </c>
      <c r="C5531" s="9">
        <v>0</v>
      </c>
      <c r="D5531" s="13">
        <f t="shared" si="86"/>
        <v>5.37</v>
      </c>
    </row>
    <row r="5532" spans="1:4" x14ac:dyDescent="0.25">
      <c r="A5532" s="15">
        <f>Sheet2!A5532</f>
        <v>0</v>
      </c>
      <c r="B5532" s="8">
        <v>0</v>
      </c>
      <c r="C5532" s="9">
        <v>0.3</v>
      </c>
      <c r="D5532" s="13">
        <f t="shared" si="86"/>
        <v>0.3</v>
      </c>
    </row>
    <row r="5533" spans="1:4" x14ac:dyDescent="0.25">
      <c r="A5533" s="15">
        <f>Sheet2!A5533</f>
        <v>0</v>
      </c>
      <c r="B5533" s="8">
        <v>0</v>
      </c>
      <c r="C5533" s="9">
        <v>0.56999999999999995</v>
      </c>
      <c r="D5533" s="13">
        <f t="shared" si="86"/>
        <v>0.56999999999999995</v>
      </c>
    </row>
    <row r="5534" spans="1:4" x14ac:dyDescent="0.25">
      <c r="A5534" s="15">
        <f>Sheet2!A5534</f>
        <v>0</v>
      </c>
      <c r="B5534" s="8">
        <v>0</v>
      </c>
      <c r="C5534" s="9">
        <v>0.72</v>
      </c>
      <c r="D5534" s="13">
        <f t="shared" si="86"/>
        <v>0.72</v>
      </c>
    </row>
    <row r="5535" spans="1:4" x14ac:dyDescent="0.25">
      <c r="A5535" s="15">
        <f>Sheet2!A5535</f>
        <v>0</v>
      </c>
      <c r="B5535" s="8">
        <v>0</v>
      </c>
      <c r="C5535" s="9">
        <v>2.13</v>
      </c>
      <c r="D5535" s="13">
        <f t="shared" si="86"/>
        <v>2.13</v>
      </c>
    </row>
    <row r="5536" spans="1:4" x14ac:dyDescent="0.25">
      <c r="A5536" s="15">
        <f>Sheet2!A5536</f>
        <v>0</v>
      </c>
      <c r="B5536" s="8">
        <v>0</v>
      </c>
      <c r="C5536" s="9">
        <v>2.99</v>
      </c>
      <c r="D5536" s="13">
        <f t="shared" si="86"/>
        <v>2.99</v>
      </c>
    </row>
    <row r="5537" spans="1:4" x14ac:dyDescent="0.25">
      <c r="A5537" s="15">
        <f>Sheet2!A5537</f>
        <v>0</v>
      </c>
      <c r="B5537" s="8">
        <v>0</v>
      </c>
      <c r="C5537" s="9">
        <v>1.1000000000000001</v>
      </c>
      <c r="D5537" s="13">
        <f t="shared" si="86"/>
        <v>1.1000000000000001</v>
      </c>
    </row>
    <row r="5538" spans="1:4" x14ac:dyDescent="0.25">
      <c r="A5538" s="15">
        <f>Sheet2!A5538</f>
        <v>0</v>
      </c>
      <c r="B5538" s="8">
        <v>16.52</v>
      </c>
      <c r="C5538" s="9">
        <v>0</v>
      </c>
      <c r="D5538" s="13">
        <f t="shared" si="86"/>
        <v>16.52</v>
      </c>
    </row>
    <row r="5539" spans="1:4" x14ac:dyDescent="0.25">
      <c r="A5539" s="15">
        <f>Sheet2!A5539</f>
        <v>0</v>
      </c>
      <c r="B5539" s="8">
        <v>0</v>
      </c>
      <c r="C5539" s="9">
        <v>0.96</v>
      </c>
      <c r="D5539" s="13">
        <f t="shared" si="86"/>
        <v>0.96</v>
      </c>
    </row>
    <row r="5540" spans="1:4" x14ac:dyDescent="0.25">
      <c r="A5540" s="15">
        <f>Sheet2!A5540</f>
        <v>0</v>
      </c>
      <c r="B5540" s="8">
        <v>0</v>
      </c>
      <c r="C5540" s="9">
        <v>1.87</v>
      </c>
      <c r="D5540" s="13">
        <f t="shared" si="86"/>
        <v>1.87</v>
      </c>
    </row>
    <row r="5541" spans="1:4" x14ac:dyDescent="0.25">
      <c r="A5541" s="15">
        <f>Sheet2!A5541</f>
        <v>0</v>
      </c>
      <c r="B5541" s="8">
        <v>0</v>
      </c>
      <c r="C5541" s="9">
        <v>0.51</v>
      </c>
      <c r="D5541" s="13">
        <f t="shared" si="86"/>
        <v>0.51</v>
      </c>
    </row>
    <row r="5542" spans="1:4" x14ac:dyDescent="0.25">
      <c r="A5542" s="15">
        <f>Sheet2!A5542</f>
        <v>0</v>
      </c>
      <c r="B5542" s="8">
        <v>13.95</v>
      </c>
      <c r="C5542" s="9">
        <v>0</v>
      </c>
      <c r="D5542" s="13">
        <f t="shared" si="86"/>
        <v>13.95</v>
      </c>
    </row>
    <row r="5543" spans="1:4" x14ac:dyDescent="0.25">
      <c r="A5543" s="15">
        <f>Sheet2!A5543</f>
        <v>0</v>
      </c>
      <c r="B5543" s="8">
        <v>0</v>
      </c>
      <c r="C5543" s="9">
        <v>0.22</v>
      </c>
      <c r="D5543" s="13">
        <f t="shared" si="86"/>
        <v>0.22</v>
      </c>
    </row>
    <row r="5544" spans="1:4" x14ac:dyDescent="0.25">
      <c r="A5544" s="15">
        <f>Sheet2!A5544</f>
        <v>0</v>
      </c>
      <c r="B5544" s="8">
        <v>0</v>
      </c>
      <c r="C5544" s="9">
        <v>1.27</v>
      </c>
      <c r="D5544" s="13">
        <f t="shared" si="86"/>
        <v>1.27</v>
      </c>
    </row>
    <row r="5545" spans="1:4" x14ac:dyDescent="0.25">
      <c r="A5545" s="15">
        <f>Sheet2!A5545</f>
        <v>0</v>
      </c>
      <c r="B5545" s="8">
        <v>4.91</v>
      </c>
      <c r="C5545" s="9">
        <v>0</v>
      </c>
      <c r="D5545" s="13">
        <f t="shared" si="86"/>
        <v>4.91</v>
      </c>
    </row>
    <row r="5546" spans="1:4" x14ac:dyDescent="0.25">
      <c r="A5546" s="15">
        <f>Sheet2!A5546</f>
        <v>0</v>
      </c>
      <c r="B5546" s="8">
        <v>9.8699999999999992</v>
      </c>
      <c r="C5546" s="9">
        <v>0</v>
      </c>
      <c r="D5546" s="13">
        <f t="shared" si="86"/>
        <v>9.8699999999999992</v>
      </c>
    </row>
    <row r="5547" spans="1:4" x14ac:dyDescent="0.25">
      <c r="A5547" s="15">
        <f>Sheet2!A5547</f>
        <v>0</v>
      </c>
      <c r="B5547" s="8">
        <v>0</v>
      </c>
      <c r="C5547" s="9">
        <v>0.2</v>
      </c>
      <c r="D5547" s="13">
        <f t="shared" si="86"/>
        <v>0.2</v>
      </c>
    </row>
    <row r="5548" spans="1:4" x14ac:dyDescent="0.25">
      <c r="A5548" s="15">
        <f>Sheet2!A5548</f>
        <v>0</v>
      </c>
      <c r="B5548" s="8">
        <v>0</v>
      </c>
      <c r="C5548" s="9">
        <v>0.53</v>
      </c>
      <c r="D5548" s="13">
        <f t="shared" si="86"/>
        <v>0.53</v>
      </c>
    </row>
    <row r="5549" spans="1:4" x14ac:dyDescent="0.25">
      <c r="A5549" s="15">
        <f>Sheet2!A5549</f>
        <v>0</v>
      </c>
      <c r="B5549" s="8">
        <v>5.29</v>
      </c>
      <c r="C5549" s="9">
        <v>0</v>
      </c>
      <c r="D5549" s="13">
        <f t="shared" si="86"/>
        <v>5.29</v>
      </c>
    </row>
    <row r="5550" spans="1:4" x14ac:dyDescent="0.25">
      <c r="A5550" s="15">
        <f>Sheet2!A5550</f>
        <v>0</v>
      </c>
      <c r="B5550" s="8">
        <v>0</v>
      </c>
      <c r="C5550" s="9">
        <v>0.33</v>
      </c>
      <c r="D5550" s="13">
        <f t="shared" si="86"/>
        <v>0.33</v>
      </c>
    </row>
    <row r="5551" spans="1:4" x14ac:dyDescent="0.25">
      <c r="A5551" s="15">
        <f>Sheet2!A5551</f>
        <v>0</v>
      </c>
      <c r="B5551" s="8">
        <v>0</v>
      </c>
      <c r="C5551" s="9">
        <v>1.63</v>
      </c>
      <c r="D5551" s="13">
        <f t="shared" si="86"/>
        <v>1.63</v>
      </c>
    </row>
    <row r="5552" spans="1:4" x14ac:dyDescent="0.25">
      <c r="A5552" s="15">
        <f>Sheet2!A5552</f>
        <v>0</v>
      </c>
      <c r="B5552" s="8">
        <v>0</v>
      </c>
      <c r="C5552" s="9">
        <v>0.24</v>
      </c>
      <c r="D5552" s="13">
        <f t="shared" si="86"/>
        <v>0.24</v>
      </c>
    </row>
    <row r="5553" spans="1:4" x14ac:dyDescent="0.25">
      <c r="A5553" s="15">
        <f>Sheet2!A5553</f>
        <v>0</v>
      </c>
      <c r="B5553" s="8">
        <v>0</v>
      </c>
      <c r="C5553" s="9">
        <v>2.2799999999999998</v>
      </c>
      <c r="D5553" s="13">
        <f t="shared" si="86"/>
        <v>2.2799999999999998</v>
      </c>
    </row>
    <row r="5554" spans="1:4" x14ac:dyDescent="0.25">
      <c r="A5554" s="15">
        <f>Sheet2!A5554</f>
        <v>0</v>
      </c>
      <c r="B5554" s="8">
        <v>7.2</v>
      </c>
      <c r="C5554" s="9">
        <v>0</v>
      </c>
      <c r="D5554" s="13">
        <f t="shared" si="86"/>
        <v>7.2</v>
      </c>
    </row>
    <row r="5555" spans="1:4" x14ac:dyDescent="0.25">
      <c r="A5555" s="15">
        <f>Sheet2!A5555</f>
        <v>0</v>
      </c>
      <c r="B5555" s="8">
        <v>8.59</v>
      </c>
      <c r="C5555" s="9">
        <v>0</v>
      </c>
      <c r="D5555" s="13">
        <f t="shared" si="86"/>
        <v>8.59</v>
      </c>
    </row>
    <row r="5556" spans="1:4" x14ac:dyDescent="0.25">
      <c r="A5556" s="15">
        <f>Sheet2!A5556</f>
        <v>0</v>
      </c>
      <c r="B5556" s="8">
        <v>0</v>
      </c>
      <c r="C5556" s="9">
        <v>1.36</v>
      </c>
      <c r="D5556" s="13">
        <f t="shared" si="86"/>
        <v>1.36</v>
      </c>
    </row>
    <row r="5557" spans="1:4" x14ac:dyDescent="0.25">
      <c r="A5557" s="15">
        <f>Sheet2!A5557</f>
        <v>0</v>
      </c>
      <c r="B5557" s="8">
        <v>0</v>
      </c>
      <c r="C5557" s="9">
        <v>2.83</v>
      </c>
      <c r="D5557" s="13">
        <f t="shared" si="86"/>
        <v>2.83</v>
      </c>
    </row>
    <row r="5558" spans="1:4" x14ac:dyDescent="0.25">
      <c r="A5558" s="15">
        <f>Sheet2!A5558</f>
        <v>0</v>
      </c>
      <c r="B5558" s="8">
        <v>0</v>
      </c>
      <c r="C5558" s="9">
        <v>3.2</v>
      </c>
      <c r="D5558" s="13">
        <f t="shared" si="86"/>
        <v>3.2</v>
      </c>
    </row>
    <row r="5559" spans="1:4" x14ac:dyDescent="0.25">
      <c r="A5559" s="15">
        <f>Sheet2!A5559</f>
        <v>0</v>
      </c>
      <c r="B5559" s="8">
        <v>0</v>
      </c>
      <c r="C5559" s="9">
        <v>4.53</v>
      </c>
      <c r="D5559" s="13">
        <f t="shared" si="86"/>
        <v>4.53</v>
      </c>
    </row>
    <row r="5560" spans="1:4" x14ac:dyDescent="0.25">
      <c r="A5560" s="15">
        <f>Sheet2!A5560</f>
        <v>0</v>
      </c>
      <c r="B5560" s="8">
        <v>0</v>
      </c>
      <c r="C5560" s="9">
        <v>1.65</v>
      </c>
      <c r="D5560" s="13">
        <f t="shared" si="86"/>
        <v>1.65</v>
      </c>
    </row>
    <row r="5561" spans="1:4" x14ac:dyDescent="0.25">
      <c r="A5561" s="15">
        <f>Sheet2!A5561</f>
        <v>0</v>
      </c>
      <c r="B5561" s="8">
        <v>10.29</v>
      </c>
      <c r="C5561" s="9">
        <v>0</v>
      </c>
      <c r="D5561" s="13">
        <f t="shared" si="86"/>
        <v>10.29</v>
      </c>
    </row>
    <row r="5562" spans="1:4" x14ac:dyDescent="0.25">
      <c r="A5562" s="15">
        <f>Sheet2!A5562</f>
        <v>0</v>
      </c>
      <c r="B5562" s="8">
        <v>11.68</v>
      </c>
      <c r="C5562" s="9">
        <v>0</v>
      </c>
      <c r="D5562" s="13">
        <f t="shared" si="86"/>
        <v>11.68</v>
      </c>
    </row>
    <row r="5563" spans="1:4" x14ac:dyDescent="0.25">
      <c r="A5563" s="15">
        <f>Sheet2!A5563</f>
        <v>0</v>
      </c>
      <c r="B5563" s="8">
        <v>0</v>
      </c>
      <c r="C5563" s="9">
        <v>2.2400000000000002</v>
      </c>
      <c r="D5563" s="13">
        <f t="shared" si="86"/>
        <v>2.2400000000000002</v>
      </c>
    </row>
    <row r="5564" spans="1:4" x14ac:dyDescent="0.25">
      <c r="A5564" s="15">
        <f>Sheet2!A5564</f>
        <v>0</v>
      </c>
      <c r="B5564" s="8">
        <v>0</v>
      </c>
      <c r="C5564" s="9">
        <v>3.1</v>
      </c>
      <c r="D5564" s="13">
        <f t="shared" si="86"/>
        <v>3.1</v>
      </c>
    </row>
    <row r="5565" spans="1:4" x14ac:dyDescent="0.25">
      <c r="A5565" s="15">
        <f>Sheet2!A5565</f>
        <v>0</v>
      </c>
      <c r="B5565" s="8">
        <v>0</v>
      </c>
      <c r="C5565" s="9">
        <v>1.1100000000000001</v>
      </c>
      <c r="D5565" s="13">
        <f t="shared" si="86"/>
        <v>1.1100000000000001</v>
      </c>
    </row>
    <row r="5566" spans="1:4" x14ac:dyDescent="0.25">
      <c r="A5566" s="15">
        <f>Sheet2!A5566</f>
        <v>0</v>
      </c>
      <c r="B5566" s="8">
        <v>10.61</v>
      </c>
      <c r="C5566" s="9">
        <v>0</v>
      </c>
      <c r="D5566" s="13">
        <f t="shared" si="86"/>
        <v>10.61</v>
      </c>
    </row>
    <row r="5567" spans="1:4" x14ac:dyDescent="0.25">
      <c r="A5567" s="15">
        <f>Sheet2!A5567</f>
        <v>0</v>
      </c>
      <c r="B5567" s="8">
        <v>0</v>
      </c>
      <c r="C5567" s="9">
        <v>0.78</v>
      </c>
      <c r="D5567" s="13">
        <f t="shared" si="86"/>
        <v>0.78</v>
      </c>
    </row>
    <row r="5568" spans="1:4" x14ac:dyDescent="0.25">
      <c r="A5568" s="15">
        <f>Sheet2!A5568</f>
        <v>0</v>
      </c>
      <c r="B5568" s="8">
        <v>0</v>
      </c>
      <c r="C5568" s="9">
        <v>0.64</v>
      </c>
      <c r="D5568" s="13">
        <f t="shared" si="86"/>
        <v>0.64</v>
      </c>
    </row>
    <row r="5569" spans="1:4" x14ac:dyDescent="0.25">
      <c r="A5569" s="15">
        <f>Sheet2!A5569</f>
        <v>0</v>
      </c>
      <c r="B5569" s="8">
        <v>12.77</v>
      </c>
      <c r="C5569" s="9">
        <v>0</v>
      </c>
      <c r="D5569" s="13">
        <f t="shared" si="86"/>
        <v>12.77</v>
      </c>
    </row>
    <row r="5570" spans="1:4" x14ac:dyDescent="0.25">
      <c r="A5570" s="15">
        <f>Sheet2!A5570</f>
        <v>0</v>
      </c>
      <c r="B5570" s="8">
        <v>11.64</v>
      </c>
      <c r="C5570" s="9">
        <v>0</v>
      </c>
      <c r="D5570" s="13">
        <f t="shared" si="86"/>
        <v>11.64</v>
      </c>
    </row>
    <row r="5571" spans="1:4" x14ac:dyDescent="0.25">
      <c r="A5571" s="15">
        <f>Sheet2!A5571</f>
        <v>0</v>
      </c>
      <c r="B5571" s="8">
        <v>0</v>
      </c>
      <c r="C5571" s="9">
        <v>0.27</v>
      </c>
      <c r="D5571" s="13">
        <f t="shared" ref="D5571:D5634" si="87">B5571+C5571</f>
        <v>0.27</v>
      </c>
    </row>
    <row r="5572" spans="1:4" x14ac:dyDescent="0.25">
      <c r="A5572" s="15">
        <f>Sheet2!A5572</f>
        <v>0</v>
      </c>
      <c r="B5572" s="8">
        <v>0</v>
      </c>
      <c r="C5572" s="9">
        <v>2.58</v>
      </c>
      <c r="D5572" s="13">
        <f t="shared" si="87"/>
        <v>2.58</v>
      </c>
    </row>
    <row r="5573" spans="1:4" x14ac:dyDescent="0.25">
      <c r="A5573" s="15">
        <f>Sheet2!A5573</f>
        <v>0</v>
      </c>
      <c r="B5573" s="8">
        <v>0</v>
      </c>
      <c r="C5573" s="9">
        <v>0.65</v>
      </c>
      <c r="D5573" s="13">
        <f t="shared" si="87"/>
        <v>0.65</v>
      </c>
    </row>
    <row r="5574" spans="1:4" x14ac:dyDescent="0.25">
      <c r="A5574" s="15">
        <f>Sheet2!A5574</f>
        <v>0</v>
      </c>
      <c r="B5574" s="8">
        <v>9.7200000000000006</v>
      </c>
      <c r="C5574" s="9">
        <v>0</v>
      </c>
      <c r="D5574" s="13">
        <f t="shared" si="87"/>
        <v>9.7200000000000006</v>
      </c>
    </row>
    <row r="5575" spans="1:4" x14ac:dyDescent="0.25">
      <c r="A5575" s="15">
        <f>Sheet2!A5575</f>
        <v>0</v>
      </c>
      <c r="B5575" s="8">
        <v>3.13</v>
      </c>
      <c r="C5575" s="9">
        <v>0</v>
      </c>
      <c r="D5575" s="13">
        <f t="shared" si="87"/>
        <v>3.13</v>
      </c>
    </row>
    <row r="5576" spans="1:4" x14ac:dyDescent="0.25">
      <c r="A5576" s="15">
        <f>Sheet2!A5576</f>
        <v>0</v>
      </c>
      <c r="B5576" s="8">
        <v>0</v>
      </c>
      <c r="C5576" s="9">
        <v>0.76</v>
      </c>
      <c r="D5576" s="13">
        <f t="shared" si="87"/>
        <v>0.76</v>
      </c>
    </row>
    <row r="5577" spans="1:4" x14ac:dyDescent="0.25">
      <c r="A5577" s="15">
        <f>Sheet2!A5577</f>
        <v>0</v>
      </c>
      <c r="B5577" s="8">
        <v>0</v>
      </c>
      <c r="C5577" s="9">
        <v>0.33</v>
      </c>
      <c r="D5577" s="13">
        <f t="shared" si="87"/>
        <v>0.33</v>
      </c>
    </row>
    <row r="5578" spans="1:4" x14ac:dyDescent="0.25">
      <c r="A5578" s="15">
        <f>Sheet2!A5578</f>
        <v>0</v>
      </c>
      <c r="B5578" s="8">
        <v>11.3</v>
      </c>
      <c r="C5578" s="9">
        <v>0</v>
      </c>
      <c r="D5578" s="13">
        <f t="shared" si="87"/>
        <v>11.3</v>
      </c>
    </row>
    <row r="5579" spans="1:4" x14ac:dyDescent="0.25">
      <c r="A5579" s="15">
        <f>Sheet2!A5579</f>
        <v>0</v>
      </c>
      <c r="B5579" s="8">
        <v>0</v>
      </c>
      <c r="C5579" s="9">
        <v>0.92</v>
      </c>
      <c r="D5579" s="13">
        <f t="shared" si="87"/>
        <v>0.92</v>
      </c>
    </row>
    <row r="5580" spans="1:4" x14ac:dyDescent="0.25">
      <c r="A5580" s="15">
        <f>Sheet2!A5580</f>
        <v>0</v>
      </c>
      <c r="B5580" s="8">
        <v>0</v>
      </c>
      <c r="C5580" s="9">
        <v>2.8</v>
      </c>
      <c r="D5580" s="13">
        <f t="shared" si="87"/>
        <v>2.8</v>
      </c>
    </row>
    <row r="5581" spans="1:4" x14ac:dyDescent="0.25">
      <c r="A5581" s="15">
        <f>Sheet2!A5581</f>
        <v>0</v>
      </c>
      <c r="B5581" s="8">
        <v>0</v>
      </c>
      <c r="C5581" s="9">
        <v>2.2599999999999998</v>
      </c>
      <c r="D5581" s="13">
        <f t="shared" si="87"/>
        <v>2.2599999999999998</v>
      </c>
    </row>
    <row r="5582" spans="1:4" x14ac:dyDescent="0.25">
      <c r="A5582" s="15">
        <f>Sheet2!A5582</f>
        <v>0</v>
      </c>
      <c r="B5582" s="8">
        <v>12.85</v>
      </c>
      <c r="C5582" s="9">
        <v>0</v>
      </c>
      <c r="D5582" s="13">
        <f t="shared" si="87"/>
        <v>12.85</v>
      </c>
    </row>
    <row r="5583" spans="1:4" x14ac:dyDescent="0.25">
      <c r="A5583" s="15">
        <f>Sheet2!A5583</f>
        <v>0</v>
      </c>
      <c r="B5583" s="8">
        <v>0</v>
      </c>
      <c r="C5583" s="9">
        <v>0.43</v>
      </c>
      <c r="D5583" s="13">
        <f t="shared" si="87"/>
        <v>0.43</v>
      </c>
    </row>
    <row r="5584" spans="1:4" x14ac:dyDescent="0.25">
      <c r="A5584" s="15">
        <f>Sheet2!A5584</f>
        <v>0</v>
      </c>
      <c r="B5584" s="8">
        <v>0</v>
      </c>
      <c r="C5584" s="9">
        <v>1.36</v>
      </c>
      <c r="D5584" s="13">
        <f t="shared" si="87"/>
        <v>1.36</v>
      </c>
    </row>
    <row r="5585" spans="1:4" x14ac:dyDescent="0.25">
      <c r="A5585" s="15">
        <f>Sheet2!A5585</f>
        <v>0</v>
      </c>
      <c r="B5585" s="8">
        <v>0</v>
      </c>
      <c r="C5585" s="9">
        <v>0.48</v>
      </c>
      <c r="D5585" s="13">
        <f t="shared" si="87"/>
        <v>0.48</v>
      </c>
    </row>
    <row r="5586" spans="1:4" x14ac:dyDescent="0.25">
      <c r="A5586" s="15">
        <f>Sheet2!A5586</f>
        <v>0</v>
      </c>
      <c r="B5586" s="8">
        <v>7.88</v>
      </c>
      <c r="C5586" s="9">
        <v>0</v>
      </c>
      <c r="D5586" s="13">
        <f t="shared" si="87"/>
        <v>7.88</v>
      </c>
    </row>
    <row r="5587" spans="1:4" x14ac:dyDescent="0.25">
      <c r="A5587" s="15">
        <f>Sheet2!A5587</f>
        <v>0</v>
      </c>
      <c r="B5587" s="8">
        <v>0</v>
      </c>
      <c r="C5587" s="9">
        <v>0.44</v>
      </c>
      <c r="D5587" s="13">
        <f t="shared" si="87"/>
        <v>0.44</v>
      </c>
    </row>
    <row r="5588" spans="1:4" x14ac:dyDescent="0.25">
      <c r="A5588" s="15">
        <f>Sheet2!A5588</f>
        <v>0</v>
      </c>
      <c r="B5588" s="8">
        <v>0</v>
      </c>
      <c r="C5588" s="9">
        <v>1.54</v>
      </c>
      <c r="D5588" s="13">
        <f t="shared" si="87"/>
        <v>1.54</v>
      </c>
    </row>
    <row r="5589" spans="1:4" x14ac:dyDescent="0.25">
      <c r="A5589" s="15">
        <f>Sheet2!A5589</f>
        <v>0</v>
      </c>
      <c r="B5589" s="8">
        <v>0</v>
      </c>
      <c r="C5589" s="9">
        <v>0.47</v>
      </c>
      <c r="D5589" s="13">
        <f t="shared" si="87"/>
        <v>0.47</v>
      </c>
    </row>
    <row r="5590" spans="1:4" x14ac:dyDescent="0.25">
      <c r="A5590" s="15">
        <f>Sheet2!A5590</f>
        <v>0</v>
      </c>
      <c r="B5590" s="8">
        <v>12.38</v>
      </c>
      <c r="C5590" s="9">
        <v>0</v>
      </c>
      <c r="D5590" s="13">
        <f t="shared" si="87"/>
        <v>12.38</v>
      </c>
    </row>
    <row r="5591" spans="1:4" x14ac:dyDescent="0.25">
      <c r="A5591" s="15">
        <f>Sheet2!A5591</f>
        <v>0</v>
      </c>
      <c r="B5591" s="8">
        <v>0</v>
      </c>
      <c r="C5591" s="9">
        <v>2.0499999999999998</v>
      </c>
      <c r="D5591" s="13">
        <f t="shared" si="87"/>
        <v>2.0499999999999998</v>
      </c>
    </row>
    <row r="5592" spans="1:4" x14ac:dyDescent="0.25">
      <c r="A5592" s="15">
        <f>Sheet2!A5592</f>
        <v>0</v>
      </c>
      <c r="B5592" s="8">
        <v>0</v>
      </c>
      <c r="C5592" s="9">
        <v>2.72</v>
      </c>
      <c r="D5592" s="13">
        <f t="shared" si="87"/>
        <v>2.72</v>
      </c>
    </row>
    <row r="5593" spans="1:4" x14ac:dyDescent="0.25">
      <c r="A5593" s="15">
        <f>Sheet2!A5593</f>
        <v>0</v>
      </c>
      <c r="B5593" s="8">
        <v>0</v>
      </c>
      <c r="C5593" s="9">
        <v>0.99</v>
      </c>
      <c r="D5593" s="13">
        <f t="shared" si="87"/>
        <v>0.99</v>
      </c>
    </row>
    <row r="5594" spans="1:4" x14ac:dyDescent="0.25">
      <c r="A5594" s="15">
        <f>Sheet2!A5594</f>
        <v>0</v>
      </c>
      <c r="B5594" s="8">
        <v>15.55</v>
      </c>
      <c r="C5594" s="9">
        <v>0</v>
      </c>
      <c r="D5594" s="13">
        <f t="shared" si="87"/>
        <v>15.55</v>
      </c>
    </row>
    <row r="5595" spans="1:4" x14ac:dyDescent="0.25">
      <c r="A5595" s="15">
        <f>Sheet2!A5595</f>
        <v>0</v>
      </c>
      <c r="B5595" s="8">
        <v>5.85</v>
      </c>
      <c r="C5595" s="9">
        <v>0</v>
      </c>
      <c r="D5595" s="13">
        <f t="shared" si="87"/>
        <v>5.85</v>
      </c>
    </row>
    <row r="5596" spans="1:4" x14ac:dyDescent="0.25">
      <c r="A5596" s="15">
        <f>Sheet2!A5596</f>
        <v>0</v>
      </c>
      <c r="B5596" s="8">
        <v>0</v>
      </c>
      <c r="C5596" s="9">
        <v>0.46</v>
      </c>
      <c r="D5596" s="13">
        <f t="shared" si="87"/>
        <v>0.46</v>
      </c>
    </row>
    <row r="5597" spans="1:4" x14ac:dyDescent="0.25">
      <c r="A5597" s="15">
        <f>Sheet2!A5597</f>
        <v>0</v>
      </c>
      <c r="B5597" s="8">
        <v>0</v>
      </c>
      <c r="C5597" s="9">
        <v>0.97</v>
      </c>
      <c r="D5597" s="13">
        <f t="shared" si="87"/>
        <v>0.97</v>
      </c>
    </row>
    <row r="5598" spans="1:4" x14ac:dyDescent="0.25">
      <c r="A5598" s="15">
        <f>Sheet2!A5598</f>
        <v>0</v>
      </c>
      <c r="B5598" s="8">
        <v>12.01</v>
      </c>
      <c r="C5598" s="9">
        <v>0</v>
      </c>
      <c r="D5598" s="13">
        <f t="shared" si="87"/>
        <v>12.01</v>
      </c>
    </row>
    <row r="5599" spans="1:4" x14ac:dyDescent="0.25">
      <c r="A5599" s="15">
        <f>Sheet2!A5599</f>
        <v>0</v>
      </c>
      <c r="B5599" s="8">
        <v>12.25</v>
      </c>
      <c r="C5599" s="9">
        <v>0</v>
      </c>
      <c r="D5599" s="13">
        <f t="shared" si="87"/>
        <v>12.25</v>
      </c>
    </row>
    <row r="5600" spans="1:4" x14ac:dyDescent="0.25">
      <c r="A5600" s="15">
        <f>Sheet2!A5600</f>
        <v>0</v>
      </c>
      <c r="B5600" s="8">
        <v>13.01</v>
      </c>
      <c r="C5600" s="9">
        <v>0</v>
      </c>
      <c r="D5600" s="13">
        <f t="shared" si="87"/>
        <v>13.01</v>
      </c>
    </row>
    <row r="5601" spans="1:4" x14ac:dyDescent="0.25">
      <c r="A5601" s="15">
        <f>Sheet2!A5601</f>
        <v>0</v>
      </c>
      <c r="B5601" s="8">
        <v>13.51</v>
      </c>
      <c r="C5601" s="9">
        <v>0</v>
      </c>
      <c r="D5601" s="13">
        <f t="shared" si="87"/>
        <v>13.51</v>
      </c>
    </row>
    <row r="5602" spans="1:4" x14ac:dyDescent="0.25">
      <c r="A5602" s="15">
        <f>Sheet2!A5602</f>
        <v>0</v>
      </c>
      <c r="B5602" s="8">
        <v>14</v>
      </c>
      <c r="C5602" s="9">
        <v>0</v>
      </c>
      <c r="D5602" s="13">
        <f t="shared" si="87"/>
        <v>14</v>
      </c>
    </row>
    <row r="5603" spans="1:4" x14ac:dyDescent="0.25">
      <c r="A5603" s="15">
        <f>Sheet2!A5603</f>
        <v>0</v>
      </c>
      <c r="B5603" s="8">
        <v>4.28</v>
      </c>
      <c r="C5603" s="9">
        <v>0</v>
      </c>
      <c r="D5603" s="13">
        <f t="shared" si="87"/>
        <v>4.28</v>
      </c>
    </row>
    <row r="5604" spans="1:4" x14ac:dyDescent="0.25">
      <c r="A5604" s="15">
        <f>Sheet2!A5604</f>
        <v>0</v>
      </c>
      <c r="B5604" s="8">
        <v>0</v>
      </c>
      <c r="C5604" s="9">
        <v>2.3199999999999998</v>
      </c>
      <c r="D5604" s="13">
        <f t="shared" si="87"/>
        <v>2.3199999999999998</v>
      </c>
    </row>
    <row r="5605" spans="1:4" x14ac:dyDescent="0.25">
      <c r="A5605" s="15">
        <f>Sheet2!A5605</f>
        <v>0</v>
      </c>
      <c r="B5605" s="8">
        <v>0</v>
      </c>
      <c r="C5605" s="9">
        <v>0.38</v>
      </c>
      <c r="D5605" s="13">
        <f t="shared" si="87"/>
        <v>0.38</v>
      </c>
    </row>
    <row r="5606" spans="1:4" x14ac:dyDescent="0.25">
      <c r="A5606" s="15">
        <f>Sheet2!A5606</f>
        <v>0</v>
      </c>
      <c r="B5606" s="8">
        <v>16.32</v>
      </c>
      <c r="C5606" s="9">
        <v>0</v>
      </c>
      <c r="D5606" s="13">
        <f t="shared" si="87"/>
        <v>16.32</v>
      </c>
    </row>
    <row r="5607" spans="1:4" x14ac:dyDescent="0.25">
      <c r="A5607" s="15">
        <f>Sheet2!A5607</f>
        <v>0</v>
      </c>
      <c r="B5607" s="8">
        <v>7.43</v>
      </c>
      <c r="C5607" s="9">
        <v>0</v>
      </c>
      <c r="D5607" s="13">
        <f t="shared" si="87"/>
        <v>7.43</v>
      </c>
    </row>
    <row r="5608" spans="1:4" x14ac:dyDescent="0.25">
      <c r="A5608" s="15">
        <f>Sheet2!A5608</f>
        <v>0</v>
      </c>
      <c r="B5608" s="8">
        <v>0</v>
      </c>
      <c r="C5608" s="9">
        <v>0.83</v>
      </c>
      <c r="D5608" s="13">
        <f t="shared" si="87"/>
        <v>0.83</v>
      </c>
    </row>
    <row r="5609" spans="1:4" x14ac:dyDescent="0.25">
      <c r="A5609" s="15">
        <f>Sheet2!A5609</f>
        <v>0</v>
      </c>
      <c r="B5609" s="8">
        <v>0</v>
      </c>
      <c r="C5609" s="9">
        <v>0.4</v>
      </c>
      <c r="D5609" s="13">
        <f t="shared" si="87"/>
        <v>0.4</v>
      </c>
    </row>
    <row r="5610" spans="1:4" x14ac:dyDescent="0.25">
      <c r="A5610" s="15">
        <f>Sheet2!A5610</f>
        <v>0</v>
      </c>
      <c r="B5610" s="8">
        <v>13.51</v>
      </c>
      <c r="C5610" s="9">
        <v>0</v>
      </c>
      <c r="D5610" s="13">
        <f t="shared" si="87"/>
        <v>13.51</v>
      </c>
    </row>
    <row r="5611" spans="1:4" x14ac:dyDescent="0.25">
      <c r="A5611" s="15">
        <f>Sheet2!A5611</f>
        <v>0</v>
      </c>
      <c r="B5611" s="8">
        <v>0</v>
      </c>
      <c r="C5611" s="9">
        <v>0.9</v>
      </c>
      <c r="D5611" s="13">
        <f t="shared" si="87"/>
        <v>0.9</v>
      </c>
    </row>
    <row r="5612" spans="1:4" x14ac:dyDescent="0.25">
      <c r="A5612" s="15">
        <f>Sheet2!A5612</f>
        <v>0</v>
      </c>
      <c r="B5612" s="8">
        <v>0</v>
      </c>
      <c r="C5612" s="9">
        <v>3.7</v>
      </c>
      <c r="D5612" s="13">
        <f t="shared" si="87"/>
        <v>3.7</v>
      </c>
    </row>
    <row r="5613" spans="1:4" x14ac:dyDescent="0.25">
      <c r="A5613" s="15">
        <f>Sheet2!A5613</f>
        <v>0</v>
      </c>
      <c r="B5613" s="8">
        <v>0</v>
      </c>
      <c r="C5613" s="9">
        <v>1.24</v>
      </c>
      <c r="D5613" s="13">
        <f t="shared" si="87"/>
        <v>1.24</v>
      </c>
    </row>
    <row r="5614" spans="1:4" x14ac:dyDescent="0.25">
      <c r="A5614" s="15">
        <f>Sheet2!A5614</f>
        <v>0</v>
      </c>
      <c r="B5614" s="8">
        <v>14.4</v>
      </c>
      <c r="C5614" s="9">
        <v>0</v>
      </c>
      <c r="D5614" s="13">
        <f t="shared" si="87"/>
        <v>14.4</v>
      </c>
    </row>
    <row r="5615" spans="1:4" x14ac:dyDescent="0.25">
      <c r="A5615" s="15">
        <f>Sheet2!A5615</f>
        <v>0</v>
      </c>
      <c r="B5615" s="8">
        <v>0</v>
      </c>
      <c r="C5615" s="9">
        <v>1.74</v>
      </c>
      <c r="D5615" s="13">
        <f t="shared" si="87"/>
        <v>1.74</v>
      </c>
    </row>
    <row r="5616" spans="1:4" x14ac:dyDescent="0.25">
      <c r="A5616" s="15">
        <f>Sheet2!A5616</f>
        <v>0</v>
      </c>
      <c r="B5616" s="8">
        <v>0</v>
      </c>
      <c r="C5616" s="9">
        <v>3.25</v>
      </c>
      <c r="D5616" s="13">
        <f t="shared" si="87"/>
        <v>3.25</v>
      </c>
    </row>
    <row r="5617" spans="1:4" x14ac:dyDescent="0.25">
      <c r="A5617" s="15">
        <f>Sheet2!A5617</f>
        <v>0</v>
      </c>
      <c r="B5617" s="8">
        <v>0</v>
      </c>
      <c r="C5617" s="9">
        <v>1.72</v>
      </c>
      <c r="D5617" s="13">
        <f t="shared" si="87"/>
        <v>1.72</v>
      </c>
    </row>
    <row r="5618" spans="1:4" x14ac:dyDescent="0.25">
      <c r="A5618" s="15">
        <f>Sheet2!A5618</f>
        <v>0</v>
      </c>
      <c r="B5618" s="8">
        <v>13.57</v>
      </c>
      <c r="C5618" s="9">
        <v>0</v>
      </c>
      <c r="D5618" s="13">
        <f t="shared" si="87"/>
        <v>13.57</v>
      </c>
    </row>
    <row r="5619" spans="1:4" x14ac:dyDescent="0.25">
      <c r="A5619" s="15">
        <f>Sheet2!A5619</f>
        <v>0</v>
      </c>
      <c r="B5619" s="8">
        <v>0</v>
      </c>
      <c r="C5619" s="9">
        <v>1.01</v>
      </c>
      <c r="D5619" s="13">
        <f t="shared" si="87"/>
        <v>1.01</v>
      </c>
    </row>
    <row r="5620" spans="1:4" x14ac:dyDescent="0.25">
      <c r="A5620" s="15">
        <f>Sheet2!A5620</f>
        <v>0</v>
      </c>
      <c r="B5620" s="8">
        <v>0</v>
      </c>
      <c r="C5620" s="9">
        <v>2.56</v>
      </c>
      <c r="D5620" s="13">
        <f t="shared" si="87"/>
        <v>2.56</v>
      </c>
    </row>
    <row r="5621" spans="1:4" x14ac:dyDescent="0.25">
      <c r="A5621" s="15">
        <f>Sheet2!A5621</f>
        <v>0</v>
      </c>
      <c r="B5621" s="8">
        <v>0</v>
      </c>
      <c r="C5621" s="9">
        <v>0.72</v>
      </c>
      <c r="D5621" s="13">
        <f t="shared" si="87"/>
        <v>0.72</v>
      </c>
    </row>
    <row r="5622" spans="1:4" x14ac:dyDescent="0.25">
      <c r="A5622" s="15">
        <f>Sheet2!A5622</f>
        <v>0</v>
      </c>
      <c r="B5622" s="8">
        <v>12.46</v>
      </c>
      <c r="C5622" s="9">
        <v>0</v>
      </c>
      <c r="D5622" s="13">
        <f t="shared" si="87"/>
        <v>12.46</v>
      </c>
    </row>
    <row r="5623" spans="1:4" x14ac:dyDescent="0.25">
      <c r="A5623" s="15">
        <f>Sheet2!A5623</f>
        <v>0</v>
      </c>
      <c r="B5623" s="8">
        <v>12.92</v>
      </c>
      <c r="C5623" s="9">
        <v>0</v>
      </c>
      <c r="D5623" s="13">
        <f t="shared" si="87"/>
        <v>12.92</v>
      </c>
    </row>
    <row r="5624" spans="1:4" x14ac:dyDescent="0.25">
      <c r="A5624" s="15">
        <f>Sheet2!A5624</f>
        <v>0</v>
      </c>
      <c r="B5624" s="8">
        <v>13.15</v>
      </c>
      <c r="C5624" s="9">
        <v>0</v>
      </c>
      <c r="D5624" s="13">
        <f t="shared" si="87"/>
        <v>13.15</v>
      </c>
    </row>
    <row r="5625" spans="1:4" x14ac:dyDescent="0.25">
      <c r="A5625" s="15">
        <f>Sheet2!A5625</f>
        <v>0</v>
      </c>
      <c r="B5625" s="8">
        <v>14.32</v>
      </c>
      <c r="C5625" s="9">
        <v>0</v>
      </c>
      <c r="D5625" s="13">
        <f t="shared" si="87"/>
        <v>14.32</v>
      </c>
    </row>
    <row r="5626" spans="1:4" x14ac:dyDescent="0.25">
      <c r="A5626" s="15">
        <f>Sheet2!A5626</f>
        <v>0</v>
      </c>
      <c r="B5626" s="8">
        <v>14.5</v>
      </c>
      <c r="C5626" s="9">
        <v>0</v>
      </c>
      <c r="D5626" s="13">
        <f t="shared" si="87"/>
        <v>14.5</v>
      </c>
    </row>
    <row r="5627" spans="1:4" x14ac:dyDescent="0.25">
      <c r="A5627" s="15">
        <f>Sheet2!A5627</f>
        <v>0</v>
      </c>
      <c r="B5627" s="8">
        <v>2.69</v>
      </c>
      <c r="C5627" s="9">
        <v>0</v>
      </c>
      <c r="D5627" s="13">
        <f t="shared" si="87"/>
        <v>2.69</v>
      </c>
    </row>
    <row r="5628" spans="1:4" x14ac:dyDescent="0.25">
      <c r="A5628" s="15">
        <f>Sheet2!A5628</f>
        <v>0</v>
      </c>
      <c r="B5628" s="8">
        <v>0</v>
      </c>
      <c r="C5628" s="9">
        <v>2.58</v>
      </c>
      <c r="D5628" s="13">
        <f t="shared" si="87"/>
        <v>2.58</v>
      </c>
    </row>
    <row r="5629" spans="1:4" x14ac:dyDescent="0.25">
      <c r="A5629" s="15">
        <f>Sheet2!A5629</f>
        <v>0</v>
      </c>
      <c r="B5629" s="8">
        <v>0</v>
      </c>
      <c r="C5629" s="9">
        <v>1.19</v>
      </c>
      <c r="D5629" s="13">
        <f t="shared" si="87"/>
        <v>1.19</v>
      </c>
    </row>
    <row r="5630" spans="1:4" x14ac:dyDescent="0.25">
      <c r="A5630" s="15">
        <f>Sheet2!A5630</f>
        <v>0</v>
      </c>
      <c r="B5630" s="8">
        <v>15.46</v>
      </c>
      <c r="C5630" s="9">
        <v>0</v>
      </c>
      <c r="D5630" s="13">
        <f t="shared" si="87"/>
        <v>15.46</v>
      </c>
    </row>
    <row r="5631" spans="1:4" x14ac:dyDescent="0.25">
      <c r="A5631" s="15">
        <f>Sheet2!A5631</f>
        <v>0</v>
      </c>
      <c r="B5631" s="8">
        <v>0</v>
      </c>
      <c r="C5631" s="9">
        <v>1.67</v>
      </c>
      <c r="D5631" s="13">
        <f t="shared" si="87"/>
        <v>1.67</v>
      </c>
    </row>
    <row r="5632" spans="1:4" x14ac:dyDescent="0.25">
      <c r="A5632" s="15">
        <f>Sheet2!A5632</f>
        <v>0</v>
      </c>
      <c r="B5632" s="8">
        <v>0</v>
      </c>
      <c r="C5632" s="9">
        <v>3.86</v>
      </c>
      <c r="D5632" s="13">
        <f t="shared" si="87"/>
        <v>3.86</v>
      </c>
    </row>
    <row r="5633" spans="1:4" x14ac:dyDescent="0.25">
      <c r="A5633" s="15">
        <f>Sheet2!A5633</f>
        <v>0</v>
      </c>
      <c r="B5633" s="8">
        <v>0</v>
      </c>
      <c r="C5633" s="9">
        <v>1.54</v>
      </c>
      <c r="D5633" s="13">
        <f t="shared" si="87"/>
        <v>1.54</v>
      </c>
    </row>
    <row r="5634" spans="1:4" x14ac:dyDescent="0.25">
      <c r="A5634" s="15">
        <f>Sheet2!A5634</f>
        <v>0</v>
      </c>
      <c r="B5634" s="8">
        <v>14.77</v>
      </c>
      <c r="C5634" s="9">
        <v>0</v>
      </c>
      <c r="D5634" s="13">
        <f t="shared" si="87"/>
        <v>14.77</v>
      </c>
    </row>
    <row r="5635" spans="1:4" x14ac:dyDescent="0.25">
      <c r="A5635" s="15">
        <f>Sheet2!A5635</f>
        <v>0</v>
      </c>
      <c r="B5635" s="8">
        <v>0</v>
      </c>
      <c r="C5635" s="9">
        <v>1.84</v>
      </c>
      <c r="D5635" s="13">
        <f t="shared" ref="D5635:D5698" si="88">B5635+C5635</f>
        <v>1.84</v>
      </c>
    </row>
    <row r="5636" spans="1:4" x14ac:dyDescent="0.25">
      <c r="A5636" s="15">
        <f>Sheet2!A5636</f>
        <v>0</v>
      </c>
      <c r="B5636" s="8">
        <v>0</v>
      </c>
      <c r="C5636" s="9">
        <v>3.41</v>
      </c>
      <c r="D5636" s="13">
        <f t="shared" si="88"/>
        <v>3.41</v>
      </c>
    </row>
    <row r="5637" spans="1:4" x14ac:dyDescent="0.25">
      <c r="A5637" s="15">
        <f>Sheet2!A5637</f>
        <v>0</v>
      </c>
      <c r="B5637" s="8">
        <v>0</v>
      </c>
      <c r="C5637" s="9">
        <v>1.1100000000000001</v>
      </c>
      <c r="D5637" s="13">
        <f t="shared" si="88"/>
        <v>1.1100000000000001</v>
      </c>
    </row>
    <row r="5638" spans="1:4" x14ac:dyDescent="0.25">
      <c r="A5638" s="15">
        <f>Sheet2!A5638</f>
        <v>0</v>
      </c>
      <c r="B5638" s="8">
        <v>16.88</v>
      </c>
      <c r="C5638" s="9">
        <v>0</v>
      </c>
      <c r="D5638" s="13">
        <f t="shared" si="88"/>
        <v>16.88</v>
      </c>
    </row>
    <row r="5639" spans="1:4" x14ac:dyDescent="0.25">
      <c r="A5639" s="15">
        <f>Sheet2!A5639</f>
        <v>0</v>
      </c>
      <c r="B5639" s="8">
        <v>0</v>
      </c>
      <c r="C5639" s="9">
        <v>1.1000000000000001</v>
      </c>
      <c r="D5639" s="13">
        <f t="shared" si="88"/>
        <v>1.1000000000000001</v>
      </c>
    </row>
    <row r="5640" spans="1:4" x14ac:dyDescent="0.25">
      <c r="A5640" s="15">
        <f>Sheet2!A5640</f>
        <v>0</v>
      </c>
      <c r="B5640" s="8">
        <v>0</v>
      </c>
      <c r="C5640" s="9">
        <v>0.27</v>
      </c>
      <c r="D5640" s="13">
        <f t="shared" si="88"/>
        <v>0.27</v>
      </c>
    </row>
    <row r="5641" spans="1:4" x14ac:dyDescent="0.25">
      <c r="A5641" s="15">
        <f>Sheet2!A5641</f>
        <v>0</v>
      </c>
      <c r="B5641" s="8">
        <v>0</v>
      </c>
      <c r="C5641" s="9">
        <v>0.24</v>
      </c>
      <c r="D5641" s="13">
        <f t="shared" si="88"/>
        <v>0.24</v>
      </c>
    </row>
    <row r="5642" spans="1:4" x14ac:dyDescent="0.25">
      <c r="A5642" s="15">
        <f>Sheet2!A5642</f>
        <v>0</v>
      </c>
      <c r="B5642" s="8">
        <v>14.07</v>
      </c>
      <c r="C5642" s="9">
        <v>0</v>
      </c>
      <c r="D5642" s="13">
        <f t="shared" si="88"/>
        <v>14.07</v>
      </c>
    </row>
    <row r="5643" spans="1:4" x14ac:dyDescent="0.25">
      <c r="A5643" s="15">
        <f>Sheet2!A5643</f>
        <v>0</v>
      </c>
      <c r="B5643" s="8">
        <v>0</v>
      </c>
      <c r="C5643" s="9">
        <v>0.42</v>
      </c>
      <c r="D5643" s="13">
        <f t="shared" si="88"/>
        <v>0.42</v>
      </c>
    </row>
    <row r="5644" spans="1:4" x14ac:dyDescent="0.25">
      <c r="A5644" s="15">
        <f>Sheet2!A5644</f>
        <v>0</v>
      </c>
      <c r="B5644" s="8">
        <v>0</v>
      </c>
      <c r="C5644" s="9">
        <v>0.56999999999999995</v>
      </c>
      <c r="D5644" s="13">
        <f t="shared" si="88"/>
        <v>0.56999999999999995</v>
      </c>
    </row>
    <row r="5645" spans="1:4" x14ac:dyDescent="0.25">
      <c r="A5645" s="15">
        <f>Sheet2!A5645</f>
        <v>0</v>
      </c>
      <c r="B5645" s="8">
        <v>0</v>
      </c>
      <c r="C5645" s="9">
        <v>0.27</v>
      </c>
      <c r="D5645" s="13">
        <f t="shared" si="88"/>
        <v>0.27</v>
      </c>
    </row>
    <row r="5646" spans="1:4" x14ac:dyDescent="0.25">
      <c r="A5646" s="15">
        <f>Sheet2!A5646</f>
        <v>0</v>
      </c>
      <c r="B5646" s="8">
        <v>11.01</v>
      </c>
      <c r="C5646" s="9">
        <v>0</v>
      </c>
      <c r="D5646" s="13">
        <f t="shared" si="88"/>
        <v>11.01</v>
      </c>
    </row>
    <row r="5647" spans="1:4" x14ac:dyDescent="0.25">
      <c r="A5647" s="15">
        <f>Sheet2!A5647</f>
        <v>0</v>
      </c>
      <c r="B5647" s="8">
        <v>11.59</v>
      </c>
      <c r="C5647" s="9">
        <v>0</v>
      </c>
      <c r="D5647" s="13">
        <f t="shared" si="88"/>
        <v>11.59</v>
      </c>
    </row>
    <row r="5648" spans="1:4" x14ac:dyDescent="0.25">
      <c r="A5648" s="15">
        <f>Sheet2!A5648</f>
        <v>0</v>
      </c>
      <c r="B5648" s="8">
        <v>12.86</v>
      </c>
      <c r="C5648" s="9">
        <v>0</v>
      </c>
      <c r="D5648" s="13">
        <f t="shared" si="88"/>
        <v>12.86</v>
      </c>
    </row>
    <row r="5649" spans="1:4" x14ac:dyDescent="0.25">
      <c r="A5649" s="15">
        <f>Sheet2!A5649</f>
        <v>0</v>
      </c>
      <c r="B5649" s="8">
        <v>12.58</v>
      </c>
      <c r="C5649" s="9">
        <v>0</v>
      </c>
      <c r="D5649" s="13">
        <f t="shared" si="88"/>
        <v>12.58</v>
      </c>
    </row>
    <row r="5650" spans="1:4" x14ac:dyDescent="0.25">
      <c r="A5650" s="15">
        <f>Sheet2!A5650</f>
        <v>0</v>
      </c>
      <c r="B5650" s="8">
        <v>12.4</v>
      </c>
      <c r="C5650" s="9">
        <v>0</v>
      </c>
      <c r="D5650" s="13">
        <f t="shared" si="88"/>
        <v>12.4</v>
      </c>
    </row>
    <row r="5651" spans="1:4" x14ac:dyDescent="0.25">
      <c r="A5651" s="15">
        <f>Sheet2!A5651</f>
        <v>0</v>
      </c>
      <c r="B5651" s="8">
        <v>0</v>
      </c>
      <c r="C5651" s="9">
        <v>2.0699999999999998</v>
      </c>
      <c r="D5651" s="13">
        <f t="shared" si="88"/>
        <v>2.0699999999999998</v>
      </c>
    </row>
    <row r="5652" spans="1:4" x14ac:dyDescent="0.25">
      <c r="A5652" s="15">
        <f>Sheet2!A5652</f>
        <v>0</v>
      </c>
      <c r="B5652" s="8">
        <v>0</v>
      </c>
      <c r="C5652" s="9">
        <v>2.85</v>
      </c>
      <c r="D5652" s="13">
        <f t="shared" si="88"/>
        <v>2.85</v>
      </c>
    </row>
    <row r="5653" spans="1:4" x14ac:dyDescent="0.25">
      <c r="A5653" s="15">
        <f>Sheet2!A5653</f>
        <v>0</v>
      </c>
      <c r="B5653" s="8">
        <v>0</v>
      </c>
      <c r="C5653" s="9">
        <v>1.02</v>
      </c>
      <c r="D5653" s="13">
        <f t="shared" si="88"/>
        <v>1.02</v>
      </c>
    </row>
    <row r="5654" spans="1:4" x14ac:dyDescent="0.25">
      <c r="A5654" s="15">
        <f>Sheet2!A5654</f>
        <v>0</v>
      </c>
      <c r="B5654" s="8">
        <v>14.4</v>
      </c>
      <c r="C5654" s="9">
        <v>0</v>
      </c>
      <c r="D5654" s="13">
        <f t="shared" si="88"/>
        <v>14.4</v>
      </c>
    </row>
    <row r="5655" spans="1:4" x14ac:dyDescent="0.25">
      <c r="A5655" s="15">
        <f>Sheet2!A5655</f>
        <v>0</v>
      </c>
      <c r="B5655" s="8">
        <v>0</v>
      </c>
      <c r="C5655" s="9">
        <v>1.1000000000000001</v>
      </c>
      <c r="D5655" s="13">
        <f t="shared" si="88"/>
        <v>1.1000000000000001</v>
      </c>
    </row>
    <row r="5656" spans="1:4" x14ac:dyDescent="0.25">
      <c r="A5656" s="15">
        <f>Sheet2!A5656</f>
        <v>0</v>
      </c>
      <c r="B5656" s="8">
        <v>0</v>
      </c>
      <c r="C5656" s="9">
        <v>3.42</v>
      </c>
      <c r="D5656" s="13">
        <f t="shared" si="88"/>
        <v>3.42</v>
      </c>
    </row>
    <row r="5657" spans="1:4" x14ac:dyDescent="0.25">
      <c r="A5657" s="15">
        <f>Sheet2!A5657</f>
        <v>0</v>
      </c>
      <c r="B5657" s="8">
        <v>0</v>
      </c>
      <c r="C5657" s="9">
        <v>0.86</v>
      </c>
      <c r="D5657" s="13">
        <f t="shared" si="88"/>
        <v>0.86</v>
      </c>
    </row>
    <row r="5658" spans="1:4" x14ac:dyDescent="0.25">
      <c r="A5658" s="15">
        <f>Sheet2!A5658</f>
        <v>0</v>
      </c>
      <c r="B5658" s="8">
        <v>15.35</v>
      </c>
      <c r="C5658" s="9">
        <v>0</v>
      </c>
      <c r="D5658" s="13">
        <f t="shared" si="88"/>
        <v>15.35</v>
      </c>
    </row>
    <row r="5659" spans="1:4" x14ac:dyDescent="0.25">
      <c r="A5659" s="15">
        <f>Sheet2!A5659</f>
        <v>0</v>
      </c>
      <c r="B5659" s="8">
        <v>0</v>
      </c>
      <c r="C5659" s="9">
        <v>0.97</v>
      </c>
      <c r="D5659" s="13">
        <f t="shared" si="88"/>
        <v>0.97</v>
      </c>
    </row>
    <row r="5660" spans="1:4" x14ac:dyDescent="0.25">
      <c r="A5660" s="15">
        <f>Sheet2!A5660</f>
        <v>0</v>
      </c>
      <c r="B5660" s="8">
        <v>0</v>
      </c>
      <c r="C5660" s="9">
        <v>3.69</v>
      </c>
      <c r="D5660" s="13">
        <f t="shared" si="88"/>
        <v>3.69</v>
      </c>
    </row>
    <row r="5661" spans="1:4" x14ac:dyDescent="0.25">
      <c r="A5661" s="15">
        <f>Sheet2!A5661</f>
        <v>0</v>
      </c>
      <c r="B5661" s="8">
        <v>0</v>
      </c>
      <c r="C5661" s="9">
        <v>1.19</v>
      </c>
      <c r="D5661" s="13">
        <f t="shared" si="88"/>
        <v>1.19</v>
      </c>
    </row>
    <row r="5662" spans="1:4" x14ac:dyDescent="0.25">
      <c r="A5662" s="15">
        <f>Sheet2!A5662</f>
        <v>0</v>
      </c>
      <c r="B5662" s="8">
        <v>10.67</v>
      </c>
      <c r="C5662" s="9">
        <v>0</v>
      </c>
      <c r="D5662" s="13">
        <f t="shared" si="88"/>
        <v>10.67</v>
      </c>
    </row>
    <row r="5663" spans="1:4" x14ac:dyDescent="0.25">
      <c r="A5663" s="15">
        <f>Sheet2!A5663</f>
        <v>0</v>
      </c>
      <c r="B5663" s="8">
        <v>0</v>
      </c>
      <c r="C5663" s="9">
        <v>0.59</v>
      </c>
      <c r="D5663" s="13">
        <f t="shared" si="88"/>
        <v>0.59</v>
      </c>
    </row>
    <row r="5664" spans="1:4" x14ac:dyDescent="0.25">
      <c r="A5664" s="15">
        <f>Sheet2!A5664</f>
        <v>0</v>
      </c>
      <c r="B5664" s="8">
        <v>0</v>
      </c>
      <c r="C5664" s="9">
        <v>1.46</v>
      </c>
      <c r="D5664" s="13">
        <f t="shared" si="88"/>
        <v>1.46</v>
      </c>
    </row>
    <row r="5665" spans="1:4" x14ac:dyDescent="0.25">
      <c r="A5665" s="15">
        <f>Sheet2!A5665</f>
        <v>0</v>
      </c>
      <c r="B5665" s="8">
        <v>0</v>
      </c>
      <c r="C5665" s="9">
        <v>0.63</v>
      </c>
      <c r="D5665" s="13">
        <f t="shared" si="88"/>
        <v>0.63</v>
      </c>
    </row>
    <row r="5666" spans="1:4" x14ac:dyDescent="0.25">
      <c r="A5666" s="15">
        <f>Sheet2!A5666</f>
        <v>0</v>
      </c>
      <c r="B5666" s="8">
        <v>15.1</v>
      </c>
      <c r="C5666" s="9">
        <v>0</v>
      </c>
      <c r="D5666" s="13">
        <f t="shared" si="88"/>
        <v>15.1</v>
      </c>
    </row>
    <row r="5667" spans="1:4" x14ac:dyDescent="0.25">
      <c r="A5667" s="15">
        <f>Sheet2!A5667</f>
        <v>0</v>
      </c>
      <c r="B5667" s="8">
        <v>0</v>
      </c>
      <c r="C5667" s="9">
        <v>1.06</v>
      </c>
      <c r="D5667" s="13">
        <f t="shared" si="88"/>
        <v>1.06</v>
      </c>
    </row>
    <row r="5668" spans="1:4" x14ac:dyDescent="0.25">
      <c r="A5668" s="15">
        <f>Sheet2!A5668</f>
        <v>0</v>
      </c>
      <c r="B5668" s="8">
        <v>0</v>
      </c>
      <c r="C5668" s="9">
        <v>2.44</v>
      </c>
      <c r="D5668" s="13">
        <f t="shared" si="88"/>
        <v>2.44</v>
      </c>
    </row>
    <row r="5669" spans="1:4" x14ac:dyDescent="0.25">
      <c r="A5669" s="15">
        <f>Sheet2!A5669</f>
        <v>0</v>
      </c>
      <c r="B5669" s="8">
        <v>0</v>
      </c>
      <c r="C5669" s="9">
        <v>1.71</v>
      </c>
      <c r="D5669" s="13">
        <f t="shared" si="88"/>
        <v>1.71</v>
      </c>
    </row>
    <row r="5670" spans="1:4" x14ac:dyDescent="0.25">
      <c r="A5670" s="15">
        <f>Sheet2!A5670</f>
        <v>0</v>
      </c>
      <c r="B5670" s="8">
        <v>10.77</v>
      </c>
      <c r="C5670" s="9">
        <v>0</v>
      </c>
      <c r="D5670" s="13">
        <f t="shared" si="88"/>
        <v>10.77</v>
      </c>
    </row>
    <row r="5671" spans="1:4" x14ac:dyDescent="0.25">
      <c r="A5671" s="15">
        <f>Sheet2!A5671</f>
        <v>0</v>
      </c>
      <c r="B5671" s="8">
        <v>0</v>
      </c>
      <c r="C5671" s="9">
        <v>1.57</v>
      </c>
      <c r="D5671" s="13">
        <f t="shared" si="88"/>
        <v>1.57</v>
      </c>
    </row>
    <row r="5672" spans="1:4" x14ac:dyDescent="0.25">
      <c r="A5672" s="15">
        <f>Sheet2!A5672</f>
        <v>0</v>
      </c>
      <c r="B5672" s="8">
        <v>0</v>
      </c>
      <c r="C5672" s="9">
        <v>2.88</v>
      </c>
      <c r="D5672" s="13">
        <f t="shared" si="88"/>
        <v>2.88</v>
      </c>
    </row>
    <row r="5673" spans="1:4" x14ac:dyDescent="0.25">
      <c r="A5673" s="15">
        <f>Sheet2!A5673</f>
        <v>0</v>
      </c>
      <c r="B5673" s="8">
        <v>0</v>
      </c>
      <c r="C5673" s="9">
        <v>0.95</v>
      </c>
      <c r="D5673" s="13">
        <f t="shared" si="88"/>
        <v>0.95</v>
      </c>
    </row>
    <row r="5674" spans="1:4" x14ac:dyDescent="0.25">
      <c r="A5674" s="15">
        <f>Sheet2!A5674</f>
        <v>0</v>
      </c>
      <c r="B5674" s="8">
        <v>13.38</v>
      </c>
      <c r="C5674" s="9">
        <v>0</v>
      </c>
      <c r="D5674" s="13">
        <f t="shared" si="88"/>
        <v>13.38</v>
      </c>
    </row>
    <row r="5675" spans="1:4" x14ac:dyDescent="0.25">
      <c r="A5675" s="15">
        <f>Sheet2!A5675</f>
        <v>0</v>
      </c>
      <c r="B5675" s="8">
        <v>0</v>
      </c>
      <c r="C5675" s="9">
        <v>0.2</v>
      </c>
      <c r="D5675" s="13">
        <f t="shared" si="88"/>
        <v>0.2</v>
      </c>
    </row>
    <row r="5676" spans="1:4" x14ac:dyDescent="0.25">
      <c r="A5676" s="15">
        <f>Sheet2!A5676</f>
        <v>0</v>
      </c>
      <c r="B5676" s="8">
        <v>0</v>
      </c>
      <c r="C5676" s="9">
        <v>0.67</v>
      </c>
      <c r="D5676" s="13">
        <f t="shared" si="88"/>
        <v>0.67</v>
      </c>
    </row>
    <row r="5677" spans="1:4" x14ac:dyDescent="0.25">
      <c r="A5677" s="15">
        <f>Sheet2!A5677</f>
        <v>0</v>
      </c>
      <c r="B5677" s="8">
        <v>7.71</v>
      </c>
      <c r="C5677" s="9">
        <v>0</v>
      </c>
      <c r="D5677" s="13">
        <f t="shared" si="88"/>
        <v>7.71</v>
      </c>
    </row>
    <row r="5678" spans="1:4" x14ac:dyDescent="0.25">
      <c r="A5678" s="15">
        <f>Sheet2!A5678</f>
        <v>0</v>
      </c>
      <c r="B5678" s="8">
        <v>15.18</v>
      </c>
      <c r="C5678" s="9">
        <v>0</v>
      </c>
      <c r="D5678" s="13">
        <f t="shared" si="88"/>
        <v>15.18</v>
      </c>
    </row>
    <row r="5679" spans="1:4" x14ac:dyDescent="0.25">
      <c r="A5679" s="15">
        <f>Sheet2!A5679</f>
        <v>0</v>
      </c>
      <c r="B5679" s="8">
        <v>0</v>
      </c>
      <c r="C5679" s="9">
        <v>1.01</v>
      </c>
      <c r="D5679" s="13">
        <f t="shared" si="88"/>
        <v>1.01</v>
      </c>
    </row>
    <row r="5680" spans="1:4" x14ac:dyDescent="0.25">
      <c r="A5680" s="15">
        <f>Sheet2!A5680</f>
        <v>0</v>
      </c>
      <c r="B5680" s="8">
        <v>0</v>
      </c>
      <c r="C5680" s="9">
        <v>1.1299999999999999</v>
      </c>
      <c r="D5680" s="13">
        <f t="shared" si="88"/>
        <v>1.1299999999999999</v>
      </c>
    </row>
    <row r="5681" spans="1:4" x14ac:dyDescent="0.25">
      <c r="A5681" s="15">
        <f>Sheet2!A5681</f>
        <v>0</v>
      </c>
      <c r="B5681" s="8">
        <v>0</v>
      </c>
      <c r="C5681" s="9">
        <v>2.06</v>
      </c>
      <c r="D5681" s="13">
        <f t="shared" si="88"/>
        <v>2.06</v>
      </c>
    </row>
    <row r="5682" spans="1:4" x14ac:dyDescent="0.25">
      <c r="A5682" s="15">
        <f>Sheet2!A5682</f>
        <v>0</v>
      </c>
      <c r="B5682" s="8">
        <v>0</v>
      </c>
      <c r="C5682" s="9">
        <v>2.23</v>
      </c>
      <c r="D5682" s="13">
        <f t="shared" si="88"/>
        <v>2.23</v>
      </c>
    </row>
    <row r="5683" spans="1:4" x14ac:dyDescent="0.25">
      <c r="A5683" s="15">
        <f>Sheet2!A5683</f>
        <v>0</v>
      </c>
      <c r="B5683" s="8">
        <v>10.38</v>
      </c>
      <c r="C5683" s="9">
        <v>0</v>
      </c>
      <c r="D5683" s="13">
        <f t="shared" si="88"/>
        <v>10.38</v>
      </c>
    </row>
    <row r="5684" spans="1:4" x14ac:dyDescent="0.25">
      <c r="A5684" s="15">
        <f>Sheet2!A5684</f>
        <v>0</v>
      </c>
      <c r="B5684" s="8">
        <v>17.59</v>
      </c>
      <c r="C5684" s="9">
        <v>0</v>
      </c>
      <c r="D5684" s="13">
        <f t="shared" si="88"/>
        <v>17.59</v>
      </c>
    </row>
    <row r="5685" spans="1:4" x14ac:dyDescent="0.25">
      <c r="A5685" s="15">
        <f>Sheet2!A5685</f>
        <v>0</v>
      </c>
      <c r="B5685" s="8">
        <v>0</v>
      </c>
      <c r="C5685" s="9">
        <v>0.97</v>
      </c>
      <c r="D5685" s="13">
        <f t="shared" si="88"/>
        <v>0.97</v>
      </c>
    </row>
    <row r="5686" spans="1:4" x14ac:dyDescent="0.25">
      <c r="A5686" s="15">
        <f>Sheet2!A5686</f>
        <v>0</v>
      </c>
      <c r="B5686" s="8">
        <v>0</v>
      </c>
      <c r="C5686" s="9">
        <v>1.54</v>
      </c>
      <c r="D5686" s="13">
        <f t="shared" si="88"/>
        <v>1.54</v>
      </c>
    </row>
    <row r="5687" spans="1:4" x14ac:dyDescent="0.25">
      <c r="A5687" s="15">
        <f>Sheet2!A5687</f>
        <v>0</v>
      </c>
      <c r="B5687" s="8">
        <v>9.26</v>
      </c>
      <c r="C5687" s="9">
        <v>0</v>
      </c>
      <c r="D5687" s="13">
        <f t="shared" si="88"/>
        <v>9.26</v>
      </c>
    </row>
    <row r="5688" spans="1:4" x14ac:dyDescent="0.25">
      <c r="A5688" s="15">
        <f>Sheet2!A5688</f>
        <v>0</v>
      </c>
      <c r="B5688" s="8">
        <v>14.65</v>
      </c>
      <c r="C5688" s="9">
        <v>0</v>
      </c>
      <c r="D5688" s="13">
        <f t="shared" si="88"/>
        <v>14.65</v>
      </c>
    </row>
    <row r="5689" spans="1:4" x14ac:dyDescent="0.25">
      <c r="A5689" s="15">
        <f>Sheet2!A5689</f>
        <v>0</v>
      </c>
      <c r="B5689" s="8">
        <v>0</v>
      </c>
      <c r="C5689" s="9">
        <v>0.67</v>
      </c>
      <c r="D5689" s="13">
        <f t="shared" si="88"/>
        <v>0.67</v>
      </c>
    </row>
    <row r="5690" spans="1:4" x14ac:dyDescent="0.25">
      <c r="A5690" s="15">
        <f>Sheet2!A5690</f>
        <v>0</v>
      </c>
      <c r="B5690" s="8">
        <v>0</v>
      </c>
      <c r="C5690" s="9">
        <v>0.51</v>
      </c>
      <c r="D5690" s="13">
        <f t="shared" si="88"/>
        <v>0.51</v>
      </c>
    </row>
    <row r="5691" spans="1:4" x14ac:dyDescent="0.25">
      <c r="A5691" s="15">
        <f>Sheet2!A5691</f>
        <v>0</v>
      </c>
      <c r="B5691" s="8">
        <v>0</v>
      </c>
      <c r="C5691" s="9">
        <v>0.54</v>
      </c>
      <c r="D5691" s="13">
        <f t="shared" si="88"/>
        <v>0.54</v>
      </c>
    </row>
    <row r="5692" spans="1:4" x14ac:dyDescent="0.25">
      <c r="A5692" s="15">
        <f>Sheet2!A5692</f>
        <v>0</v>
      </c>
      <c r="B5692" s="8">
        <v>11.09</v>
      </c>
      <c r="C5692" s="9">
        <v>0</v>
      </c>
      <c r="D5692" s="13">
        <f t="shared" si="88"/>
        <v>11.09</v>
      </c>
    </row>
    <row r="5693" spans="1:4" x14ac:dyDescent="0.25">
      <c r="A5693" s="15">
        <f>Sheet2!A5693</f>
        <v>0</v>
      </c>
      <c r="B5693" s="8">
        <v>0</v>
      </c>
      <c r="C5693" s="9">
        <v>1.79</v>
      </c>
      <c r="D5693" s="13">
        <f t="shared" si="88"/>
        <v>1.79</v>
      </c>
    </row>
    <row r="5694" spans="1:4" x14ac:dyDescent="0.25">
      <c r="A5694" s="15">
        <f>Sheet2!A5694</f>
        <v>0</v>
      </c>
      <c r="B5694" s="8">
        <v>0</v>
      </c>
      <c r="C5694" s="9">
        <v>3.36</v>
      </c>
      <c r="D5694" s="13">
        <f t="shared" si="88"/>
        <v>3.36</v>
      </c>
    </row>
    <row r="5695" spans="1:4" x14ac:dyDescent="0.25">
      <c r="A5695" s="15">
        <f>Sheet2!A5695</f>
        <v>0</v>
      </c>
      <c r="B5695" s="8">
        <v>0</v>
      </c>
      <c r="C5695" s="9">
        <v>0.9</v>
      </c>
      <c r="D5695" s="13">
        <f t="shared" si="88"/>
        <v>0.9</v>
      </c>
    </row>
    <row r="5696" spans="1:4" x14ac:dyDescent="0.25">
      <c r="A5696" s="15">
        <f>Sheet2!A5696</f>
        <v>0</v>
      </c>
      <c r="B5696" s="8">
        <v>12.07</v>
      </c>
      <c r="C5696" s="9">
        <v>0</v>
      </c>
      <c r="D5696" s="13">
        <f t="shared" si="88"/>
        <v>12.07</v>
      </c>
    </row>
    <row r="5697" spans="1:4" x14ac:dyDescent="0.25">
      <c r="A5697" s="15">
        <f>Sheet2!A5697</f>
        <v>0</v>
      </c>
      <c r="B5697" s="8">
        <v>12.29</v>
      </c>
      <c r="C5697" s="9">
        <v>0</v>
      </c>
      <c r="D5697" s="13">
        <f t="shared" si="88"/>
        <v>12.29</v>
      </c>
    </row>
    <row r="5698" spans="1:4" x14ac:dyDescent="0.25">
      <c r="A5698" s="15">
        <f>Sheet2!A5698</f>
        <v>0</v>
      </c>
      <c r="B5698" s="8">
        <v>0</v>
      </c>
      <c r="C5698" s="9">
        <v>0.66</v>
      </c>
      <c r="D5698" s="13">
        <f t="shared" si="88"/>
        <v>0.66</v>
      </c>
    </row>
    <row r="5699" spans="1:4" x14ac:dyDescent="0.25">
      <c r="A5699" s="15">
        <f>Sheet2!A5699</f>
        <v>0</v>
      </c>
      <c r="B5699" s="8">
        <v>0</v>
      </c>
      <c r="C5699" s="9">
        <v>1.52</v>
      </c>
      <c r="D5699" s="13">
        <f t="shared" ref="D5699:D5762" si="89">B5699+C5699</f>
        <v>1.52</v>
      </c>
    </row>
    <row r="5700" spans="1:4" x14ac:dyDescent="0.25">
      <c r="A5700" s="15">
        <f>Sheet2!A5700</f>
        <v>0</v>
      </c>
      <c r="B5700" s="8">
        <v>0</v>
      </c>
      <c r="C5700" s="9">
        <v>3.18</v>
      </c>
      <c r="D5700" s="13">
        <f t="shared" si="89"/>
        <v>3.18</v>
      </c>
    </row>
    <row r="5701" spans="1:4" x14ac:dyDescent="0.25">
      <c r="A5701" s="15">
        <f>Sheet2!A5701</f>
        <v>0</v>
      </c>
      <c r="B5701" s="8">
        <v>0</v>
      </c>
      <c r="C5701" s="9">
        <v>2.68</v>
      </c>
      <c r="D5701" s="13">
        <f t="shared" si="89"/>
        <v>2.68</v>
      </c>
    </row>
    <row r="5702" spans="1:4" x14ac:dyDescent="0.25">
      <c r="A5702" s="15">
        <f>Sheet2!A5702</f>
        <v>0</v>
      </c>
      <c r="B5702" s="8">
        <v>0</v>
      </c>
      <c r="C5702" s="9">
        <v>1.21</v>
      </c>
      <c r="D5702" s="13">
        <f t="shared" si="89"/>
        <v>1.21</v>
      </c>
    </row>
    <row r="5703" spans="1:4" x14ac:dyDescent="0.25">
      <c r="A5703" s="15">
        <f>Sheet2!A5703</f>
        <v>0</v>
      </c>
      <c r="B5703" s="8">
        <v>7.6</v>
      </c>
      <c r="C5703" s="9">
        <v>0</v>
      </c>
      <c r="D5703" s="13">
        <f t="shared" si="89"/>
        <v>7.6</v>
      </c>
    </row>
    <row r="5704" spans="1:4" x14ac:dyDescent="0.25">
      <c r="A5704" s="15">
        <f>Sheet2!A5704</f>
        <v>0</v>
      </c>
      <c r="B5704" s="8">
        <v>7.49</v>
      </c>
      <c r="C5704" s="9">
        <v>0</v>
      </c>
      <c r="D5704" s="13">
        <f t="shared" si="89"/>
        <v>7.49</v>
      </c>
    </row>
    <row r="5705" spans="1:4" x14ac:dyDescent="0.25">
      <c r="A5705" s="15">
        <f>Sheet2!A5705</f>
        <v>0</v>
      </c>
      <c r="B5705" s="8">
        <v>0</v>
      </c>
      <c r="C5705" s="9">
        <v>0.95</v>
      </c>
      <c r="D5705" s="13">
        <f t="shared" si="89"/>
        <v>0.95</v>
      </c>
    </row>
    <row r="5706" spans="1:4" x14ac:dyDescent="0.25">
      <c r="A5706" s="15">
        <f>Sheet2!A5706</f>
        <v>0</v>
      </c>
      <c r="B5706" s="8">
        <v>0</v>
      </c>
      <c r="C5706" s="9">
        <v>3.44</v>
      </c>
      <c r="D5706" s="13">
        <f t="shared" si="89"/>
        <v>3.44</v>
      </c>
    </row>
    <row r="5707" spans="1:4" x14ac:dyDescent="0.25">
      <c r="A5707" s="15">
        <f>Sheet2!A5707</f>
        <v>0</v>
      </c>
      <c r="B5707" s="8">
        <v>0</v>
      </c>
      <c r="C5707" s="9">
        <v>3.18</v>
      </c>
      <c r="D5707" s="13">
        <f t="shared" si="89"/>
        <v>3.18</v>
      </c>
    </row>
    <row r="5708" spans="1:4" x14ac:dyDescent="0.25">
      <c r="A5708" s="15">
        <f>Sheet2!A5708</f>
        <v>0</v>
      </c>
      <c r="B5708" s="8">
        <v>0</v>
      </c>
      <c r="C5708" s="9">
        <v>3.67</v>
      </c>
      <c r="D5708" s="13">
        <f t="shared" si="89"/>
        <v>3.67</v>
      </c>
    </row>
    <row r="5709" spans="1:4" x14ac:dyDescent="0.25">
      <c r="A5709" s="15">
        <f>Sheet2!A5709</f>
        <v>0</v>
      </c>
      <c r="B5709" s="8">
        <v>0</v>
      </c>
      <c r="C5709" s="9">
        <v>1.86</v>
      </c>
      <c r="D5709" s="13">
        <f t="shared" si="89"/>
        <v>1.86</v>
      </c>
    </row>
    <row r="5710" spans="1:4" x14ac:dyDescent="0.25">
      <c r="A5710" s="15">
        <f>Sheet2!A5710</f>
        <v>0</v>
      </c>
      <c r="B5710" s="8">
        <v>11.99</v>
      </c>
      <c r="C5710" s="9">
        <v>0</v>
      </c>
      <c r="D5710" s="13">
        <f t="shared" si="89"/>
        <v>11.99</v>
      </c>
    </row>
    <row r="5711" spans="1:4" x14ac:dyDescent="0.25">
      <c r="A5711" s="15">
        <f>Sheet2!A5711</f>
        <v>0</v>
      </c>
      <c r="B5711" s="8">
        <v>0</v>
      </c>
      <c r="C5711" s="9">
        <v>0.71</v>
      </c>
      <c r="D5711" s="13">
        <f t="shared" si="89"/>
        <v>0.71</v>
      </c>
    </row>
    <row r="5712" spans="1:4" x14ac:dyDescent="0.25">
      <c r="A5712" s="15">
        <f>Sheet2!A5712</f>
        <v>0</v>
      </c>
      <c r="B5712" s="8">
        <v>0</v>
      </c>
      <c r="C5712" s="9">
        <v>3.34</v>
      </c>
      <c r="D5712" s="13">
        <f t="shared" si="89"/>
        <v>3.34</v>
      </c>
    </row>
    <row r="5713" spans="1:4" x14ac:dyDescent="0.25">
      <c r="A5713" s="15">
        <f>Sheet2!A5713</f>
        <v>0</v>
      </c>
      <c r="B5713" s="8">
        <v>0</v>
      </c>
      <c r="C5713" s="9">
        <v>1.38</v>
      </c>
      <c r="D5713" s="13">
        <f t="shared" si="89"/>
        <v>1.38</v>
      </c>
    </row>
    <row r="5714" spans="1:4" x14ac:dyDescent="0.25">
      <c r="A5714" s="15">
        <f>Sheet2!A5714</f>
        <v>0</v>
      </c>
      <c r="B5714" s="8">
        <v>12.89</v>
      </c>
      <c r="C5714" s="9">
        <v>0</v>
      </c>
      <c r="D5714" s="13">
        <f t="shared" si="89"/>
        <v>12.89</v>
      </c>
    </row>
    <row r="5715" spans="1:4" x14ac:dyDescent="0.25">
      <c r="A5715" s="15">
        <f>Sheet2!A5715</f>
        <v>0</v>
      </c>
      <c r="B5715" s="8">
        <v>0</v>
      </c>
      <c r="C5715" s="9">
        <v>1.67</v>
      </c>
      <c r="D5715" s="13">
        <f t="shared" si="89"/>
        <v>1.67</v>
      </c>
    </row>
    <row r="5716" spans="1:4" x14ac:dyDescent="0.25">
      <c r="A5716" s="15">
        <f>Sheet2!A5716</f>
        <v>0</v>
      </c>
      <c r="B5716" s="8">
        <v>0</v>
      </c>
      <c r="C5716" s="9">
        <v>3.6</v>
      </c>
      <c r="D5716" s="13">
        <f t="shared" si="89"/>
        <v>3.6</v>
      </c>
    </row>
    <row r="5717" spans="1:4" x14ac:dyDescent="0.25">
      <c r="A5717" s="15">
        <f>Sheet2!A5717</f>
        <v>0</v>
      </c>
      <c r="B5717" s="8">
        <v>0</v>
      </c>
      <c r="C5717" s="9">
        <v>1.66</v>
      </c>
      <c r="D5717" s="13">
        <f t="shared" si="89"/>
        <v>1.66</v>
      </c>
    </row>
    <row r="5718" spans="1:4" x14ac:dyDescent="0.25">
      <c r="A5718" s="15">
        <f>Sheet2!A5718</f>
        <v>0</v>
      </c>
      <c r="B5718" s="8">
        <v>11.04</v>
      </c>
      <c r="C5718" s="9">
        <v>0</v>
      </c>
      <c r="D5718" s="13">
        <f t="shared" si="89"/>
        <v>11.04</v>
      </c>
    </row>
    <row r="5719" spans="1:4" x14ac:dyDescent="0.25">
      <c r="A5719" s="15">
        <f>Sheet2!A5719</f>
        <v>0</v>
      </c>
      <c r="B5719" s="8">
        <v>0</v>
      </c>
      <c r="C5719" s="9">
        <v>1.87</v>
      </c>
      <c r="D5719" s="13">
        <f t="shared" si="89"/>
        <v>1.87</v>
      </c>
    </row>
    <row r="5720" spans="1:4" x14ac:dyDescent="0.25">
      <c r="A5720" s="15">
        <f>Sheet2!A5720</f>
        <v>0</v>
      </c>
      <c r="B5720" s="8">
        <v>0</v>
      </c>
      <c r="C5720" s="9">
        <v>2.3199999999999998</v>
      </c>
      <c r="D5720" s="13">
        <f t="shared" si="89"/>
        <v>2.3199999999999998</v>
      </c>
    </row>
    <row r="5721" spans="1:4" x14ac:dyDescent="0.25">
      <c r="A5721" s="15">
        <f>Sheet2!A5721</f>
        <v>0</v>
      </c>
      <c r="B5721" s="8">
        <v>6.54</v>
      </c>
      <c r="C5721" s="9">
        <v>0</v>
      </c>
      <c r="D5721" s="13">
        <f t="shared" si="89"/>
        <v>6.54</v>
      </c>
    </row>
    <row r="5722" spans="1:4" x14ac:dyDescent="0.25">
      <c r="A5722" s="15">
        <f>Sheet2!A5722</f>
        <v>0</v>
      </c>
      <c r="B5722" s="8">
        <v>12.57</v>
      </c>
      <c r="C5722" s="9">
        <v>0</v>
      </c>
      <c r="D5722" s="13">
        <f t="shared" si="89"/>
        <v>12.57</v>
      </c>
    </row>
    <row r="5723" spans="1:4" x14ac:dyDescent="0.25">
      <c r="A5723" s="15">
        <f>Sheet2!A5723</f>
        <v>0</v>
      </c>
      <c r="B5723" s="8">
        <v>5.49</v>
      </c>
      <c r="C5723" s="9">
        <v>0</v>
      </c>
      <c r="D5723" s="13">
        <f t="shared" si="89"/>
        <v>5.49</v>
      </c>
    </row>
    <row r="5724" spans="1:4" x14ac:dyDescent="0.25">
      <c r="A5724" s="15">
        <f>Sheet2!A5724</f>
        <v>0</v>
      </c>
      <c r="B5724" s="8">
        <v>5.49</v>
      </c>
      <c r="C5724" s="9">
        <v>0</v>
      </c>
      <c r="D5724" s="13">
        <f t="shared" si="89"/>
        <v>5.49</v>
      </c>
    </row>
    <row r="5725" spans="1:4" x14ac:dyDescent="0.25">
      <c r="A5725" s="15">
        <f>Sheet2!A5725</f>
        <v>0</v>
      </c>
      <c r="B5725" s="8">
        <v>0</v>
      </c>
      <c r="C5725" s="9">
        <v>1.76</v>
      </c>
      <c r="D5725" s="13">
        <f t="shared" si="89"/>
        <v>1.76</v>
      </c>
    </row>
    <row r="5726" spans="1:4" x14ac:dyDescent="0.25">
      <c r="A5726" s="15">
        <f>Sheet2!A5726</f>
        <v>0</v>
      </c>
      <c r="B5726" s="8">
        <v>0</v>
      </c>
      <c r="C5726" s="9">
        <v>1.4</v>
      </c>
      <c r="D5726" s="13">
        <f t="shared" si="89"/>
        <v>1.4</v>
      </c>
    </row>
    <row r="5727" spans="1:4" x14ac:dyDescent="0.25">
      <c r="A5727" s="15">
        <f>Sheet2!A5727</f>
        <v>0</v>
      </c>
      <c r="B5727" s="8">
        <v>0</v>
      </c>
      <c r="C5727" s="9">
        <v>1.99</v>
      </c>
      <c r="D5727" s="13">
        <f t="shared" si="89"/>
        <v>1.99</v>
      </c>
    </row>
    <row r="5728" spans="1:4" x14ac:dyDescent="0.25">
      <c r="A5728" s="15">
        <f>Sheet2!A5728</f>
        <v>0</v>
      </c>
      <c r="B5728" s="8">
        <v>0</v>
      </c>
      <c r="C5728" s="9">
        <v>3.52</v>
      </c>
      <c r="D5728" s="13">
        <f t="shared" si="89"/>
        <v>3.52</v>
      </c>
    </row>
    <row r="5729" spans="1:4" x14ac:dyDescent="0.25">
      <c r="A5729" s="15">
        <f>Sheet2!A5729</f>
        <v>0</v>
      </c>
      <c r="B5729" s="8">
        <v>0</v>
      </c>
      <c r="C5729" s="9">
        <v>3.44</v>
      </c>
      <c r="D5729" s="13">
        <f t="shared" si="89"/>
        <v>3.44</v>
      </c>
    </row>
    <row r="5730" spans="1:4" x14ac:dyDescent="0.25">
      <c r="A5730" s="15">
        <f>Sheet2!A5730</f>
        <v>0</v>
      </c>
      <c r="B5730" s="8">
        <v>0</v>
      </c>
      <c r="C5730" s="9">
        <v>3.23</v>
      </c>
      <c r="D5730" s="13">
        <f t="shared" si="89"/>
        <v>3.23</v>
      </c>
    </row>
    <row r="5731" spans="1:4" x14ac:dyDescent="0.25">
      <c r="A5731" s="15">
        <f>Sheet2!A5731</f>
        <v>0</v>
      </c>
      <c r="B5731" s="8">
        <v>0</v>
      </c>
      <c r="C5731" s="9">
        <v>1.35</v>
      </c>
      <c r="D5731" s="13">
        <f t="shared" si="89"/>
        <v>1.35</v>
      </c>
    </row>
    <row r="5732" spans="1:4" x14ac:dyDescent="0.25">
      <c r="A5732" s="15">
        <f>Sheet2!A5732</f>
        <v>0</v>
      </c>
      <c r="B5732" s="8">
        <v>12.73</v>
      </c>
      <c r="C5732" s="9">
        <v>0</v>
      </c>
      <c r="D5732" s="13">
        <f t="shared" si="89"/>
        <v>12.73</v>
      </c>
    </row>
    <row r="5733" spans="1:4" x14ac:dyDescent="0.25">
      <c r="A5733" s="15">
        <f>Sheet2!A5733</f>
        <v>0</v>
      </c>
      <c r="B5733" s="8">
        <v>0</v>
      </c>
      <c r="C5733" s="9">
        <v>2.38</v>
      </c>
      <c r="D5733" s="13">
        <f t="shared" si="89"/>
        <v>2.38</v>
      </c>
    </row>
    <row r="5734" spans="1:4" x14ac:dyDescent="0.25">
      <c r="A5734" s="15">
        <f>Sheet2!A5734</f>
        <v>0</v>
      </c>
      <c r="B5734" s="8">
        <v>0</v>
      </c>
      <c r="C5734" s="9">
        <v>3.26</v>
      </c>
      <c r="D5734" s="13">
        <f t="shared" si="89"/>
        <v>3.26</v>
      </c>
    </row>
    <row r="5735" spans="1:4" x14ac:dyDescent="0.25">
      <c r="A5735" s="15">
        <f>Sheet2!A5735</f>
        <v>0</v>
      </c>
      <c r="B5735" s="8">
        <v>0</v>
      </c>
      <c r="C5735" s="9">
        <v>1.1100000000000001</v>
      </c>
      <c r="D5735" s="13">
        <f t="shared" si="89"/>
        <v>1.1100000000000001</v>
      </c>
    </row>
    <row r="5736" spans="1:4" x14ac:dyDescent="0.25">
      <c r="A5736" s="15">
        <f>Sheet2!A5736</f>
        <v>0</v>
      </c>
      <c r="B5736" s="8">
        <v>11.14</v>
      </c>
      <c r="C5736" s="9">
        <v>0</v>
      </c>
      <c r="D5736" s="13">
        <f t="shared" si="89"/>
        <v>11.14</v>
      </c>
    </row>
    <row r="5737" spans="1:4" x14ac:dyDescent="0.25">
      <c r="A5737" s="15">
        <f>Sheet2!A5737</f>
        <v>0</v>
      </c>
      <c r="B5737" s="8">
        <v>0</v>
      </c>
      <c r="C5737" s="9">
        <v>1.88</v>
      </c>
      <c r="D5737" s="13">
        <f t="shared" si="89"/>
        <v>1.88</v>
      </c>
    </row>
    <row r="5738" spans="1:4" x14ac:dyDescent="0.25">
      <c r="A5738" s="15">
        <f>Sheet2!A5738</f>
        <v>0</v>
      </c>
      <c r="B5738" s="8">
        <v>0</v>
      </c>
      <c r="C5738" s="9">
        <v>3.65</v>
      </c>
      <c r="D5738" s="13">
        <f t="shared" si="89"/>
        <v>3.65</v>
      </c>
    </row>
    <row r="5739" spans="1:4" x14ac:dyDescent="0.25">
      <c r="A5739" s="15">
        <f>Sheet2!A5739</f>
        <v>0</v>
      </c>
      <c r="B5739" s="8">
        <v>0</v>
      </c>
      <c r="C5739" s="9">
        <v>0.96</v>
      </c>
      <c r="D5739" s="13">
        <f t="shared" si="89"/>
        <v>0.96</v>
      </c>
    </row>
    <row r="5740" spans="1:4" x14ac:dyDescent="0.25">
      <c r="A5740" s="15">
        <f>Sheet2!A5740</f>
        <v>0</v>
      </c>
      <c r="B5740" s="8">
        <v>11.16</v>
      </c>
      <c r="C5740" s="9">
        <v>0</v>
      </c>
      <c r="D5740" s="13">
        <f t="shared" si="89"/>
        <v>11.16</v>
      </c>
    </row>
    <row r="5741" spans="1:4" x14ac:dyDescent="0.25">
      <c r="A5741" s="15">
        <f>Sheet2!A5741</f>
        <v>0</v>
      </c>
      <c r="B5741" s="8">
        <v>0</v>
      </c>
      <c r="C5741" s="9">
        <v>2.27</v>
      </c>
      <c r="D5741" s="13">
        <f t="shared" si="89"/>
        <v>2.27</v>
      </c>
    </row>
    <row r="5742" spans="1:4" x14ac:dyDescent="0.25">
      <c r="A5742" s="15">
        <f>Sheet2!A5742</f>
        <v>0</v>
      </c>
      <c r="B5742" s="8">
        <v>0</v>
      </c>
      <c r="C5742" s="9">
        <v>3.59</v>
      </c>
      <c r="D5742" s="13">
        <f t="shared" si="89"/>
        <v>3.59</v>
      </c>
    </row>
    <row r="5743" spans="1:4" x14ac:dyDescent="0.25">
      <c r="A5743" s="15">
        <f>Sheet2!A5743</f>
        <v>0</v>
      </c>
      <c r="B5743" s="8">
        <v>0</v>
      </c>
      <c r="C5743" s="9">
        <v>0.39</v>
      </c>
      <c r="D5743" s="13">
        <f t="shared" si="89"/>
        <v>0.39</v>
      </c>
    </row>
    <row r="5744" spans="1:4" x14ac:dyDescent="0.25">
      <c r="A5744" s="15">
        <f>Sheet2!A5744</f>
        <v>0</v>
      </c>
      <c r="B5744" s="8">
        <v>12.7</v>
      </c>
      <c r="C5744" s="9">
        <v>0</v>
      </c>
      <c r="D5744" s="13">
        <f t="shared" si="89"/>
        <v>12.7</v>
      </c>
    </row>
    <row r="5745" spans="1:4" x14ac:dyDescent="0.25">
      <c r="A5745" s="15">
        <f>Sheet2!A5745</f>
        <v>0</v>
      </c>
      <c r="B5745" s="8">
        <v>0</v>
      </c>
      <c r="C5745" s="9">
        <v>1.61</v>
      </c>
      <c r="D5745" s="13">
        <f t="shared" si="89"/>
        <v>1.61</v>
      </c>
    </row>
    <row r="5746" spans="1:4" x14ac:dyDescent="0.25">
      <c r="A5746" s="15">
        <f>Sheet2!A5746</f>
        <v>0</v>
      </c>
      <c r="B5746" s="8">
        <v>0</v>
      </c>
      <c r="C5746" s="9">
        <v>2.83</v>
      </c>
      <c r="D5746" s="13">
        <f t="shared" si="89"/>
        <v>2.83</v>
      </c>
    </row>
    <row r="5747" spans="1:4" x14ac:dyDescent="0.25">
      <c r="A5747" s="15">
        <f>Sheet2!A5747</f>
        <v>0</v>
      </c>
      <c r="B5747" s="8">
        <v>0</v>
      </c>
      <c r="C5747" s="9">
        <v>3.36</v>
      </c>
      <c r="D5747" s="13">
        <f t="shared" si="89"/>
        <v>3.36</v>
      </c>
    </row>
    <row r="5748" spans="1:4" x14ac:dyDescent="0.25">
      <c r="A5748" s="15">
        <f>Sheet2!A5748</f>
        <v>0</v>
      </c>
      <c r="B5748" s="8">
        <v>0</v>
      </c>
      <c r="C5748" s="9">
        <v>3.39</v>
      </c>
      <c r="D5748" s="13">
        <f t="shared" si="89"/>
        <v>3.39</v>
      </c>
    </row>
    <row r="5749" spans="1:4" x14ac:dyDescent="0.25">
      <c r="A5749" s="15">
        <f>Sheet2!A5749</f>
        <v>0</v>
      </c>
      <c r="B5749" s="8">
        <v>0</v>
      </c>
      <c r="C5749" s="9">
        <v>0.61</v>
      </c>
      <c r="D5749" s="13">
        <f t="shared" si="89"/>
        <v>0.61</v>
      </c>
    </row>
    <row r="5750" spans="1:4" x14ac:dyDescent="0.25">
      <c r="A5750" s="15">
        <f>Sheet2!A5750</f>
        <v>0</v>
      </c>
      <c r="B5750" s="8">
        <v>13.31</v>
      </c>
      <c r="C5750" s="9">
        <v>0</v>
      </c>
      <c r="D5750" s="13">
        <f t="shared" si="89"/>
        <v>13.31</v>
      </c>
    </row>
    <row r="5751" spans="1:4" x14ac:dyDescent="0.25">
      <c r="A5751" s="15">
        <f>Sheet2!A5751</f>
        <v>0</v>
      </c>
      <c r="B5751" s="8">
        <v>0</v>
      </c>
      <c r="C5751" s="9">
        <v>0.86</v>
      </c>
      <c r="D5751" s="13">
        <f t="shared" si="89"/>
        <v>0.86</v>
      </c>
    </row>
    <row r="5752" spans="1:4" x14ac:dyDescent="0.25">
      <c r="A5752" s="15">
        <f>Sheet2!A5752</f>
        <v>0</v>
      </c>
      <c r="B5752" s="8">
        <v>0</v>
      </c>
      <c r="C5752" s="9">
        <v>4.12</v>
      </c>
      <c r="D5752" s="13">
        <f t="shared" si="89"/>
        <v>4.12</v>
      </c>
    </row>
    <row r="5753" spans="1:4" x14ac:dyDescent="0.25">
      <c r="A5753" s="15">
        <f>Sheet2!A5753</f>
        <v>0</v>
      </c>
      <c r="B5753" s="8">
        <v>0</v>
      </c>
      <c r="C5753" s="9">
        <v>1.58</v>
      </c>
      <c r="D5753" s="13">
        <f t="shared" si="89"/>
        <v>1.58</v>
      </c>
    </row>
    <row r="5754" spans="1:4" x14ac:dyDescent="0.25">
      <c r="A5754" s="15">
        <f>Sheet2!A5754</f>
        <v>0</v>
      </c>
      <c r="B5754" s="8">
        <v>12.92</v>
      </c>
      <c r="C5754" s="9">
        <v>0</v>
      </c>
      <c r="D5754" s="13">
        <f t="shared" si="89"/>
        <v>12.92</v>
      </c>
    </row>
    <row r="5755" spans="1:4" x14ac:dyDescent="0.25">
      <c r="A5755" s="15">
        <f>Sheet2!A5755</f>
        <v>0</v>
      </c>
      <c r="B5755" s="8">
        <v>0</v>
      </c>
      <c r="C5755" s="9">
        <v>1.96</v>
      </c>
      <c r="D5755" s="13">
        <f t="shared" si="89"/>
        <v>1.96</v>
      </c>
    </row>
    <row r="5756" spans="1:4" x14ac:dyDescent="0.25">
      <c r="A5756" s="15">
        <f>Sheet2!A5756</f>
        <v>0</v>
      </c>
      <c r="B5756" s="8">
        <v>0</v>
      </c>
      <c r="C5756" s="9">
        <v>3.49</v>
      </c>
      <c r="D5756" s="13">
        <f t="shared" si="89"/>
        <v>3.49</v>
      </c>
    </row>
    <row r="5757" spans="1:4" x14ac:dyDescent="0.25">
      <c r="A5757" s="15">
        <f>Sheet2!A5757</f>
        <v>0</v>
      </c>
      <c r="B5757" s="8">
        <v>0</v>
      </c>
      <c r="C5757" s="9">
        <v>2.37</v>
      </c>
      <c r="D5757" s="13">
        <f t="shared" si="89"/>
        <v>2.37</v>
      </c>
    </row>
    <row r="5758" spans="1:4" x14ac:dyDescent="0.25">
      <c r="A5758" s="15">
        <f>Sheet2!A5758</f>
        <v>0</v>
      </c>
      <c r="B5758" s="8">
        <v>0</v>
      </c>
      <c r="C5758" s="9">
        <v>0.76</v>
      </c>
      <c r="D5758" s="13">
        <f t="shared" si="89"/>
        <v>0.76</v>
      </c>
    </row>
    <row r="5759" spans="1:4" x14ac:dyDescent="0.25">
      <c r="A5759" s="15">
        <f>Sheet2!A5759</f>
        <v>0</v>
      </c>
      <c r="B5759" s="8">
        <v>0</v>
      </c>
      <c r="C5759" s="9">
        <v>1.84</v>
      </c>
      <c r="D5759" s="13">
        <f t="shared" si="89"/>
        <v>1.84</v>
      </c>
    </row>
    <row r="5760" spans="1:4" x14ac:dyDescent="0.25">
      <c r="A5760" s="15">
        <f>Sheet2!A5760</f>
        <v>0</v>
      </c>
      <c r="B5760" s="8">
        <v>0</v>
      </c>
      <c r="C5760" s="9">
        <v>3.08</v>
      </c>
      <c r="D5760" s="13">
        <f t="shared" si="89"/>
        <v>3.08</v>
      </c>
    </row>
    <row r="5761" spans="1:4" x14ac:dyDescent="0.25">
      <c r="A5761" s="15">
        <f>Sheet2!A5761</f>
        <v>0</v>
      </c>
      <c r="B5761" s="8">
        <v>0</v>
      </c>
      <c r="C5761" s="9">
        <v>1.48</v>
      </c>
      <c r="D5761" s="13">
        <f t="shared" si="89"/>
        <v>1.48</v>
      </c>
    </row>
    <row r="5762" spans="1:4" x14ac:dyDescent="0.25">
      <c r="A5762" s="15">
        <f>Sheet2!A5762</f>
        <v>0</v>
      </c>
      <c r="B5762" s="8">
        <v>10.33</v>
      </c>
      <c r="C5762" s="9">
        <v>0</v>
      </c>
      <c r="D5762" s="13">
        <f t="shared" si="89"/>
        <v>10.33</v>
      </c>
    </row>
    <row r="5763" spans="1:4" x14ac:dyDescent="0.25">
      <c r="A5763" s="15">
        <f>Sheet2!A5763</f>
        <v>0</v>
      </c>
      <c r="B5763" s="8">
        <v>9.93</v>
      </c>
      <c r="C5763" s="9">
        <v>0</v>
      </c>
      <c r="D5763" s="13">
        <f t="shared" ref="D5763:D5826" si="90">B5763+C5763</f>
        <v>9.93</v>
      </c>
    </row>
    <row r="5764" spans="1:4" x14ac:dyDescent="0.25">
      <c r="A5764" s="15">
        <f>Sheet2!A5764</f>
        <v>0</v>
      </c>
      <c r="B5764" s="8">
        <v>8.4600000000000009</v>
      </c>
      <c r="C5764" s="9">
        <v>0</v>
      </c>
      <c r="D5764" s="13">
        <f t="shared" si="90"/>
        <v>8.4600000000000009</v>
      </c>
    </row>
    <row r="5765" spans="1:4" x14ac:dyDescent="0.25">
      <c r="A5765" s="15">
        <f>Sheet2!A5765</f>
        <v>0</v>
      </c>
      <c r="B5765" s="8">
        <v>0</v>
      </c>
      <c r="C5765" s="9">
        <v>1.28</v>
      </c>
      <c r="D5765" s="13">
        <f t="shared" si="90"/>
        <v>1.28</v>
      </c>
    </row>
    <row r="5766" spans="1:4" x14ac:dyDescent="0.25">
      <c r="A5766" s="15">
        <f>Sheet2!A5766</f>
        <v>0</v>
      </c>
      <c r="B5766" s="8">
        <v>0</v>
      </c>
      <c r="C5766" s="9">
        <v>3.35</v>
      </c>
      <c r="D5766" s="13">
        <f t="shared" si="90"/>
        <v>3.35</v>
      </c>
    </row>
    <row r="5767" spans="1:4" x14ac:dyDescent="0.25">
      <c r="A5767" s="15">
        <f>Sheet2!A5767</f>
        <v>0</v>
      </c>
      <c r="B5767" s="8">
        <v>0</v>
      </c>
      <c r="C5767" s="9">
        <v>0.82</v>
      </c>
      <c r="D5767" s="13">
        <f t="shared" si="90"/>
        <v>0.82</v>
      </c>
    </row>
    <row r="5768" spans="1:4" x14ac:dyDescent="0.25">
      <c r="A5768" s="15">
        <f>Sheet2!A5768</f>
        <v>0</v>
      </c>
      <c r="B5768" s="8">
        <v>10.94</v>
      </c>
      <c r="C5768" s="9">
        <v>0</v>
      </c>
      <c r="D5768" s="13">
        <f t="shared" si="90"/>
        <v>10.94</v>
      </c>
    </row>
    <row r="5769" spans="1:4" x14ac:dyDescent="0.25">
      <c r="A5769" s="15">
        <f>Sheet2!A5769</f>
        <v>0</v>
      </c>
      <c r="B5769" s="8">
        <v>0</v>
      </c>
      <c r="C5769" s="9">
        <v>1.02</v>
      </c>
      <c r="D5769" s="13">
        <f t="shared" si="90"/>
        <v>1.02</v>
      </c>
    </row>
    <row r="5770" spans="1:4" x14ac:dyDescent="0.25">
      <c r="A5770" s="15">
        <f>Sheet2!A5770</f>
        <v>0</v>
      </c>
      <c r="B5770" s="8">
        <v>0</v>
      </c>
      <c r="C5770" s="9">
        <v>2.2799999999999998</v>
      </c>
      <c r="D5770" s="13">
        <f t="shared" si="90"/>
        <v>2.2799999999999998</v>
      </c>
    </row>
    <row r="5771" spans="1:4" x14ac:dyDescent="0.25">
      <c r="A5771" s="15">
        <f>Sheet2!A5771</f>
        <v>0</v>
      </c>
      <c r="B5771" s="8">
        <v>0</v>
      </c>
      <c r="C5771" s="9">
        <v>0.57999999999999996</v>
      </c>
      <c r="D5771" s="13">
        <f t="shared" si="90"/>
        <v>0.57999999999999996</v>
      </c>
    </row>
    <row r="5772" spans="1:4" x14ac:dyDescent="0.25">
      <c r="A5772" s="15">
        <f>Sheet2!A5772</f>
        <v>0</v>
      </c>
      <c r="B5772" s="8">
        <v>12.75</v>
      </c>
      <c r="C5772" s="9">
        <v>0</v>
      </c>
      <c r="D5772" s="13">
        <f t="shared" si="90"/>
        <v>12.75</v>
      </c>
    </row>
    <row r="5773" spans="1:4" x14ac:dyDescent="0.25">
      <c r="A5773" s="15">
        <f>Sheet2!A5773</f>
        <v>0</v>
      </c>
      <c r="B5773" s="8">
        <v>0</v>
      </c>
      <c r="C5773" s="9">
        <v>2.14</v>
      </c>
      <c r="D5773" s="13">
        <f t="shared" si="90"/>
        <v>2.14</v>
      </c>
    </row>
    <row r="5774" spans="1:4" x14ac:dyDescent="0.25">
      <c r="A5774" s="15">
        <f>Sheet2!A5774</f>
        <v>0</v>
      </c>
      <c r="B5774" s="8">
        <v>0</v>
      </c>
      <c r="C5774" s="9">
        <v>1.98</v>
      </c>
      <c r="D5774" s="13">
        <f t="shared" si="90"/>
        <v>1.98</v>
      </c>
    </row>
    <row r="5775" spans="1:4" x14ac:dyDescent="0.25">
      <c r="A5775" s="15">
        <f>Sheet2!A5775</f>
        <v>0</v>
      </c>
      <c r="B5775" s="8">
        <v>0</v>
      </c>
      <c r="C5775" s="9">
        <v>1.44</v>
      </c>
      <c r="D5775" s="13">
        <f t="shared" si="90"/>
        <v>1.44</v>
      </c>
    </row>
    <row r="5776" spans="1:4" x14ac:dyDescent="0.25">
      <c r="A5776" s="15">
        <f>Sheet2!A5776</f>
        <v>0</v>
      </c>
      <c r="B5776" s="8">
        <v>11.11</v>
      </c>
      <c r="C5776" s="9">
        <v>0</v>
      </c>
      <c r="D5776" s="13">
        <f t="shared" si="90"/>
        <v>11.11</v>
      </c>
    </row>
    <row r="5777" spans="1:4" x14ac:dyDescent="0.25">
      <c r="A5777" s="15">
        <f>Sheet2!A5777</f>
        <v>0</v>
      </c>
      <c r="B5777" s="8">
        <v>0</v>
      </c>
      <c r="C5777" s="9">
        <v>0.31</v>
      </c>
      <c r="D5777" s="13">
        <f t="shared" si="90"/>
        <v>0.31</v>
      </c>
    </row>
    <row r="5778" spans="1:4" x14ac:dyDescent="0.25">
      <c r="A5778" s="15">
        <f>Sheet2!A5778</f>
        <v>0</v>
      </c>
      <c r="B5778" s="8">
        <v>0</v>
      </c>
      <c r="C5778" s="9">
        <v>0.56000000000000005</v>
      </c>
      <c r="D5778" s="13">
        <f t="shared" si="90"/>
        <v>0.56000000000000005</v>
      </c>
    </row>
    <row r="5779" spans="1:4" x14ac:dyDescent="0.25">
      <c r="A5779" s="15">
        <f>Sheet2!A5779</f>
        <v>0</v>
      </c>
      <c r="B5779" s="8">
        <v>0</v>
      </c>
      <c r="C5779" s="9">
        <v>0.13</v>
      </c>
      <c r="D5779" s="13">
        <f t="shared" si="90"/>
        <v>0.13</v>
      </c>
    </row>
    <row r="5780" spans="1:4" x14ac:dyDescent="0.25">
      <c r="A5780" s="15">
        <f>Sheet2!A5780</f>
        <v>0</v>
      </c>
      <c r="B5780" s="8">
        <v>9.26</v>
      </c>
      <c r="C5780" s="9">
        <v>0</v>
      </c>
      <c r="D5780" s="13">
        <f t="shared" si="90"/>
        <v>9.26</v>
      </c>
    </row>
    <row r="5781" spans="1:4" x14ac:dyDescent="0.25">
      <c r="A5781" s="15">
        <f>Sheet2!A5781</f>
        <v>0</v>
      </c>
      <c r="B5781" s="8">
        <v>0</v>
      </c>
      <c r="C5781" s="9">
        <v>0.52</v>
      </c>
      <c r="D5781" s="13">
        <f t="shared" si="90"/>
        <v>0.52</v>
      </c>
    </row>
    <row r="5782" spans="1:4" x14ac:dyDescent="0.25">
      <c r="A5782" s="15">
        <f>Sheet2!A5782</f>
        <v>0</v>
      </c>
      <c r="B5782" s="8">
        <v>0</v>
      </c>
      <c r="C5782" s="9">
        <v>2.21</v>
      </c>
      <c r="D5782" s="13">
        <f t="shared" si="90"/>
        <v>2.21</v>
      </c>
    </row>
    <row r="5783" spans="1:4" x14ac:dyDescent="0.25">
      <c r="A5783" s="15">
        <f>Sheet2!A5783</f>
        <v>0</v>
      </c>
      <c r="B5783" s="8">
        <v>0</v>
      </c>
      <c r="C5783" s="9">
        <v>1.55</v>
      </c>
      <c r="D5783" s="13">
        <f t="shared" si="90"/>
        <v>1.55</v>
      </c>
    </row>
    <row r="5784" spans="1:4" x14ac:dyDescent="0.25">
      <c r="A5784" s="15">
        <f>Sheet2!A5784</f>
        <v>0</v>
      </c>
      <c r="B5784" s="8">
        <v>0</v>
      </c>
      <c r="C5784" s="9">
        <v>2.9</v>
      </c>
      <c r="D5784" s="13">
        <f t="shared" si="90"/>
        <v>2.9</v>
      </c>
    </row>
    <row r="5785" spans="1:4" x14ac:dyDescent="0.25">
      <c r="A5785" s="15">
        <f>Sheet2!A5785</f>
        <v>0</v>
      </c>
      <c r="B5785" s="8">
        <v>0</v>
      </c>
      <c r="C5785" s="9">
        <v>1.79</v>
      </c>
      <c r="D5785" s="13">
        <f t="shared" si="90"/>
        <v>1.79</v>
      </c>
    </row>
    <row r="5786" spans="1:4" x14ac:dyDescent="0.25">
      <c r="A5786" s="15">
        <f>Sheet2!A5786</f>
        <v>0</v>
      </c>
      <c r="B5786" s="8">
        <v>12.33</v>
      </c>
      <c r="C5786" s="9">
        <v>0</v>
      </c>
      <c r="D5786" s="13">
        <f t="shared" si="90"/>
        <v>12.33</v>
      </c>
    </row>
    <row r="5787" spans="1:4" x14ac:dyDescent="0.25">
      <c r="A5787" s="15">
        <f>Sheet2!A5787</f>
        <v>0</v>
      </c>
      <c r="B5787" s="8">
        <v>0</v>
      </c>
      <c r="C5787" s="9">
        <v>2.79</v>
      </c>
      <c r="D5787" s="13">
        <f t="shared" si="90"/>
        <v>2.79</v>
      </c>
    </row>
    <row r="5788" spans="1:4" x14ac:dyDescent="0.25">
      <c r="A5788" s="15">
        <f>Sheet2!A5788</f>
        <v>0</v>
      </c>
      <c r="B5788" s="8">
        <v>0</v>
      </c>
      <c r="C5788" s="9">
        <v>3.79</v>
      </c>
      <c r="D5788" s="13">
        <f t="shared" si="90"/>
        <v>3.79</v>
      </c>
    </row>
    <row r="5789" spans="1:4" x14ac:dyDescent="0.25">
      <c r="A5789" s="15">
        <f>Sheet2!A5789</f>
        <v>0</v>
      </c>
      <c r="B5789" s="8">
        <v>0</v>
      </c>
      <c r="C5789" s="9">
        <v>0.96</v>
      </c>
      <c r="D5789" s="13">
        <f t="shared" si="90"/>
        <v>0.96</v>
      </c>
    </row>
    <row r="5790" spans="1:4" x14ac:dyDescent="0.25">
      <c r="A5790" s="15">
        <f>Sheet2!A5790</f>
        <v>0</v>
      </c>
      <c r="B5790" s="8">
        <v>10.89</v>
      </c>
      <c r="C5790" s="9">
        <v>0</v>
      </c>
      <c r="D5790" s="13">
        <f t="shared" si="90"/>
        <v>10.89</v>
      </c>
    </row>
    <row r="5791" spans="1:4" x14ac:dyDescent="0.25">
      <c r="A5791" s="15">
        <f>Sheet2!A5791</f>
        <v>0</v>
      </c>
      <c r="B5791" s="8">
        <v>0</v>
      </c>
      <c r="C5791" s="9">
        <v>2.25</v>
      </c>
      <c r="D5791" s="13">
        <f t="shared" si="90"/>
        <v>2.25</v>
      </c>
    </row>
    <row r="5792" spans="1:4" x14ac:dyDescent="0.25">
      <c r="A5792" s="15">
        <f>Sheet2!A5792</f>
        <v>0</v>
      </c>
      <c r="B5792" s="8">
        <v>0</v>
      </c>
      <c r="C5792" s="9">
        <v>3.68</v>
      </c>
      <c r="D5792" s="13">
        <f t="shared" si="90"/>
        <v>3.68</v>
      </c>
    </row>
    <row r="5793" spans="1:4" x14ac:dyDescent="0.25">
      <c r="A5793" s="15">
        <f>Sheet2!A5793</f>
        <v>0</v>
      </c>
      <c r="B5793" s="8">
        <v>0</v>
      </c>
      <c r="C5793" s="9">
        <v>1.05</v>
      </c>
      <c r="D5793" s="13">
        <f t="shared" si="90"/>
        <v>1.05</v>
      </c>
    </row>
    <row r="5794" spans="1:4" x14ac:dyDescent="0.25">
      <c r="A5794" s="15">
        <f>Sheet2!A5794</f>
        <v>0</v>
      </c>
      <c r="B5794" s="8">
        <v>12.47</v>
      </c>
      <c r="C5794" s="9">
        <v>0</v>
      </c>
      <c r="D5794" s="13">
        <f t="shared" si="90"/>
        <v>12.47</v>
      </c>
    </row>
    <row r="5795" spans="1:4" x14ac:dyDescent="0.25">
      <c r="A5795" s="15">
        <f>Sheet2!A5795</f>
        <v>0</v>
      </c>
      <c r="B5795" s="8">
        <v>0</v>
      </c>
      <c r="C5795" s="9">
        <v>2.15</v>
      </c>
      <c r="D5795" s="13">
        <f t="shared" si="90"/>
        <v>2.15</v>
      </c>
    </row>
    <row r="5796" spans="1:4" x14ac:dyDescent="0.25">
      <c r="A5796" s="15">
        <f>Sheet2!A5796</f>
        <v>0</v>
      </c>
      <c r="B5796" s="8">
        <v>0</v>
      </c>
      <c r="C5796" s="9">
        <v>3.59</v>
      </c>
      <c r="D5796" s="13">
        <f t="shared" si="90"/>
        <v>3.59</v>
      </c>
    </row>
    <row r="5797" spans="1:4" x14ac:dyDescent="0.25">
      <c r="A5797" s="15">
        <f>Sheet2!A5797</f>
        <v>0</v>
      </c>
      <c r="B5797" s="8">
        <v>0</v>
      </c>
      <c r="C5797" s="9">
        <v>1.73</v>
      </c>
      <c r="D5797" s="13">
        <f t="shared" si="90"/>
        <v>1.73</v>
      </c>
    </row>
    <row r="5798" spans="1:4" x14ac:dyDescent="0.25">
      <c r="A5798" s="15">
        <f>Sheet2!A5798</f>
        <v>0</v>
      </c>
      <c r="B5798" s="8">
        <v>13.09</v>
      </c>
      <c r="C5798" s="9">
        <v>0</v>
      </c>
      <c r="D5798" s="13">
        <f t="shared" si="90"/>
        <v>13.09</v>
      </c>
    </row>
    <row r="5799" spans="1:4" x14ac:dyDescent="0.25">
      <c r="A5799" s="15">
        <f>Sheet2!A5799</f>
        <v>0</v>
      </c>
      <c r="B5799" s="8">
        <v>0</v>
      </c>
      <c r="C5799" s="9">
        <v>1.26</v>
      </c>
      <c r="D5799" s="13">
        <f t="shared" si="90"/>
        <v>1.26</v>
      </c>
    </row>
    <row r="5800" spans="1:4" x14ac:dyDescent="0.25">
      <c r="A5800" s="15">
        <f>Sheet2!A5800</f>
        <v>0</v>
      </c>
      <c r="B5800" s="8">
        <v>0</v>
      </c>
      <c r="C5800" s="9">
        <v>0.75</v>
      </c>
      <c r="D5800" s="13">
        <f t="shared" si="90"/>
        <v>0.75</v>
      </c>
    </row>
    <row r="5801" spans="1:4" x14ac:dyDescent="0.25">
      <c r="A5801" s="15">
        <f>Sheet2!A5801</f>
        <v>0</v>
      </c>
      <c r="B5801" s="8">
        <v>0</v>
      </c>
      <c r="C5801" s="9">
        <v>1.55</v>
      </c>
      <c r="D5801" s="13">
        <f t="shared" si="90"/>
        <v>1.55</v>
      </c>
    </row>
    <row r="5802" spans="1:4" x14ac:dyDescent="0.25">
      <c r="A5802" s="15">
        <f>Sheet2!A5802</f>
        <v>0</v>
      </c>
      <c r="B5802" s="8">
        <v>17.13</v>
      </c>
      <c r="C5802" s="9">
        <v>0</v>
      </c>
      <c r="D5802" s="13">
        <f t="shared" si="90"/>
        <v>17.13</v>
      </c>
    </row>
    <row r="5803" spans="1:4" x14ac:dyDescent="0.25">
      <c r="A5803" s="15">
        <f>Sheet2!A5803</f>
        <v>0</v>
      </c>
      <c r="B5803" s="8">
        <v>0</v>
      </c>
      <c r="C5803" s="9">
        <v>0.26</v>
      </c>
      <c r="D5803" s="13">
        <f t="shared" si="90"/>
        <v>0.26</v>
      </c>
    </row>
    <row r="5804" spans="1:4" x14ac:dyDescent="0.25">
      <c r="A5804" s="15">
        <f>Sheet2!A5804</f>
        <v>0</v>
      </c>
      <c r="B5804" s="8">
        <v>0</v>
      </c>
      <c r="C5804" s="9">
        <v>0.94</v>
      </c>
      <c r="D5804" s="13">
        <f t="shared" si="90"/>
        <v>0.94</v>
      </c>
    </row>
    <row r="5805" spans="1:4" x14ac:dyDescent="0.25">
      <c r="A5805" s="15">
        <f>Sheet2!A5805</f>
        <v>0</v>
      </c>
      <c r="B5805" s="8">
        <v>0</v>
      </c>
      <c r="C5805" s="9">
        <v>0.84</v>
      </c>
      <c r="D5805" s="13">
        <f t="shared" si="90"/>
        <v>0.84</v>
      </c>
    </row>
    <row r="5806" spans="1:4" x14ac:dyDescent="0.25">
      <c r="A5806" s="15">
        <f>Sheet2!A5806</f>
        <v>0</v>
      </c>
      <c r="B5806" s="8">
        <v>16.57</v>
      </c>
      <c r="C5806" s="9">
        <v>0</v>
      </c>
      <c r="D5806" s="13">
        <f t="shared" si="90"/>
        <v>16.57</v>
      </c>
    </row>
    <row r="5807" spans="1:4" x14ac:dyDescent="0.25">
      <c r="A5807" s="15">
        <f>Sheet2!A5807</f>
        <v>0</v>
      </c>
      <c r="B5807" s="8">
        <v>0</v>
      </c>
      <c r="C5807" s="9">
        <v>1.32</v>
      </c>
      <c r="D5807" s="13">
        <f t="shared" si="90"/>
        <v>1.32</v>
      </c>
    </row>
    <row r="5808" spans="1:4" x14ac:dyDescent="0.25">
      <c r="A5808" s="15">
        <f>Sheet2!A5808</f>
        <v>0</v>
      </c>
      <c r="B5808" s="8">
        <v>0</v>
      </c>
      <c r="C5808" s="9">
        <v>2.82</v>
      </c>
      <c r="D5808" s="13">
        <f t="shared" si="90"/>
        <v>2.82</v>
      </c>
    </row>
    <row r="5809" spans="1:4" x14ac:dyDescent="0.25">
      <c r="A5809" s="15">
        <f>Sheet2!A5809</f>
        <v>0</v>
      </c>
      <c r="B5809" s="8">
        <v>0</v>
      </c>
      <c r="C5809" s="9">
        <v>0.65</v>
      </c>
      <c r="D5809" s="13">
        <f t="shared" si="90"/>
        <v>0.65</v>
      </c>
    </row>
    <row r="5810" spans="1:4" x14ac:dyDescent="0.25">
      <c r="A5810" s="15">
        <f>Sheet2!A5810</f>
        <v>0</v>
      </c>
      <c r="B5810" s="8">
        <v>11.88</v>
      </c>
      <c r="C5810" s="9">
        <v>0</v>
      </c>
      <c r="D5810" s="13">
        <f t="shared" si="90"/>
        <v>11.88</v>
      </c>
    </row>
    <row r="5811" spans="1:4" x14ac:dyDescent="0.25">
      <c r="A5811" s="15">
        <f>Sheet2!A5811</f>
        <v>0</v>
      </c>
      <c r="B5811" s="8">
        <v>0</v>
      </c>
      <c r="C5811" s="9">
        <v>1.35</v>
      </c>
      <c r="D5811" s="13">
        <f t="shared" si="90"/>
        <v>1.35</v>
      </c>
    </row>
    <row r="5812" spans="1:4" x14ac:dyDescent="0.25">
      <c r="A5812" s="15">
        <f>Sheet2!A5812</f>
        <v>0</v>
      </c>
      <c r="B5812" s="8">
        <v>0</v>
      </c>
      <c r="C5812" s="9">
        <v>3.41</v>
      </c>
      <c r="D5812" s="13">
        <f t="shared" si="90"/>
        <v>3.41</v>
      </c>
    </row>
    <row r="5813" spans="1:4" x14ac:dyDescent="0.25">
      <c r="A5813" s="15">
        <f>Sheet2!A5813</f>
        <v>0</v>
      </c>
      <c r="B5813" s="8">
        <v>0</v>
      </c>
      <c r="C5813" s="9">
        <v>2.94</v>
      </c>
      <c r="D5813" s="13">
        <f t="shared" si="90"/>
        <v>2.94</v>
      </c>
    </row>
    <row r="5814" spans="1:4" x14ac:dyDescent="0.25">
      <c r="A5814" s="15">
        <f>Sheet2!A5814</f>
        <v>0</v>
      </c>
      <c r="B5814" s="8">
        <v>12.89</v>
      </c>
      <c r="C5814" s="9">
        <v>0</v>
      </c>
      <c r="D5814" s="13">
        <f t="shared" si="90"/>
        <v>12.89</v>
      </c>
    </row>
    <row r="5815" spans="1:4" x14ac:dyDescent="0.25">
      <c r="A5815" s="15">
        <f>Sheet2!A5815</f>
        <v>0</v>
      </c>
      <c r="B5815" s="8">
        <v>0</v>
      </c>
      <c r="C5815" s="9">
        <v>1.38</v>
      </c>
      <c r="D5815" s="13">
        <f t="shared" si="90"/>
        <v>1.38</v>
      </c>
    </row>
    <row r="5816" spans="1:4" x14ac:dyDescent="0.25">
      <c r="A5816" s="15">
        <f>Sheet2!A5816</f>
        <v>0</v>
      </c>
      <c r="B5816" s="8">
        <v>0</v>
      </c>
      <c r="C5816" s="9">
        <v>3.41</v>
      </c>
      <c r="D5816" s="13">
        <f t="shared" si="90"/>
        <v>3.41</v>
      </c>
    </row>
    <row r="5817" spans="1:4" x14ac:dyDescent="0.25">
      <c r="A5817" s="15">
        <f>Sheet2!A5817</f>
        <v>0</v>
      </c>
      <c r="B5817" s="8">
        <v>0</v>
      </c>
      <c r="C5817" s="9">
        <v>1.47</v>
      </c>
      <c r="D5817" s="13">
        <f t="shared" si="90"/>
        <v>1.47</v>
      </c>
    </row>
    <row r="5818" spans="1:4" x14ac:dyDescent="0.25">
      <c r="A5818" s="15">
        <f>Sheet2!A5818</f>
        <v>0</v>
      </c>
      <c r="B5818" s="8">
        <v>16.11</v>
      </c>
      <c r="C5818" s="9">
        <v>0</v>
      </c>
      <c r="D5818" s="13">
        <f t="shared" si="90"/>
        <v>16.11</v>
      </c>
    </row>
    <row r="5819" spans="1:4" x14ac:dyDescent="0.25">
      <c r="A5819" s="15">
        <f>Sheet2!A5819</f>
        <v>0</v>
      </c>
      <c r="B5819" s="8">
        <v>0</v>
      </c>
      <c r="C5819" s="9">
        <v>1.33</v>
      </c>
      <c r="D5819" s="13">
        <f t="shared" si="90"/>
        <v>1.33</v>
      </c>
    </row>
    <row r="5820" spans="1:4" x14ac:dyDescent="0.25">
      <c r="A5820" s="15">
        <f>Sheet2!A5820</f>
        <v>0</v>
      </c>
      <c r="B5820" s="8">
        <v>0</v>
      </c>
      <c r="C5820" s="9">
        <v>4.07</v>
      </c>
      <c r="D5820" s="13">
        <f t="shared" si="90"/>
        <v>4.07</v>
      </c>
    </row>
    <row r="5821" spans="1:4" x14ac:dyDescent="0.25">
      <c r="A5821" s="15">
        <f>Sheet2!A5821</f>
        <v>0</v>
      </c>
      <c r="B5821" s="8">
        <v>0</v>
      </c>
      <c r="C5821" s="9">
        <v>1.89</v>
      </c>
      <c r="D5821" s="13">
        <f t="shared" si="90"/>
        <v>1.89</v>
      </c>
    </row>
    <row r="5822" spans="1:4" x14ac:dyDescent="0.25">
      <c r="A5822" s="15">
        <f>Sheet2!A5822</f>
        <v>0</v>
      </c>
      <c r="B5822" s="8">
        <v>15.88</v>
      </c>
      <c r="C5822" s="9">
        <v>0</v>
      </c>
      <c r="D5822" s="13">
        <f t="shared" si="90"/>
        <v>15.88</v>
      </c>
    </row>
    <row r="5823" spans="1:4" x14ac:dyDescent="0.25">
      <c r="A5823" s="15">
        <f>Sheet2!A5823</f>
        <v>0</v>
      </c>
      <c r="B5823" s="8">
        <v>0</v>
      </c>
      <c r="C5823" s="9">
        <v>0.49</v>
      </c>
      <c r="D5823" s="13">
        <f t="shared" si="90"/>
        <v>0.49</v>
      </c>
    </row>
    <row r="5824" spans="1:4" x14ac:dyDescent="0.25">
      <c r="A5824" s="15">
        <f>Sheet2!A5824</f>
        <v>0</v>
      </c>
      <c r="B5824" s="8">
        <v>0</v>
      </c>
      <c r="C5824" s="9">
        <v>3.17</v>
      </c>
      <c r="D5824" s="13">
        <f t="shared" si="90"/>
        <v>3.17</v>
      </c>
    </row>
    <row r="5825" spans="1:4" x14ac:dyDescent="0.25">
      <c r="A5825" s="15">
        <f>Sheet2!A5825</f>
        <v>0</v>
      </c>
      <c r="B5825" s="8">
        <v>0</v>
      </c>
      <c r="C5825" s="9">
        <v>3.19</v>
      </c>
      <c r="D5825" s="13">
        <f t="shared" si="90"/>
        <v>3.19</v>
      </c>
    </row>
    <row r="5826" spans="1:4" x14ac:dyDescent="0.25">
      <c r="A5826" s="15">
        <f>Sheet2!A5826</f>
        <v>0</v>
      </c>
      <c r="B5826" s="8">
        <v>0</v>
      </c>
      <c r="C5826" s="9">
        <v>2.82</v>
      </c>
      <c r="D5826" s="13">
        <f t="shared" si="90"/>
        <v>2.82</v>
      </c>
    </row>
    <row r="5827" spans="1:4" x14ac:dyDescent="0.25">
      <c r="A5827" s="15">
        <f>Sheet2!A5827</f>
        <v>0</v>
      </c>
      <c r="B5827" s="8">
        <v>0</v>
      </c>
      <c r="C5827" s="9">
        <v>1.41</v>
      </c>
      <c r="D5827" s="13">
        <f t="shared" ref="D5827:D5890" si="91">B5827+C5827</f>
        <v>1.41</v>
      </c>
    </row>
    <row r="5828" spans="1:4" x14ac:dyDescent="0.25">
      <c r="A5828" s="15">
        <f>Sheet2!A5828</f>
        <v>0</v>
      </c>
      <c r="B5828" s="8">
        <v>14.61</v>
      </c>
      <c r="C5828" s="9">
        <v>0</v>
      </c>
      <c r="D5828" s="13">
        <f t="shared" si="91"/>
        <v>14.61</v>
      </c>
    </row>
    <row r="5829" spans="1:4" x14ac:dyDescent="0.25">
      <c r="A5829" s="15">
        <f>Sheet2!A5829</f>
        <v>0</v>
      </c>
      <c r="B5829" s="8">
        <v>0</v>
      </c>
      <c r="C5829" s="9">
        <v>1.62</v>
      </c>
      <c r="D5829" s="13">
        <f t="shared" si="91"/>
        <v>1.62</v>
      </c>
    </row>
    <row r="5830" spans="1:4" x14ac:dyDescent="0.25">
      <c r="A5830" s="15">
        <f>Sheet2!A5830</f>
        <v>0</v>
      </c>
      <c r="B5830" s="8">
        <v>0</v>
      </c>
      <c r="C5830" s="9">
        <v>3.46</v>
      </c>
      <c r="D5830" s="13">
        <f t="shared" si="91"/>
        <v>3.46</v>
      </c>
    </row>
    <row r="5831" spans="1:4" x14ac:dyDescent="0.25">
      <c r="A5831" s="15">
        <f>Sheet2!A5831</f>
        <v>0</v>
      </c>
      <c r="B5831" s="8">
        <v>0</v>
      </c>
      <c r="C5831" s="9">
        <v>2.73</v>
      </c>
      <c r="D5831" s="13">
        <f t="shared" si="91"/>
        <v>2.73</v>
      </c>
    </row>
    <row r="5832" spans="1:4" x14ac:dyDescent="0.25">
      <c r="A5832" s="15">
        <f>Sheet2!A5832</f>
        <v>0</v>
      </c>
      <c r="B5832" s="8">
        <v>0</v>
      </c>
      <c r="C5832" s="9">
        <v>2.86</v>
      </c>
      <c r="D5832" s="13">
        <f t="shared" si="91"/>
        <v>2.86</v>
      </c>
    </row>
    <row r="5833" spans="1:4" x14ac:dyDescent="0.25">
      <c r="A5833" s="15">
        <f>Sheet2!A5833</f>
        <v>0</v>
      </c>
      <c r="B5833" s="8">
        <v>0</v>
      </c>
      <c r="C5833" s="9">
        <v>2.95</v>
      </c>
      <c r="D5833" s="13">
        <f t="shared" si="91"/>
        <v>2.95</v>
      </c>
    </row>
    <row r="5834" spans="1:4" x14ac:dyDescent="0.25">
      <c r="A5834" s="15">
        <f>Sheet2!A5834</f>
        <v>0</v>
      </c>
      <c r="B5834" s="8">
        <v>0</v>
      </c>
      <c r="C5834" s="9">
        <v>1.42</v>
      </c>
      <c r="D5834" s="13">
        <f t="shared" si="91"/>
        <v>1.42</v>
      </c>
    </row>
    <row r="5835" spans="1:4" x14ac:dyDescent="0.25">
      <c r="A5835" s="15">
        <f>Sheet2!A5835</f>
        <v>0</v>
      </c>
      <c r="B5835" s="8">
        <v>0</v>
      </c>
      <c r="C5835" s="9">
        <v>2.36</v>
      </c>
      <c r="D5835" s="13">
        <f t="shared" si="91"/>
        <v>2.36</v>
      </c>
    </row>
    <row r="5836" spans="1:4" x14ac:dyDescent="0.25">
      <c r="A5836" s="15">
        <f>Sheet2!A5836</f>
        <v>0</v>
      </c>
      <c r="B5836" s="8">
        <v>0</v>
      </c>
      <c r="C5836" s="9">
        <v>3.59</v>
      </c>
      <c r="D5836" s="13">
        <f t="shared" si="91"/>
        <v>3.59</v>
      </c>
    </row>
    <row r="5837" spans="1:4" x14ac:dyDescent="0.25">
      <c r="A5837" s="15">
        <f>Sheet2!A5837</f>
        <v>0</v>
      </c>
      <c r="B5837" s="8">
        <v>0</v>
      </c>
      <c r="C5837" s="9">
        <v>3.42</v>
      </c>
      <c r="D5837" s="13">
        <f t="shared" si="91"/>
        <v>3.42</v>
      </c>
    </row>
    <row r="5838" spans="1:4" x14ac:dyDescent="0.25">
      <c r="A5838" s="15">
        <f>Sheet2!A5838</f>
        <v>0</v>
      </c>
      <c r="B5838" s="8">
        <v>0</v>
      </c>
      <c r="C5838" s="9">
        <v>1.19</v>
      </c>
      <c r="D5838" s="13">
        <f t="shared" si="91"/>
        <v>1.19</v>
      </c>
    </row>
    <row r="5839" spans="1:4" x14ac:dyDescent="0.25">
      <c r="A5839" s="15">
        <f>Sheet2!A5839</f>
        <v>0</v>
      </c>
      <c r="B5839" s="8">
        <v>2.75</v>
      </c>
      <c r="C5839" s="9">
        <v>0</v>
      </c>
      <c r="D5839" s="13">
        <f t="shared" si="91"/>
        <v>2.75</v>
      </c>
    </row>
    <row r="5840" spans="1:4" x14ac:dyDescent="0.25">
      <c r="A5840" s="15">
        <f>Sheet2!A5840</f>
        <v>0</v>
      </c>
      <c r="B5840" s="8">
        <v>0</v>
      </c>
      <c r="C5840" s="9">
        <v>1.72</v>
      </c>
      <c r="D5840" s="13">
        <f t="shared" si="91"/>
        <v>1.72</v>
      </c>
    </row>
    <row r="5841" spans="1:4" x14ac:dyDescent="0.25">
      <c r="A5841" s="15">
        <f>Sheet2!A5841</f>
        <v>0</v>
      </c>
      <c r="B5841" s="8">
        <v>0</v>
      </c>
      <c r="C5841" s="9">
        <v>3.32</v>
      </c>
      <c r="D5841" s="13">
        <f t="shared" si="91"/>
        <v>3.32</v>
      </c>
    </row>
    <row r="5842" spans="1:4" x14ac:dyDescent="0.25">
      <c r="A5842" s="15">
        <f>Sheet2!A5842</f>
        <v>0</v>
      </c>
      <c r="B5842" s="8">
        <v>0</v>
      </c>
      <c r="C5842" s="9">
        <v>3.61</v>
      </c>
      <c r="D5842" s="13">
        <f t="shared" si="91"/>
        <v>3.61</v>
      </c>
    </row>
    <row r="5843" spans="1:4" x14ac:dyDescent="0.25">
      <c r="A5843" s="15">
        <f>Sheet2!A5843</f>
        <v>0</v>
      </c>
      <c r="B5843" s="8">
        <v>0</v>
      </c>
      <c r="C5843" s="9">
        <v>1.71</v>
      </c>
      <c r="D5843" s="13">
        <f t="shared" si="91"/>
        <v>1.71</v>
      </c>
    </row>
    <row r="5844" spans="1:4" x14ac:dyDescent="0.25">
      <c r="A5844" s="15">
        <f>Sheet2!A5844</f>
        <v>0</v>
      </c>
      <c r="B5844" s="8">
        <v>19.899999999999999</v>
      </c>
      <c r="C5844" s="9">
        <v>0</v>
      </c>
      <c r="D5844" s="13">
        <f t="shared" si="91"/>
        <v>19.899999999999999</v>
      </c>
    </row>
    <row r="5845" spans="1:4" x14ac:dyDescent="0.25">
      <c r="A5845" s="15">
        <f>Sheet2!A5845</f>
        <v>0</v>
      </c>
      <c r="B5845" s="8">
        <v>0</v>
      </c>
      <c r="C5845" s="9">
        <v>0.84</v>
      </c>
      <c r="D5845" s="13">
        <f t="shared" si="91"/>
        <v>0.84</v>
      </c>
    </row>
    <row r="5846" spans="1:4" x14ac:dyDescent="0.25">
      <c r="A5846" s="15">
        <f>Sheet2!A5846</f>
        <v>0</v>
      </c>
      <c r="B5846" s="8">
        <v>0</v>
      </c>
      <c r="C5846" s="9">
        <v>2.09</v>
      </c>
      <c r="D5846" s="13">
        <f t="shared" si="91"/>
        <v>2.09</v>
      </c>
    </row>
    <row r="5847" spans="1:4" x14ac:dyDescent="0.25">
      <c r="A5847" s="15">
        <f>Sheet2!A5847</f>
        <v>0</v>
      </c>
      <c r="B5847" s="8">
        <v>0</v>
      </c>
      <c r="C5847" s="9">
        <v>1.49</v>
      </c>
      <c r="D5847" s="13">
        <f t="shared" si="91"/>
        <v>1.49</v>
      </c>
    </row>
    <row r="5848" spans="1:4" x14ac:dyDescent="0.25">
      <c r="A5848" s="15">
        <f>Sheet2!A5848</f>
        <v>0</v>
      </c>
      <c r="B5848" s="8">
        <v>16.48</v>
      </c>
      <c r="C5848" s="9">
        <v>0</v>
      </c>
      <c r="D5848" s="13">
        <f t="shared" si="91"/>
        <v>16.48</v>
      </c>
    </row>
    <row r="5849" spans="1:4" x14ac:dyDescent="0.25">
      <c r="A5849" s="15">
        <f>Sheet2!A5849</f>
        <v>0</v>
      </c>
      <c r="B5849" s="8">
        <v>0</v>
      </c>
      <c r="C5849" s="9">
        <v>1.45</v>
      </c>
      <c r="D5849" s="13">
        <f t="shared" si="91"/>
        <v>1.45</v>
      </c>
    </row>
    <row r="5850" spans="1:4" x14ac:dyDescent="0.25">
      <c r="A5850" s="15">
        <f>Sheet2!A5850</f>
        <v>0</v>
      </c>
      <c r="B5850" s="8">
        <v>0</v>
      </c>
      <c r="C5850" s="9">
        <v>2.31</v>
      </c>
      <c r="D5850" s="13">
        <f t="shared" si="91"/>
        <v>2.31</v>
      </c>
    </row>
    <row r="5851" spans="1:4" x14ac:dyDescent="0.25">
      <c r="A5851" s="15">
        <f>Sheet2!A5851</f>
        <v>0</v>
      </c>
      <c r="B5851" s="8">
        <v>0</v>
      </c>
      <c r="C5851" s="9">
        <v>1.18</v>
      </c>
      <c r="D5851" s="13">
        <f t="shared" si="91"/>
        <v>1.18</v>
      </c>
    </row>
    <row r="5852" spans="1:4" x14ac:dyDescent="0.25">
      <c r="A5852" s="15">
        <f>Sheet2!A5852</f>
        <v>0</v>
      </c>
      <c r="B5852" s="8">
        <v>14.16</v>
      </c>
      <c r="C5852" s="9">
        <v>0</v>
      </c>
      <c r="D5852" s="13">
        <f t="shared" si="91"/>
        <v>14.16</v>
      </c>
    </row>
    <row r="5853" spans="1:4" x14ac:dyDescent="0.25">
      <c r="A5853" s="15">
        <f>Sheet2!A5853</f>
        <v>0</v>
      </c>
      <c r="B5853" s="8">
        <v>0</v>
      </c>
      <c r="C5853" s="9">
        <v>0.57999999999999996</v>
      </c>
      <c r="D5853" s="13">
        <f t="shared" si="91"/>
        <v>0.57999999999999996</v>
      </c>
    </row>
    <row r="5854" spans="1:4" x14ac:dyDescent="0.25">
      <c r="A5854" s="15">
        <f>Sheet2!A5854</f>
        <v>0</v>
      </c>
      <c r="B5854" s="8">
        <v>0</v>
      </c>
      <c r="C5854" s="9">
        <v>2.92</v>
      </c>
      <c r="D5854" s="13">
        <f t="shared" si="91"/>
        <v>2.92</v>
      </c>
    </row>
    <row r="5855" spans="1:4" x14ac:dyDescent="0.25">
      <c r="A5855" s="15">
        <f>Sheet2!A5855</f>
        <v>0</v>
      </c>
      <c r="B5855" s="8">
        <v>0</v>
      </c>
      <c r="C5855" s="9">
        <v>1.3</v>
      </c>
      <c r="D5855" s="13">
        <f t="shared" si="91"/>
        <v>1.3</v>
      </c>
    </row>
    <row r="5856" spans="1:4" x14ac:dyDescent="0.25">
      <c r="A5856" s="15">
        <f>Sheet2!A5856</f>
        <v>0</v>
      </c>
      <c r="B5856" s="8">
        <v>13.86</v>
      </c>
      <c r="C5856" s="9">
        <v>0</v>
      </c>
      <c r="D5856" s="13">
        <f t="shared" si="91"/>
        <v>13.86</v>
      </c>
    </row>
    <row r="5857" spans="1:4" x14ac:dyDescent="0.25">
      <c r="A5857" s="15">
        <f>Sheet2!A5857</f>
        <v>0</v>
      </c>
      <c r="B5857" s="8">
        <v>0</v>
      </c>
      <c r="C5857" s="9">
        <v>0.5</v>
      </c>
      <c r="D5857" s="13">
        <f t="shared" si="91"/>
        <v>0.5</v>
      </c>
    </row>
    <row r="5858" spans="1:4" x14ac:dyDescent="0.25">
      <c r="A5858" s="15">
        <f>Sheet2!A5858</f>
        <v>0</v>
      </c>
      <c r="B5858" s="8">
        <v>0</v>
      </c>
      <c r="C5858" s="9">
        <v>0.52</v>
      </c>
      <c r="D5858" s="13">
        <f t="shared" si="91"/>
        <v>0.52</v>
      </c>
    </row>
    <row r="5859" spans="1:4" x14ac:dyDescent="0.25">
      <c r="A5859" s="15">
        <f>Sheet2!A5859</f>
        <v>0</v>
      </c>
      <c r="B5859" s="8">
        <v>7.46</v>
      </c>
      <c r="C5859" s="9">
        <v>0</v>
      </c>
      <c r="D5859" s="13">
        <f t="shared" si="91"/>
        <v>7.46</v>
      </c>
    </row>
    <row r="5860" spans="1:4" x14ac:dyDescent="0.25">
      <c r="A5860" s="15">
        <f>Sheet2!A5860</f>
        <v>0</v>
      </c>
      <c r="B5860" s="8">
        <v>11.52</v>
      </c>
      <c r="C5860" s="9">
        <v>0</v>
      </c>
      <c r="D5860" s="13">
        <f t="shared" si="91"/>
        <v>11.52</v>
      </c>
    </row>
    <row r="5861" spans="1:4" x14ac:dyDescent="0.25">
      <c r="A5861" s="15">
        <f>Sheet2!A5861</f>
        <v>0</v>
      </c>
      <c r="B5861" s="8">
        <v>0</v>
      </c>
      <c r="C5861" s="9">
        <v>1.56</v>
      </c>
      <c r="D5861" s="13">
        <f t="shared" si="91"/>
        <v>1.56</v>
      </c>
    </row>
    <row r="5862" spans="1:4" x14ac:dyDescent="0.25">
      <c r="A5862" s="15">
        <f>Sheet2!A5862</f>
        <v>0</v>
      </c>
      <c r="B5862" s="8">
        <v>0</v>
      </c>
      <c r="C5862" s="9">
        <v>2.94</v>
      </c>
      <c r="D5862" s="13">
        <f t="shared" si="91"/>
        <v>2.94</v>
      </c>
    </row>
    <row r="5863" spans="1:4" x14ac:dyDescent="0.25">
      <c r="A5863" s="15">
        <f>Sheet2!A5863</f>
        <v>0</v>
      </c>
      <c r="B5863" s="8">
        <v>0</v>
      </c>
      <c r="C5863" s="9">
        <v>1.07</v>
      </c>
      <c r="D5863" s="13">
        <f t="shared" si="91"/>
        <v>1.07</v>
      </c>
    </row>
    <row r="5864" spans="1:4" x14ac:dyDescent="0.25">
      <c r="A5864" s="15">
        <f>Sheet2!A5864</f>
        <v>0</v>
      </c>
      <c r="B5864" s="8">
        <v>0</v>
      </c>
      <c r="C5864" s="9">
        <v>1.6</v>
      </c>
      <c r="D5864" s="13">
        <f t="shared" si="91"/>
        <v>1.6</v>
      </c>
    </row>
    <row r="5865" spans="1:4" x14ac:dyDescent="0.25">
      <c r="A5865" s="15">
        <f>Sheet2!A5865</f>
        <v>0</v>
      </c>
      <c r="B5865" s="8">
        <v>0</v>
      </c>
      <c r="C5865" s="9">
        <v>0.66</v>
      </c>
      <c r="D5865" s="13">
        <f t="shared" si="91"/>
        <v>0.66</v>
      </c>
    </row>
    <row r="5866" spans="1:4" x14ac:dyDescent="0.25">
      <c r="A5866" s="15">
        <f>Sheet2!A5866</f>
        <v>0</v>
      </c>
      <c r="B5866" s="8">
        <v>0</v>
      </c>
      <c r="C5866" s="9">
        <v>1.6</v>
      </c>
      <c r="D5866" s="13">
        <f t="shared" si="91"/>
        <v>1.6</v>
      </c>
    </row>
    <row r="5867" spans="1:4" x14ac:dyDescent="0.25">
      <c r="A5867" s="15">
        <f>Sheet2!A5867</f>
        <v>0</v>
      </c>
      <c r="B5867" s="8">
        <v>0</v>
      </c>
      <c r="C5867" s="9">
        <v>2.5099999999999998</v>
      </c>
      <c r="D5867" s="13">
        <f t="shared" si="91"/>
        <v>2.5099999999999998</v>
      </c>
    </row>
    <row r="5868" spans="1:4" x14ac:dyDescent="0.25">
      <c r="A5868" s="15">
        <f>Sheet2!A5868</f>
        <v>0</v>
      </c>
      <c r="B5868" s="8">
        <v>0</v>
      </c>
      <c r="C5868" s="9">
        <v>3.89</v>
      </c>
      <c r="D5868" s="13">
        <f t="shared" si="91"/>
        <v>3.89</v>
      </c>
    </row>
    <row r="5869" spans="1:4" x14ac:dyDescent="0.25">
      <c r="A5869" s="15">
        <f>Sheet2!A5869</f>
        <v>0</v>
      </c>
      <c r="B5869" s="8">
        <v>0</v>
      </c>
      <c r="C5869" s="9">
        <v>4.3600000000000003</v>
      </c>
      <c r="D5869" s="13">
        <f t="shared" si="91"/>
        <v>4.3600000000000003</v>
      </c>
    </row>
    <row r="5870" spans="1:4" x14ac:dyDescent="0.25">
      <c r="A5870" s="15">
        <f>Sheet2!A5870</f>
        <v>0</v>
      </c>
      <c r="B5870" s="8">
        <v>0</v>
      </c>
      <c r="C5870" s="9">
        <v>2.68</v>
      </c>
      <c r="D5870" s="13">
        <f t="shared" si="91"/>
        <v>2.68</v>
      </c>
    </row>
    <row r="5871" spans="1:4" x14ac:dyDescent="0.25">
      <c r="A5871" s="15">
        <f>Sheet2!A5871</f>
        <v>0</v>
      </c>
      <c r="B5871" s="8">
        <v>20.57</v>
      </c>
      <c r="C5871" s="9">
        <v>0</v>
      </c>
      <c r="D5871" s="13">
        <f t="shared" si="91"/>
        <v>20.57</v>
      </c>
    </row>
    <row r="5872" spans="1:4" x14ac:dyDescent="0.25">
      <c r="A5872" s="15">
        <f>Sheet2!A5872</f>
        <v>0</v>
      </c>
      <c r="B5872" s="8">
        <v>0</v>
      </c>
      <c r="C5872" s="9">
        <v>0.43</v>
      </c>
      <c r="D5872" s="13">
        <f t="shared" si="91"/>
        <v>0.43</v>
      </c>
    </row>
    <row r="5873" spans="1:4" x14ac:dyDescent="0.25">
      <c r="A5873" s="15">
        <f>Sheet2!A5873</f>
        <v>0</v>
      </c>
      <c r="B5873" s="8">
        <v>0</v>
      </c>
      <c r="C5873" s="9">
        <v>2.29</v>
      </c>
      <c r="D5873" s="13">
        <f t="shared" si="91"/>
        <v>2.29</v>
      </c>
    </row>
    <row r="5874" spans="1:4" x14ac:dyDescent="0.25">
      <c r="A5874" s="15">
        <f>Sheet2!A5874</f>
        <v>0</v>
      </c>
      <c r="B5874" s="8">
        <v>0</v>
      </c>
      <c r="C5874" s="9">
        <v>4.01</v>
      </c>
      <c r="D5874" s="13">
        <f t="shared" si="91"/>
        <v>4.01</v>
      </c>
    </row>
    <row r="5875" spans="1:4" x14ac:dyDescent="0.25">
      <c r="A5875" s="15">
        <f>Sheet2!A5875</f>
        <v>0</v>
      </c>
      <c r="B5875" s="8">
        <v>0</v>
      </c>
      <c r="C5875" s="9">
        <v>2.34</v>
      </c>
      <c r="D5875" s="13">
        <f t="shared" si="91"/>
        <v>2.34</v>
      </c>
    </row>
    <row r="5876" spans="1:4" x14ac:dyDescent="0.25">
      <c r="A5876" s="15">
        <f>Sheet2!A5876</f>
        <v>0</v>
      </c>
      <c r="B5876" s="8">
        <v>11.1</v>
      </c>
      <c r="C5876" s="9">
        <v>0</v>
      </c>
      <c r="D5876" s="13">
        <f t="shared" si="91"/>
        <v>11.1</v>
      </c>
    </row>
    <row r="5877" spans="1:4" x14ac:dyDescent="0.25">
      <c r="A5877" s="15">
        <f>Sheet2!A5877</f>
        <v>0</v>
      </c>
      <c r="B5877" s="8">
        <v>0</v>
      </c>
      <c r="C5877" s="9">
        <v>2.2400000000000002</v>
      </c>
      <c r="D5877" s="13">
        <f t="shared" si="91"/>
        <v>2.2400000000000002</v>
      </c>
    </row>
    <row r="5878" spans="1:4" x14ac:dyDescent="0.25">
      <c r="A5878" s="15">
        <f>Sheet2!A5878</f>
        <v>0</v>
      </c>
      <c r="B5878" s="8">
        <v>0</v>
      </c>
      <c r="C5878" s="9">
        <v>3.64</v>
      </c>
      <c r="D5878" s="13">
        <f t="shared" si="91"/>
        <v>3.64</v>
      </c>
    </row>
    <row r="5879" spans="1:4" x14ac:dyDescent="0.25">
      <c r="A5879" s="15">
        <f>Sheet2!A5879</f>
        <v>0</v>
      </c>
      <c r="B5879" s="8">
        <v>0</v>
      </c>
      <c r="C5879" s="9">
        <v>1.31</v>
      </c>
      <c r="D5879" s="13">
        <f t="shared" si="91"/>
        <v>1.31</v>
      </c>
    </row>
    <row r="5880" spans="1:4" x14ac:dyDescent="0.25">
      <c r="A5880" s="15">
        <f>Sheet2!A5880</f>
        <v>0</v>
      </c>
      <c r="B5880" s="8">
        <v>14.02</v>
      </c>
      <c r="C5880" s="9">
        <v>0</v>
      </c>
      <c r="D5880" s="13">
        <f t="shared" si="91"/>
        <v>14.02</v>
      </c>
    </row>
    <row r="5881" spans="1:4" x14ac:dyDescent="0.25">
      <c r="A5881" s="15">
        <f>Sheet2!A5881</f>
        <v>0</v>
      </c>
      <c r="B5881" s="8">
        <v>0</v>
      </c>
      <c r="C5881" s="9">
        <v>0.71</v>
      </c>
      <c r="D5881" s="13">
        <f t="shared" si="91"/>
        <v>0.71</v>
      </c>
    </row>
    <row r="5882" spans="1:4" x14ac:dyDescent="0.25">
      <c r="A5882" s="15">
        <f>Sheet2!A5882</f>
        <v>0</v>
      </c>
      <c r="B5882" s="8">
        <v>0</v>
      </c>
      <c r="C5882" s="9">
        <v>1.1200000000000001</v>
      </c>
      <c r="D5882" s="13">
        <f t="shared" si="91"/>
        <v>1.1200000000000001</v>
      </c>
    </row>
    <row r="5883" spans="1:4" x14ac:dyDescent="0.25">
      <c r="A5883" s="15">
        <f>Sheet2!A5883</f>
        <v>0</v>
      </c>
      <c r="B5883" s="8">
        <v>0</v>
      </c>
      <c r="C5883" s="9">
        <v>1.03</v>
      </c>
      <c r="D5883" s="13">
        <f t="shared" si="91"/>
        <v>1.03</v>
      </c>
    </row>
    <row r="5884" spans="1:4" x14ac:dyDescent="0.25">
      <c r="A5884" s="15">
        <f>Sheet2!A5884</f>
        <v>0</v>
      </c>
      <c r="B5884" s="8">
        <v>12.08</v>
      </c>
      <c r="C5884" s="9">
        <v>0</v>
      </c>
      <c r="D5884" s="13">
        <f t="shared" si="91"/>
        <v>12.08</v>
      </c>
    </row>
    <row r="5885" spans="1:4" x14ac:dyDescent="0.25">
      <c r="A5885" s="15">
        <f>Sheet2!A5885</f>
        <v>0</v>
      </c>
      <c r="B5885" s="8">
        <v>0</v>
      </c>
      <c r="C5885" s="9">
        <v>2.4900000000000002</v>
      </c>
      <c r="D5885" s="13">
        <f t="shared" si="91"/>
        <v>2.4900000000000002</v>
      </c>
    </row>
    <row r="5886" spans="1:4" x14ac:dyDescent="0.25">
      <c r="A5886" s="15">
        <f>Sheet2!A5886</f>
        <v>0</v>
      </c>
      <c r="B5886" s="8">
        <v>0</v>
      </c>
      <c r="C5886" s="9">
        <v>0.21</v>
      </c>
      <c r="D5886" s="13">
        <f t="shared" si="91"/>
        <v>0.21</v>
      </c>
    </row>
    <row r="5887" spans="1:4" x14ac:dyDescent="0.25">
      <c r="A5887" s="15">
        <f>Sheet2!A5887</f>
        <v>0</v>
      </c>
      <c r="B5887" s="8">
        <v>3.92</v>
      </c>
      <c r="C5887" s="9">
        <v>0</v>
      </c>
      <c r="D5887" s="13">
        <f t="shared" si="91"/>
        <v>3.92</v>
      </c>
    </row>
    <row r="5888" spans="1:4" x14ac:dyDescent="0.25">
      <c r="A5888" s="15">
        <f>Sheet2!A5888</f>
        <v>0</v>
      </c>
      <c r="B5888" s="8">
        <v>6.1</v>
      </c>
      <c r="C5888" s="9">
        <v>0</v>
      </c>
      <c r="D5888" s="13">
        <f t="shared" si="91"/>
        <v>6.1</v>
      </c>
    </row>
    <row r="5889" spans="1:4" x14ac:dyDescent="0.25">
      <c r="A5889" s="15">
        <f>Sheet2!A5889</f>
        <v>0</v>
      </c>
      <c r="B5889" s="8">
        <v>0</v>
      </c>
      <c r="C5889" s="9">
        <v>1.06</v>
      </c>
      <c r="D5889" s="13">
        <f t="shared" si="91"/>
        <v>1.06</v>
      </c>
    </row>
    <row r="5890" spans="1:4" x14ac:dyDescent="0.25">
      <c r="A5890" s="15">
        <f>Sheet2!A5890</f>
        <v>0</v>
      </c>
      <c r="B5890" s="8">
        <v>0</v>
      </c>
      <c r="C5890" s="9">
        <v>3.84</v>
      </c>
      <c r="D5890" s="13">
        <f t="shared" si="91"/>
        <v>3.84</v>
      </c>
    </row>
    <row r="5891" spans="1:4" x14ac:dyDescent="0.25">
      <c r="A5891" s="15">
        <f>Sheet2!A5891</f>
        <v>0</v>
      </c>
      <c r="B5891" s="8">
        <v>0</v>
      </c>
      <c r="C5891" s="9">
        <v>1.86</v>
      </c>
      <c r="D5891" s="13">
        <f t="shared" ref="D5891:D5954" si="92">B5891+C5891</f>
        <v>1.86</v>
      </c>
    </row>
    <row r="5892" spans="1:4" x14ac:dyDescent="0.25">
      <c r="A5892" s="15">
        <f>Sheet2!A5892</f>
        <v>0</v>
      </c>
      <c r="B5892" s="8">
        <v>15.38</v>
      </c>
      <c r="C5892" s="9">
        <v>0</v>
      </c>
      <c r="D5892" s="13">
        <f t="shared" si="92"/>
        <v>15.38</v>
      </c>
    </row>
    <row r="5893" spans="1:4" x14ac:dyDescent="0.25">
      <c r="A5893" s="15">
        <f>Sheet2!A5893</f>
        <v>0</v>
      </c>
      <c r="B5893" s="8">
        <v>0</v>
      </c>
      <c r="C5893" s="9">
        <v>0.94</v>
      </c>
      <c r="D5893" s="13">
        <f t="shared" si="92"/>
        <v>0.94</v>
      </c>
    </row>
    <row r="5894" spans="1:4" x14ac:dyDescent="0.25">
      <c r="A5894" s="15">
        <f>Sheet2!A5894</f>
        <v>0</v>
      </c>
      <c r="B5894" s="8">
        <v>0</v>
      </c>
      <c r="C5894" s="9">
        <v>3.12</v>
      </c>
      <c r="D5894" s="13">
        <f t="shared" si="92"/>
        <v>3.12</v>
      </c>
    </row>
    <row r="5895" spans="1:4" x14ac:dyDescent="0.25">
      <c r="A5895" s="15">
        <f>Sheet2!A5895</f>
        <v>0</v>
      </c>
      <c r="B5895" s="8">
        <v>0</v>
      </c>
      <c r="C5895" s="9">
        <v>2.98</v>
      </c>
      <c r="D5895" s="13">
        <f t="shared" si="92"/>
        <v>2.98</v>
      </c>
    </row>
    <row r="5896" spans="1:4" x14ac:dyDescent="0.25">
      <c r="A5896" s="15">
        <f>Sheet2!A5896</f>
        <v>0</v>
      </c>
      <c r="B5896" s="8">
        <v>0</v>
      </c>
      <c r="C5896" s="9">
        <v>0.49</v>
      </c>
      <c r="D5896" s="13">
        <f t="shared" si="92"/>
        <v>0.49</v>
      </c>
    </row>
    <row r="5897" spans="1:4" x14ac:dyDescent="0.25">
      <c r="A5897" s="15">
        <f>Sheet2!A5897</f>
        <v>0</v>
      </c>
      <c r="B5897" s="8">
        <v>18.77</v>
      </c>
      <c r="C5897" s="9">
        <v>0</v>
      </c>
      <c r="D5897" s="13">
        <f t="shared" si="92"/>
        <v>18.77</v>
      </c>
    </row>
    <row r="5898" spans="1:4" x14ac:dyDescent="0.25">
      <c r="A5898" s="15">
        <f>Sheet2!A5898</f>
        <v>0</v>
      </c>
      <c r="B5898" s="8">
        <v>0</v>
      </c>
      <c r="C5898" s="9">
        <v>2.52</v>
      </c>
      <c r="D5898" s="13">
        <f t="shared" si="92"/>
        <v>2.52</v>
      </c>
    </row>
    <row r="5899" spans="1:4" x14ac:dyDescent="0.25">
      <c r="A5899" s="15">
        <f>Sheet2!A5899</f>
        <v>0</v>
      </c>
      <c r="B5899" s="8">
        <v>0</v>
      </c>
      <c r="C5899" s="9">
        <v>2.3199999999999998</v>
      </c>
      <c r="D5899" s="13">
        <f t="shared" si="92"/>
        <v>2.3199999999999998</v>
      </c>
    </row>
    <row r="5900" spans="1:4" x14ac:dyDescent="0.25">
      <c r="A5900" s="15">
        <f>Sheet2!A5900</f>
        <v>0</v>
      </c>
      <c r="B5900" s="8">
        <v>0</v>
      </c>
      <c r="C5900" s="9">
        <v>1.1599999999999999</v>
      </c>
      <c r="D5900" s="13">
        <f t="shared" si="92"/>
        <v>1.1599999999999999</v>
      </c>
    </row>
    <row r="5901" spans="1:4" x14ac:dyDescent="0.25">
      <c r="A5901" s="15">
        <f>Sheet2!A5901</f>
        <v>0</v>
      </c>
      <c r="B5901" s="8">
        <v>0</v>
      </c>
      <c r="C5901" s="9">
        <v>1.82</v>
      </c>
      <c r="D5901" s="13">
        <f t="shared" si="92"/>
        <v>1.82</v>
      </c>
    </row>
    <row r="5902" spans="1:4" x14ac:dyDescent="0.25">
      <c r="A5902" s="15">
        <f>Sheet2!A5902</f>
        <v>0</v>
      </c>
      <c r="B5902" s="8">
        <v>0</v>
      </c>
      <c r="C5902" s="9">
        <v>3.5</v>
      </c>
      <c r="D5902" s="13">
        <f t="shared" si="92"/>
        <v>3.5</v>
      </c>
    </row>
    <row r="5903" spans="1:4" x14ac:dyDescent="0.25">
      <c r="A5903" s="15">
        <f>Sheet2!A5903</f>
        <v>0</v>
      </c>
      <c r="B5903" s="8">
        <v>0</v>
      </c>
      <c r="C5903" s="9">
        <v>1.37</v>
      </c>
      <c r="D5903" s="13">
        <f t="shared" si="92"/>
        <v>1.37</v>
      </c>
    </row>
    <row r="5904" spans="1:4" x14ac:dyDescent="0.25">
      <c r="A5904" s="15">
        <f>Sheet2!A5904</f>
        <v>0</v>
      </c>
      <c r="B5904" s="8">
        <v>15.72</v>
      </c>
      <c r="C5904" s="9">
        <v>0</v>
      </c>
      <c r="D5904" s="13">
        <f t="shared" si="92"/>
        <v>15.72</v>
      </c>
    </row>
    <row r="5905" spans="1:4" x14ac:dyDescent="0.25">
      <c r="A5905" s="15">
        <f>Sheet2!A5905</f>
        <v>0</v>
      </c>
      <c r="B5905" s="8">
        <v>0</v>
      </c>
      <c r="C5905" s="9">
        <v>1.46</v>
      </c>
      <c r="D5905" s="13">
        <f t="shared" si="92"/>
        <v>1.46</v>
      </c>
    </row>
    <row r="5906" spans="1:4" x14ac:dyDescent="0.25">
      <c r="A5906" s="15">
        <f>Sheet2!A5906</f>
        <v>0</v>
      </c>
      <c r="B5906" s="8">
        <v>0</v>
      </c>
      <c r="C5906" s="9">
        <v>1.49</v>
      </c>
      <c r="D5906" s="13">
        <f t="shared" si="92"/>
        <v>1.49</v>
      </c>
    </row>
    <row r="5907" spans="1:4" x14ac:dyDescent="0.25">
      <c r="A5907" s="15">
        <f>Sheet2!A5907</f>
        <v>0</v>
      </c>
      <c r="B5907" s="8">
        <v>0</v>
      </c>
      <c r="C5907" s="9">
        <v>1.76</v>
      </c>
      <c r="D5907" s="13">
        <f t="shared" si="92"/>
        <v>1.76</v>
      </c>
    </row>
    <row r="5908" spans="1:4" x14ac:dyDescent="0.25">
      <c r="A5908" s="15">
        <f>Sheet2!A5908</f>
        <v>0</v>
      </c>
      <c r="B5908" s="8">
        <v>10.69</v>
      </c>
      <c r="C5908" s="9">
        <v>0</v>
      </c>
      <c r="D5908" s="13">
        <f t="shared" si="92"/>
        <v>10.69</v>
      </c>
    </row>
    <row r="5909" spans="1:4" x14ac:dyDescent="0.25">
      <c r="A5909" s="15">
        <f>Sheet2!A5909</f>
        <v>0</v>
      </c>
      <c r="B5909" s="8">
        <v>0</v>
      </c>
      <c r="C5909" s="9">
        <v>2.0299999999999998</v>
      </c>
      <c r="D5909" s="13">
        <f t="shared" si="92"/>
        <v>2.0299999999999998</v>
      </c>
    </row>
    <row r="5910" spans="1:4" x14ac:dyDescent="0.25">
      <c r="A5910" s="15">
        <f>Sheet2!A5910</f>
        <v>0</v>
      </c>
      <c r="B5910" s="8">
        <v>0</v>
      </c>
      <c r="C5910" s="9">
        <v>3.3</v>
      </c>
      <c r="D5910" s="13">
        <f t="shared" si="92"/>
        <v>3.3</v>
      </c>
    </row>
    <row r="5911" spans="1:4" x14ac:dyDescent="0.25">
      <c r="A5911" s="15">
        <f>Sheet2!A5911</f>
        <v>0</v>
      </c>
      <c r="B5911" s="8">
        <v>0</v>
      </c>
      <c r="C5911" s="9">
        <v>1.63</v>
      </c>
      <c r="D5911" s="13">
        <f t="shared" si="92"/>
        <v>1.63</v>
      </c>
    </row>
    <row r="5912" spans="1:4" x14ac:dyDescent="0.25">
      <c r="A5912" s="15">
        <f>Sheet2!A5912</f>
        <v>0</v>
      </c>
      <c r="B5912" s="8">
        <v>0</v>
      </c>
      <c r="C5912" s="9">
        <v>1.93</v>
      </c>
      <c r="D5912" s="13">
        <f t="shared" si="92"/>
        <v>1.93</v>
      </c>
    </row>
    <row r="5913" spans="1:4" x14ac:dyDescent="0.25">
      <c r="A5913" s="15">
        <f>Sheet2!A5913</f>
        <v>0</v>
      </c>
      <c r="B5913" s="8">
        <v>0</v>
      </c>
      <c r="C5913" s="9">
        <v>0.88</v>
      </c>
      <c r="D5913" s="13">
        <f t="shared" si="92"/>
        <v>0.88</v>
      </c>
    </row>
    <row r="5914" spans="1:4" x14ac:dyDescent="0.25">
      <c r="A5914" s="15">
        <f>Sheet2!A5914</f>
        <v>0</v>
      </c>
      <c r="B5914" s="8">
        <v>0</v>
      </c>
      <c r="C5914" s="9">
        <v>2.1800000000000002</v>
      </c>
      <c r="D5914" s="13">
        <f t="shared" si="92"/>
        <v>2.1800000000000002</v>
      </c>
    </row>
    <row r="5915" spans="1:4" x14ac:dyDescent="0.25">
      <c r="A5915" s="15">
        <f>Sheet2!A5915</f>
        <v>0</v>
      </c>
      <c r="B5915" s="8">
        <v>0</v>
      </c>
      <c r="C5915" s="9">
        <v>3.83</v>
      </c>
      <c r="D5915" s="13">
        <f t="shared" si="92"/>
        <v>3.83</v>
      </c>
    </row>
    <row r="5916" spans="1:4" x14ac:dyDescent="0.25">
      <c r="A5916" s="15">
        <f>Sheet2!A5916</f>
        <v>0</v>
      </c>
      <c r="B5916" s="8">
        <v>0</v>
      </c>
      <c r="C5916" s="9">
        <v>3.75</v>
      </c>
      <c r="D5916" s="13">
        <f t="shared" si="92"/>
        <v>3.75</v>
      </c>
    </row>
    <row r="5917" spans="1:4" x14ac:dyDescent="0.25">
      <c r="A5917" s="15">
        <f>Sheet2!A5917</f>
        <v>0</v>
      </c>
      <c r="B5917" s="8">
        <v>0</v>
      </c>
      <c r="C5917" s="9">
        <v>1.46</v>
      </c>
      <c r="D5917" s="13">
        <f t="shared" si="92"/>
        <v>1.46</v>
      </c>
    </row>
    <row r="5918" spans="1:4" x14ac:dyDescent="0.25">
      <c r="A5918" s="15">
        <f>Sheet2!A5918</f>
        <v>0</v>
      </c>
      <c r="B5918" s="8">
        <v>0</v>
      </c>
      <c r="C5918" s="9">
        <v>1.88</v>
      </c>
      <c r="D5918" s="13">
        <f t="shared" si="92"/>
        <v>1.88</v>
      </c>
    </row>
    <row r="5919" spans="1:4" x14ac:dyDescent="0.25">
      <c r="A5919" s="15">
        <f>Sheet2!A5919</f>
        <v>0</v>
      </c>
      <c r="B5919" s="8">
        <v>0</v>
      </c>
      <c r="C5919" s="9">
        <v>2.5299999999999998</v>
      </c>
      <c r="D5919" s="13">
        <f t="shared" si="92"/>
        <v>2.5299999999999998</v>
      </c>
    </row>
    <row r="5920" spans="1:4" x14ac:dyDescent="0.25">
      <c r="A5920" s="15">
        <f>Sheet2!A5920</f>
        <v>0</v>
      </c>
      <c r="B5920" s="8">
        <v>0</v>
      </c>
      <c r="C5920" s="9">
        <v>2.57</v>
      </c>
      <c r="D5920" s="13">
        <f t="shared" si="92"/>
        <v>2.57</v>
      </c>
    </row>
    <row r="5921" spans="1:4" x14ac:dyDescent="0.25">
      <c r="A5921" s="15">
        <f>Sheet2!A5921</f>
        <v>0</v>
      </c>
      <c r="B5921" s="8">
        <v>0</v>
      </c>
      <c r="C5921" s="9">
        <v>1.01</v>
      </c>
      <c r="D5921" s="13">
        <f t="shared" si="92"/>
        <v>1.01</v>
      </c>
    </row>
    <row r="5922" spans="1:4" x14ac:dyDescent="0.25">
      <c r="A5922" s="15">
        <f>Sheet2!A5922</f>
        <v>0</v>
      </c>
      <c r="B5922" s="8">
        <v>13.63</v>
      </c>
      <c r="C5922" s="9">
        <v>0</v>
      </c>
      <c r="D5922" s="13">
        <f t="shared" si="92"/>
        <v>13.63</v>
      </c>
    </row>
    <row r="5923" spans="1:4" x14ac:dyDescent="0.25">
      <c r="A5923" s="15">
        <f>Sheet2!A5923</f>
        <v>0</v>
      </c>
      <c r="B5923" s="8">
        <v>0</v>
      </c>
      <c r="C5923" s="9">
        <v>1.94</v>
      </c>
      <c r="D5923" s="13">
        <f t="shared" si="92"/>
        <v>1.94</v>
      </c>
    </row>
    <row r="5924" spans="1:4" x14ac:dyDescent="0.25">
      <c r="A5924" s="15">
        <f>Sheet2!A5924</f>
        <v>0</v>
      </c>
      <c r="B5924" s="8">
        <v>0</v>
      </c>
      <c r="C5924" s="9">
        <v>3.36</v>
      </c>
      <c r="D5924" s="13">
        <f t="shared" si="92"/>
        <v>3.36</v>
      </c>
    </row>
    <row r="5925" spans="1:4" x14ac:dyDescent="0.25">
      <c r="A5925" s="15">
        <f>Sheet2!A5925</f>
        <v>0</v>
      </c>
      <c r="B5925" s="8">
        <v>0</v>
      </c>
      <c r="C5925" s="9">
        <v>2.62</v>
      </c>
      <c r="D5925" s="13">
        <f t="shared" si="92"/>
        <v>2.62</v>
      </c>
    </row>
    <row r="5926" spans="1:4" x14ac:dyDescent="0.25">
      <c r="A5926" s="15">
        <f>Sheet2!A5926</f>
        <v>0</v>
      </c>
      <c r="B5926" s="8">
        <v>0</v>
      </c>
      <c r="C5926" s="9">
        <v>2.41</v>
      </c>
      <c r="D5926" s="13">
        <f t="shared" si="92"/>
        <v>2.41</v>
      </c>
    </row>
    <row r="5927" spans="1:4" x14ac:dyDescent="0.25">
      <c r="A5927" s="15">
        <f>Sheet2!A5927</f>
        <v>0</v>
      </c>
      <c r="B5927" s="8">
        <v>0</v>
      </c>
      <c r="C5927" s="9">
        <v>0.89</v>
      </c>
      <c r="D5927" s="13">
        <f t="shared" si="92"/>
        <v>0.89</v>
      </c>
    </row>
    <row r="5928" spans="1:4" x14ac:dyDescent="0.25">
      <c r="A5928" s="15">
        <f>Sheet2!A5928</f>
        <v>0</v>
      </c>
      <c r="B5928" s="8">
        <v>12.88</v>
      </c>
      <c r="C5928" s="9">
        <v>0</v>
      </c>
      <c r="D5928" s="13">
        <f t="shared" si="92"/>
        <v>12.88</v>
      </c>
    </row>
    <row r="5929" spans="1:4" x14ac:dyDescent="0.25">
      <c r="A5929" s="15">
        <f>Sheet2!A5929</f>
        <v>0</v>
      </c>
      <c r="B5929" s="8">
        <v>1.29</v>
      </c>
      <c r="C5929" s="9">
        <v>0</v>
      </c>
      <c r="D5929" s="13">
        <f t="shared" si="92"/>
        <v>1.29</v>
      </c>
    </row>
    <row r="5930" spans="1:4" x14ac:dyDescent="0.25">
      <c r="A5930" s="15">
        <f>Sheet2!A5930</f>
        <v>0</v>
      </c>
      <c r="B5930" s="8">
        <v>0</v>
      </c>
      <c r="C5930" s="9">
        <v>1.18</v>
      </c>
      <c r="D5930" s="13">
        <f t="shared" si="92"/>
        <v>1.18</v>
      </c>
    </row>
    <row r="5931" spans="1:4" x14ac:dyDescent="0.25">
      <c r="A5931" s="15">
        <f>Sheet2!A5931</f>
        <v>0</v>
      </c>
      <c r="B5931" s="8">
        <v>0</v>
      </c>
      <c r="C5931" s="9">
        <v>0.27</v>
      </c>
      <c r="D5931" s="13">
        <f t="shared" si="92"/>
        <v>0.27</v>
      </c>
    </row>
    <row r="5932" spans="1:4" x14ac:dyDescent="0.25">
      <c r="A5932" s="15">
        <f>Sheet2!A5932</f>
        <v>0</v>
      </c>
      <c r="B5932" s="8">
        <v>10</v>
      </c>
      <c r="C5932" s="9">
        <v>0</v>
      </c>
      <c r="D5932" s="13">
        <f t="shared" si="92"/>
        <v>10</v>
      </c>
    </row>
    <row r="5933" spans="1:4" x14ac:dyDescent="0.25">
      <c r="A5933" s="15">
        <f>Sheet2!A5933</f>
        <v>0</v>
      </c>
      <c r="B5933" s="8">
        <v>0</v>
      </c>
      <c r="C5933" s="9">
        <v>2.1</v>
      </c>
      <c r="D5933" s="13">
        <f t="shared" si="92"/>
        <v>2.1</v>
      </c>
    </row>
    <row r="5934" spans="1:4" x14ac:dyDescent="0.25">
      <c r="A5934" s="15">
        <f>Sheet2!A5934</f>
        <v>0</v>
      </c>
      <c r="B5934" s="8">
        <v>0</v>
      </c>
      <c r="C5934" s="9">
        <v>3.34</v>
      </c>
      <c r="D5934" s="13">
        <f t="shared" si="92"/>
        <v>3.34</v>
      </c>
    </row>
    <row r="5935" spans="1:4" x14ac:dyDescent="0.25">
      <c r="A5935" s="15">
        <f>Sheet2!A5935</f>
        <v>0</v>
      </c>
      <c r="B5935" s="8">
        <v>0</v>
      </c>
      <c r="C5935" s="9">
        <v>1.35</v>
      </c>
      <c r="D5935" s="13">
        <f t="shared" si="92"/>
        <v>1.35</v>
      </c>
    </row>
    <row r="5936" spans="1:4" x14ac:dyDescent="0.25">
      <c r="A5936" s="15">
        <f>Sheet2!A5936</f>
        <v>0</v>
      </c>
      <c r="B5936" s="8">
        <v>6.05</v>
      </c>
      <c r="C5936" s="9">
        <v>0</v>
      </c>
      <c r="D5936" s="13">
        <f t="shared" si="92"/>
        <v>6.05</v>
      </c>
    </row>
    <row r="5937" spans="1:4" x14ac:dyDescent="0.25">
      <c r="A5937" s="15">
        <f>Sheet2!A5937</f>
        <v>0</v>
      </c>
      <c r="B5937" s="8">
        <v>0</v>
      </c>
      <c r="C5937" s="9">
        <v>0.79</v>
      </c>
      <c r="D5937" s="13">
        <f t="shared" si="92"/>
        <v>0.79</v>
      </c>
    </row>
    <row r="5938" spans="1:4" x14ac:dyDescent="0.25">
      <c r="A5938" s="15">
        <f>Sheet2!A5938</f>
        <v>0</v>
      </c>
      <c r="B5938" s="8">
        <v>0</v>
      </c>
      <c r="C5938" s="9">
        <v>1.53</v>
      </c>
      <c r="D5938" s="13">
        <f t="shared" si="92"/>
        <v>1.53</v>
      </c>
    </row>
    <row r="5939" spans="1:4" x14ac:dyDescent="0.25">
      <c r="A5939" s="15">
        <f>Sheet2!A5939</f>
        <v>0</v>
      </c>
      <c r="B5939" s="8">
        <v>0</v>
      </c>
      <c r="C5939" s="9">
        <v>1.42</v>
      </c>
      <c r="D5939" s="13">
        <f t="shared" si="92"/>
        <v>1.42</v>
      </c>
    </row>
    <row r="5940" spans="1:4" x14ac:dyDescent="0.25">
      <c r="A5940" s="15">
        <f>Sheet2!A5940</f>
        <v>0</v>
      </c>
      <c r="B5940" s="8">
        <v>10.68</v>
      </c>
      <c r="C5940" s="9">
        <v>0</v>
      </c>
      <c r="D5940" s="13">
        <f t="shared" si="92"/>
        <v>10.68</v>
      </c>
    </row>
    <row r="5941" spans="1:4" x14ac:dyDescent="0.25">
      <c r="A5941" s="15">
        <f>Sheet2!A5941</f>
        <v>0</v>
      </c>
      <c r="B5941" s="8">
        <v>0</v>
      </c>
      <c r="C5941" s="9">
        <v>0.68</v>
      </c>
      <c r="D5941" s="13">
        <f t="shared" si="92"/>
        <v>0.68</v>
      </c>
    </row>
    <row r="5942" spans="1:4" x14ac:dyDescent="0.25">
      <c r="A5942" s="15">
        <f>Sheet2!A5942</f>
        <v>0</v>
      </c>
      <c r="B5942" s="8">
        <v>0</v>
      </c>
      <c r="C5942" s="9">
        <v>2.0699999999999998</v>
      </c>
      <c r="D5942" s="13">
        <f t="shared" si="92"/>
        <v>2.0699999999999998</v>
      </c>
    </row>
    <row r="5943" spans="1:4" x14ac:dyDescent="0.25">
      <c r="A5943" s="15">
        <f>Sheet2!A5943</f>
        <v>0</v>
      </c>
      <c r="B5943" s="8">
        <v>0</v>
      </c>
      <c r="C5943" s="9">
        <v>1.51</v>
      </c>
      <c r="D5943" s="13">
        <f t="shared" si="92"/>
        <v>1.51</v>
      </c>
    </row>
    <row r="5944" spans="1:4" x14ac:dyDescent="0.25">
      <c r="A5944" s="15">
        <f>Sheet2!A5944</f>
        <v>0</v>
      </c>
      <c r="B5944" s="8">
        <v>0</v>
      </c>
      <c r="C5944" s="9">
        <v>0.97</v>
      </c>
      <c r="D5944" s="13">
        <f t="shared" si="92"/>
        <v>0.97</v>
      </c>
    </row>
    <row r="5945" spans="1:4" x14ac:dyDescent="0.25">
      <c r="A5945" s="15">
        <f>Sheet2!A5945</f>
        <v>0</v>
      </c>
      <c r="B5945" s="8">
        <v>0</v>
      </c>
      <c r="C5945" s="9">
        <v>1.1399999999999999</v>
      </c>
      <c r="D5945" s="13">
        <f t="shared" si="92"/>
        <v>1.1399999999999999</v>
      </c>
    </row>
    <row r="5946" spans="1:4" x14ac:dyDescent="0.25">
      <c r="A5946" s="15">
        <f>Sheet2!A5946</f>
        <v>0</v>
      </c>
      <c r="B5946" s="8">
        <v>0</v>
      </c>
      <c r="C5946" s="9">
        <v>3.26</v>
      </c>
      <c r="D5946" s="13">
        <f t="shared" si="92"/>
        <v>3.26</v>
      </c>
    </row>
    <row r="5947" spans="1:4" x14ac:dyDescent="0.25">
      <c r="A5947" s="15">
        <f>Sheet2!A5947</f>
        <v>0</v>
      </c>
      <c r="B5947" s="8">
        <v>0</v>
      </c>
      <c r="C5947" s="9">
        <v>1.62</v>
      </c>
      <c r="D5947" s="13">
        <f t="shared" si="92"/>
        <v>1.62</v>
      </c>
    </row>
    <row r="5948" spans="1:4" x14ac:dyDescent="0.25">
      <c r="A5948" s="15">
        <f>Sheet2!A5948</f>
        <v>0</v>
      </c>
      <c r="B5948" s="8">
        <v>17.670000000000002</v>
      </c>
      <c r="C5948" s="9">
        <v>0</v>
      </c>
      <c r="D5948" s="13">
        <f t="shared" si="92"/>
        <v>17.670000000000002</v>
      </c>
    </row>
    <row r="5949" spans="1:4" x14ac:dyDescent="0.25">
      <c r="A5949" s="15">
        <f>Sheet2!A5949</f>
        <v>0</v>
      </c>
      <c r="B5949" s="8">
        <v>0</v>
      </c>
      <c r="C5949" s="9">
        <v>1.36</v>
      </c>
      <c r="D5949" s="13">
        <f t="shared" si="92"/>
        <v>1.36</v>
      </c>
    </row>
    <row r="5950" spans="1:4" x14ac:dyDescent="0.25">
      <c r="A5950" s="15">
        <f>Sheet2!A5950</f>
        <v>0</v>
      </c>
      <c r="B5950" s="8">
        <v>0</v>
      </c>
      <c r="C5950" s="9">
        <v>3.01</v>
      </c>
      <c r="D5950" s="13">
        <f t="shared" si="92"/>
        <v>3.01</v>
      </c>
    </row>
    <row r="5951" spans="1:4" x14ac:dyDescent="0.25">
      <c r="A5951" s="15">
        <f>Sheet2!A5951</f>
        <v>0</v>
      </c>
      <c r="B5951" s="8">
        <v>0</v>
      </c>
      <c r="C5951" s="9">
        <v>1.84</v>
      </c>
      <c r="D5951" s="13">
        <f t="shared" si="92"/>
        <v>1.84</v>
      </c>
    </row>
    <row r="5952" spans="1:4" x14ac:dyDescent="0.25">
      <c r="A5952" s="15">
        <f>Sheet2!A5952</f>
        <v>0</v>
      </c>
      <c r="B5952" s="8">
        <v>5.18</v>
      </c>
      <c r="C5952" s="9">
        <v>0</v>
      </c>
      <c r="D5952" s="13">
        <f t="shared" si="92"/>
        <v>5.18</v>
      </c>
    </row>
    <row r="5953" spans="1:4" x14ac:dyDescent="0.25">
      <c r="A5953" s="15">
        <f>Sheet2!A5953</f>
        <v>0</v>
      </c>
      <c r="B5953" s="8">
        <v>6.29</v>
      </c>
      <c r="C5953" s="9">
        <v>0</v>
      </c>
      <c r="D5953" s="13">
        <f t="shared" si="92"/>
        <v>6.29</v>
      </c>
    </row>
    <row r="5954" spans="1:4" x14ac:dyDescent="0.25">
      <c r="A5954" s="15">
        <f>Sheet2!A5954</f>
        <v>0</v>
      </c>
      <c r="B5954" s="8">
        <v>0</v>
      </c>
      <c r="C5954" s="9">
        <v>1.0900000000000001</v>
      </c>
      <c r="D5954" s="13">
        <f t="shared" si="92"/>
        <v>1.0900000000000001</v>
      </c>
    </row>
    <row r="5955" spans="1:4" x14ac:dyDescent="0.25">
      <c r="A5955" s="15">
        <f>Sheet2!A5955</f>
        <v>0</v>
      </c>
      <c r="B5955" s="8">
        <v>0</v>
      </c>
      <c r="C5955" s="9">
        <v>1.04</v>
      </c>
      <c r="D5955" s="13">
        <f t="shared" ref="D5955:D6018" si="93">B5955+C5955</f>
        <v>1.04</v>
      </c>
    </row>
    <row r="5956" spans="1:4" x14ac:dyDescent="0.25">
      <c r="A5956" s="15">
        <f>Sheet2!A5956</f>
        <v>0</v>
      </c>
      <c r="B5956" s="8">
        <v>8.24</v>
      </c>
      <c r="C5956" s="9">
        <v>0</v>
      </c>
      <c r="D5956" s="13">
        <f t="shared" si="93"/>
        <v>8.24</v>
      </c>
    </row>
    <row r="5957" spans="1:4" x14ac:dyDescent="0.25">
      <c r="A5957" s="15">
        <f>Sheet2!A5957</f>
        <v>0</v>
      </c>
      <c r="B5957" s="8">
        <v>8.0399999999999991</v>
      </c>
      <c r="C5957" s="9">
        <v>0</v>
      </c>
      <c r="D5957" s="13">
        <f t="shared" si="93"/>
        <v>8.0399999999999991</v>
      </c>
    </row>
    <row r="5958" spans="1:4" x14ac:dyDescent="0.25">
      <c r="A5958" s="15">
        <f>Sheet2!A5958</f>
        <v>0</v>
      </c>
      <c r="B5958" s="8">
        <v>7.56</v>
      </c>
      <c r="C5958" s="9">
        <v>0</v>
      </c>
      <c r="D5958" s="13">
        <f t="shared" si="93"/>
        <v>7.56</v>
      </c>
    </row>
    <row r="5959" spans="1:4" x14ac:dyDescent="0.25">
      <c r="A5959" s="15">
        <f>Sheet2!A5959</f>
        <v>0</v>
      </c>
      <c r="B5959" s="8">
        <v>1.73</v>
      </c>
      <c r="C5959" s="9">
        <v>0</v>
      </c>
      <c r="D5959" s="13">
        <f t="shared" si="93"/>
        <v>1.73</v>
      </c>
    </row>
    <row r="5960" spans="1:4" x14ac:dyDescent="0.25">
      <c r="A5960" s="15">
        <f>Sheet2!A5960</f>
        <v>0</v>
      </c>
      <c r="B5960" s="8">
        <v>0</v>
      </c>
      <c r="C5960" s="9">
        <v>1.85</v>
      </c>
      <c r="D5960" s="13">
        <f t="shared" si="93"/>
        <v>1.85</v>
      </c>
    </row>
    <row r="5961" spans="1:4" x14ac:dyDescent="0.25">
      <c r="A5961" s="15">
        <f>Sheet2!A5961</f>
        <v>0</v>
      </c>
      <c r="B5961" s="8">
        <v>0</v>
      </c>
      <c r="C5961" s="9">
        <v>1.44</v>
      </c>
      <c r="D5961" s="13">
        <f t="shared" si="93"/>
        <v>1.44</v>
      </c>
    </row>
    <row r="5962" spans="1:4" x14ac:dyDescent="0.25">
      <c r="A5962" s="15">
        <f>Sheet2!A5962</f>
        <v>0</v>
      </c>
      <c r="B5962" s="8">
        <v>0</v>
      </c>
      <c r="C5962" s="9">
        <v>1.3</v>
      </c>
      <c r="D5962" s="13">
        <f t="shared" si="93"/>
        <v>1.3</v>
      </c>
    </row>
    <row r="5963" spans="1:4" x14ac:dyDescent="0.25">
      <c r="A5963" s="15">
        <f>Sheet2!A5963</f>
        <v>0</v>
      </c>
      <c r="B5963" s="8">
        <v>0</v>
      </c>
      <c r="C5963" s="9">
        <v>3.84</v>
      </c>
      <c r="D5963" s="13">
        <f t="shared" si="93"/>
        <v>3.84</v>
      </c>
    </row>
    <row r="5964" spans="1:4" x14ac:dyDescent="0.25">
      <c r="A5964" s="15">
        <f>Sheet2!A5964</f>
        <v>0</v>
      </c>
      <c r="B5964" s="8">
        <v>0</v>
      </c>
      <c r="C5964" s="9">
        <v>3.92</v>
      </c>
      <c r="D5964" s="13">
        <f t="shared" si="93"/>
        <v>3.92</v>
      </c>
    </row>
    <row r="5965" spans="1:4" x14ac:dyDescent="0.25">
      <c r="A5965" s="15">
        <f>Sheet2!A5965</f>
        <v>0</v>
      </c>
      <c r="B5965" s="8">
        <v>0</v>
      </c>
      <c r="C5965" s="9">
        <v>1.78</v>
      </c>
      <c r="D5965" s="13">
        <f t="shared" si="93"/>
        <v>1.78</v>
      </c>
    </row>
    <row r="5966" spans="1:4" x14ac:dyDescent="0.25">
      <c r="A5966" s="15">
        <f>Sheet2!A5966</f>
        <v>0</v>
      </c>
      <c r="B5966" s="8">
        <v>12.33</v>
      </c>
      <c r="C5966" s="9">
        <v>0</v>
      </c>
      <c r="D5966" s="13">
        <f t="shared" si="93"/>
        <v>12.33</v>
      </c>
    </row>
    <row r="5967" spans="1:4" x14ac:dyDescent="0.25">
      <c r="A5967" s="15">
        <f>Sheet2!A5967</f>
        <v>0</v>
      </c>
      <c r="B5967" s="8">
        <v>0</v>
      </c>
      <c r="C5967" s="9">
        <v>1.38</v>
      </c>
      <c r="D5967" s="13">
        <f t="shared" si="93"/>
        <v>1.38</v>
      </c>
    </row>
    <row r="5968" spans="1:4" x14ac:dyDescent="0.25">
      <c r="A5968" s="15">
        <f>Sheet2!A5968</f>
        <v>0</v>
      </c>
      <c r="B5968" s="8">
        <v>0</v>
      </c>
      <c r="C5968" s="9">
        <v>2.88</v>
      </c>
      <c r="D5968" s="13">
        <f t="shared" si="93"/>
        <v>2.88</v>
      </c>
    </row>
    <row r="5969" spans="1:4" x14ac:dyDescent="0.25">
      <c r="A5969" s="15">
        <f>Sheet2!A5969</f>
        <v>0</v>
      </c>
      <c r="B5969" s="8">
        <v>0</v>
      </c>
      <c r="C5969" s="9">
        <v>1.68</v>
      </c>
      <c r="D5969" s="13">
        <f t="shared" si="93"/>
        <v>1.68</v>
      </c>
    </row>
    <row r="5970" spans="1:4" x14ac:dyDescent="0.25">
      <c r="A5970" s="15">
        <f>Sheet2!A5970</f>
        <v>0</v>
      </c>
      <c r="B5970" s="8">
        <v>0</v>
      </c>
      <c r="C5970" s="9">
        <v>0.75</v>
      </c>
      <c r="D5970" s="13">
        <f t="shared" si="93"/>
        <v>0.75</v>
      </c>
    </row>
    <row r="5971" spans="1:4" x14ac:dyDescent="0.25">
      <c r="A5971" s="15">
        <f>Sheet2!A5971</f>
        <v>0</v>
      </c>
      <c r="B5971" s="8">
        <v>0</v>
      </c>
      <c r="C5971" s="9">
        <v>0.8</v>
      </c>
      <c r="D5971" s="13">
        <f t="shared" si="93"/>
        <v>0.8</v>
      </c>
    </row>
    <row r="5972" spans="1:4" x14ac:dyDescent="0.25">
      <c r="A5972" s="15">
        <f>Sheet2!A5972</f>
        <v>0</v>
      </c>
      <c r="B5972" s="8">
        <v>0</v>
      </c>
      <c r="C5972" s="9">
        <v>3.25</v>
      </c>
      <c r="D5972" s="13">
        <f t="shared" si="93"/>
        <v>3.25</v>
      </c>
    </row>
    <row r="5973" spans="1:4" x14ac:dyDescent="0.25">
      <c r="A5973" s="15">
        <f>Sheet2!A5973</f>
        <v>0</v>
      </c>
      <c r="B5973" s="8">
        <v>0</v>
      </c>
      <c r="C5973" s="9">
        <v>1.66</v>
      </c>
      <c r="D5973" s="13">
        <f t="shared" si="93"/>
        <v>1.66</v>
      </c>
    </row>
    <row r="5974" spans="1:4" x14ac:dyDescent="0.25">
      <c r="A5974" s="15">
        <f>Sheet2!A5974</f>
        <v>0</v>
      </c>
      <c r="B5974" s="8">
        <v>15.97</v>
      </c>
      <c r="C5974" s="9">
        <v>0</v>
      </c>
      <c r="D5974" s="13">
        <f t="shared" si="93"/>
        <v>15.97</v>
      </c>
    </row>
    <row r="5975" spans="1:4" x14ac:dyDescent="0.25">
      <c r="A5975" s="15">
        <f>Sheet2!A5975</f>
        <v>0</v>
      </c>
      <c r="B5975" s="8">
        <v>14.35</v>
      </c>
      <c r="C5975" s="9">
        <v>0</v>
      </c>
      <c r="D5975" s="13">
        <f t="shared" si="93"/>
        <v>14.35</v>
      </c>
    </row>
    <row r="5976" spans="1:4" x14ac:dyDescent="0.25">
      <c r="A5976" s="15">
        <f>Sheet2!A5976</f>
        <v>0</v>
      </c>
      <c r="B5976" s="8">
        <v>12.73</v>
      </c>
      <c r="C5976" s="9">
        <v>0</v>
      </c>
      <c r="D5976" s="13">
        <f t="shared" si="93"/>
        <v>12.73</v>
      </c>
    </row>
    <row r="5977" spans="1:4" x14ac:dyDescent="0.25">
      <c r="A5977" s="15">
        <f>Sheet2!A5977</f>
        <v>0</v>
      </c>
      <c r="B5977" s="8">
        <v>0</v>
      </c>
      <c r="C5977" s="9">
        <v>1.4</v>
      </c>
      <c r="D5977" s="13">
        <f t="shared" si="93"/>
        <v>1.4</v>
      </c>
    </row>
    <row r="5978" spans="1:4" x14ac:dyDescent="0.25">
      <c r="A5978" s="15">
        <f>Sheet2!A5978</f>
        <v>0</v>
      </c>
      <c r="B5978" s="8">
        <v>0</v>
      </c>
      <c r="C5978" s="9">
        <v>1.41</v>
      </c>
      <c r="D5978" s="13">
        <f t="shared" si="93"/>
        <v>1.41</v>
      </c>
    </row>
    <row r="5979" spans="1:4" x14ac:dyDescent="0.25">
      <c r="A5979" s="15">
        <f>Sheet2!A5979</f>
        <v>0</v>
      </c>
      <c r="B5979" s="8">
        <v>0</v>
      </c>
      <c r="C5979" s="9">
        <v>0.63</v>
      </c>
      <c r="D5979" s="13">
        <f t="shared" si="93"/>
        <v>0.63</v>
      </c>
    </row>
    <row r="5980" spans="1:4" x14ac:dyDescent="0.25">
      <c r="A5980" s="15">
        <f>Sheet2!A5980</f>
        <v>0</v>
      </c>
      <c r="B5980" s="8">
        <v>10.7</v>
      </c>
      <c r="C5980" s="9">
        <v>0</v>
      </c>
      <c r="D5980" s="13">
        <f t="shared" si="93"/>
        <v>10.7</v>
      </c>
    </row>
    <row r="5981" spans="1:4" x14ac:dyDescent="0.25">
      <c r="A5981" s="15">
        <f>Sheet2!A5981</f>
        <v>0</v>
      </c>
      <c r="B5981" s="8">
        <v>0</v>
      </c>
      <c r="C5981" s="9">
        <v>1.26</v>
      </c>
      <c r="D5981" s="13">
        <f t="shared" si="93"/>
        <v>1.26</v>
      </c>
    </row>
    <row r="5982" spans="1:4" x14ac:dyDescent="0.25">
      <c r="A5982" s="15">
        <f>Sheet2!A5982</f>
        <v>0</v>
      </c>
      <c r="B5982" s="8">
        <v>0</v>
      </c>
      <c r="C5982" s="9">
        <v>3.07</v>
      </c>
      <c r="D5982" s="13">
        <f t="shared" si="93"/>
        <v>3.07</v>
      </c>
    </row>
    <row r="5983" spans="1:4" x14ac:dyDescent="0.25">
      <c r="A5983" s="15">
        <f>Sheet2!A5983</f>
        <v>0</v>
      </c>
      <c r="B5983" s="8">
        <v>0</v>
      </c>
      <c r="C5983" s="9">
        <v>1.18</v>
      </c>
      <c r="D5983" s="13">
        <f t="shared" si="93"/>
        <v>1.18</v>
      </c>
    </row>
    <row r="5984" spans="1:4" x14ac:dyDescent="0.25">
      <c r="A5984" s="15">
        <f>Sheet2!A5984</f>
        <v>0</v>
      </c>
      <c r="B5984" s="8">
        <v>12.11</v>
      </c>
      <c r="C5984" s="9">
        <v>0</v>
      </c>
      <c r="D5984" s="13">
        <f t="shared" si="93"/>
        <v>12.11</v>
      </c>
    </row>
    <row r="5985" spans="1:4" x14ac:dyDescent="0.25">
      <c r="A5985" s="15">
        <f>Sheet2!A5985</f>
        <v>0</v>
      </c>
      <c r="B5985" s="8">
        <v>11.89</v>
      </c>
      <c r="C5985" s="9">
        <v>0</v>
      </c>
      <c r="D5985" s="13">
        <f t="shared" si="93"/>
        <v>11.89</v>
      </c>
    </row>
    <row r="5986" spans="1:4" x14ac:dyDescent="0.25">
      <c r="A5986" s="15">
        <f>Sheet2!A5986</f>
        <v>0</v>
      </c>
      <c r="B5986" s="8">
        <v>12.3</v>
      </c>
      <c r="C5986" s="9">
        <v>0</v>
      </c>
      <c r="D5986" s="13">
        <f t="shared" si="93"/>
        <v>12.3</v>
      </c>
    </row>
    <row r="5987" spans="1:4" x14ac:dyDescent="0.25">
      <c r="A5987" s="15">
        <f>Sheet2!A5987</f>
        <v>0</v>
      </c>
      <c r="B5987" s="8">
        <v>0</v>
      </c>
      <c r="C5987" s="9">
        <v>2.2200000000000002</v>
      </c>
      <c r="D5987" s="13">
        <f t="shared" si="93"/>
        <v>2.2200000000000002</v>
      </c>
    </row>
    <row r="5988" spans="1:4" x14ac:dyDescent="0.25">
      <c r="A5988" s="15">
        <f>Sheet2!A5988</f>
        <v>0</v>
      </c>
      <c r="B5988" s="8">
        <v>0</v>
      </c>
      <c r="C5988" s="9">
        <v>3.63</v>
      </c>
      <c r="D5988" s="13">
        <f t="shared" si="93"/>
        <v>3.63</v>
      </c>
    </row>
    <row r="5989" spans="1:4" x14ac:dyDescent="0.25">
      <c r="A5989" s="15">
        <f>Sheet2!A5989</f>
        <v>0</v>
      </c>
      <c r="B5989" s="8">
        <v>0</v>
      </c>
      <c r="C5989" s="9">
        <v>0.71</v>
      </c>
      <c r="D5989" s="13">
        <f t="shared" si="93"/>
        <v>0.71</v>
      </c>
    </row>
    <row r="5990" spans="1:4" x14ac:dyDescent="0.25">
      <c r="A5990" s="15">
        <f>Sheet2!A5990</f>
        <v>0</v>
      </c>
      <c r="B5990" s="8">
        <v>11.48</v>
      </c>
      <c r="C5990" s="9">
        <v>0</v>
      </c>
      <c r="D5990" s="13">
        <f t="shared" si="93"/>
        <v>11.48</v>
      </c>
    </row>
    <row r="5991" spans="1:4" x14ac:dyDescent="0.25">
      <c r="A5991" s="15">
        <f>Sheet2!A5991</f>
        <v>0</v>
      </c>
      <c r="B5991" s="8">
        <v>0</v>
      </c>
      <c r="C5991" s="9">
        <v>0.38</v>
      </c>
      <c r="D5991" s="13">
        <f t="shared" si="93"/>
        <v>0.38</v>
      </c>
    </row>
    <row r="5992" spans="1:4" x14ac:dyDescent="0.25">
      <c r="A5992" s="15">
        <f>Sheet2!A5992</f>
        <v>0</v>
      </c>
      <c r="B5992" s="8">
        <v>0</v>
      </c>
      <c r="C5992" s="9">
        <v>0.95</v>
      </c>
      <c r="D5992" s="13">
        <f t="shared" si="93"/>
        <v>0.95</v>
      </c>
    </row>
    <row r="5993" spans="1:4" x14ac:dyDescent="0.25">
      <c r="A5993" s="15">
        <f>Sheet2!A5993</f>
        <v>0</v>
      </c>
      <c r="B5993" s="8">
        <v>0</v>
      </c>
      <c r="C5993" s="9">
        <v>0.62</v>
      </c>
      <c r="D5993" s="13">
        <f t="shared" si="93"/>
        <v>0.62</v>
      </c>
    </row>
    <row r="5994" spans="1:4" x14ac:dyDescent="0.25">
      <c r="A5994" s="15">
        <f>Sheet2!A5994</f>
        <v>0</v>
      </c>
      <c r="B5994" s="8">
        <v>11.32</v>
      </c>
      <c r="C5994" s="9">
        <v>0</v>
      </c>
      <c r="D5994" s="13">
        <f t="shared" si="93"/>
        <v>11.32</v>
      </c>
    </row>
    <row r="5995" spans="1:4" x14ac:dyDescent="0.25">
      <c r="A5995" s="15">
        <f>Sheet2!A5995</f>
        <v>0</v>
      </c>
      <c r="B5995" s="8">
        <v>0</v>
      </c>
      <c r="C5995" s="9">
        <v>0.94</v>
      </c>
      <c r="D5995" s="13">
        <f t="shared" si="93"/>
        <v>0.94</v>
      </c>
    </row>
    <row r="5996" spans="1:4" x14ac:dyDescent="0.25">
      <c r="A5996" s="15">
        <f>Sheet2!A5996</f>
        <v>0</v>
      </c>
      <c r="B5996" s="8">
        <v>0</v>
      </c>
      <c r="C5996" s="9">
        <v>2</v>
      </c>
      <c r="D5996" s="13">
        <f t="shared" si="93"/>
        <v>2</v>
      </c>
    </row>
    <row r="5997" spans="1:4" x14ac:dyDescent="0.25">
      <c r="A5997" s="15">
        <f>Sheet2!A5997</f>
        <v>0</v>
      </c>
      <c r="B5997" s="8">
        <v>0</v>
      </c>
      <c r="C5997" s="9">
        <v>0.84</v>
      </c>
      <c r="D5997" s="13">
        <f t="shared" si="93"/>
        <v>0.84</v>
      </c>
    </row>
    <row r="5998" spans="1:4" x14ac:dyDescent="0.25">
      <c r="A5998" s="15">
        <f>Sheet2!A5998</f>
        <v>0</v>
      </c>
      <c r="B5998" s="8">
        <v>11.72</v>
      </c>
      <c r="C5998" s="9">
        <v>0</v>
      </c>
      <c r="D5998" s="13">
        <f t="shared" si="93"/>
        <v>11.72</v>
      </c>
    </row>
    <row r="5999" spans="1:4" x14ac:dyDescent="0.25">
      <c r="A5999" s="15">
        <f>Sheet2!A5999</f>
        <v>0</v>
      </c>
      <c r="B5999" s="8">
        <v>0</v>
      </c>
      <c r="C5999" s="9">
        <v>0.83</v>
      </c>
      <c r="D5999" s="13">
        <f t="shared" si="93"/>
        <v>0.83</v>
      </c>
    </row>
    <row r="6000" spans="1:4" x14ac:dyDescent="0.25">
      <c r="A6000" s="15">
        <f>Sheet2!A6000</f>
        <v>0</v>
      </c>
      <c r="B6000" s="8">
        <v>0</v>
      </c>
      <c r="C6000" s="9">
        <v>1.57</v>
      </c>
      <c r="D6000" s="13">
        <f t="shared" si="93"/>
        <v>1.57</v>
      </c>
    </row>
    <row r="6001" spans="1:4" x14ac:dyDescent="0.25">
      <c r="A6001" s="15">
        <f>Sheet2!A6001</f>
        <v>0</v>
      </c>
      <c r="B6001" s="8">
        <v>0</v>
      </c>
      <c r="C6001" s="9">
        <v>0.44</v>
      </c>
      <c r="D6001" s="13">
        <f t="shared" si="93"/>
        <v>0.44</v>
      </c>
    </row>
    <row r="6002" spans="1:4" x14ac:dyDescent="0.25">
      <c r="A6002" s="15">
        <f>Sheet2!A6002</f>
        <v>0</v>
      </c>
      <c r="B6002" s="8">
        <v>9.9700000000000006</v>
      </c>
      <c r="C6002" s="9">
        <v>0</v>
      </c>
      <c r="D6002" s="13">
        <f t="shared" si="93"/>
        <v>9.9700000000000006</v>
      </c>
    </row>
    <row r="6003" spans="1:4" x14ac:dyDescent="0.25">
      <c r="A6003" s="15">
        <f>Sheet2!A6003</f>
        <v>0</v>
      </c>
      <c r="B6003" s="8">
        <v>9.75</v>
      </c>
      <c r="C6003" s="9">
        <v>0</v>
      </c>
      <c r="D6003" s="13">
        <f t="shared" si="93"/>
        <v>9.75</v>
      </c>
    </row>
    <row r="6004" spans="1:4" x14ac:dyDescent="0.25">
      <c r="A6004" s="15">
        <f>Sheet2!A6004</f>
        <v>0</v>
      </c>
      <c r="B6004" s="8">
        <v>9.6</v>
      </c>
      <c r="C6004" s="9">
        <v>0</v>
      </c>
      <c r="D6004" s="13">
        <f t="shared" si="93"/>
        <v>9.6</v>
      </c>
    </row>
    <row r="6005" spans="1:4" x14ac:dyDescent="0.25">
      <c r="A6005" s="15">
        <f>Sheet2!A6005</f>
        <v>0</v>
      </c>
      <c r="B6005" s="8">
        <v>9.06</v>
      </c>
      <c r="C6005" s="9">
        <v>0</v>
      </c>
      <c r="D6005" s="13">
        <f t="shared" si="93"/>
        <v>9.06</v>
      </c>
    </row>
    <row r="6006" spans="1:4" x14ac:dyDescent="0.25">
      <c r="A6006" s="15">
        <f>Sheet2!A6006</f>
        <v>0</v>
      </c>
      <c r="B6006" s="8">
        <v>8.8000000000000007</v>
      </c>
      <c r="C6006" s="9">
        <v>0</v>
      </c>
      <c r="D6006" s="13">
        <f t="shared" si="93"/>
        <v>8.8000000000000007</v>
      </c>
    </row>
    <row r="6007" spans="1:4" x14ac:dyDescent="0.25">
      <c r="A6007" s="15">
        <f>Sheet2!A6007</f>
        <v>0</v>
      </c>
      <c r="B6007" s="8">
        <v>5.4</v>
      </c>
      <c r="C6007" s="9">
        <v>0</v>
      </c>
      <c r="D6007" s="13">
        <f t="shared" si="93"/>
        <v>5.4</v>
      </c>
    </row>
    <row r="6008" spans="1:4" x14ac:dyDescent="0.25">
      <c r="A6008" s="15">
        <f>Sheet2!A6008</f>
        <v>0</v>
      </c>
      <c r="B6008" s="8">
        <v>0</v>
      </c>
      <c r="C6008" s="9">
        <v>0.41</v>
      </c>
      <c r="D6008" s="13">
        <f t="shared" si="93"/>
        <v>0.41</v>
      </c>
    </row>
    <row r="6009" spans="1:4" x14ac:dyDescent="0.25">
      <c r="A6009" s="15">
        <f>Sheet2!A6009</f>
        <v>0</v>
      </c>
      <c r="B6009" s="8">
        <v>0</v>
      </c>
      <c r="C6009" s="9">
        <v>0.46</v>
      </c>
      <c r="D6009" s="13">
        <f t="shared" si="93"/>
        <v>0.46</v>
      </c>
    </row>
    <row r="6010" spans="1:4" x14ac:dyDescent="0.25">
      <c r="A6010" s="15">
        <f>Sheet2!A6010</f>
        <v>0</v>
      </c>
      <c r="B6010" s="8">
        <v>10.81</v>
      </c>
      <c r="C6010" s="9">
        <v>0</v>
      </c>
      <c r="D6010" s="13">
        <f t="shared" si="93"/>
        <v>10.81</v>
      </c>
    </row>
    <row r="6011" spans="1:4" x14ac:dyDescent="0.25">
      <c r="A6011" s="15">
        <f>Sheet2!A6011</f>
        <v>0</v>
      </c>
      <c r="B6011" s="8">
        <v>0</v>
      </c>
      <c r="C6011" s="9">
        <v>0.75</v>
      </c>
      <c r="D6011" s="13">
        <f t="shared" si="93"/>
        <v>0.75</v>
      </c>
    </row>
    <row r="6012" spans="1:4" x14ac:dyDescent="0.25">
      <c r="A6012" s="15">
        <f>Sheet2!A6012</f>
        <v>0</v>
      </c>
      <c r="B6012" s="8">
        <v>0</v>
      </c>
      <c r="C6012" s="9">
        <v>2.4700000000000002</v>
      </c>
      <c r="D6012" s="13">
        <f t="shared" si="93"/>
        <v>2.4700000000000002</v>
      </c>
    </row>
    <row r="6013" spans="1:4" x14ac:dyDescent="0.25">
      <c r="A6013" s="15">
        <f>Sheet2!A6013</f>
        <v>0</v>
      </c>
      <c r="B6013" s="8">
        <v>0</v>
      </c>
      <c r="C6013" s="9">
        <v>1.23</v>
      </c>
      <c r="D6013" s="13">
        <f t="shared" si="93"/>
        <v>1.23</v>
      </c>
    </row>
    <row r="6014" spans="1:4" x14ac:dyDescent="0.25">
      <c r="A6014" s="15">
        <f>Sheet2!A6014</f>
        <v>0</v>
      </c>
      <c r="B6014" s="8">
        <v>6.81</v>
      </c>
      <c r="C6014" s="9">
        <v>0</v>
      </c>
      <c r="D6014" s="13">
        <f t="shared" si="93"/>
        <v>6.81</v>
      </c>
    </row>
    <row r="6015" spans="1:4" x14ac:dyDescent="0.25">
      <c r="A6015" s="15">
        <f>Sheet2!A6015</f>
        <v>0</v>
      </c>
      <c r="B6015" s="8">
        <v>0</v>
      </c>
      <c r="C6015" s="9">
        <v>1.59</v>
      </c>
      <c r="D6015" s="13">
        <f t="shared" si="93"/>
        <v>1.59</v>
      </c>
    </row>
    <row r="6016" spans="1:4" x14ac:dyDescent="0.25">
      <c r="A6016" s="15">
        <f>Sheet2!A6016</f>
        <v>0</v>
      </c>
      <c r="B6016" s="8">
        <v>0</v>
      </c>
      <c r="C6016" s="9">
        <v>3.35</v>
      </c>
      <c r="D6016" s="13">
        <f t="shared" si="93"/>
        <v>3.35</v>
      </c>
    </row>
    <row r="6017" spans="1:4" x14ac:dyDescent="0.25">
      <c r="A6017" s="15">
        <f>Sheet2!A6017</f>
        <v>0</v>
      </c>
      <c r="B6017" s="8">
        <v>0</v>
      </c>
      <c r="C6017" s="9">
        <v>1.34</v>
      </c>
      <c r="D6017" s="13">
        <f t="shared" si="93"/>
        <v>1.34</v>
      </c>
    </row>
    <row r="6018" spans="1:4" x14ac:dyDescent="0.25">
      <c r="A6018" s="15">
        <f>Sheet2!A6018</f>
        <v>0</v>
      </c>
      <c r="B6018" s="8">
        <v>15.24</v>
      </c>
      <c r="C6018" s="9">
        <v>0</v>
      </c>
      <c r="D6018" s="13">
        <f t="shared" si="93"/>
        <v>15.24</v>
      </c>
    </row>
    <row r="6019" spans="1:4" x14ac:dyDescent="0.25">
      <c r="A6019" s="15">
        <f>Sheet2!A6019</f>
        <v>0</v>
      </c>
      <c r="B6019" s="8">
        <v>0</v>
      </c>
      <c r="C6019" s="9">
        <v>1.52</v>
      </c>
      <c r="D6019" s="13">
        <f t="shared" ref="D6019:D6082" si="94">B6019+C6019</f>
        <v>1.52</v>
      </c>
    </row>
    <row r="6020" spans="1:4" x14ac:dyDescent="0.25">
      <c r="A6020" s="15">
        <f>Sheet2!A6020</f>
        <v>0</v>
      </c>
      <c r="B6020" s="8">
        <v>0</v>
      </c>
      <c r="C6020" s="9">
        <v>2.89</v>
      </c>
      <c r="D6020" s="13">
        <f t="shared" si="94"/>
        <v>2.89</v>
      </c>
    </row>
    <row r="6021" spans="1:4" x14ac:dyDescent="0.25">
      <c r="A6021" s="15">
        <f>Sheet2!A6021</f>
        <v>0</v>
      </c>
      <c r="B6021" s="8">
        <v>0</v>
      </c>
      <c r="C6021" s="9">
        <v>1.38</v>
      </c>
      <c r="D6021" s="13">
        <f t="shared" si="94"/>
        <v>1.38</v>
      </c>
    </row>
    <row r="6022" spans="1:4" x14ac:dyDescent="0.25">
      <c r="A6022" s="15">
        <f>Sheet2!A6022</f>
        <v>0</v>
      </c>
      <c r="B6022" s="8">
        <v>13.25</v>
      </c>
      <c r="C6022" s="9">
        <v>0</v>
      </c>
      <c r="D6022" s="13">
        <f t="shared" si="94"/>
        <v>13.25</v>
      </c>
    </row>
    <row r="6023" spans="1:4" x14ac:dyDescent="0.25">
      <c r="A6023" s="15">
        <f>Sheet2!A6023</f>
        <v>0</v>
      </c>
      <c r="B6023" s="8">
        <v>0</v>
      </c>
      <c r="C6023" s="9">
        <v>1.37</v>
      </c>
      <c r="D6023" s="13">
        <f t="shared" si="94"/>
        <v>1.37</v>
      </c>
    </row>
    <row r="6024" spans="1:4" x14ac:dyDescent="0.25">
      <c r="A6024" s="15">
        <f>Sheet2!A6024</f>
        <v>0</v>
      </c>
      <c r="B6024" s="8">
        <v>0</v>
      </c>
      <c r="C6024" s="9">
        <v>1.6</v>
      </c>
      <c r="D6024" s="13">
        <f t="shared" si="94"/>
        <v>1.6</v>
      </c>
    </row>
    <row r="6025" spans="1:4" x14ac:dyDescent="0.25">
      <c r="A6025" s="15">
        <f>Sheet2!A6025</f>
        <v>0</v>
      </c>
      <c r="B6025" s="8">
        <v>0</v>
      </c>
      <c r="C6025" s="9">
        <v>0.43</v>
      </c>
      <c r="D6025" s="13">
        <f t="shared" si="94"/>
        <v>0.43</v>
      </c>
    </row>
    <row r="6026" spans="1:4" x14ac:dyDescent="0.25">
      <c r="A6026" s="15">
        <f>Sheet2!A6026</f>
        <v>0</v>
      </c>
      <c r="B6026" s="8">
        <v>9.02</v>
      </c>
      <c r="C6026" s="9">
        <v>0</v>
      </c>
      <c r="D6026" s="13">
        <f t="shared" si="94"/>
        <v>9.02</v>
      </c>
    </row>
    <row r="6027" spans="1:4" x14ac:dyDescent="0.25">
      <c r="A6027" s="15">
        <f>Sheet2!A6027</f>
        <v>0</v>
      </c>
      <c r="B6027" s="8">
        <v>8.4600000000000009</v>
      </c>
      <c r="C6027" s="9">
        <v>0</v>
      </c>
      <c r="D6027" s="13">
        <f t="shared" si="94"/>
        <v>8.4600000000000009</v>
      </c>
    </row>
    <row r="6028" spans="1:4" x14ac:dyDescent="0.25">
      <c r="A6028" s="15">
        <f>Sheet2!A6028</f>
        <v>0</v>
      </c>
      <c r="B6028" s="8">
        <v>8.17</v>
      </c>
      <c r="C6028" s="9">
        <v>0</v>
      </c>
      <c r="D6028" s="13">
        <f t="shared" si="94"/>
        <v>8.17</v>
      </c>
    </row>
    <row r="6029" spans="1:4" x14ac:dyDescent="0.25">
      <c r="A6029" s="15">
        <f>Sheet2!A6029</f>
        <v>0</v>
      </c>
      <c r="B6029" s="8">
        <v>0</v>
      </c>
      <c r="C6029" s="9">
        <v>1.2</v>
      </c>
      <c r="D6029" s="13">
        <f t="shared" si="94"/>
        <v>1.2</v>
      </c>
    </row>
    <row r="6030" spans="1:4" x14ac:dyDescent="0.25">
      <c r="A6030" s="15">
        <f>Sheet2!A6030</f>
        <v>0</v>
      </c>
      <c r="B6030" s="8">
        <v>0</v>
      </c>
      <c r="C6030" s="9">
        <v>3.25</v>
      </c>
      <c r="D6030" s="13">
        <f t="shared" si="94"/>
        <v>3.25</v>
      </c>
    </row>
    <row r="6031" spans="1:4" x14ac:dyDescent="0.25">
      <c r="A6031" s="15">
        <f>Sheet2!A6031</f>
        <v>0</v>
      </c>
      <c r="B6031" s="8">
        <v>0</v>
      </c>
      <c r="C6031" s="9">
        <v>1.19</v>
      </c>
      <c r="D6031" s="13">
        <f t="shared" si="94"/>
        <v>1.19</v>
      </c>
    </row>
    <row r="6032" spans="1:4" x14ac:dyDescent="0.25">
      <c r="A6032" s="15">
        <f>Sheet2!A6032</f>
        <v>0</v>
      </c>
      <c r="B6032" s="8">
        <v>5.82</v>
      </c>
      <c r="C6032" s="9">
        <v>0</v>
      </c>
      <c r="D6032" s="13">
        <f t="shared" si="94"/>
        <v>5.82</v>
      </c>
    </row>
    <row r="6033" spans="1:4" x14ac:dyDescent="0.25">
      <c r="A6033" s="15">
        <f>Sheet2!A6033</f>
        <v>0</v>
      </c>
      <c r="B6033" s="8">
        <v>0</v>
      </c>
      <c r="C6033" s="9">
        <v>1.47</v>
      </c>
      <c r="D6033" s="13">
        <f t="shared" si="94"/>
        <v>1.47</v>
      </c>
    </row>
    <row r="6034" spans="1:4" x14ac:dyDescent="0.25">
      <c r="A6034" s="15">
        <f>Sheet2!A6034</f>
        <v>0</v>
      </c>
      <c r="B6034" s="8">
        <v>0</v>
      </c>
      <c r="C6034" s="9">
        <v>3.59</v>
      </c>
      <c r="D6034" s="13">
        <f t="shared" si="94"/>
        <v>3.59</v>
      </c>
    </row>
    <row r="6035" spans="1:4" x14ac:dyDescent="0.25">
      <c r="A6035" s="15">
        <f>Sheet2!A6035</f>
        <v>0</v>
      </c>
      <c r="B6035" s="8">
        <v>0</v>
      </c>
      <c r="C6035" s="9">
        <v>2.62</v>
      </c>
      <c r="D6035" s="13">
        <f t="shared" si="94"/>
        <v>2.62</v>
      </c>
    </row>
    <row r="6036" spans="1:4" x14ac:dyDescent="0.25">
      <c r="A6036" s="15">
        <f>Sheet2!A6036</f>
        <v>0</v>
      </c>
      <c r="B6036" s="8">
        <v>0</v>
      </c>
      <c r="C6036" s="9">
        <v>1</v>
      </c>
      <c r="D6036" s="13">
        <f t="shared" si="94"/>
        <v>1</v>
      </c>
    </row>
    <row r="6037" spans="1:4" x14ac:dyDescent="0.25">
      <c r="A6037" s="15">
        <f>Sheet2!A6037</f>
        <v>0</v>
      </c>
      <c r="B6037" s="8">
        <v>0</v>
      </c>
      <c r="C6037" s="9">
        <v>2.94</v>
      </c>
      <c r="D6037" s="13">
        <f t="shared" si="94"/>
        <v>2.94</v>
      </c>
    </row>
    <row r="6038" spans="1:4" x14ac:dyDescent="0.25">
      <c r="A6038" s="15">
        <f>Sheet2!A6038</f>
        <v>0</v>
      </c>
      <c r="B6038" s="8">
        <v>0</v>
      </c>
      <c r="C6038" s="9">
        <v>3.93</v>
      </c>
      <c r="D6038" s="13">
        <f t="shared" si="94"/>
        <v>3.93</v>
      </c>
    </row>
    <row r="6039" spans="1:4" x14ac:dyDescent="0.25">
      <c r="A6039" s="15">
        <f>Sheet2!A6039</f>
        <v>0</v>
      </c>
      <c r="B6039" s="8">
        <v>0</v>
      </c>
      <c r="C6039" s="9">
        <v>3.18</v>
      </c>
      <c r="D6039" s="13">
        <f t="shared" si="94"/>
        <v>3.18</v>
      </c>
    </row>
    <row r="6040" spans="1:4" x14ac:dyDescent="0.25">
      <c r="A6040" s="15">
        <f>Sheet2!A6040</f>
        <v>0</v>
      </c>
      <c r="B6040" s="8">
        <v>0</v>
      </c>
      <c r="C6040" s="9">
        <v>3.12</v>
      </c>
      <c r="D6040" s="13">
        <f t="shared" si="94"/>
        <v>3.12</v>
      </c>
    </row>
    <row r="6041" spans="1:4" x14ac:dyDescent="0.25">
      <c r="A6041" s="15">
        <f>Sheet2!A6041</f>
        <v>0</v>
      </c>
      <c r="B6041" s="8">
        <v>0</v>
      </c>
      <c r="C6041" s="9">
        <v>1.34</v>
      </c>
      <c r="D6041" s="13">
        <f t="shared" si="94"/>
        <v>1.34</v>
      </c>
    </row>
    <row r="6042" spans="1:4" x14ac:dyDescent="0.25">
      <c r="A6042" s="15">
        <f>Sheet2!A6042</f>
        <v>0</v>
      </c>
      <c r="B6042" s="8">
        <v>12.92</v>
      </c>
      <c r="C6042" s="9">
        <v>0</v>
      </c>
      <c r="D6042" s="13">
        <f t="shared" si="94"/>
        <v>12.92</v>
      </c>
    </row>
    <row r="6043" spans="1:4" x14ac:dyDescent="0.25">
      <c r="A6043" s="15">
        <f>Sheet2!A6043</f>
        <v>0</v>
      </c>
      <c r="B6043" s="8">
        <v>0</v>
      </c>
      <c r="C6043" s="9">
        <v>1.65</v>
      </c>
      <c r="D6043" s="13">
        <f t="shared" si="94"/>
        <v>1.65</v>
      </c>
    </row>
    <row r="6044" spans="1:4" x14ac:dyDescent="0.25">
      <c r="A6044" s="15">
        <f>Sheet2!A6044</f>
        <v>0</v>
      </c>
      <c r="B6044" s="8">
        <v>0</v>
      </c>
      <c r="C6044" s="9">
        <v>3.05</v>
      </c>
      <c r="D6044" s="13">
        <f t="shared" si="94"/>
        <v>3.05</v>
      </c>
    </row>
    <row r="6045" spans="1:4" x14ac:dyDescent="0.25">
      <c r="A6045" s="15">
        <f>Sheet2!A6045</f>
        <v>0</v>
      </c>
      <c r="B6045" s="8">
        <v>0</v>
      </c>
      <c r="C6045" s="9">
        <v>1.4</v>
      </c>
      <c r="D6045" s="13">
        <f t="shared" si="94"/>
        <v>1.4</v>
      </c>
    </row>
    <row r="6046" spans="1:4" x14ac:dyDescent="0.25">
      <c r="A6046" s="15">
        <f>Sheet2!A6046</f>
        <v>0</v>
      </c>
      <c r="B6046" s="8">
        <v>12.89</v>
      </c>
      <c r="C6046" s="9">
        <v>0</v>
      </c>
      <c r="D6046" s="13">
        <f t="shared" si="94"/>
        <v>12.89</v>
      </c>
    </row>
    <row r="6047" spans="1:4" x14ac:dyDescent="0.25">
      <c r="A6047" s="15">
        <f>Sheet2!A6047</f>
        <v>0</v>
      </c>
      <c r="B6047" s="8">
        <v>0</v>
      </c>
      <c r="C6047" s="9">
        <v>1.38</v>
      </c>
      <c r="D6047" s="13">
        <f t="shared" si="94"/>
        <v>1.38</v>
      </c>
    </row>
    <row r="6048" spans="1:4" x14ac:dyDescent="0.25">
      <c r="A6048" s="15">
        <f>Sheet2!A6048</f>
        <v>0</v>
      </c>
      <c r="B6048" s="8">
        <v>0</v>
      </c>
      <c r="C6048" s="9">
        <v>2.91</v>
      </c>
      <c r="D6048" s="13">
        <f t="shared" si="94"/>
        <v>2.91</v>
      </c>
    </row>
    <row r="6049" spans="1:4" x14ac:dyDescent="0.25">
      <c r="A6049" s="15">
        <f>Sheet2!A6049</f>
        <v>0</v>
      </c>
      <c r="B6049" s="8">
        <v>0</v>
      </c>
      <c r="C6049" s="9">
        <v>1.17</v>
      </c>
      <c r="D6049" s="13">
        <f t="shared" si="94"/>
        <v>1.17</v>
      </c>
    </row>
    <row r="6050" spans="1:4" x14ac:dyDescent="0.25">
      <c r="A6050" s="15">
        <f>Sheet2!A6050</f>
        <v>0</v>
      </c>
      <c r="B6050" s="8">
        <v>8.82</v>
      </c>
      <c r="C6050" s="9">
        <v>0</v>
      </c>
      <c r="D6050" s="13">
        <f t="shared" si="94"/>
        <v>8.82</v>
      </c>
    </row>
    <row r="6051" spans="1:4" x14ac:dyDescent="0.25">
      <c r="A6051" s="15">
        <f>Sheet2!A6051</f>
        <v>0</v>
      </c>
      <c r="B6051" s="8">
        <v>8.68</v>
      </c>
      <c r="C6051" s="9">
        <v>0</v>
      </c>
      <c r="D6051" s="13">
        <f t="shared" si="94"/>
        <v>8.68</v>
      </c>
    </row>
    <row r="6052" spans="1:4" x14ac:dyDescent="0.25">
      <c r="A6052" s="15">
        <f>Sheet2!A6052</f>
        <v>0</v>
      </c>
      <c r="B6052" s="8">
        <v>9.6</v>
      </c>
      <c r="C6052" s="9">
        <v>0</v>
      </c>
      <c r="D6052" s="13">
        <f t="shared" si="94"/>
        <v>9.6</v>
      </c>
    </row>
    <row r="6053" spans="1:4" x14ac:dyDescent="0.25">
      <c r="A6053" s="15">
        <f>Sheet2!A6053</f>
        <v>0</v>
      </c>
      <c r="B6053" s="8">
        <v>9</v>
      </c>
      <c r="C6053" s="9">
        <v>0</v>
      </c>
      <c r="D6053" s="13">
        <f t="shared" si="94"/>
        <v>9</v>
      </c>
    </row>
    <row r="6054" spans="1:4" x14ac:dyDescent="0.25">
      <c r="A6054" s="15">
        <f>Sheet2!A6054</f>
        <v>0</v>
      </c>
      <c r="B6054" s="8">
        <v>8.8800000000000008</v>
      </c>
      <c r="C6054" s="9">
        <v>0</v>
      </c>
      <c r="D6054" s="13">
        <f t="shared" si="94"/>
        <v>8.8800000000000008</v>
      </c>
    </row>
    <row r="6055" spans="1:4" x14ac:dyDescent="0.25">
      <c r="A6055" s="15">
        <f>Sheet2!A6055</f>
        <v>0</v>
      </c>
      <c r="B6055" s="8">
        <v>3.06</v>
      </c>
      <c r="C6055" s="9">
        <v>0</v>
      </c>
      <c r="D6055" s="13">
        <f t="shared" si="94"/>
        <v>3.06</v>
      </c>
    </row>
    <row r="6056" spans="1:4" x14ac:dyDescent="0.25">
      <c r="A6056" s="15">
        <f>Sheet2!A6056</f>
        <v>0</v>
      </c>
      <c r="B6056" s="8">
        <v>0</v>
      </c>
      <c r="C6056" s="9">
        <v>1.77</v>
      </c>
      <c r="D6056" s="13">
        <f t="shared" si="94"/>
        <v>1.77</v>
      </c>
    </row>
    <row r="6057" spans="1:4" x14ac:dyDescent="0.25">
      <c r="A6057" s="15">
        <f>Sheet2!A6057</f>
        <v>0</v>
      </c>
      <c r="B6057" s="8">
        <v>0</v>
      </c>
      <c r="C6057" s="9">
        <v>1.65</v>
      </c>
      <c r="D6057" s="13">
        <f t="shared" si="94"/>
        <v>1.65</v>
      </c>
    </row>
    <row r="6058" spans="1:4" x14ac:dyDescent="0.25">
      <c r="A6058" s="15">
        <f>Sheet2!A6058</f>
        <v>0</v>
      </c>
      <c r="B6058" s="8">
        <v>13.03</v>
      </c>
      <c r="C6058" s="9">
        <v>0</v>
      </c>
      <c r="D6058" s="13">
        <f t="shared" si="94"/>
        <v>13.03</v>
      </c>
    </row>
    <row r="6059" spans="1:4" x14ac:dyDescent="0.25">
      <c r="A6059" s="15">
        <f>Sheet2!A6059</f>
        <v>0</v>
      </c>
      <c r="B6059" s="8">
        <v>0</v>
      </c>
      <c r="C6059" s="9">
        <v>2.0499999999999998</v>
      </c>
      <c r="D6059" s="13">
        <f t="shared" si="94"/>
        <v>2.0499999999999998</v>
      </c>
    </row>
    <row r="6060" spans="1:4" x14ac:dyDescent="0.25">
      <c r="A6060" s="15">
        <f>Sheet2!A6060</f>
        <v>0</v>
      </c>
      <c r="B6060" s="8">
        <v>0</v>
      </c>
      <c r="C6060" s="9">
        <v>3.78</v>
      </c>
      <c r="D6060" s="13">
        <f t="shared" si="94"/>
        <v>3.78</v>
      </c>
    </row>
    <row r="6061" spans="1:4" x14ac:dyDescent="0.25">
      <c r="A6061" s="15">
        <f>Sheet2!A6061</f>
        <v>0</v>
      </c>
      <c r="B6061" s="8">
        <v>0</v>
      </c>
      <c r="C6061" s="9">
        <v>3.89</v>
      </c>
      <c r="D6061" s="13">
        <f t="shared" si="94"/>
        <v>3.89</v>
      </c>
    </row>
    <row r="6062" spans="1:4" x14ac:dyDescent="0.25">
      <c r="A6062" s="15">
        <f>Sheet2!A6062</f>
        <v>0</v>
      </c>
      <c r="B6062" s="8">
        <v>0</v>
      </c>
      <c r="C6062" s="9">
        <v>0.78</v>
      </c>
      <c r="D6062" s="13">
        <f t="shared" si="94"/>
        <v>0.78</v>
      </c>
    </row>
    <row r="6063" spans="1:4" x14ac:dyDescent="0.25">
      <c r="A6063" s="15">
        <f>Sheet2!A6063</f>
        <v>0</v>
      </c>
      <c r="B6063" s="8">
        <v>14.02</v>
      </c>
      <c r="C6063" s="9">
        <v>0</v>
      </c>
      <c r="D6063" s="13">
        <f t="shared" si="94"/>
        <v>14.02</v>
      </c>
    </row>
    <row r="6064" spans="1:4" x14ac:dyDescent="0.25">
      <c r="A6064" s="15">
        <f>Sheet2!A6064</f>
        <v>0</v>
      </c>
      <c r="B6064" s="8">
        <v>0</v>
      </c>
      <c r="C6064" s="9">
        <v>1.0900000000000001</v>
      </c>
      <c r="D6064" s="13">
        <f t="shared" si="94"/>
        <v>1.0900000000000001</v>
      </c>
    </row>
    <row r="6065" spans="1:4" x14ac:dyDescent="0.25">
      <c r="A6065" s="15">
        <f>Sheet2!A6065</f>
        <v>0</v>
      </c>
      <c r="B6065" s="8">
        <v>0</v>
      </c>
      <c r="C6065" s="9">
        <v>3.29</v>
      </c>
      <c r="D6065" s="13">
        <f t="shared" si="94"/>
        <v>3.29</v>
      </c>
    </row>
    <row r="6066" spans="1:4" x14ac:dyDescent="0.25">
      <c r="A6066" s="15">
        <f>Sheet2!A6066</f>
        <v>0</v>
      </c>
      <c r="B6066" s="8">
        <v>11.93</v>
      </c>
      <c r="C6066" s="9">
        <v>0</v>
      </c>
      <c r="D6066" s="13">
        <f t="shared" si="94"/>
        <v>11.93</v>
      </c>
    </row>
    <row r="6067" spans="1:4" x14ac:dyDescent="0.25">
      <c r="A6067" s="15">
        <f>Sheet2!A6067</f>
        <v>0</v>
      </c>
      <c r="B6067" s="8">
        <v>0</v>
      </c>
      <c r="C6067" s="9">
        <v>0.35</v>
      </c>
      <c r="D6067" s="13">
        <f t="shared" si="94"/>
        <v>0.35</v>
      </c>
    </row>
    <row r="6068" spans="1:4" x14ac:dyDescent="0.25">
      <c r="A6068" s="15">
        <f>Sheet2!A6068</f>
        <v>0</v>
      </c>
      <c r="B6068" s="8">
        <v>0</v>
      </c>
      <c r="C6068" s="9">
        <v>3.26</v>
      </c>
      <c r="D6068" s="13">
        <f t="shared" si="94"/>
        <v>3.26</v>
      </c>
    </row>
    <row r="6069" spans="1:4" x14ac:dyDescent="0.25">
      <c r="A6069" s="15">
        <f>Sheet2!A6069</f>
        <v>0</v>
      </c>
      <c r="B6069" s="8">
        <v>0</v>
      </c>
      <c r="C6069" s="9">
        <v>3.16</v>
      </c>
      <c r="D6069" s="13">
        <f t="shared" si="94"/>
        <v>3.16</v>
      </c>
    </row>
    <row r="6070" spans="1:4" x14ac:dyDescent="0.25">
      <c r="A6070" s="15">
        <f>Sheet2!A6070</f>
        <v>0</v>
      </c>
      <c r="B6070" s="8">
        <v>0</v>
      </c>
      <c r="C6070" s="9">
        <v>3.61</v>
      </c>
      <c r="D6070" s="13">
        <f t="shared" si="94"/>
        <v>3.61</v>
      </c>
    </row>
    <row r="6071" spans="1:4" x14ac:dyDescent="0.25">
      <c r="A6071" s="15">
        <f>Sheet2!A6071</f>
        <v>0</v>
      </c>
      <c r="B6071" s="8">
        <v>0</v>
      </c>
      <c r="C6071" s="9">
        <v>1.47</v>
      </c>
      <c r="D6071" s="13">
        <f t="shared" si="94"/>
        <v>1.47</v>
      </c>
    </row>
    <row r="6072" spans="1:4" x14ac:dyDescent="0.25">
      <c r="A6072" s="15">
        <f>Sheet2!A6072</f>
        <v>0</v>
      </c>
      <c r="B6072" s="8">
        <v>10.039999999999999</v>
      </c>
      <c r="C6072" s="9">
        <v>0</v>
      </c>
      <c r="D6072" s="13">
        <f t="shared" si="94"/>
        <v>10.039999999999999</v>
      </c>
    </row>
    <row r="6073" spans="1:4" x14ac:dyDescent="0.25">
      <c r="A6073" s="15">
        <f>Sheet2!A6073</f>
        <v>0</v>
      </c>
      <c r="B6073" s="8">
        <v>0</v>
      </c>
      <c r="C6073" s="9">
        <v>0.49</v>
      </c>
      <c r="D6073" s="13">
        <f t="shared" si="94"/>
        <v>0.49</v>
      </c>
    </row>
    <row r="6074" spans="1:4" x14ac:dyDescent="0.25">
      <c r="A6074" s="15">
        <f>Sheet2!A6074</f>
        <v>0</v>
      </c>
      <c r="B6074" s="8">
        <v>0</v>
      </c>
      <c r="C6074" s="9">
        <v>1.48</v>
      </c>
      <c r="D6074" s="13">
        <f t="shared" si="94"/>
        <v>1.48</v>
      </c>
    </row>
    <row r="6075" spans="1:4" x14ac:dyDescent="0.25">
      <c r="A6075" s="15">
        <f>Sheet2!A6075</f>
        <v>0</v>
      </c>
      <c r="B6075" s="8">
        <v>0</v>
      </c>
      <c r="C6075" s="9">
        <v>0.98</v>
      </c>
      <c r="D6075" s="13">
        <f t="shared" si="94"/>
        <v>0.98</v>
      </c>
    </row>
    <row r="6076" spans="1:4" x14ac:dyDescent="0.25">
      <c r="A6076" s="15">
        <f>Sheet2!A6076</f>
        <v>0</v>
      </c>
      <c r="B6076" s="8">
        <v>9.81</v>
      </c>
      <c r="C6076" s="9">
        <v>0</v>
      </c>
      <c r="D6076" s="13">
        <f t="shared" si="94"/>
        <v>9.81</v>
      </c>
    </row>
    <row r="6077" spans="1:4" x14ac:dyDescent="0.25">
      <c r="A6077" s="15">
        <f>Sheet2!A6077</f>
        <v>0</v>
      </c>
      <c r="B6077" s="8">
        <v>0</v>
      </c>
      <c r="C6077" s="9">
        <v>1.36</v>
      </c>
      <c r="D6077" s="13">
        <f t="shared" si="94"/>
        <v>1.36</v>
      </c>
    </row>
    <row r="6078" spans="1:4" x14ac:dyDescent="0.25">
      <c r="A6078" s="15">
        <f>Sheet2!A6078</f>
        <v>0</v>
      </c>
      <c r="B6078" s="8">
        <v>0</v>
      </c>
      <c r="C6078" s="9">
        <v>3.29</v>
      </c>
      <c r="D6078" s="13">
        <f t="shared" si="94"/>
        <v>3.29</v>
      </c>
    </row>
    <row r="6079" spans="1:4" x14ac:dyDescent="0.25">
      <c r="A6079" s="15">
        <f>Sheet2!A6079</f>
        <v>0</v>
      </c>
      <c r="B6079" s="8">
        <v>0</v>
      </c>
      <c r="C6079" s="9">
        <v>1.33</v>
      </c>
      <c r="D6079" s="13">
        <f t="shared" si="94"/>
        <v>1.33</v>
      </c>
    </row>
    <row r="6080" spans="1:4" x14ac:dyDescent="0.25">
      <c r="A6080" s="15">
        <f>Sheet2!A6080</f>
        <v>0</v>
      </c>
      <c r="B6080" s="8">
        <v>10.92</v>
      </c>
      <c r="C6080" s="9">
        <v>0</v>
      </c>
      <c r="D6080" s="13">
        <f t="shared" si="94"/>
        <v>10.92</v>
      </c>
    </row>
    <row r="6081" spans="1:4" x14ac:dyDescent="0.25">
      <c r="A6081" s="15">
        <f>Sheet2!A6081</f>
        <v>0</v>
      </c>
      <c r="B6081" s="8">
        <v>10.61</v>
      </c>
      <c r="C6081" s="9">
        <v>0</v>
      </c>
      <c r="D6081" s="13">
        <f t="shared" si="94"/>
        <v>10.61</v>
      </c>
    </row>
    <row r="6082" spans="1:4" x14ac:dyDescent="0.25">
      <c r="A6082" s="15">
        <f>Sheet2!A6082</f>
        <v>0</v>
      </c>
      <c r="B6082" s="8">
        <v>11.37</v>
      </c>
      <c r="C6082" s="9">
        <v>0</v>
      </c>
      <c r="D6082" s="13">
        <f t="shared" si="94"/>
        <v>11.37</v>
      </c>
    </row>
    <row r="6083" spans="1:4" x14ac:dyDescent="0.25">
      <c r="A6083" s="15">
        <f>Sheet2!A6083</f>
        <v>0</v>
      </c>
      <c r="B6083" s="8">
        <v>0</v>
      </c>
      <c r="C6083" s="9">
        <v>2.39</v>
      </c>
      <c r="D6083" s="13">
        <f t="shared" ref="D6083:D6146" si="95">B6083+C6083</f>
        <v>2.39</v>
      </c>
    </row>
    <row r="6084" spans="1:4" x14ac:dyDescent="0.25">
      <c r="A6084" s="15">
        <f>Sheet2!A6084</f>
        <v>0</v>
      </c>
      <c r="B6084" s="8">
        <v>0</v>
      </c>
      <c r="C6084" s="9">
        <v>2.2999999999999998</v>
      </c>
      <c r="D6084" s="13">
        <f t="shared" si="95"/>
        <v>2.2999999999999998</v>
      </c>
    </row>
    <row r="6085" spans="1:4" x14ac:dyDescent="0.25">
      <c r="A6085" s="15">
        <f>Sheet2!A6085</f>
        <v>0</v>
      </c>
      <c r="B6085" s="8">
        <v>0</v>
      </c>
      <c r="C6085" s="9">
        <v>1.0900000000000001</v>
      </c>
      <c r="D6085" s="13">
        <f t="shared" si="95"/>
        <v>1.0900000000000001</v>
      </c>
    </row>
    <row r="6086" spans="1:4" x14ac:dyDescent="0.25">
      <c r="A6086" s="15">
        <f>Sheet2!A6086</f>
        <v>0</v>
      </c>
      <c r="B6086" s="8">
        <v>14.19</v>
      </c>
      <c r="C6086" s="9">
        <v>0</v>
      </c>
      <c r="D6086" s="13">
        <f t="shared" si="95"/>
        <v>14.19</v>
      </c>
    </row>
    <row r="6087" spans="1:4" x14ac:dyDescent="0.25">
      <c r="A6087" s="15">
        <f>Sheet2!A6087</f>
        <v>0</v>
      </c>
      <c r="B6087" s="8">
        <v>5.24</v>
      </c>
      <c r="C6087" s="9">
        <v>0</v>
      </c>
      <c r="D6087" s="13">
        <f t="shared" si="95"/>
        <v>5.24</v>
      </c>
    </row>
    <row r="6088" spans="1:4" x14ac:dyDescent="0.25">
      <c r="A6088" s="15">
        <f>Sheet2!A6088</f>
        <v>0</v>
      </c>
      <c r="B6088" s="8">
        <v>0</v>
      </c>
      <c r="C6088" s="9">
        <v>3.43</v>
      </c>
      <c r="D6088" s="13">
        <f t="shared" si="95"/>
        <v>3.43</v>
      </c>
    </row>
    <row r="6089" spans="1:4" x14ac:dyDescent="0.25">
      <c r="A6089" s="15">
        <f>Sheet2!A6089</f>
        <v>0</v>
      </c>
      <c r="B6089" s="8">
        <v>0</v>
      </c>
      <c r="C6089" s="9">
        <v>3.7</v>
      </c>
      <c r="D6089" s="13">
        <f t="shared" si="95"/>
        <v>3.7</v>
      </c>
    </row>
    <row r="6090" spans="1:4" x14ac:dyDescent="0.25">
      <c r="A6090" s="15">
        <f>Sheet2!A6090</f>
        <v>0</v>
      </c>
      <c r="B6090" s="8">
        <v>0</v>
      </c>
      <c r="C6090" s="9">
        <v>2.58</v>
      </c>
      <c r="D6090" s="13">
        <f t="shared" si="95"/>
        <v>2.58</v>
      </c>
    </row>
    <row r="6091" spans="1:4" x14ac:dyDescent="0.25">
      <c r="A6091" s="15">
        <f>Sheet2!A6091</f>
        <v>0</v>
      </c>
      <c r="B6091" s="8">
        <v>0</v>
      </c>
      <c r="C6091" s="9">
        <v>1.3</v>
      </c>
      <c r="D6091" s="13">
        <f t="shared" si="95"/>
        <v>1.3</v>
      </c>
    </row>
    <row r="6092" spans="1:4" x14ac:dyDescent="0.25">
      <c r="A6092" s="15">
        <f>Sheet2!A6092</f>
        <v>0</v>
      </c>
      <c r="B6092" s="8">
        <v>0</v>
      </c>
      <c r="C6092" s="9">
        <v>3.01</v>
      </c>
      <c r="D6092" s="13">
        <f t="shared" si="95"/>
        <v>3.01</v>
      </c>
    </row>
    <row r="6093" spans="1:4" x14ac:dyDescent="0.25">
      <c r="A6093" s="15">
        <f>Sheet2!A6093</f>
        <v>0</v>
      </c>
      <c r="B6093" s="8">
        <v>0</v>
      </c>
      <c r="C6093" s="9">
        <v>2.91</v>
      </c>
      <c r="D6093" s="13">
        <f t="shared" si="95"/>
        <v>2.91</v>
      </c>
    </row>
    <row r="6094" spans="1:4" x14ac:dyDescent="0.25">
      <c r="A6094" s="15">
        <f>Sheet2!A6094</f>
        <v>0</v>
      </c>
      <c r="B6094" s="8">
        <v>0</v>
      </c>
      <c r="C6094" s="9">
        <v>2.92</v>
      </c>
      <c r="D6094" s="13">
        <f t="shared" si="95"/>
        <v>2.92</v>
      </c>
    </row>
    <row r="6095" spans="1:4" x14ac:dyDescent="0.25">
      <c r="A6095" s="15">
        <f>Sheet2!A6095</f>
        <v>0</v>
      </c>
      <c r="B6095" s="8">
        <v>0</v>
      </c>
      <c r="C6095" s="9">
        <v>1.2</v>
      </c>
      <c r="D6095" s="13">
        <f t="shared" si="95"/>
        <v>1.2</v>
      </c>
    </row>
    <row r="6096" spans="1:4" x14ac:dyDescent="0.25">
      <c r="A6096" s="15">
        <f>Sheet2!A6096</f>
        <v>0</v>
      </c>
      <c r="B6096" s="8">
        <v>13.9</v>
      </c>
      <c r="C6096" s="9">
        <v>0</v>
      </c>
      <c r="D6096" s="13">
        <f t="shared" si="95"/>
        <v>13.9</v>
      </c>
    </row>
    <row r="6097" spans="1:4" x14ac:dyDescent="0.25">
      <c r="A6097" s="15">
        <f>Sheet2!A6097</f>
        <v>0</v>
      </c>
      <c r="B6097" s="8">
        <v>0</v>
      </c>
      <c r="C6097" s="9">
        <v>0.89</v>
      </c>
      <c r="D6097" s="13">
        <f t="shared" si="95"/>
        <v>0.89</v>
      </c>
    </row>
    <row r="6098" spans="1:4" x14ac:dyDescent="0.25">
      <c r="A6098" s="15">
        <f>Sheet2!A6098</f>
        <v>0</v>
      </c>
      <c r="B6098" s="8">
        <v>0</v>
      </c>
      <c r="C6098" s="9">
        <v>1.04</v>
      </c>
      <c r="D6098" s="13">
        <f t="shared" si="95"/>
        <v>1.04</v>
      </c>
    </row>
    <row r="6099" spans="1:4" x14ac:dyDescent="0.25">
      <c r="A6099" s="15">
        <f>Sheet2!A6099</f>
        <v>0</v>
      </c>
      <c r="B6099" s="8">
        <v>0</v>
      </c>
      <c r="C6099" s="9">
        <v>0.56000000000000005</v>
      </c>
      <c r="D6099" s="13">
        <f t="shared" si="95"/>
        <v>0.56000000000000005</v>
      </c>
    </row>
    <row r="6100" spans="1:4" x14ac:dyDescent="0.25">
      <c r="A6100" s="15">
        <f>Sheet2!A6100</f>
        <v>0</v>
      </c>
      <c r="B6100" s="8">
        <v>8.6300000000000008</v>
      </c>
      <c r="C6100" s="9">
        <v>0</v>
      </c>
      <c r="D6100" s="13">
        <f t="shared" si="95"/>
        <v>8.6300000000000008</v>
      </c>
    </row>
    <row r="6101" spans="1:4" x14ac:dyDescent="0.25">
      <c r="A6101" s="15">
        <f>Sheet2!A6101</f>
        <v>0</v>
      </c>
      <c r="B6101" s="8">
        <v>0</v>
      </c>
      <c r="C6101" s="9">
        <v>1.74</v>
      </c>
      <c r="D6101" s="13">
        <f t="shared" si="95"/>
        <v>1.74</v>
      </c>
    </row>
    <row r="6102" spans="1:4" x14ac:dyDescent="0.25">
      <c r="A6102" s="15">
        <f>Sheet2!A6102</f>
        <v>0</v>
      </c>
      <c r="B6102" s="8">
        <v>0</v>
      </c>
      <c r="C6102" s="9">
        <v>3.37</v>
      </c>
      <c r="D6102" s="13">
        <f t="shared" si="95"/>
        <v>3.37</v>
      </c>
    </row>
    <row r="6103" spans="1:4" x14ac:dyDescent="0.25">
      <c r="A6103" s="15">
        <f>Sheet2!A6103</f>
        <v>0</v>
      </c>
      <c r="B6103" s="8">
        <v>0</v>
      </c>
      <c r="C6103" s="9">
        <v>1.5</v>
      </c>
      <c r="D6103" s="13">
        <f t="shared" si="95"/>
        <v>1.5</v>
      </c>
    </row>
    <row r="6104" spans="1:4" x14ac:dyDescent="0.25">
      <c r="A6104" s="15">
        <f>Sheet2!A6104</f>
        <v>0</v>
      </c>
      <c r="B6104" s="8">
        <v>9.5</v>
      </c>
      <c r="C6104" s="9">
        <v>0</v>
      </c>
      <c r="D6104" s="13">
        <f t="shared" si="95"/>
        <v>9.5</v>
      </c>
    </row>
    <row r="6105" spans="1:4" x14ac:dyDescent="0.25">
      <c r="A6105" s="15">
        <f>Sheet2!A6105</f>
        <v>0</v>
      </c>
      <c r="B6105" s="8">
        <v>0</v>
      </c>
      <c r="C6105" s="9">
        <v>1.83</v>
      </c>
      <c r="D6105" s="13">
        <f t="shared" si="95"/>
        <v>1.83</v>
      </c>
    </row>
    <row r="6106" spans="1:4" x14ac:dyDescent="0.25">
      <c r="A6106" s="15">
        <f>Sheet2!A6106</f>
        <v>0</v>
      </c>
      <c r="B6106" s="8">
        <v>0</v>
      </c>
      <c r="C6106" s="9">
        <v>3.74</v>
      </c>
      <c r="D6106" s="13">
        <f t="shared" si="95"/>
        <v>3.74</v>
      </c>
    </row>
    <row r="6107" spans="1:4" x14ac:dyDescent="0.25">
      <c r="A6107" s="15">
        <f>Sheet2!A6107</f>
        <v>0</v>
      </c>
      <c r="B6107" s="8">
        <v>0</v>
      </c>
      <c r="C6107" s="9">
        <v>3.75</v>
      </c>
      <c r="D6107" s="13">
        <f t="shared" si="95"/>
        <v>3.75</v>
      </c>
    </row>
    <row r="6108" spans="1:4" x14ac:dyDescent="0.25">
      <c r="A6108" s="15">
        <f>Sheet2!A6108</f>
        <v>0</v>
      </c>
      <c r="B6108" s="8">
        <v>0</v>
      </c>
      <c r="C6108" s="9">
        <v>3.73</v>
      </c>
      <c r="D6108" s="13">
        <f t="shared" si="95"/>
        <v>3.73</v>
      </c>
    </row>
    <row r="6109" spans="1:4" x14ac:dyDescent="0.25">
      <c r="A6109" s="15">
        <f>Sheet2!A6109</f>
        <v>0</v>
      </c>
      <c r="B6109" s="8">
        <v>0</v>
      </c>
      <c r="C6109" s="9">
        <v>0.75</v>
      </c>
      <c r="D6109" s="13">
        <f t="shared" si="95"/>
        <v>0.75</v>
      </c>
    </row>
    <row r="6110" spans="1:4" x14ac:dyDescent="0.25">
      <c r="A6110" s="15">
        <f>Sheet2!A6110</f>
        <v>0</v>
      </c>
      <c r="B6110" s="8">
        <v>9.74</v>
      </c>
      <c r="C6110" s="9">
        <v>0</v>
      </c>
      <c r="D6110" s="13">
        <f t="shared" si="95"/>
        <v>9.74</v>
      </c>
    </row>
    <row r="6111" spans="1:4" x14ac:dyDescent="0.25">
      <c r="A6111" s="15">
        <f>Sheet2!A6111</f>
        <v>0</v>
      </c>
      <c r="B6111" s="8">
        <v>0</v>
      </c>
      <c r="C6111" s="9">
        <v>2.92</v>
      </c>
      <c r="D6111" s="13">
        <f t="shared" si="95"/>
        <v>2.92</v>
      </c>
    </row>
    <row r="6112" spans="1:4" x14ac:dyDescent="0.25">
      <c r="A6112" s="15">
        <f>Sheet2!A6112</f>
        <v>0</v>
      </c>
      <c r="B6112" s="8">
        <v>0</v>
      </c>
      <c r="C6112" s="9">
        <v>3.43</v>
      </c>
      <c r="D6112" s="13">
        <f t="shared" si="95"/>
        <v>3.43</v>
      </c>
    </row>
    <row r="6113" spans="1:4" x14ac:dyDescent="0.25">
      <c r="A6113" s="15">
        <f>Sheet2!A6113</f>
        <v>0</v>
      </c>
      <c r="B6113" s="8">
        <v>0</v>
      </c>
      <c r="C6113" s="9">
        <v>3.7</v>
      </c>
      <c r="D6113" s="13">
        <f t="shared" si="95"/>
        <v>3.7</v>
      </c>
    </row>
    <row r="6114" spans="1:4" x14ac:dyDescent="0.25">
      <c r="A6114" s="15">
        <f>Sheet2!A6114</f>
        <v>0</v>
      </c>
      <c r="B6114" s="8">
        <v>0</v>
      </c>
      <c r="C6114" s="9">
        <v>2.58</v>
      </c>
      <c r="D6114" s="13">
        <f t="shared" si="95"/>
        <v>2.58</v>
      </c>
    </row>
    <row r="6115" spans="1:4" x14ac:dyDescent="0.25">
      <c r="A6115" s="15">
        <f>Sheet2!A6115</f>
        <v>0</v>
      </c>
      <c r="B6115" s="8">
        <v>0</v>
      </c>
      <c r="C6115" s="9">
        <v>1.35</v>
      </c>
      <c r="D6115" s="13">
        <f t="shared" si="95"/>
        <v>1.35</v>
      </c>
    </row>
    <row r="6116" spans="1:4" x14ac:dyDescent="0.25">
      <c r="A6116" s="15">
        <f>Sheet2!A6116</f>
        <v>0</v>
      </c>
      <c r="B6116" s="8">
        <v>10.3</v>
      </c>
      <c r="C6116" s="9">
        <v>0</v>
      </c>
      <c r="D6116" s="13">
        <f t="shared" si="95"/>
        <v>10.3</v>
      </c>
    </row>
    <row r="6117" spans="1:4" x14ac:dyDescent="0.25">
      <c r="A6117" s="15">
        <f>Sheet2!A6117</f>
        <v>0</v>
      </c>
      <c r="B6117" s="8">
        <v>0</v>
      </c>
      <c r="C6117" s="9">
        <v>1.94</v>
      </c>
      <c r="D6117" s="13">
        <f t="shared" si="95"/>
        <v>1.94</v>
      </c>
    </row>
    <row r="6118" spans="1:4" x14ac:dyDescent="0.25">
      <c r="A6118" s="15">
        <f>Sheet2!A6118</f>
        <v>0</v>
      </c>
      <c r="B6118" s="8">
        <v>0</v>
      </c>
      <c r="C6118" s="9">
        <v>2.91</v>
      </c>
      <c r="D6118" s="13">
        <f t="shared" si="95"/>
        <v>2.91</v>
      </c>
    </row>
    <row r="6119" spans="1:4" x14ac:dyDescent="0.25">
      <c r="A6119" s="15">
        <f>Sheet2!A6119</f>
        <v>0</v>
      </c>
      <c r="B6119" s="8">
        <v>0</v>
      </c>
      <c r="C6119" s="9">
        <v>1.07</v>
      </c>
      <c r="D6119" s="13">
        <f t="shared" si="95"/>
        <v>1.07</v>
      </c>
    </row>
    <row r="6120" spans="1:4" x14ac:dyDescent="0.25">
      <c r="A6120" s="15">
        <f>Sheet2!A6120</f>
        <v>0</v>
      </c>
      <c r="B6120" s="8">
        <v>8.9499999999999993</v>
      </c>
      <c r="C6120" s="9">
        <v>0</v>
      </c>
      <c r="D6120" s="13">
        <f t="shared" si="95"/>
        <v>8.9499999999999993</v>
      </c>
    </row>
    <row r="6121" spans="1:4" x14ac:dyDescent="0.25">
      <c r="A6121" s="15">
        <f>Sheet2!A6121</f>
        <v>0</v>
      </c>
      <c r="B6121" s="8">
        <v>0</v>
      </c>
      <c r="C6121" s="9">
        <v>0.57999999999999996</v>
      </c>
      <c r="D6121" s="13">
        <f t="shared" si="95"/>
        <v>0.57999999999999996</v>
      </c>
    </row>
    <row r="6122" spans="1:4" x14ac:dyDescent="0.25">
      <c r="A6122" s="15">
        <f>Sheet2!A6122</f>
        <v>0</v>
      </c>
      <c r="B6122" s="8">
        <v>0</v>
      </c>
      <c r="C6122" s="9">
        <v>1.3</v>
      </c>
      <c r="D6122" s="13">
        <f t="shared" si="95"/>
        <v>1.3</v>
      </c>
    </row>
    <row r="6123" spans="1:4" x14ac:dyDescent="0.25">
      <c r="A6123" s="15">
        <f>Sheet2!A6123</f>
        <v>0</v>
      </c>
      <c r="B6123" s="8">
        <v>0</v>
      </c>
      <c r="C6123" s="9">
        <v>0.61</v>
      </c>
      <c r="D6123" s="13">
        <f t="shared" si="95"/>
        <v>0.61</v>
      </c>
    </row>
    <row r="6124" spans="1:4" x14ac:dyDescent="0.25">
      <c r="A6124" s="15">
        <f>Sheet2!A6124</f>
        <v>0</v>
      </c>
      <c r="B6124" s="8">
        <v>10.039999999999999</v>
      </c>
      <c r="C6124" s="9">
        <v>0</v>
      </c>
      <c r="D6124" s="13">
        <f t="shared" si="95"/>
        <v>10.039999999999999</v>
      </c>
    </row>
    <row r="6125" spans="1:4" x14ac:dyDescent="0.25">
      <c r="A6125" s="15">
        <f>Sheet2!A6125</f>
        <v>0</v>
      </c>
      <c r="B6125" s="8">
        <v>1.72</v>
      </c>
      <c r="C6125" s="9">
        <v>0</v>
      </c>
      <c r="D6125" s="13">
        <f t="shared" si="95"/>
        <v>1.72</v>
      </c>
    </row>
    <row r="6126" spans="1:4" x14ac:dyDescent="0.25">
      <c r="A6126" s="15">
        <f>Sheet2!A6126</f>
        <v>0</v>
      </c>
      <c r="B6126" s="8">
        <v>8.24</v>
      </c>
      <c r="C6126" s="9">
        <v>0</v>
      </c>
      <c r="D6126" s="13">
        <f t="shared" si="95"/>
        <v>8.24</v>
      </c>
    </row>
    <row r="6127" spans="1:4" x14ac:dyDescent="0.25">
      <c r="A6127" s="15">
        <f>Sheet2!A6127</f>
        <v>0</v>
      </c>
      <c r="B6127" s="8">
        <v>0</v>
      </c>
      <c r="C6127" s="9">
        <v>2.4700000000000002</v>
      </c>
      <c r="D6127" s="13">
        <f t="shared" si="95"/>
        <v>2.4700000000000002</v>
      </c>
    </row>
    <row r="6128" spans="1:4" x14ac:dyDescent="0.25">
      <c r="A6128" s="15">
        <f>Sheet2!A6128</f>
        <v>0</v>
      </c>
      <c r="B6128" s="8">
        <v>0</v>
      </c>
      <c r="C6128" s="9">
        <v>3.44</v>
      </c>
      <c r="D6128" s="13">
        <f t="shared" si="95"/>
        <v>3.44</v>
      </c>
    </row>
    <row r="6129" spans="1:4" x14ac:dyDescent="0.25">
      <c r="A6129" s="15">
        <f>Sheet2!A6129</f>
        <v>0</v>
      </c>
      <c r="B6129" s="8">
        <v>0</v>
      </c>
      <c r="C6129" s="9">
        <v>1.61</v>
      </c>
      <c r="D6129" s="13">
        <f t="shared" si="95"/>
        <v>1.61</v>
      </c>
    </row>
    <row r="6130" spans="1:4" x14ac:dyDescent="0.25">
      <c r="A6130" s="15">
        <f>Sheet2!A6130</f>
        <v>0</v>
      </c>
      <c r="B6130" s="8">
        <v>0</v>
      </c>
      <c r="C6130" s="9">
        <v>3.62</v>
      </c>
      <c r="D6130" s="13">
        <f t="shared" si="95"/>
        <v>3.62</v>
      </c>
    </row>
    <row r="6131" spans="1:4" x14ac:dyDescent="0.25">
      <c r="A6131" s="15">
        <f>Sheet2!A6131</f>
        <v>0</v>
      </c>
      <c r="B6131" s="8">
        <v>0</v>
      </c>
      <c r="C6131" s="9">
        <v>3.65</v>
      </c>
      <c r="D6131" s="13">
        <f t="shared" si="95"/>
        <v>3.65</v>
      </c>
    </row>
    <row r="6132" spans="1:4" x14ac:dyDescent="0.25">
      <c r="A6132" s="15">
        <f>Sheet2!A6132</f>
        <v>0</v>
      </c>
      <c r="B6132" s="8">
        <v>0</v>
      </c>
      <c r="C6132" s="9">
        <v>3.46</v>
      </c>
      <c r="D6132" s="13">
        <f t="shared" si="95"/>
        <v>3.46</v>
      </c>
    </row>
    <row r="6133" spans="1:4" x14ac:dyDescent="0.25">
      <c r="A6133" s="15">
        <f>Sheet2!A6133</f>
        <v>0</v>
      </c>
      <c r="B6133" s="8">
        <v>0</v>
      </c>
      <c r="C6133" s="9">
        <v>1.6</v>
      </c>
      <c r="D6133" s="13">
        <f t="shared" si="95"/>
        <v>1.6</v>
      </c>
    </row>
    <row r="6134" spans="1:4" x14ac:dyDescent="0.25">
      <c r="A6134" s="15">
        <f>Sheet2!A6134</f>
        <v>0</v>
      </c>
      <c r="B6134" s="8">
        <v>13.22</v>
      </c>
      <c r="C6134" s="9">
        <v>0</v>
      </c>
      <c r="D6134" s="13">
        <f t="shared" si="95"/>
        <v>13.22</v>
      </c>
    </row>
    <row r="6135" spans="1:4" x14ac:dyDescent="0.25">
      <c r="A6135" s="15">
        <f>Sheet2!A6135</f>
        <v>0</v>
      </c>
      <c r="B6135" s="8">
        <v>0</v>
      </c>
      <c r="C6135" s="9">
        <v>1.48</v>
      </c>
      <c r="D6135" s="13">
        <f t="shared" si="95"/>
        <v>1.48</v>
      </c>
    </row>
    <row r="6136" spans="1:4" x14ac:dyDescent="0.25">
      <c r="A6136" s="15">
        <f>Sheet2!A6136</f>
        <v>0</v>
      </c>
      <c r="B6136" s="8">
        <v>0</v>
      </c>
      <c r="C6136" s="9">
        <v>2.71</v>
      </c>
      <c r="D6136" s="13">
        <f t="shared" si="95"/>
        <v>2.71</v>
      </c>
    </row>
    <row r="6137" spans="1:4" x14ac:dyDescent="0.25">
      <c r="A6137" s="15">
        <f>Sheet2!A6137</f>
        <v>0</v>
      </c>
      <c r="B6137" s="8">
        <v>0</v>
      </c>
      <c r="C6137" s="9">
        <v>2.8</v>
      </c>
      <c r="D6137" s="13">
        <f t="shared" si="95"/>
        <v>2.8</v>
      </c>
    </row>
    <row r="6138" spans="1:4" x14ac:dyDescent="0.25">
      <c r="A6138" s="15">
        <f>Sheet2!A6138</f>
        <v>0</v>
      </c>
      <c r="B6138" s="8">
        <v>0</v>
      </c>
      <c r="C6138" s="9">
        <v>3.58</v>
      </c>
      <c r="D6138" s="13">
        <f t="shared" si="95"/>
        <v>3.58</v>
      </c>
    </row>
    <row r="6139" spans="1:4" x14ac:dyDescent="0.25">
      <c r="A6139" s="15">
        <f>Sheet2!A6139</f>
        <v>0</v>
      </c>
      <c r="B6139" s="8">
        <v>0</v>
      </c>
      <c r="C6139" s="9">
        <v>1.6</v>
      </c>
      <c r="D6139" s="13">
        <f t="shared" si="95"/>
        <v>1.6</v>
      </c>
    </row>
    <row r="6140" spans="1:4" x14ac:dyDescent="0.25">
      <c r="A6140" s="15">
        <f>Sheet2!A6140</f>
        <v>0</v>
      </c>
      <c r="B6140" s="8">
        <v>13.27</v>
      </c>
      <c r="C6140" s="9">
        <v>0</v>
      </c>
      <c r="D6140" s="13">
        <f t="shared" si="95"/>
        <v>13.27</v>
      </c>
    </row>
    <row r="6141" spans="1:4" x14ac:dyDescent="0.25">
      <c r="A6141" s="15">
        <f>Sheet2!A6141</f>
        <v>0</v>
      </c>
      <c r="B6141" s="8">
        <v>0</v>
      </c>
      <c r="C6141" s="9">
        <v>1.35</v>
      </c>
      <c r="D6141" s="13">
        <f t="shared" si="95"/>
        <v>1.35</v>
      </c>
    </row>
    <row r="6142" spans="1:4" x14ac:dyDescent="0.25">
      <c r="A6142" s="15">
        <f>Sheet2!A6142</f>
        <v>0</v>
      </c>
      <c r="B6142" s="8">
        <v>0</v>
      </c>
      <c r="C6142" s="9">
        <v>3</v>
      </c>
      <c r="D6142" s="13">
        <f t="shared" si="95"/>
        <v>3</v>
      </c>
    </row>
    <row r="6143" spans="1:4" x14ac:dyDescent="0.25">
      <c r="A6143" s="15">
        <f>Sheet2!A6143</f>
        <v>0</v>
      </c>
      <c r="B6143" s="8">
        <v>0</v>
      </c>
      <c r="C6143" s="9">
        <v>0.85</v>
      </c>
      <c r="D6143" s="13">
        <f t="shared" si="95"/>
        <v>0.85</v>
      </c>
    </row>
    <row r="6144" spans="1:4" x14ac:dyDescent="0.25">
      <c r="A6144" s="15">
        <f>Sheet2!A6144</f>
        <v>0</v>
      </c>
      <c r="B6144" s="8">
        <v>12.11</v>
      </c>
      <c r="C6144" s="9">
        <v>0</v>
      </c>
      <c r="D6144" s="13">
        <f t="shared" si="95"/>
        <v>12.11</v>
      </c>
    </row>
    <row r="6145" spans="1:4" x14ac:dyDescent="0.25">
      <c r="A6145" s="15">
        <f>Sheet2!A6145</f>
        <v>0</v>
      </c>
      <c r="B6145" s="8">
        <v>0</v>
      </c>
      <c r="C6145" s="9">
        <v>1.1100000000000001</v>
      </c>
      <c r="D6145" s="13">
        <f t="shared" si="95"/>
        <v>1.1100000000000001</v>
      </c>
    </row>
    <row r="6146" spans="1:4" x14ac:dyDescent="0.25">
      <c r="A6146" s="15">
        <f>Sheet2!A6146</f>
        <v>0</v>
      </c>
      <c r="B6146" s="8">
        <v>0</v>
      </c>
      <c r="C6146" s="9">
        <v>3.08</v>
      </c>
      <c r="D6146" s="13">
        <f t="shared" si="95"/>
        <v>3.08</v>
      </c>
    </row>
    <row r="6147" spans="1:4" x14ac:dyDescent="0.25">
      <c r="A6147" s="15">
        <f>Sheet2!A6147</f>
        <v>0</v>
      </c>
      <c r="B6147" s="8">
        <v>0</v>
      </c>
      <c r="C6147" s="9">
        <v>0.65</v>
      </c>
      <c r="D6147" s="13">
        <f t="shared" ref="D6147:D6210" si="96">B6147+C6147</f>
        <v>0.65</v>
      </c>
    </row>
    <row r="6148" spans="1:4" x14ac:dyDescent="0.25">
      <c r="A6148" s="15">
        <f>Sheet2!A6148</f>
        <v>0</v>
      </c>
      <c r="B6148" s="8">
        <v>7.96</v>
      </c>
      <c r="C6148" s="9">
        <v>0</v>
      </c>
      <c r="D6148" s="13">
        <f t="shared" si="96"/>
        <v>7.96</v>
      </c>
    </row>
    <row r="6149" spans="1:4" x14ac:dyDescent="0.25">
      <c r="A6149" s="15">
        <f>Sheet2!A6149</f>
        <v>0</v>
      </c>
      <c r="B6149" s="8">
        <v>8.2100000000000009</v>
      </c>
      <c r="C6149" s="9">
        <v>0</v>
      </c>
      <c r="D6149" s="13">
        <f t="shared" si="96"/>
        <v>8.2100000000000009</v>
      </c>
    </row>
    <row r="6150" spans="1:4" x14ac:dyDescent="0.25">
      <c r="A6150" s="15">
        <f>Sheet2!A6150</f>
        <v>0</v>
      </c>
      <c r="B6150" s="8">
        <v>8.24</v>
      </c>
      <c r="C6150" s="9">
        <v>0</v>
      </c>
      <c r="D6150" s="13">
        <f t="shared" si="96"/>
        <v>8.24</v>
      </c>
    </row>
    <row r="6151" spans="1:4" x14ac:dyDescent="0.25">
      <c r="A6151" s="15">
        <f>Sheet2!A6151</f>
        <v>0</v>
      </c>
      <c r="B6151" s="8">
        <v>0</v>
      </c>
      <c r="C6151" s="9">
        <v>2.4700000000000002</v>
      </c>
      <c r="D6151" s="13">
        <f t="shared" si="96"/>
        <v>2.4700000000000002</v>
      </c>
    </row>
    <row r="6152" spans="1:4" x14ac:dyDescent="0.25">
      <c r="A6152" s="15">
        <f>Sheet2!A6152</f>
        <v>0</v>
      </c>
      <c r="B6152" s="8">
        <v>0</v>
      </c>
      <c r="C6152" s="9">
        <v>3.44</v>
      </c>
      <c r="D6152" s="13">
        <f t="shared" si="96"/>
        <v>3.44</v>
      </c>
    </row>
    <row r="6153" spans="1:4" x14ac:dyDescent="0.25">
      <c r="A6153" s="15">
        <f>Sheet2!A6153</f>
        <v>0</v>
      </c>
      <c r="B6153" s="8">
        <v>0</v>
      </c>
      <c r="C6153" s="9">
        <v>1.48</v>
      </c>
      <c r="D6153" s="13">
        <f t="shared" si="96"/>
        <v>1.48</v>
      </c>
    </row>
    <row r="6154" spans="1:4" x14ac:dyDescent="0.25">
      <c r="A6154" s="15">
        <f>Sheet2!A6154</f>
        <v>0</v>
      </c>
      <c r="B6154" s="8">
        <v>9.69</v>
      </c>
      <c r="C6154" s="9">
        <v>0</v>
      </c>
      <c r="D6154" s="13">
        <f t="shared" si="96"/>
        <v>9.69</v>
      </c>
    </row>
    <row r="6155" spans="1:4" x14ac:dyDescent="0.25">
      <c r="A6155" s="15">
        <f>Sheet2!A6155</f>
        <v>0</v>
      </c>
      <c r="B6155" s="8">
        <v>0</v>
      </c>
      <c r="C6155" s="9">
        <v>1.53</v>
      </c>
      <c r="D6155" s="13">
        <f t="shared" si="96"/>
        <v>1.53</v>
      </c>
    </row>
    <row r="6156" spans="1:4" x14ac:dyDescent="0.25">
      <c r="A6156" s="15">
        <f>Sheet2!A6156</f>
        <v>0</v>
      </c>
      <c r="B6156" s="8">
        <v>0</v>
      </c>
      <c r="C6156" s="9">
        <v>2.79</v>
      </c>
      <c r="D6156" s="13">
        <f t="shared" si="96"/>
        <v>2.79</v>
      </c>
    </row>
    <row r="6157" spans="1:4" x14ac:dyDescent="0.25">
      <c r="A6157" s="15">
        <f>Sheet2!A6157</f>
        <v>0</v>
      </c>
      <c r="B6157" s="8">
        <v>0</v>
      </c>
      <c r="C6157" s="9">
        <v>1.1299999999999999</v>
      </c>
      <c r="D6157" s="13">
        <f t="shared" si="96"/>
        <v>1.1299999999999999</v>
      </c>
    </row>
    <row r="6158" spans="1:4" x14ac:dyDescent="0.25">
      <c r="A6158" s="15">
        <f>Sheet2!A6158</f>
        <v>0</v>
      </c>
      <c r="B6158" s="8">
        <v>13.35</v>
      </c>
      <c r="C6158" s="9">
        <v>0</v>
      </c>
      <c r="D6158" s="13">
        <f t="shared" si="96"/>
        <v>13.35</v>
      </c>
    </row>
    <row r="6159" spans="1:4" x14ac:dyDescent="0.25">
      <c r="A6159" s="15">
        <f>Sheet2!A6159</f>
        <v>0</v>
      </c>
      <c r="B6159" s="8">
        <v>0</v>
      </c>
      <c r="C6159" s="9">
        <v>2.3199999999999998</v>
      </c>
      <c r="D6159" s="13">
        <f t="shared" si="96"/>
        <v>2.3199999999999998</v>
      </c>
    </row>
    <row r="6160" spans="1:4" x14ac:dyDescent="0.25">
      <c r="A6160" s="15">
        <f>Sheet2!A6160</f>
        <v>0</v>
      </c>
      <c r="B6160" s="8">
        <v>0</v>
      </c>
      <c r="C6160" s="9">
        <v>3.68</v>
      </c>
      <c r="D6160" s="13">
        <f t="shared" si="96"/>
        <v>3.68</v>
      </c>
    </row>
    <row r="6161" spans="1:4" x14ac:dyDescent="0.25">
      <c r="A6161" s="15">
        <f>Sheet2!A6161</f>
        <v>0</v>
      </c>
      <c r="B6161" s="8">
        <v>0</v>
      </c>
      <c r="C6161" s="9">
        <v>3.43</v>
      </c>
      <c r="D6161" s="13">
        <f t="shared" si="96"/>
        <v>3.43</v>
      </c>
    </row>
    <row r="6162" spans="1:4" x14ac:dyDescent="0.25">
      <c r="A6162" s="15">
        <f>Sheet2!A6162</f>
        <v>0</v>
      </c>
      <c r="B6162" s="8">
        <v>0</v>
      </c>
      <c r="C6162" s="9">
        <v>3.9</v>
      </c>
      <c r="D6162" s="13">
        <f t="shared" si="96"/>
        <v>3.9</v>
      </c>
    </row>
    <row r="6163" spans="1:4" x14ac:dyDescent="0.25">
      <c r="A6163" s="15">
        <f>Sheet2!A6163</f>
        <v>0</v>
      </c>
      <c r="B6163" s="8">
        <v>0</v>
      </c>
      <c r="C6163" s="9">
        <v>1.08</v>
      </c>
      <c r="D6163" s="13">
        <f t="shared" si="96"/>
        <v>1.08</v>
      </c>
    </row>
    <row r="6164" spans="1:4" x14ac:dyDescent="0.25">
      <c r="A6164" s="15">
        <f>Sheet2!A6164</f>
        <v>0</v>
      </c>
      <c r="B6164" s="8">
        <v>9.98</v>
      </c>
      <c r="C6164" s="9">
        <v>0</v>
      </c>
      <c r="D6164" s="13">
        <f t="shared" si="96"/>
        <v>9.98</v>
      </c>
    </row>
    <row r="6165" spans="1:4" x14ac:dyDescent="0.25">
      <c r="A6165" s="15">
        <f>Sheet2!A6165</f>
        <v>0</v>
      </c>
      <c r="B6165" s="8">
        <v>0</v>
      </c>
      <c r="C6165" s="9">
        <v>2.06</v>
      </c>
      <c r="D6165" s="13">
        <f t="shared" si="96"/>
        <v>2.06</v>
      </c>
    </row>
    <row r="6166" spans="1:4" x14ac:dyDescent="0.25">
      <c r="A6166" s="15">
        <f>Sheet2!A6166</f>
        <v>0</v>
      </c>
      <c r="B6166" s="8">
        <v>0</v>
      </c>
      <c r="C6166" s="9">
        <v>3.46</v>
      </c>
      <c r="D6166" s="13">
        <f t="shared" si="96"/>
        <v>3.46</v>
      </c>
    </row>
    <row r="6167" spans="1:4" x14ac:dyDescent="0.25">
      <c r="A6167" s="15">
        <f>Sheet2!A6167</f>
        <v>0</v>
      </c>
      <c r="B6167" s="8">
        <v>0</v>
      </c>
      <c r="C6167" s="9">
        <v>1.43</v>
      </c>
      <c r="D6167" s="13">
        <f t="shared" si="96"/>
        <v>1.43</v>
      </c>
    </row>
    <row r="6168" spans="1:4" x14ac:dyDescent="0.25">
      <c r="A6168" s="15">
        <f>Sheet2!A6168</f>
        <v>0</v>
      </c>
      <c r="B6168" s="8">
        <v>13.35</v>
      </c>
      <c r="C6168" s="9">
        <v>0</v>
      </c>
      <c r="D6168" s="13">
        <f t="shared" si="96"/>
        <v>13.35</v>
      </c>
    </row>
    <row r="6169" spans="1:4" x14ac:dyDescent="0.25">
      <c r="A6169" s="15">
        <f>Sheet2!A6169</f>
        <v>0</v>
      </c>
      <c r="B6169" s="8">
        <v>0</v>
      </c>
      <c r="C6169" s="9">
        <v>1.72</v>
      </c>
      <c r="D6169" s="13">
        <f t="shared" si="96"/>
        <v>1.72</v>
      </c>
    </row>
    <row r="6170" spans="1:4" x14ac:dyDescent="0.25">
      <c r="A6170" s="15">
        <f>Sheet2!A6170</f>
        <v>0</v>
      </c>
      <c r="B6170" s="8">
        <v>0</v>
      </c>
      <c r="C6170" s="9">
        <v>3.52</v>
      </c>
      <c r="D6170" s="13">
        <f t="shared" si="96"/>
        <v>3.52</v>
      </c>
    </row>
    <row r="6171" spans="1:4" x14ac:dyDescent="0.25">
      <c r="A6171" s="15">
        <f>Sheet2!A6171</f>
        <v>0</v>
      </c>
      <c r="B6171" s="8">
        <v>0</v>
      </c>
      <c r="C6171" s="9">
        <v>1.93</v>
      </c>
      <c r="D6171" s="13">
        <f t="shared" si="96"/>
        <v>1.93</v>
      </c>
    </row>
    <row r="6172" spans="1:4" x14ac:dyDescent="0.25">
      <c r="A6172" s="15">
        <f>Sheet2!A6172</f>
        <v>0</v>
      </c>
      <c r="B6172" s="8">
        <v>9.1300000000000008</v>
      </c>
      <c r="C6172" s="9">
        <v>0</v>
      </c>
      <c r="D6172" s="13">
        <f t="shared" si="96"/>
        <v>9.1300000000000008</v>
      </c>
    </row>
    <row r="6173" spans="1:4" x14ac:dyDescent="0.25">
      <c r="A6173" s="15">
        <f>Sheet2!A6173</f>
        <v>0</v>
      </c>
      <c r="B6173" s="8">
        <v>0</v>
      </c>
      <c r="C6173" s="9">
        <v>1.27</v>
      </c>
      <c r="D6173" s="13">
        <f t="shared" si="96"/>
        <v>1.27</v>
      </c>
    </row>
    <row r="6174" spans="1:4" x14ac:dyDescent="0.25">
      <c r="A6174" s="15">
        <f>Sheet2!A6174</f>
        <v>0</v>
      </c>
      <c r="B6174" s="8">
        <v>0</v>
      </c>
      <c r="C6174" s="9">
        <v>3.29</v>
      </c>
      <c r="D6174" s="13">
        <f t="shared" si="96"/>
        <v>3.29</v>
      </c>
    </row>
    <row r="6175" spans="1:4" x14ac:dyDescent="0.25">
      <c r="A6175" s="15">
        <f>Sheet2!A6175</f>
        <v>0</v>
      </c>
      <c r="B6175" s="8">
        <v>0</v>
      </c>
      <c r="C6175" s="9">
        <v>1.69</v>
      </c>
      <c r="D6175" s="13">
        <f t="shared" si="96"/>
        <v>1.69</v>
      </c>
    </row>
    <row r="6176" spans="1:4" x14ac:dyDescent="0.25">
      <c r="A6176" s="15">
        <f>Sheet2!A6176</f>
        <v>0</v>
      </c>
      <c r="B6176" s="8">
        <v>6.66</v>
      </c>
      <c r="C6176" s="9">
        <v>0</v>
      </c>
      <c r="D6176" s="13">
        <f t="shared" si="96"/>
        <v>6.66</v>
      </c>
    </row>
    <row r="6177" spans="1:4" x14ac:dyDescent="0.25">
      <c r="A6177" s="15">
        <f>Sheet2!A6177</f>
        <v>0</v>
      </c>
      <c r="B6177" s="8">
        <v>0</v>
      </c>
      <c r="C6177" s="9">
        <v>1.5</v>
      </c>
      <c r="D6177" s="13">
        <f t="shared" si="96"/>
        <v>1.5</v>
      </c>
    </row>
    <row r="6178" spans="1:4" x14ac:dyDescent="0.25">
      <c r="A6178" s="15">
        <f>Sheet2!A6178</f>
        <v>0</v>
      </c>
      <c r="B6178" s="8">
        <v>0</v>
      </c>
      <c r="C6178" s="9">
        <v>4.0199999999999996</v>
      </c>
      <c r="D6178" s="13">
        <f t="shared" si="96"/>
        <v>4.0199999999999996</v>
      </c>
    </row>
    <row r="6179" spans="1:4" x14ac:dyDescent="0.25">
      <c r="A6179" s="15">
        <f>Sheet2!A6179</f>
        <v>0</v>
      </c>
      <c r="B6179" s="8">
        <v>0</v>
      </c>
      <c r="C6179" s="9">
        <v>1.71</v>
      </c>
      <c r="D6179" s="13">
        <f t="shared" si="96"/>
        <v>1.71</v>
      </c>
    </row>
    <row r="6180" spans="1:4" x14ac:dyDescent="0.25">
      <c r="A6180" s="15">
        <f>Sheet2!A6180</f>
        <v>0</v>
      </c>
      <c r="B6180" s="8">
        <v>9.6999999999999993</v>
      </c>
      <c r="C6180" s="9">
        <v>0</v>
      </c>
      <c r="D6180" s="13">
        <f t="shared" si="96"/>
        <v>9.6999999999999993</v>
      </c>
    </row>
    <row r="6181" spans="1:4" x14ac:dyDescent="0.25">
      <c r="A6181" s="15">
        <f>Sheet2!A6181</f>
        <v>0</v>
      </c>
      <c r="B6181" s="8">
        <v>0</v>
      </c>
      <c r="C6181" s="9">
        <v>2.11</v>
      </c>
      <c r="D6181" s="13">
        <f t="shared" si="96"/>
        <v>2.11</v>
      </c>
    </row>
    <row r="6182" spans="1:4" x14ac:dyDescent="0.25">
      <c r="A6182" s="15">
        <f>Sheet2!A6182</f>
        <v>0</v>
      </c>
      <c r="B6182" s="8">
        <v>0</v>
      </c>
      <c r="C6182" s="9">
        <v>3.98</v>
      </c>
      <c r="D6182" s="13">
        <f t="shared" si="96"/>
        <v>3.98</v>
      </c>
    </row>
    <row r="6183" spans="1:4" x14ac:dyDescent="0.25">
      <c r="A6183" s="15">
        <f>Sheet2!A6183</f>
        <v>0</v>
      </c>
      <c r="B6183" s="8">
        <v>0</v>
      </c>
      <c r="C6183" s="9">
        <v>1.82</v>
      </c>
      <c r="D6183" s="13">
        <f t="shared" si="96"/>
        <v>1.82</v>
      </c>
    </row>
    <row r="6184" spans="1:4" x14ac:dyDescent="0.25">
      <c r="A6184" s="15">
        <f>Sheet2!A6184</f>
        <v>0</v>
      </c>
      <c r="B6184" s="8">
        <v>13.54</v>
      </c>
      <c r="C6184" s="9">
        <v>0</v>
      </c>
      <c r="D6184" s="13">
        <f t="shared" si="96"/>
        <v>13.54</v>
      </c>
    </row>
    <row r="6185" spans="1:4" x14ac:dyDescent="0.25">
      <c r="A6185" s="15">
        <f>Sheet2!A6185</f>
        <v>0</v>
      </c>
      <c r="B6185" s="8">
        <v>0</v>
      </c>
      <c r="C6185" s="9">
        <v>1.48</v>
      </c>
      <c r="D6185" s="13">
        <f t="shared" si="96"/>
        <v>1.48</v>
      </c>
    </row>
    <row r="6186" spans="1:4" x14ac:dyDescent="0.25">
      <c r="A6186" s="15">
        <f>Sheet2!A6186</f>
        <v>0</v>
      </c>
      <c r="B6186" s="8">
        <v>0</v>
      </c>
      <c r="C6186" s="9">
        <v>3.09</v>
      </c>
      <c r="D6186" s="13">
        <f t="shared" si="96"/>
        <v>3.09</v>
      </c>
    </row>
    <row r="6187" spans="1:4" x14ac:dyDescent="0.25">
      <c r="A6187" s="15">
        <f>Sheet2!A6187</f>
        <v>0</v>
      </c>
      <c r="B6187" s="8">
        <v>0</v>
      </c>
      <c r="C6187" s="9">
        <v>1.37</v>
      </c>
      <c r="D6187" s="13">
        <f t="shared" si="96"/>
        <v>1.37</v>
      </c>
    </row>
    <row r="6188" spans="1:4" x14ac:dyDescent="0.25">
      <c r="A6188" s="15">
        <f>Sheet2!A6188</f>
        <v>0</v>
      </c>
      <c r="B6188" s="8">
        <v>5.24</v>
      </c>
      <c r="C6188" s="9">
        <v>0</v>
      </c>
      <c r="D6188" s="13">
        <f t="shared" si="96"/>
        <v>5.24</v>
      </c>
    </row>
    <row r="6189" spans="1:4" x14ac:dyDescent="0.25">
      <c r="A6189" s="15">
        <f>Sheet2!A6189</f>
        <v>0</v>
      </c>
      <c r="B6189" s="8">
        <v>0</v>
      </c>
      <c r="C6189" s="9">
        <v>1.56</v>
      </c>
      <c r="D6189" s="13">
        <f t="shared" si="96"/>
        <v>1.56</v>
      </c>
    </row>
    <row r="6190" spans="1:4" x14ac:dyDescent="0.25">
      <c r="A6190" s="15">
        <f>Sheet2!A6190</f>
        <v>0</v>
      </c>
      <c r="B6190" s="8">
        <v>0</v>
      </c>
      <c r="C6190" s="9">
        <v>2.83</v>
      </c>
      <c r="D6190" s="13">
        <f t="shared" si="96"/>
        <v>2.83</v>
      </c>
    </row>
    <row r="6191" spans="1:4" x14ac:dyDescent="0.25">
      <c r="A6191" s="15">
        <f>Sheet2!A6191</f>
        <v>0</v>
      </c>
      <c r="B6191" s="8">
        <v>0</v>
      </c>
      <c r="C6191" s="9">
        <v>2.54</v>
      </c>
      <c r="D6191" s="13">
        <f t="shared" si="96"/>
        <v>2.54</v>
      </c>
    </row>
    <row r="6192" spans="1:4" x14ac:dyDescent="0.25">
      <c r="A6192" s="15">
        <f>Sheet2!A6192</f>
        <v>0</v>
      </c>
      <c r="B6192" s="8">
        <v>0</v>
      </c>
      <c r="C6192" s="9">
        <v>2.2599999999999998</v>
      </c>
      <c r="D6192" s="13">
        <f t="shared" si="96"/>
        <v>2.2599999999999998</v>
      </c>
    </row>
    <row r="6193" spans="1:4" x14ac:dyDescent="0.25">
      <c r="A6193" s="15">
        <f>Sheet2!A6193</f>
        <v>0</v>
      </c>
      <c r="B6193" s="8">
        <v>8.5500000000000007</v>
      </c>
      <c r="C6193" s="9">
        <v>0</v>
      </c>
      <c r="D6193" s="13">
        <f t="shared" si="96"/>
        <v>8.5500000000000007</v>
      </c>
    </row>
    <row r="6194" spans="1:4" x14ac:dyDescent="0.25">
      <c r="A6194" s="15">
        <f>Sheet2!A6194</f>
        <v>0</v>
      </c>
      <c r="B6194" s="8">
        <v>9.14</v>
      </c>
      <c r="C6194" s="9">
        <v>0</v>
      </c>
      <c r="D6194" s="13">
        <f t="shared" si="96"/>
        <v>9.14</v>
      </c>
    </row>
    <row r="6195" spans="1:4" x14ac:dyDescent="0.25">
      <c r="A6195" s="15">
        <f>Sheet2!A6195</f>
        <v>0</v>
      </c>
      <c r="B6195" s="8">
        <v>0</v>
      </c>
      <c r="C6195" s="9">
        <v>0.74</v>
      </c>
      <c r="D6195" s="13">
        <f t="shared" si="96"/>
        <v>0.74</v>
      </c>
    </row>
    <row r="6196" spans="1:4" x14ac:dyDescent="0.25">
      <c r="A6196" s="15">
        <f>Sheet2!A6196</f>
        <v>0</v>
      </c>
      <c r="B6196" s="8">
        <v>0</v>
      </c>
      <c r="C6196" s="9">
        <v>2.68</v>
      </c>
      <c r="D6196" s="13">
        <f t="shared" si="96"/>
        <v>2.68</v>
      </c>
    </row>
    <row r="6197" spans="1:4" x14ac:dyDescent="0.25">
      <c r="A6197" s="15">
        <f>Sheet2!A6197</f>
        <v>0</v>
      </c>
      <c r="B6197" s="8">
        <v>0</v>
      </c>
      <c r="C6197" s="9">
        <v>0.54</v>
      </c>
      <c r="D6197" s="13">
        <f t="shared" si="96"/>
        <v>0.54</v>
      </c>
    </row>
    <row r="6198" spans="1:4" x14ac:dyDescent="0.25">
      <c r="A6198" s="15">
        <f>Sheet2!A6198</f>
        <v>0</v>
      </c>
      <c r="B6198" s="8">
        <v>9.61</v>
      </c>
      <c r="C6198" s="9">
        <v>0</v>
      </c>
      <c r="D6198" s="13">
        <f t="shared" si="96"/>
        <v>9.61</v>
      </c>
    </row>
    <row r="6199" spans="1:4" x14ac:dyDescent="0.25">
      <c r="A6199" s="15">
        <f>Sheet2!A6199</f>
        <v>0</v>
      </c>
      <c r="B6199" s="8">
        <v>10.199999999999999</v>
      </c>
      <c r="C6199" s="9">
        <v>0</v>
      </c>
      <c r="D6199" s="13">
        <f t="shared" si="96"/>
        <v>10.199999999999999</v>
      </c>
    </row>
    <row r="6200" spans="1:4" x14ac:dyDescent="0.25">
      <c r="A6200" s="15">
        <f>Sheet2!A6200</f>
        <v>0</v>
      </c>
      <c r="B6200" s="8">
        <v>10.36</v>
      </c>
      <c r="C6200" s="9">
        <v>0</v>
      </c>
      <c r="D6200" s="13">
        <f t="shared" si="96"/>
        <v>10.36</v>
      </c>
    </row>
    <row r="6201" spans="1:4" x14ac:dyDescent="0.25">
      <c r="A6201" s="15">
        <f>Sheet2!A6201</f>
        <v>0</v>
      </c>
      <c r="B6201" s="8">
        <v>0</v>
      </c>
      <c r="C6201" s="9">
        <v>1.85</v>
      </c>
      <c r="D6201" s="13">
        <f t="shared" si="96"/>
        <v>1.85</v>
      </c>
    </row>
    <row r="6202" spans="1:4" x14ac:dyDescent="0.25">
      <c r="A6202" s="15">
        <f>Sheet2!A6202</f>
        <v>0</v>
      </c>
      <c r="B6202" s="8">
        <v>0</v>
      </c>
      <c r="C6202" s="9">
        <v>3.64</v>
      </c>
      <c r="D6202" s="13">
        <f t="shared" si="96"/>
        <v>3.64</v>
      </c>
    </row>
    <row r="6203" spans="1:4" x14ac:dyDescent="0.25">
      <c r="A6203" s="15">
        <f>Sheet2!A6203</f>
        <v>0</v>
      </c>
      <c r="B6203" s="8">
        <v>0</v>
      </c>
      <c r="C6203" s="9">
        <v>2.79</v>
      </c>
      <c r="D6203" s="13">
        <f t="shared" si="96"/>
        <v>2.79</v>
      </c>
    </row>
    <row r="6204" spans="1:4" x14ac:dyDescent="0.25">
      <c r="A6204" s="15">
        <f>Sheet2!A6204</f>
        <v>0</v>
      </c>
      <c r="B6204" s="8">
        <v>0</v>
      </c>
      <c r="C6204" s="9">
        <v>0.51</v>
      </c>
      <c r="D6204" s="13">
        <f t="shared" si="96"/>
        <v>0.51</v>
      </c>
    </row>
    <row r="6205" spans="1:4" x14ac:dyDescent="0.25">
      <c r="A6205" s="15">
        <f>Sheet2!A6205</f>
        <v>0</v>
      </c>
      <c r="B6205" s="8">
        <v>0</v>
      </c>
      <c r="C6205" s="9">
        <v>2.62</v>
      </c>
      <c r="D6205" s="13">
        <f t="shared" si="96"/>
        <v>2.62</v>
      </c>
    </row>
    <row r="6206" spans="1:4" x14ac:dyDescent="0.25">
      <c r="A6206" s="15">
        <f>Sheet2!A6206</f>
        <v>0</v>
      </c>
      <c r="B6206" s="8">
        <v>0</v>
      </c>
      <c r="C6206" s="9">
        <v>3.54</v>
      </c>
      <c r="D6206" s="13">
        <f t="shared" si="96"/>
        <v>3.54</v>
      </c>
    </row>
    <row r="6207" spans="1:4" x14ac:dyDescent="0.25">
      <c r="A6207" s="15">
        <f>Sheet2!A6207</f>
        <v>0</v>
      </c>
      <c r="B6207" s="8">
        <v>0</v>
      </c>
      <c r="C6207" s="9">
        <v>1.73</v>
      </c>
      <c r="D6207" s="13">
        <f t="shared" si="96"/>
        <v>1.73</v>
      </c>
    </row>
    <row r="6208" spans="1:4" x14ac:dyDescent="0.25">
      <c r="A6208" s="15">
        <f>Sheet2!A6208</f>
        <v>0</v>
      </c>
      <c r="B6208" s="8">
        <v>10.54</v>
      </c>
      <c r="C6208" s="9">
        <v>0</v>
      </c>
      <c r="D6208" s="13">
        <f t="shared" si="96"/>
        <v>10.54</v>
      </c>
    </row>
    <row r="6209" spans="1:4" x14ac:dyDescent="0.25">
      <c r="A6209" s="15">
        <f>Sheet2!A6209</f>
        <v>0</v>
      </c>
      <c r="B6209" s="8">
        <v>0</v>
      </c>
      <c r="C6209" s="9">
        <v>1.42</v>
      </c>
      <c r="D6209" s="13">
        <f t="shared" si="96"/>
        <v>1.42</v>
      </c>
    </row>
    <row r="6210" spans="1:4" x14ac:dyDescent="0.25">
      <c r="A6210" s="15">
        <f>Sheet2!A6210</f>
        <v>0</v>
      </c>
      <c r="B6210" s="8">
        <v>0</v>
      </c>
      <c r="C6210" s="9">
        <v>3.07</v>
      </c>
      <c r="D6210" s="13">
        <f t="shared" si="96"/>
        <v>3.07</v>
      </c>
    </row>
    <row r="6211" spans="1:4" x14ac:dyDescent="0.25">
      <c r="A6211" s="15">
        <f>Sheet2!A6211</f>
        <v>0</v>
      </c>
      <c r="B6211" s="8">
        <v>0</v>
      </c>
      <c r="C6211" s="9">
        <v>1.6</v>
      </c>
      <c r="D6211" s="13">
        <f t="shared" ref="D6211:D6274" si="97">B6211+C6211</f>
        <v>1.6</v>
      </c>
    </row>
    <row r="6212" spans="1:4" x14ac:dyDescent="0.25">
      <c r="A6212" s="15">
        <f>Sheet2!A6212</f>
        <v>0</v>
      </c>
      <c r="B6212" s="8">
        <v>9.7200000000000006</v>
      </c>
      <c r="C6212" s="9">
        <v>0</v>
      </c>
      <c r="D6212" s="13">
        <f t="shared" si="97"/>
        <v>9.7200000000000006</v>
      </c>
    </row>
    <row r="6213" spans="1:4" x14ac:dyDescent="0.25">
      <c r="A6213" s="15">
        <f>Sheet2!A6213</f>
        <v>0</v>
      </c>
      <c r="B6213" s="8">
        <v>0</v>
      </c>
      <c r="C6213" s="9">
        <v>1.28</v>
      </c>
      <c r="D6213" s="13">
        <f t="shared" si="97"/>
        <v>1.28</v>
      </c>
    </row>
    <row r="6214" spans="1:4" x14ac:dyDescent="0.25">
      <c r="A6214" s="15">
        <f>Sheet2!A6214</f>
        <v>0</v>
      </c>
      <c r="B6214" s="8">
        <v>0</v>
      </c>
      <c r="C6214" s="9">
        <v>2.89</v>
      </c>
      <c r="D6214" s="13">
        <f t="shared" si="97"/>
        <v>2.89</v>
      </c>
    </row>
    <row r="6215" spans="1:4" x14ac:dyDescent="0.25">
      <c r="A6215" s="15">
        <f>Sheet2!A6215</f>
        <v>0</v>
      </c>
      <c r="B6215" s="8">
        <v>0</v>
      </c>
      <c r="C6215" s="9">
        <v>1.0900000000000001</v>
      </c>
      <c r="D6215" s="13">
        <f t="shared" si="97"/>
        <v>1.0900000000000001</v>
      </c>
    </row>
    <row r="6216" spans="1:4" x14ac:dyDescent="0.25">
      <c r="A6216" s="15">
        <f>Sheet2!A6216</f>
        <v>0</v>
      </c>
      <c r="B6216" s="8">
        <v>10.119999999999999</v>
      </c>
      <c r="C6216" s="9">
        <v>0</v>
      </c>
      <c r="D6216" s="13">
        <f t="shared" si="97"/>
        <v>10.119999999999999</v>
      </c>
    </row>
    <row r="6217" spans="1:4" x14ac:dyDescent="0.25">
      <c r="A6217" s="15">
        <f>Sheet2!A6217</f>
        <v>0</v>
      </c>
      <c r="B6217" s="8">
        <v>0</v>
      </c>
      <c r="C6217" s="9">
        <v>0.73</v>
      </c>
      <c r="D6217" s="13">
        <f t="shared" si="97"/>
        <v>0.73</v>
      </c>
    </row>
    <row r="6218" spans="1:4" x14ac:dyDescent="0.25">
      <c r="A6218" s="15">
        <f>Sheet2!A6218</f>
        <v>0</v>
      </c>
      <c r="B6218" s="8">
        <v>0</v>
      </c>
      <c r="C6218" s="9">
        <v>1.1299999999999999</v>
      </c>
      <c r="D6218" s="13">
        <f t="shared" si="97"/>
        <v>1.1299999999999999</v>
      </c>
    </row>
    <row r="6219" spans="1:4" x14ac:dyDescent="0.25">
      <c r="A6219" s="15">
        <f>Sheet2!A6219</f>
        <v>0</v>
      </c>
      <c r="B6219" s="8">
        <v>0</v>
      </c>
      <c r="C6219" s="9">
        <v>0.53</v>
      </c>
      <c r="D6219" s="13">
        <f t="shared" si="97"/>
        <v>0.53</v>
      </c>
    </row>
    <row r="6220" spans="1:4" x14ac:dyDescent="0.25">
      <c r="A6220" s="15">
        <f>Sheet2!A6220</f>
        <v>0</v>
      </c>
      <c r="B6220" s="8">
        <v>9.39</v>
      </c>
      <c r="C6220" s="9">
        <v>0</v>
      </c>
      <c r="D6220" s="13">
        <f t="shared" si="97"/>
        <v>9.39</v>
      </c>
    </row>
    <row r="6221" spans="1:4" x14ac:dyDescent="0.25">
      <c r="A6221" s="15">
        <f>Sheet2!A6221</f>
        <v>0</v>
      </c>
      <c r="B6221" s="8">
        <v>9.67</v>
      </c>
      <c r="C6221" s="9">
        <v>0</v>
      </c>
      <c r="D6221" s="13">
        <f t="shared" si="97"/>
        <v>9.67</v>
      </c>
    </row>
    <row r="6222" spans="1:4" x14ac:dyDescent="0.25">
      <c r="A6222" s="15">
        <f>Sheet2!A6222</f>
        <v>0</v>
      </c>
      <c r="B6222" s="8">
        <v>9.2200000000000006</v>
      </c>
      <c r="C6222" s="9">
        <v>0</v>
      </c>
      <c r="D6222" s="13">
        <f t="shared" si="97"/>
        <v>9.2200000000000006</v>
      </c>
    </row>
    <row r="6223" spans="1:4" x14ac:dyDescent="0.25">
      <c r="A6223" s="15">
        <f>Sheet2!A6223</f>
        <v>0</v>
      </c>
      <c r="B6223" s="8">
        <v>0</v>
      </c>
      <c r="C6223" s="9">
        <v>2.11</v>
      </c>
      <c r="D6223" s="13">
        <f t="shared" si="97"/>
        <v>2.11</v>
      </c>
    </row>
    <row r="6224" spans="1:4" x14ac:dyDescent="0.25">
      <c r="A6224" s="15">
        <f>Sheet2!A6224</f>
        <v>0</v>
      </c>
      <c r="B6224" s="8">
        <v>0</v>
      </c>
      <c r="C6224" s="9">
        <v>3.56</v>
      </c>
      <c r="D6224" s="13">
        <f t="shared" si="97"/>
        <v>3.56</v>
      </c>
    </row>
    <row r="6225" spans="1:4" x14ac:dyDescent="0.25">
      <c r="A6225" s="15">
        <f>Sheet2!A6225</f>
        <v>0</v>
      </c>
      <c r="B6225" s="8">
        <v>0</v>
      </c>
      <c r="C6225" s="9">
        <v>1.36</v>
      </c>
      <c r="D6225" s="13">
        <f t="shared" si="97"/>
        <v>1.36</v>
      </c>
    </row>
    <row r="6226" spans="1:4" x14ac:dyDescent="0.25">
      <c r="A6226" s="15">
        <f>Sheet2!A6226</f>
        <v>0</v>
      </c>
      <c r="B6226" s="8">
        <v>0</v>
      </c>
      <c r="C6226" s="9">
        <v>1.44</v>
      </c>
      <c r="D6226" s="13">
        <f t="shared" si="97"/>
        <v>1.44</v>
      </c>
    </row>
    <row r="6227" spans="1:4" x14ac:dyDescent="0.25">
      <c r="A6227" s="15">
        <f>Sheet2!A6227</f>
        <v>0</v>
      </c>
      <c r="B6227" s="8">
        <v>0</v>
      </c>
      <c r="C6227" s="9">
        <v>0.42</v>
      </c>
      <c r="D6227" s="13">
        <f t="shared" si="97"/>
        <v>0.42</v>
      </c>
    </row>
    <row r="6228" spans="1:4" x14ac:dyDescent="0.25">
      <c r="A6228" s="15">
        <f>Sheet2!A6228</f>
        <v>0</v>
      </c>
      <c r="B6228" s="8">
        <v>0</v>
      </c>
      <c r="C6228" s="9">
        <v>3.74</v>
      </c>
      <c r="D6228" s="13">
        <f t="shared" si="97"/>
        <v>3.74</v>
      </c>
    </row>
    <row r="6229" spans="1:4" x14ac:dyDescent="0.25">
      <c r="A6229" s="15">
        <f>Sheet2!A6229</f>
        <v>0</v>
      </c>
      <c r="B6229" s="8">
        <v>0</v>
      </c>
      <c r="C6229" s="9">
        <v>2.35</v>
      </c>
      <c r="D6229" s="13">
        <f t="shared" si="97"/>
        <v>2.35</v>
      </c>
    </row>
    <row r="6230" spans="1:4" x14ac:dyDescent="0.25">
      <c r="A6230" s="15">
        <f>Sheet2!A6230</f>
        <v>0</v>
      </c>
      <c r="B6230" s="8">
        <v>0</v>
      </c>
      <c r="C6230" s="9">
        <v>1.01</v>
      </c>
      <c r="D6230" s="13">
        <f t="shared" si="97"/>
        <v>1.01</v>
      </c>
    </row>
    <row r="6231" spans="1:4" x14ac:dyDescent="0.25">
      <c r="A6231" s="15">
        <f>Sheet2!A6231</f>
        <v>0</v>
      </c>
      <c r="B6231" s="8">
        <v>0</v>
      </c>
      <c r="C6231" s="9">
        <v>2.67</v>
      </c>
      <c r="D6231" s="13">
        <f t="shared" si="97"/>
        <v>2.67</v>
      </c>
    </row>
    <row r="6232" spans="1:4" x14ac:dyDescent="0.25">
      <c r="A6232" s="15">
        <f>Sheet2!A6232</f>
        <v>0</v>
      </c>
      <c r="B6232" s="8">
        <v>0</v>
      </c>
      <c r="C6232" s="9">
        <v>2.2000000000000002</v>
      </c>
      <c r="D6232" s="13">
        <f t="shared" si="97"/>
        <v>2.2000000000000002</v>
      </c>
    </row>
    <row r="6233" spans="1:4" x14ac:dyDescent="0.25">
      <c r="A6233" s="15">
        <f>Sheet2!A6233</f>
        <v>0</v>
      </c>
      <c r="B6233" s="8">
        <v>0</v>
      </c>
      <c r="C6233" s="9">
        <v>2.57</v>
      </c>
      <c r="D6233" s="13">
        <f t="shared" si="97"/>
        <v>2.57</v>
      </c>
    </row>
    <row r="6234" spans="1:4" x14ac:dyDescent="0.25">
      <c r="A6234" s="15">
        <f>Sheet2!A6234</f>
        <v>0</v>
      </c>
      <c r="B6234" s="8">
        <v>0</v>
      </c>
      <c r="C6234" s="9">
        <v>3.92</v>
      </c>
      <c r="D6234" s="13">
        <f t="shared" si="97"/>
        <v>3.92</v>
      </c>
    </row>
    <row r="6235" spans="1:4" x14ac:dyDescent="0.25">
      <c r="A6235" s="15">
        <f>Sheet2!A6235</f>
        <v>0</v>
      </c>
      <c r="B6235" s="8">
        <v>0</v>
      </c>
      <c r="C6235" s="9">
        <v>1.61</v>
      </c>
      <c r="D6235" s="13">
        <f t="shared" si="97"/>
        <v>1.61</v>
      </c>
    </row>
    <row r="6236" spans="1:4" x14ac:dyDescent="0.25">
      <c r="A6236" s="15">
        <f>Sheet2!A6236</f>
        <v>0</v>
      </c>
      <c r="B6236" s="8">
        <v>13.31</v>
      </c>
      <c r="C6236" s="9">
        <v>0</v>
      </c>
      <c r="D6236" s="13">
        <f t="shared" si="97"/>
        <v>13.31</v>
      </c>
    </row>
    <row r="6237" spans="1:4" x14ac:dyDescent="0.25">
      <c r="A6237" s="15">
        <f>Sheet2!A6237</f>
        <v>0</v>
      </c>
      <c r="B6237" s="8">
        <v>0</v>
      </c>
      <c r="C6237" s="9">
        <v>2.0499999999999998</v>
      </c>
      <c r="D6237" s="13">
        <f t="shared" si="97"/>
        <v>2.0499999999999998</v>
      </c>
    </row>
    <row r="6238" spans="1:4" x14ac:dyDescent="0.25">
      <c r="A6238" s="15">
        <f>Sheet2!A6238</f>
        <v>0</v>
      </c>
      <c r="B6238" s="8">
        <v>0</v>
      </c>
      <c r="C6238" s="9">
        <v>3.04</v>
      </c>
      <c r="D6238" s="13">
        <f t="shared" si="97"/>
        <v>3.04</v>
      </c>
    </row>
    <row r="6239" spans="1:4" x14ac:dyDescent="0.25">
      <c r="A6239" s="15">
        <f>Sheet2!A6239</f>
        <v>0</v>
      </c>
      <c r="B6239" s="8">
        <v>0</v>
      </c>
      <c r="C6239" s="9">
        <v>2.98</v>
      </c>
      <c r="D6239" s="13">
        <f t="shared" si="97"/>
        <v>2.98</v>
      </c>
    </row>
    <row r="6240" spans="1:4" x14ac:dyDescent="0.25">
      <c r="A6240" s="15">
        <f>Sheet2!A6240</f>
        <v>0</v>
      </c>
      <c r="B6240" s="8">
        <v>0</v>
      </c>
      <c r="C6240" s="9">
        <v>3.04</v>
      </c>
      <c r="D6240" s="13">
        <f t="shared" si="97"/>
        <v>3.04</v>
      </c>
    </row>
    <row r="6241" spans="1:4" x14ac:dyDescent="0.25">
      <c r="A6241" s="15">
        <f>Sheet2!A6241</f>
        <v>0</v>
      </c>
      <c r="B6241" s="8">
        <v>0</v>
      </c>
      <c r="C6241" s="9">
        <v>1.01</v>
      </c>
      <c r="D6241" s="13">
        <f t="shared" si="97"/>
        <v>1.01</v>
      </c>
    </row>
    <row r="6242" spans="1:4" x14ac:dyDescent="0.25">
      <c r="A6242" s="15">
        <f>Sheet2!A6242</f>
        <v>0</v>
      </c>
      <c r="B6242" s="8">
        <v>10.86</v>
      </c>
      <c r="C6242" s="9">
        <v>0</v>
      </c>
      <c r="D6242" s="13">
        <f t="shared" si="97"/>
        <v>10.86</v>
      </c>
    </row>
    <row r="6243" spans="1:4" x14ac:dyDescent="0.25">
      <c r="A6243" s="15">
        <f>Sheet2!A6243</f>
        <v>0</v>
      </c>
      <c r="B6243" s="8">
        <v>0.99</v>
      </c>
      <c r="C6243" s="9">
        <v>0</v>
      </c>
      <c r="D6243" s="13">
        <f t="shared" si="97"/>
        <v>0.99</v>
      </c>
    </row>
    <row r="6244" spans="1:4" x14ac:dyDescent="0.25">
      <c r="A6244" s="15">
        <f>Sheet2!A6244</f>
        <v>0</v>
      </c>
      <c r="B6244" s="8">
        <v>0</v>
      </c>
      <c r="C6244" s="9">
        <v>2.66</v>
      </c>
      <c r="D6244" s="13">
        <f t="shared" si="97"/>
        <v>2.66</v>
      </c>
    </row>
    <row r="6245" spans="1:4" x14ac:dyDescent="0.25">
      <c r="A6245" s="15">
        <f>Sheet2!A6245</f>
        <v>0</v>
      </c>
      <c r="B6245" s="8">
        <v>0</v>
      </c>
      <c r="C6245" s="9">
        <v>1.44</v>
      </c>
      <c r="D6245" s="13">
        <f t="shared" si="97"/>
        <v>1.44</v>
      </c>
    </row>
    <row r="6246" spans="1:4" x14ac:dyDescent="0.25">
      <c r="A6246" s="15">
        <f>Sheet2!A6246</f>
        <v>0</v>
      </c>
      <c r="B6246" s="8">
        <v>8.82</v>
      </c>
      <c r="C6246" s="9">
        <v>0</v>
      </c>
      <c r="D6246" s="13">
        <f t="shared" si="97"/>
        <v>8.82</v>
      </c>
    </row>
    <row r="6247" spans="1:4" x14ac:dyDescent="0.25">
      <c r="A6247" s="15">
        <f>Sheet2!A6247</f>
        <v>0</v>
      </c>
      <c r="B6247" s="8">
        <v>0</v>
      </c>
      <c r="C6247" s="9">
        <v>1.72</v>
      </c>
      <c r="D6247" s="13">
        <f t="shared" si="97"/>
        <v>1.72</v>
      </c>
    </row>
    <row r="6248" spans="1:4" x14ac:dyDescent="0.25">
      <c r="A6248" s="15">
        <f>Sheet2!A6248</f>
        <v>0</v>
      </c>
      <c r="B6248" s="8">
        <v>0</v>
      </c>
      <c r="C6248" s="9">
        <v>3.61</v>
      </c>
      <c r="D6248" s="13">
        <f t="shared" si="97"/>
        <v>3.61</v>
      </c>
    </row>
    <row r="6249" spans="1:4" x14ac:dyDescent="0.25">
      <c r="A6249" s="15">
        <f>Sheet2!A6249</f>
        <v>0</v>
      </c>
      <c r="B6249" s="8">
        <v>0</v>
      </c>
      <c r="C6249" s="9">
        <v>1.69</v>
      </c>
      <c r="D6249" s="13">
        <f t="shared" si="97"/>
        <v>1.69</v>
      </c>
    </row>
    <row r="6250" spans="1:4" x14ac:dyDescent="0.25">
      <c r="A6250" s="15">
        <f>Sheet2!A6250</f>
        <v>0</v>
      </c>
      <c r="B6250" s="8">
        <v>4.68</v>
      </c>
      <c r="C6250" s="9">
        <v>0</v>
      </c>
      <c r="D6250" s="13">
        <f t="shared" si="97"/>
        <v>4.68</v>
      </c>
    </row>
    <row r="6251" spans="1:4" x14ac:dyDescent="0.25">
      <c r="A6251" s="15">
        <f>Sheet2!A6251</f>
        <v>0</v>
      </c>
      <c r="B6251" s="8">
        <v>0</v>
      </c>
      <c r="C6251" s="9">
        <v>3.07</v>
      </c>
      <c r="D6251" s="13">
        <f t="shared" si="97"/>
        <v>3.07</v>
      </c>
    </row>
    <row r="6252" spans="1:4" x14ac:dyDescent="0.25">
      <c r="A6252" s="15">
        <f>Sheet2!A6252</f>
        <v>0</v>
      </c>
      <c r="B6252" s="8">
        <v>0</v>
      </c>
      <c r="C6252" s="9">
        <v>4.01</v>
      </c>
      <c r="D6252" s="13">
        <f t="shared" si="97"/>
        <v>4.01</v>
      </c>
    </row>
    <row r="6253" spans="1:4" x14ac:dyDescent="0.25">
      <c r="A6253" s="15">
        <f>Sheet2!A6253</f>
        <v>0</v>
      </c>
      <c r="B6253" s="8">
        <v>0</v>
      </c>
      <c r="C6253" s="9">
        <v>1.91</v>
      </c>
      <c r="D6253" s="13">
        <f t="shared" si="97"/>
        <v>1.91</v>
      </c>
    </row>
    <row r="6254" spans="1:4" x14ac:dyDescent="0.25">
      <c r="A6254" s="15">
        <f>Sheet2!A6254</f>
        <v>0</v>
      </c>
      <c r="B6254" s="8">
        <v>9.5399999999999991</v>
      </c>
      <c r="C6254" s="9">
        <v>0</v>
      </c>
      <c r="D6254" s="13">
        <f t="shared" si="97"/>
        <v>9.5399999999999991</v>
      </c>
    </row>
    <row r="6255" spans="1:4" x14ac:dyDescent="0.25">
      <c r="A6255" s="15">
        <f>Sheet2!A6255</f>
        <v>0</v>
      </c>
      <c r="B6255" s="8">
        <v>0</v>
      </c>
      <c r="C6255" s="9">
        <v>1.82</v>
      </c>
      <c r="D6255" s="13">
        <f t="shared" si="97"/>
        <v>1.82</v>
      </c>
    </row>
    <row r="6256" spans="1:4" x14ac:dyDescent="0.25">
      <c r="A6256" s="15">
        <f>Sheet2!A6256</f>
        <v>0</v>
      </c>
      <c r="B6256" s="8">
        <v>0</v>
      </c>
      <c r="C6256" s="9">
        <v>1.98</v>
      </c>
      <c r="D6256" s="13">
        <f t="shared" si="97"/>
        <v>1.98</v>
      </c>
    </row>
    <row r="6257" spans="1:4" x14ac:dyDescent="0.25">
      <c r="A6257" s="15">
        <f>Sheet2!A6257</f>
        <v>0</v>
      </c>
      <c r="B6257" s="8">
        <v>0</v>
      </c>
      <c r="C6257" s="9">
        <v>3.13</v>
      </c>
      <c r="D6257" s="13">
        <f t="shared" si="97"/>
        <v>3.13</v>
      </c>
    </row>
    <row r="6258" spans="1:4" x14ac:dyDescent="0.25">
      <c r="A6258" s="15">
        <f>Sheet2!A6258</f>
        <v>0</v>
      </c>
      <c r="B6258" s="8">
        <v>0</v>
      </c>
      <c r="C6258" s="9">
        <v>3.75</v>
      </c>
      <c r="D6258" s="13">
        <f t="shared" si="97"/>
        <v>3.75</v>
      </c>
    </row>
    <row r="6259" spans="1:4" x14ac:dyDescent="0.25">
      <c r="A6259" s="15">
        <f>Sheet2!A6259</f>
        <v>0</v>
      </c>
      <c r="B6259" s="8">
        <v>0</v>
      </c>
      <c r="C6259" s="9">
        <v>1.29</v>
      </c>
      <c r="D6259" s="13">
        <f t="shared" si="97"/>
        <v>1.29</v>
      </c>
    </row>
    <row r="6260" spans="1:4" x14ac:dyDescent="0.25">
      <c r="A6260" s="15">
        <f>Sheet2!A6260</f>
        <v>0</v>
      </c>
      <c r="B6260" s="8">
        <v>0</v>
      </c>
      <c r="C6260" s="9">
        <v>1.02</v>
      </c>
      <c r="D6260" s="13">
        <f t="shared" si="97"/>
        <v>1.02</v>
      </c>
    </row>
    <row r="6261" spans="1:4" x14ac:dyDescent="0.25">
      <c r="A6261" s="15">
        <f>Sheet2!A6261</f>
        <v>0</v>
      </c>
      <c r="B6261" s="8">
        <v>0</v>
      </c>
      <c r="C6261" s="9">
        <v>2.93</v>
      </c>
      <c r="D6261" s="13">
        <f t="shared" si="97"/>
        <v>2.93</v>
      </c>
    </row>
    <row r="6262" spans="1:4" x14ac:dyDescent="0.25">
      <c r="A6262" s="15">
        <f>Sheet2!A6262</f>
        <v>0</v>
      </c>
      <c r="B6262" s="8">
        <v>0</v>
      </c>
      <c r="C6262" s="9">
        <v>3.01</v>
      </c>
      <c r="D6262" s="13">
        <f t="shared" si="97"/>
        <v>3.01</v>
      </c>
    </row>
    <row r="6263" spans="1:4" x14ac:dyDescent="0.25">
      <c r="A6263" s="15">
        <f>Sheet2!A6263</f>
        <v>0</v>
      </c>
      <c r="B6263" s="8">
        <v>0</v>
      </c>
      <c r="C6263" s="9">
        <v>1.31</v>
      </c>
      <c r="D6263" s="13">
        <f t="shared" si="97"/>
        <v>1.31</v>
      </c>
    </row>
    <row r="6264" spans="1:4" x14ac:dyDescent="0.25">
      <c r="A6264" s="15">
        <f>Sheet2!A6264</f>
        <v>0</v>
      </c>
      <c r="B6264" s="8">
        <v>13.66</v>
      </c>
      <c r="C6264" s="9">
        <v>0</v>
      </c>
      <c r="D6264" s="13">
        <f t="shared" si="97"/>
        <v>13.66</v>
      </c>
    </row>
    <row r="6265" spans="1:4" x14ac:dyDescent="0.25">
      <c r="A6265" s="15">
        <f>Sheet2!A6265</f>
        <v>0</v>
      </c>
      <c r="B6265" s="8">
        <v>0</v>
      </c>
      <c r="C6265" s="9">
        <v>0.82</v>
      </c>
      <c r="D6265" s="13">
        <f t="shared" si="97"/>
        <v>0.82</v>
      </c>
    </row>
    <row r="6266" spans="1:4" x14ac:dyDescent="0.25">
      <c r="A6266" s="15">
        <f>Sheet2!A6266</f>
        <v>0</v>
      </c>
      <c r="B6266" s="8">
        <v>0</v>
      </c>
      <c r="C6266" s="9">
        <v>1.48</v>
      </c>
      <c r="D6266" s="13">
        <f t="shared" si="97"/>
        <v>1.48</v>
      </c>
    </row>
    <row r="6267" spans="1:4" x14ac:dyDescent="0.25">
      <c r="A6267" s="15">
        <f>Sheet2!A6267</f>
        <v>0</v>
      </c>
      <c r="B6267" s="8">
        <v>0</v>
      </c>
      <c r="C6267" s="9">
        <v>1.03</v>
      </c>
      <c r="D6267" s="13">
        <f t="shared" si="97"/>
        <v>1.03</v>
      </c>
    </row>
    <row r="6268" spans="1:4" x14ac:dyDescent="0.25">
      <c r="A6268" s="15">
        <f>Sheet2!A6268</f>
        <v>0</v>
      </c>
      <c r="B6268" s="8">
        <v>4.2</v>
      </c>
      <c r="C6268" s="9">
        <v>0</v>
      </c>
      <c r="D6268" s="13">
        <f t="shared" si="97"/>
        <v>4.2</v>
      </c>
    </row>
    <row r="6269" spans="1:4" x14ac:dyDescent="0.25">
      <c r="A6269" s="15">
        <f>Sheet2!A6269</f>
        <v>0</v>
      </c>
      <c r="B6269" s="8">
        <v>10.68</v>
      </c>
      <c r="C6269" s="9">
        <v>0</v>
      </c>
      <c r="D6269" s="13">
        <f t="shared" si="97"/>
        <v>10.68</v>
      </c>
    </row>
    <row r="6270" spans="1:4" x14ac:dyDescent="0.25">
      <c r="A6270" s="15">
        <f>Sheet2!A6270</f>
        <v>0</v>
      </c>
      <c r="B6270" s="8">
        <v>10.43</v>
      </c>
      <c r="C6270" s="9">
        <v>0</v>
      </c>
      <c r="D6270" s="13">
        <f t="shared" si="97"/>
        <v>10.43</v>
      </c>
    </row>
    <row r="6271" spans="1:4" x14ac:dyDescent="0.25">
      <c r="A6271" s="15">
        <f>Sheet2!A6271</f>
        <v>0</v>
      </c>
      <c r="B6271" s="8">
        <v>0</v>
      </c>
      <c r="C6271" s="9">
        <v>1.65</v>
      </c>
      <c r="D6271" s="13">
        <f t="shared" si="97"/>
        <v>1.65</v>
      </c>
    </row>
    <row r="6272" spans="1:4" x14ac:dyDescent="0.25">
      <c r="A6272" s="15">
        <f>Sheet2!A6272</f>
        <v>0</v>
      </c>
      <c r="B6272" s="8">
        <v>0</v>
      </c>
      <c r="C6272" s="9">
        <v>3.63</v>
      </c>
      <c r="D6272" s="13">
        <f t="shared" si="97"/>
        <v>3.63</v>
      </c>
    </row>
    <row r="6273" spans="1:4" x14ac:dyDescent="0.25">
      <c r="A6273" s="15">
        <f>Sheet2!A6273</f>
        <v>0</v>
      </c>
      <c r="B6273" s="8">
        <v>0</v>
      </c>
      <c r="C6273" s="9">
        <v>1.91</v>
      </c>
      <c r="D6273" s="13">
        <f t="shared" si="97"/>
        <v>1.91</v>
      </c>
    </row>
    <row r="6274" spans="1:4" x14ac:dyDescent="0.25">
      <c r="A6274" s="15">
        <f>Sheet2!A6274</f>
        <v>0</v>
      </c>
      <c r="B6274" s="8">
        <v>11.93</v>
      </c>
      <c r="C6274" s="9">
        <v>0</v>
      </c>
      <c r="D6274" s="13">
        <f t="shared" si="97"/>
        <v>11.93</v>
      </c>
    </row>
    <row r="6275" spans="1:4" x14ac:dyDescent="0.25">
      <c r="A6275" s="15">
        <f>Sheet2!A6275</f>
        <v>0</v>
      </c>
      <c r="B6275" s="8">
        <v>0</v>
      </c>
      <c r="C6275" s="9">
        <v>2.2599999999999998</v>
      </c>
      <c r="D6275" s="13">
        <f t="shared" ref="D6275:D6338" si="98">B6275+C6275</f>
        <v>2.2599999999999998</v>
      </c>
    </row>
    <row r="6276" spans="1:4" x14ac:dyDescent="0.25">
      <c r="A6276" s="15">
        <f>Sheet2!A6276</f>
        <v>0</v>
      </c>
      <c r="B6276" s="8">
        <v>0</v>
      </c>
      <c r="C6276" s="9">
        <v>3.48</v>
      </c>
      <c r="D6276" s="13">
        <f t="shared" si="98"/>
        <v>3.48</v>
      </c>
    </row>
    <row r="6277" spans="1:4" x14ac:dyDescent="0.25">
      <c r="A6277" s="15">
        <f>Sheet2!A6277</f>
        <v>0</v>
      </c>
      <c r="B6277" s="8">
        <v>0</v>
      </c>
      <c r="C6277" s="9">
        <v>1.75</v>
      </c>
      <c r="D6277" s="13">
        <f t="shared" si="98"/>
        <v>1.75</v>
      </c>
    </row>
    <row r="6278" spans="1:4" x14ac:dyDescent="0.25">
      <c r="A6278" s="15">
        <f>Sheet2!A6278</f>
        <v>0</v>
      </c>
      <c r="B6278" s="8">
        <v>12.22</v>
      </c>
      <c r="C6278" s="9">
        <v>0</v>
      </c>
      <c r="D6278" s="13">
        <f t="shared" si="98"/>
        <v>12.22</v>
      </c>
    </row>
    <row r="6279" spans="1:4" x14ac:dyDescent="0.25">
      <c r="A6279" s="15">
        <f>Sheet2!A6279</f>
        <v>0</v>
      </c>
      <c r="B6279" s="8">
        <v>0</v>
      </c>
      <c r="C6279" s="9">
        <v>2.4700000000000002</v>
      </c>
      <c r="D6279" s="13">
        <f t="shared" si="98"/>
        <v>2.4700000000000002</v>
      </c>
    </row>
    <row r="6280" spans="1:4" x14ac:dyDescent="0.25">
      <c r="A6280" s="15">
        <f>Sheet2!A6280</f>
        <v>0</v>
      </c>
      <c r="B6280" s="8">
        <v>0</v>
      </c>
      <c r="C6280" s="9">
        <v>2.99</v>
      </c>
      <c r="D6280" s="13">
        <f t="shared" si="98"/>
        <v>2.99</v>
      </c>
    </row>
    <row r="6281" spans="1:4" x14ac:dyDescent="0.25">
      <c r="A6281" s="15">
        <f>Sheet2!A6281</f>
        <v>0</v>
      </c>
      <c r="B6281" s="8">
        <v>0</v>
      </c>
      <c r="C6281" s="9">
        <v>1.2</v>
      </c>
      <c r="D6281" s="13">
        <f t="shared" si="98"/>
        <v>1.2</v>
      </c>
    </row>
    <row r="6282" spans="1:4" x14ac:dyDescent="0.25">
      <c r="A6282" s="15">
        <f>Sheet2!A6282</f>
        <v>0</v>
      </c>
      <c r="B6282" s="8">
        <v>7.84</v>
      </c>
      <c r="C6282" s="9">
        <v>0</v>
      </c>
      <c r="D6282" s="13">
        <f t="shared" si="98"/>
        <v>7.84</v>
      </c>
    </row>
    <row r="6283" spans="1:4" x14ac:dyDescent="0.25">
      <c r="A6283" s="15">
        <f>Sheet2!A6283</f>
        <v>0</v>
      </c>
      <c r="B6283" s="8">
        <v>0</v>
      </c>
      <c r="C6283" s="9">
        <v>0.88</v>
      </c>
      <c r="D6283" s="13">
        <f t="shared" si="98"/>
        <v>0.88</v>
      </c>
    </row>
    <row r="6284" spans="1:4" x14ac:dyDescent="0.25">
      <c r="A6284" s="15">
        <f>Sheet2!A6284</f>
        <v>0</v>
      </c>
      <c r="B6284" s="8">
        <v>0</v>
      </c>
      <c r="C6284" s="9">
        <v>3.22</v>
      </c>
      <c r="D6284" s="13">
        <f t="shared" si="98"/>
        <v>3.22</v>
      </c>
    </row>
    <row r="6285" spans="1:4" x14ac:dyDescent="0.25">
      <c r="A6285" s="15">
        <f>Sheet2!A6285</f>
        <v>0</v>
      </c>
      <c r="B6285" s="8">
        <v>0</v>
      </c>
      <c r="C6285" s="9">
        <v>1.44</v>
      </c>
      <c r="D6285" s="13">
        <f t="shared" si="98"/>
        <v>1.44</v>
      </c>
    </row>
    <row r="6286" spans="1:4" x14ac:dyDescent="0.25">
      <c r="A6286" s="15">
        <f>Sheet2!A6286</f>
        <v>0</v>
      </c>
      <c r="B6286" s="8">
        <v>8.24</v>
      </c>
      <c r="C6286" s="9">
        <v>0</v>
      </c>
      <c r="D6286" s="13">
        <f t="shared" si="98"/>
        <v>8.24</v>
      </c>
    </row>
    <row r="6287" spans="1:4" x14ac:dyDescent="0.25">
      <c r="A6287" s="15">
        <f>Sheet2!A6287</f>
        <v>0</v>
      </c>
      <c r="B6287" s="8">
        <v>0</v>
      </c>
      <c r="C6287" s="9">
        <v>1.1599999999999999</v>
      </c>
      <c r="D6287" s="13">
        <f t="shared" si="98"/>
        <v>1.1599999999999999</v>
      </c>
    </row>
    <row r="6288" spans="1:4" x14ac:dyDescent="0.25">
      <c r="A6288" s="15">
        <f>Sheet2!A6288</f>
        <v>0</v>
      </c>
      <c r="B6288" s="8">
        <v>0</v>
      </c>
      <c r="C6288" s="9">
        <v>3.17</v>
      </c>
      <c r="D6288" s="13">
        <f t="shared" si="98"/>
        <v>3.17</v>
      </c>
    </row>
    <row r="6289" spans="1:4" x14ac:dyDescent="0.25">
      <c r="A6289" s="15">
        <f>Sheet2!A6289</f>
        <v>0</v>
      </c>
      <c r="B6289" s="8">
        <v>0</v>
      </c>
      <c r="C6289" s="9">
        <v>1.63</v>
      </c>
      <c r="D6289" s="13">
        <f t="shared" si="98"/>
        <v>1.63</v>
      </c>
    </row>
    <row r="6290" spans="1:4" x14ac:dyDescent="0.25">
      <c r="A6290" s="15">
        <f>Sheet2!A6290</f>
        <v>0</v>
      </c>
      <c r="B6290" s="8">
        <v>11.46</v>
      </c>
      <c r="C6290" s="9">
        <v>0</v>
      </c>
      <c r="D6290" s="13">
        <f t="shared" si="98"/>
        <v>11.46</v>
      </c>
    </row>
    <row r="6291" spans="1:4" x14ac:dyDescent="0.25">
      <c r="A6291" s="15">
        <f>Sheet2!A6291</f>
        <v>0</v>
      </c>
      <c r="B6291" s="8">
        <v>0</v>
      </c>
      <c r="C6291" s="9">
        <v>1.82</v>
      </c>
      <c r="D6291" s="13">
        <f t="shared" si="98"/>
        <v>1.82</v>
      </c>
    </row>
    <row r="6292" spans="1:4" x14ac:dyDescent="0.25">
      <c r="A6292" s="15">
        <f>Sheet2!A6292</f>
        <v>0</v>
      </c>
      <c r="B6292" s="8">
        <v>0</v>
      </c>
      <c r="C6292" s="9">
        <v>3.44</v>
      </c>
      <c r="D6292" s="13">
        <f t="shared" si="98"/>
        <v>3.44</v>
      </c>
    </row>
    <row r="6293" spans="1:4" x14ac:dyDescent="0.25">
      <c r="A6293" s="15">
        <f>Sheet2!A6293</f>
        <v>0</v>
      </c>
      <c r="B6293" s="8">
        <v>0</v>
      </c>
      <c r="C6293" s="9">
        <v>1.1499999999999999</v>
      </c>
      <c r="D6293" s="13">
        <f t="shared" si="98"/>
        <v>1.1499999999999999</v>
      </c>
    </row>
    <row r="6294" spans="1:4" x14ac:dyDescent="0.25">
      <c r="A6294" s="15">
        <f>Sheet2!A6294</f>
        <v>0</v>
      </c>
      <c r="B6294" s="8">
        <v>9.25</v>
      </c>
      <c r="C6294" s="9">
        <v>0</v>
      </c>
      <c r="D6294" s="13">
        <f t="shared" si="98"/>
        <v>9.25</v>
      </c>
    </row>
    <row r="6295" spans="1:4" x14ac:dyDescent="0.25">
      <c r="A6295" s="15">
        <f>Sheet2!A6295</f>
        <v>0</v>
      </c>
      <c r="B6295" s="8">
        <v>9.3699999999999992</v>
      </c>
      <c r="C6295" s="9">
        <v>0</v>
      </c>
      <c r="D6295" s="13">
        <f t="shared" si="98"/>
        <v>9.3699999999999992</v>
      </c>
    </row>
    <row r="6296" spans="1:4" x14ac:dyDescent="0.25">
      <c r="A6296" s="15">
        <f>Sheet2!A6296</f>
        <v>0</v>
      </c>
      <c r="B6296" s="8">
        <v>9.26</v>
      </c>
      <c r="C6296" s="9">
        <v>0</v>
      </c>
      <c r="D6296" s="13">
        <f t="shared" si="98"/>
        <v>9.26</v>
      </c>
    </row>
    <row r="6297" spans="1:4" x14ac:dyDescent="0.25">
      <c r="A6297" s="15">
        <f>Sheet2!A6297</f>
        <v>0</v>
      </c>
      <c r="B6297" s="8">
        <v>7.79</v>
      </c>
      <c r="C6297" s="9">
        <v>0</v>
      </c>
      <c r="D6297" s="13">
        <f t="shared" si="98"/>
        <v>7.79</v>
      </c>
    </row>
    <row r="6298" spans="1:4" x14ac:dyDescent="0.25">
      <c r="A6298" s="15">
        <f>Sheet2!A6298</f>
        <v>0</v>
      </c>
      <c r="B6298" s="8">
        <v>0</v>
      </c>
      <c r="C6298" s="9">
        <v>3.32</v>
      </c>
      <c r="D6298" s="13">
        <f t="shared" si="98"/>
        <v>3.32</v>
      </c>
    </row>
    <row r="6299" spans="1:4" x14ac:dyDescent="0.25">
      <c r="A6299" s="15">
        <f>Sheet2!A6299</f>
        <v>0</v>
      </c>
      <c r="B6299" s="8">
        <v>0</v>
      </c>
      <c r="C6299" s="9">
        <v>2.14</v>
      </c>
      <c r="D6299" s="13">
        <f t="shared" si="98"/>
        <v>2.14</v>
      </c>
    </row>
    <row r="6300" spans="1:4" x14ac:dyDescent="0.25">
      <c r="A6300" s="15">
        <f>Sheet2!A6300</f>
        <v>0</v>
      </c>
      <c r="B6300" s="8">
        <v>11.27</v>
      </c>
      <c r="C6300" s="9">
        <v>0</v>
      </c>
      <c r="D6300" s="13">
        <f t="shared" si="98"/>
        <v>11.27</v>
      </c>
    </row>
    <row r="6301" spans="1:4" x14ac:dyDescent="0.25">
      <c r="A6301" s="15">
        <f>Sheet2!A6301</f>
        <v>0</v>
      </c>
      <c r="B6301" s="8">
        <v>13.08</v>
      </c>
      <c r="C6301" s="9">
        <v>0</v>
      </c>
      <c r="D6301" s="13">
        <f t="shared" si="98"/>
        <v>13.08</v>
      </c>
    </row>
    <row r="6302" spans="1:4" x14ac:dyDescent="0.25">
      <c r="A6302" s="15">
        <f>Sheet2!A6302</f>
        <v>0</v>
      </c>
      <c r="B6302" s="8">
        <v>14.73</v>
      </c>
      <c r="C6302" s="9">
        <v>0</v>
      </c>
      <c r="D6302" s="13">
        <f t="shared" si="98"/>
        <v>14.73</v>
      </c>
    </row>
    <row r="6303" spans="1:4" x14ac:dyDescent="0.25">
      <c r="A6303" s="15">
        <f>Sheet2!A6303</f>
        <v>0</v>
      </c>
      <c r="B6303" s="8">
        <v>0</v>
      </c>
      <c r="C6303" s="9">
        <v>1.95</v>
      </c>
      <c r="D6303" s="13">
        <f t="shared" si="98"/>
        <v>1.95</v>
      </c>
    </row>
    <row r="6304" spans="1:4" x14ac:dyDescent="0.25">
      <c r="A6304" s="15">
        <f>Sheet2!A6304</f>
        <v>0</v>
      </c>
      <c r="B6304" s="8">
        <v>0</v>
      </c>
      <c r="C6304" s="9">
        <v>3</v>
      </c>
      <c r="D6304" s="13">
        <f t="shared" si="98"/>
        <v>3</v>
      </c>
    </row>
    <row r="6305" spans="1:4" x14ac:dyDescent="0.25">
      <c r="A6305" s="15">
        <f>Sheet2!A6305</f>
        <v>0</v>
      </c>
      <c r="B6305" s="8">
        <v>0</v>
      </c>
      <c r="C6305" s="9">
        <v>1.51</v>
      </c>
      <c r="D6305" s="13">
        <f t="shared" si="98"/>
        <v>1.51</v>
      </c>
    </row>
    <row r="6306" spans="1:4" x14ac:dyDescent="0.25">
      <c r="A6306" s="15">
        <f>Sheet2!A6306</f>
        <v>0</v>
      </c>
      <c r="B6306" s="8">
        <v>16.72</v>
      </c>
      <c r="C6306" s="9">
        <v>0</v>
      </c>
      <c r="D6306" s="13">
        <f t="shared" si="98"/>
        <v>16.72</v>
      </c>
    </row>
    <row r="6307" spans="1:4" x14ac:dyDescent="0.25">
      <c r="A6307" s="15">
        <f>Sheet2!A6307</f>
        <v>0</v>
      </c>
      <c r="B6307" s="8">
        <v>0</v>
      </c>
      <c r="C6307" s="9">
        <v>2.04</v>
      </c>
      <c r="D6307" s="13">
        <f t="shared" si="98"/>
        <v>2.04</v>
      </c>
    </row>
    <row r="6308" spans="1:4" x14ac:dyDescent="0.25">
      <c r="A6308" s="15">
        <f>Sheet2!A6308</f>
        <v>0</v>
      </c>
      <c r="B6308" s="8">
        <v>0</v>
      </c>
      <c r="C6308" s="9">
        <v>3.16</v>
      </c>
      <c r="D6308" s="13">
        <f t="shared" si="98"/>
        <v>3.16</v>
      </c>
    </row>
    <row r="6309" spans="1:4" x14ac:dyDescent="0.25">
      <c r="A6309" s="15">
        <f>Sheet2!A6309</f>
        <v>0</v>
      </c>
      <c r="B6309" s="8">
        <v>0</v>
      </c>
      <c r="C6309" s="9">
        <v>1</v>
      </c>
      <c r="D6309" s="13">
        <f t="shared" si="98"/>
        <v>1</v>
      </c>
    </row>
    <row r="6310" spans="1:4" x14ac:dyDescent="0.25">
      <c r="A6310" s="15">
        <f>Sheet2!A6310</f>
        <v>0</v>
      </c>
      <c r="B6310" s="8">
        <v>14.05</v>
      </c>
      <c r="C6310" s="9">
        <v>0</v>
      </c>
      <c r="D6310" s="13">
        <f t="shared" si="98"/>
        <v>14.05</v>
      </c>
    </row>
    <row r="6311" spans="1:4" x14ac:dyDescent="0.25">
      <c r="A6311" s="15">
        <f>Sheet2!A6311</f>
        <v>0</v>
      </c>
      <c r="B6311" s="8">
        <v>0</v>
      </c>
      <c r="C6311" s="9">
        <v>1.36</v>
      </c>
      <c r="D6311" s="13">
        <f t="shared" si="98"/>
        <v>1.36</v>
      </c>
    </row>
    <row r="6312" spans="1:4" x14ac:dyDescent="0.25">
      <c r="A6312" s="15">
        <f>Sheet2!A6312</f>
        <v>0</v>
      </c>
      <c r="B6312" s="8">
        <v>0</v>
      </c>
      <c r="C6312" s="9">
        <v>2.95</v>
      </c>
      <c r="D6312" s="13">
        <f t="shared" si="98"/>
        <v>2.95</v>
      </c>
    </row>
    <row r="6313" spans="1:4" x14ac:dyDescent="0.25">
      <c r="A6313" s="15">
        <f>Sheet2!A6313</f>
        <v>0</v>
      </c>
      <c r="B6313" s="8">
        <v>0</v>
      </c>
      <c r="C6313" s="9">
        <v>0.73</v>
      </c>
      <c r="D6313" s="13">
        <f t="shared" si="98"/>
        <v>0.73</v>
      </c>
    </row>
    <row r="6314" spans="1:4" x14ac:dyDescent="0.25">
      <c r="A6314" s="15">
        <f>Sheet2!A6314</f>
        <v>0</v>
      </c>
      <c r="B6314" s="8">
        <v>12.34</v>
      </c>
      <c r="C6314" s="9">
        <v>0</v>
      </c>
      <c r="D6314" s="13">
        <f t="shared" si="98"/>
        <v>12.34</v>
      </c>
    </row>
    <row r="6315" spans="1:4" x14ac:dyDescent="0.25">
      <c r="A6315" s="15">
        <f>Sheet2!A6315</f>
        <v>0</v>
      </c>
      <c r="B6315" s="8">
        <v>9.5399999999999991</v>
      </c>
      <c r="C6315" s="9">
        <v>0</v>
      </c>
      <c r="D6315" s="13">
        <f t="shared" si="98"/>
        <v>9.5399999999999991</v>
      </c>
    </row>
    <row r="6316" spans="1:4" x14ac:dyDescent="0.25">
      <c r="A6316" s="15">
        <f>Sheet2!A6316</f>
        <v>0</v>
      </c>
      <c r="B6316" s="8">
        <v>9.16</v>
      </c>
      <c r="C6316" s="9">
        <v>0</v>
      </c>
      <c r="D6316" s="13">
        <f t="shared" si="98"/>
        <v>9.16</v>
      </c>
    </row>
    <row r="6317" spans="1:4" x14ac:dyDescent="0.25">
      <c r="A6317" s="15">
        <f>Sheet2!A6317</f>
        <v>0</v>
      </c>
      <c r="B6317" s="8">
        <v>0</v>
      </c>
      <c r="C6317" s="9">
        <v>0.69</v>
      </c>
      <c r="D6317" s="13">
        <f t="shared" si="98"/>
        <v>0.69</v>
      </c>
    </row>
    <row r="6318" spans="1:4" x14ac:dyDescent="0.25">
      <c r="A6318" s="15">
        <f>Sheet2!A6318</f>
        <v>0</v>
      </c>
      <c r="B6318" s="8">
        <v>0</v>
      </c>
      <c r="C6318" s="9">
        <v>3.15</v>
      </c>
      <c r="D6318" s="13">
        <f t="shared" si="98"/>
        <v>3.15</v>
      </c>
    </row>
    <row r="6319" spans="1:4" x14ac:dyDescent="0.25">
      <c r="A6319" s="15">
        <f>Sheet2!A6319</f>
        <v>0</v>
      </c>
      <c r="B6319" s="8">
        <v>0</v>
      </c>
      <c r="C6319" s="9">
        <v>3.23</v>
      </c>
      <c r="D6319" s="13">
        <f t="shared" si="98"/>
        <v>3.23</v>
      </c>
    </row>
    <row r="6320" spans="1:4" x14ac:dyDescent="0.25">
      <c r="A6320" s="15">
        <f>Sheet2!A6320</f>
        <v>0</v>
      </c>
      <c r="B6320" s="8">
        <v>0</v>
      </c>
      <c r="C6320" s="9">
        <v>3.39</v>
      </c>
      <c r="D6320" s="13">
        <f t="shared" si="98"/>
        <v>3.39</v>
      </c>
    </row>
    <row r="6321" spans="1:4" x14ac:dyDescent="0.25">
      <c r="A6321" s="15">
        <f>Sheet2!A6321</f>
        <v>0</v>
      </c>
      <c r="B6321" s="8">
        <v>0</v>
      </c>
      <c r="C6321" s="9">
        <v>3.75</v>
      </c>
      <c r="D6321" s="13">
        <f t="shared" si="98"/>
        <v>3.75</v>
      </c>
    </row>
    <row r="6322" spans="1:4" x14ac:dyDescent="0.25">
      <c r="A6322" s="15">
        <f>Sheet2!A6322</f>
        <v>0</v>
      </c>
      <c r="B6322" s="8">
        <v>0</v>
      </c>
      <c r="C6322" s="9">
        <v>2.7</v>
      </c>
      <c r="D6322" s="13">
        <f t="shared" si="98"/>
        <v>2.7</v>
      </c>
    </row>
    <row r="6323" spans="1:4" x14ac:dyDescent="0.25">
      <c r="A6323" s="15">
        <f>Sheet2!A6323</f>
        <v>0</v>
      </c>
      <c r="B6323" s="8">
        <v>0</v>
      </c>
      <c r="C6323" s="9">
        <v>1.56</v>
      </c>
      <c r="D6323" s="13">
        <f t="shared" si="98"/>
        <v>1.56</v>
      </c>
    </row>
    <row r="6324" spans="1:4" x14ac:dyDescent="0.25">
      <c r="A6324" s="15">
        <f>Sheet2!A6324</f>
        <v>0</v>
      </c>
      <c r="B6324" s="8">
        <v>11.6</v>
      </c>
      <c r="C6324" s="9">
        <v>0</v>
      </c>
      <c r="D6324" s="13">
        <f t="shared" si="98"/>
        <v>11.6</v>
      </c>
    </row>
    <row r="6325" spans="1:4" x14ac:dyDescent="0.25">
      <c r="A6325" s="15">
        <f>Sheet2!A6325</f>
        <v>0</v>
      </c>
      <c r="B6325" s="8">
        <v>11.34</v>
      </c>
      <c r="C6325" s="9">
        <v>0</v>
      </c>
      <c r="D6325" s="13">
        <f t="shared" si="98"/>
        <v>11.34</v>
      </c>
    </row>
    <row r="6326" spans="1:4" x14ac:dyDescent="0.25">
      <c r="A6326" s="15">
        <f>Sheet2!A6326</f>
        <v>0</v>
      </c>
      <c r="B6326" s="8">
        <v>11.64</v>
      </c>
      <c r="C6326" s="9">
        <v>0</v>
      </c>
      <c r="D6326" s="13">
        <f t="shared" si="98"/>
        <v>11.64</v>
      </c>
    </row>
    <row r="6327" spans="1:4" x14ac:dyDescent="0.25">
      <c r="A6327" s="15">
        <f>Sheet2!A6327</f>
        <v>0</v>
      </c>
      <c r="B6327" s="8">
        <v>0</v>
      </c>
      <c r="C6327" s="9">
        <v>1.96</v>
      </c>
      <c r="D6327" s="13">
        <f t="shared" si="98"/>
        <v>1.96</v>
      </c>
    </row>
    <row r="6328" spans="1:4" x14ac:dyDescent="0.25">
      <c r="A6328" s="15">
        <f>Sheet2!A6328</f>
        <v>0</v>
      </c>
      <c r="B6328" s="8">
        <v>0</v>
      </c>
      <c r="C6328" s="9">
        <v>3.49</v>
      </c>
      <c r="D6328" s="13">
        <f t="shared" si="98"/>
        <v>3.49</v>
      </c>
    </row>
    <row r="6329" spans="1:4" x14ac:dyDescent="0.25">
      <c r="A6329" s="15">
        <f>Sheet2!A6329</f>
        <v>0</v>
      </c>
      <c r="B6329" s="8">
        <v>0</v>
      </c>
      <c r="C6329" s="9">
        <v>1.1399999999999999</v>
      </c>
      <c r="D6329" s="13">
        <f t="shared" si="98"/>
        <v>1.1399999999999999</v>
      </c>
    </row>
    <row r="6330" spans="1:4" x14ac:dyDescent="0.25">
      <c r="A6330" s="15">
        <f>Sheet2!A6330</f>
        <v>0</v>
      </c>
      <c r="B6330" s="8">
        <v>0</v>
      </c>
      <c r="C6330" s="9">
        <v>2.44</v>
      </c>
      <c r="D6330" s="13">
        <f t="shared" si="98"/>
        <v>2.44</v>
      </c>
    </row>
    <row r="6331" spans="1:4" x14ac:dyDescent="0.25">
      <c r="A6331" s="15">
        <f>Sheet2!A6331</f>
        <v>0</v>
      </c>
      <c r="B6331" s="8">
        <v>0</v>
      </c>
      <c r="C6331" s="9">
        <v>1.58</v>
      </c>
      <c r="D6331" s="13">
        <f t="shared" si="98"/>
        <v>1.58</v>
      </c>
    </row>
    <row r="6332" spans="1:4" x14ac:dyDescent="0.25">
      <c r="A6332" s="15">
        <f>Sheet2!A6332</f>
        <v>0</v>
      </c>
      <c r="B6332" s="8">
        <v>0</v>
      </c>
      <c r="C6332" s="9">
        <v>3.41</v>
      </c>
      <c r="D6332" s="13">
        <f t="shared" si="98"/>
        <v>3.41</v>
      </c>
    </row>
    <row r="6333" spans="1:4" x14ac:dyDescent="0.25">
      <c r="A6333" s="15">
        <f>Sheet2!A6333</f>
        <v>0</v>
      </c>
      <c r="B6333" s="8">
        <v>0</v>
      </c>
      <c r="C6333" s="9">
        <v>1.47</v>
      </c>
      <c r="D6333" s="13">
        <f t="shared" si="98"/>
        <v>1.47</v>
      </c>
    </row>
    <row r="6334" spans="1:4" x14ac:dyDescent="0.25">
      <c r="A6334" s="15">
        <f>Sheet2!A6334</f>
        <v>0</v>
      </c>
      <c r="B6334" s="8">
        <v>13.04</v>
      </c>
      <c r="C6334" s="9">
        <v>0</v>
      </c>
      <c r="D6334" s="13">
        <f t="shared" si="98"/>
        <v>13.04</v>
      </c>
    </row>
    <row r="6335" spans="1:4" x14ac:dyDescent="0.25">
      <c r="A6335" s="15">
        <f>Sheet2!A6335</f>
        <v>0</v>
      </c>
      <c r="B6335" s="8">
        <v>0</v>
      </c>
      <c r="C6335" s="9">
        <v>0.96</v>
      </c>
      <c r="D6335" s="13">
        <f t="shared" si="98"/>
        <v>0.96</v>
      </c>
    </row>
    <row r="6336" spans="1:4" x14ac:dyDescent="0.25">
      <c r="A6336" s="15">
        <f>Sheet2!A6336</f>
        <v>0</v>
      </c>
      <c r="B6336" s="8">
        <v>0</v>
      </c>
      <c r="C6336" s="9">
        <v>3.04</v>
      </c>
      <c r="D6336" s="13">
        <f t="shared" si="98"/>
        <v>3.04</v>
      </c>
    </row>
    <row r="6337" spans="1:4" x14ac:dyDescent="0.25">
      <c r="A6337" s="15">
        <f>Sheet2!A6337</f>
        <v>0</v>
      </c>
      <c r="B6337" s="8">
        <v>0</v>
      </c>
      <c r="C6337" s="9">
        <v>1.04</v>
      </c>
      <c r="D6337" s="13">
        <f t="shared" si="98"/>
        <v>1.04</v>
      </c>
    </row>
    <row r="6338" spans="1:4" x14ac:dyDescent="0.25">
      <c r="A6338" s="15">
        <f>Sheet2!A6338</f>
        <v>0</v>
      </c>
      <c r="B6338" s="8">
        <v>8.9600000000000009</v>
      </c>
      <c r="C6338" s="9">
        <v>0</v>
      </c>
      <c r="D6338" s="13">
        <f t="shared" si="98"/>
        <v>8.9600000000000009</v>
      </c>
    </row>
    <row r="6339" spans="1:4" x14ac:dyDescent="0.25">
      <c r="A6339" s="15">
        <f>Sheet2!A6339</f>
        <v>0</v>
      </c>
      <c r="B6339" s="8">
        <v>8.99</v>
      </c>
      <c r="C6339" s="9">
        <v>0</v>
      </c>
      <c r="D6339" s="13">
        <f t="shared" ref="D6339:D6402" si="99">B6339+C6339</f>
        <v>8.99</v>
      </c>
    </row>
    <row r="6340" spans="1:4" x14ac:dyDescent="0.25">
      <c r="A6340" s="15">
        <f>Sheet2!A6340</f>
        <v>0</v>
      </c>
      <c r="B6340" s="8">
        <v>9.3000000000000007</v>
      </c>
      <c r="C6340" s="9">
        <v>0</v>
      </c>
      <c r="D6340" s="13">
        <f t="shared" si="99"/>
        <v>9.3000000000000007</v>
      </c>
    </row>
    <row r="6341" spans="1:4" x14ac:dyDescent="0.25">
      <c r="A6341" s="15">
        <f>Sheet2!A6341</f>
        <v>0</v>
      </c>
      <c r="B6341" s="8">
        <v>0</v>
      </c>
      <c r="C6341" s="9">
        <v>1.81</v>
      </c>
      <c r="D6341" s="13">
        <f t="shared" si="99"/>
        <v>1.81</v>
      </c>
    </row>
    <row r="6342" spans="1:4" x14ac:dyDescent="0.25">
      <c r="A6342" s="15">
        <f>Sheet2!A6342</f>
        <v>0</v>
      </c>
      <c r="B6342" s="8">
        <v>0</v>
      </c>
      <c r="C6342" s="9">
        <v>3.19</v>
      </c>
      <c r="D6342" s="13">
        <f t="shared" si="99"/>
        <v>3.19</v>
      </c>
    </row>
    <row r="6343" spans="1:4" x14ac:dyDescent="0.25">
      <c r="A6343" s="15">
        <f>Sheet2!A6343</f>
        <v>0</v>
      </c>
      <c r="B6343" s="8">
        <v>0</v>
      </c>
      <c r="C6343" s="9">
        <v>0.74</v>
      </c>
      <c r="D6343" s="13">
        <f t="shared" si="99"/>
        <v>0.74</v>
      </c>
    </row>
    <row r="6344" spans="1:4" x14ac:dyDescent="0.25">
      <c r="A6344" s="15">
        <f>Sheet2!A6344</f>
        <v>0</v>
      </c>
      <c r="B6344" s="8">
        <v>10.75</v>
      </c>
      <c r="C6344" s="9">
        <v>0</v>
      </c>
      <c r="D6344" s="13">
        <f t="shared" si="99"/>
        <v>10.75</v>
      </c>
    </row>
    <row r="6345" spans="1:4" x14ac:dyDescent="0.25">
      <c r="A6345" s="15">
        <f>Sheet2!A6345</f>
        <v>0</v>
      </c>
      <c r="B6345" s="8">
        <v>10.92</v>
      </c>
      <c r="C6345" s="9">
        <v>0</v>
      </c>
      <c r="D6345" s="13">
        <f t="shared" si="99"/>
        <v>10.92</v>
      </c>
    </row>
    <row r="6346" spans="1:4" x14ac:dyDescent="0.25">
      <c r="A6346" s="15">
        <f>Sheet2!A6346</f>
        <v>0</v>
      </c>
      <c r="B6346" s="8">
        <v>11.28</v>
      </c>
      <c r="C6346" s="9">
        <v>0</v>
      </c>
      <c r="D6346" s="13">
        <f t="shared" si="99"/>
        <v>11.28</v>
      </c>
    </row>
    <row r="6347" spans="1:4" x14ac:dyDescent="0.25">
      <c r="A6347" s="15">
        <f>Sheet2!A6347</f>
        <v>0</v>
      </c>
      <c r="B6347" s="8">
        <v>0</v>
      </c>
      <c r="C6347" s="9">
        <v>2.56</v>
      </c>
      <c r="D6347" s="13">
        <f t="shared" si="99"/>
        <v>2.56</v>
      </c>
    </row>
    <row r="6348" spans="1:4" x14ac:dyDescent="0.25">
      <c r="A6348" s="15">
        <f>Sheet2!A6348</f>
        <v>0</v>
      </c>
      <c r="B6348" s="8">
        <v>0</v>
      </c>
      <c r="C6348" s="9">
        <v>3.83</v>
      </c>
      <c r="D6348" s="13">
        <f t="shared" si="99"/>
        <v>3.83</v>
      </c>
    </row>
    <row r="6349" spans="1:4" x14ac:dyDescent="0.25">
      <c r="A6349" s="15">
        <f>Sheet2!A6349</f>
        <v>0</v>
      </c>
      <c r="B6349" s="8">
        <v>0</v>
      </c>
      <c r="C6349" s="9">
        <v>0.96</v>
      </c>
      <c r="D6349" s="13">
        <f t="shared" si="99"/>
        <v>0.96</v>
      </c>
    </row>
    <row r="6350" spans="1:4" x14ac:dyDescent="0.25">
      <c r="A6350" s="15">
        <f>Sheet2!A6350</f>
        <v>0</v>
      </c>
      <c r="B6350" s="8">
        <v>12.3</v>
      </c>
      <c r="C6350" s="9">
        <v>0</v>
      </c>
      <c r="D6350" s="13">
        <f t="shared" si="99"/>
        <v>12.3</v>
      </c>
    </row>
    <row r="6351" spans="1:4" x14ac:dyDescent="0.25">
      <c r="A6351" s="15">
        <f>Sheet2!A6351</f>
        <v>0</v>
      </c>
      <c r="B6351" s="8">
        <v>0</v>
      </c>
      <c r="C6351" s="9">
        <v>0.9</v>
      </c>
      <c r="D6351" s="13">
        <f t="shared" si="99"/>
        <v>0.9</v>
      </c>
    </row>
    <row r="6352" spans="1:4" x14ac:dyDescent="0.25">
      <c r="A6352" s="15">
        <f>Sheet2!A6352</f>
        <v>0</v>
      </c>
      <c r="B6352" s="8">
        <v>0</v>
      </c>
      <c r="C6352" s="9">
        <v>2.66</v>
      </c>
      <c r="D6352" s="13">
        <f t="shared" si="99"/>
        <v>2.66</v>
      </c>
    </row>
    <row r="6353" spans="1:4" x14ac:dyDescent="0.25">
      <c r="A6353" s="15">
        <f>Sheet2!A6353</f>
        <v>0</v>
      </c>
      <c r="B6353" s="8">
        <v>0</v>
      </c>
      <c r="C6353" s="9">
        <v>1.68</v>
      </c>
      <c r="D6353" s="13">
        <f t="shared" si="99"/>
        <v>1.68</v>
      </c>
    </row>
    <row r="6354" spans="1:4" x14ac:dyDescent="0.25">
      <c r="A6354" s="15">
        <f>Sheet2!A6354</f>
        <v>0</v>
      </c>
      <c r="B6354" s="8">
        <v>11.79</v>
      </c>
      <c r="C6354" s="9">
        <v>0</v>
      </c>
      <c r="D6354" s="13">
        <f t="shared" si="99"/>
        <v>11.79</v>
      </c>
    </row>
    <row r="6355" spans="1:4" x14ac:dyDescent="0.25">
      <c r="A6355" s="15">
        <f>Sheet2!A6355</f>
        <v>0</v>
      </c>
      <c r="B6355" s="8">
        <v>0</v>
      </c>
      <c r="C6355" s="9">
        <v>1.83</v>
      </c>
      <c r="D6355" s="13">
        <f t="shared" si="99"/>
        <v>1.83</v>
      </c>
    </row>
    <row r="6356" spans="1:4" x14ac:dyDescent="0.25">
      <c r="A6356" s="15">
        <f>Sheet2!A6356</f>
        <v>0</v>
      </c>
      <c r="B6356" s="8">
        <v>0</v>
      </c>
      <c r="C6356" s="9">
        <v>2.94</v>
      </c>
      <c r="D6356" s="13">
        <f t="shared" si="99"/>
        <v>2.94</v>
      </c>
    </row>
    <row r="6357" spans="1:4" x14ac:dyDescent="0.25">
      <c r="A6357" s="15">
        <f>Sheet2!A6357</f>
        <v>0</v>
      </c>
      <c r="B6357" s="8">
        <v>0</v>
      </c>
      <c r="C6357" s="9">
        <v>1.43</v>
      </c>
      <c r="D6357" s="13">
        <f t="shared" si="99"/>
        <v>1.43</v>
      </c>
    </row>
    <row r="6358" spans="1:4" x14ac:dyDescent="0.25">
      <c r="A6358" s="15">
        <f>Sheet2!A6358</f>
        <v>0</v>
      </c>
      <c r="B6358" s="8">
        <v>11.17</v>
      </c>
      <c r="C6358" s="9">
        <v>0</v>
      </c>
      <c r="D6358" s="13">
        <f t="shared" si="99"/>
        <v>11.17</v>
      </c>
    </row>
    <row r="6359" spans="1:4" x14ac:dyDescent="0.25">
      <c r="A6359" s="15">
        <f>Sheet2!A6359</f>
        <v>0</v>
      </c>
      <c r="B6359" s="8">
        <v>0</v>
      </c>
      <c r="C6359" s="9">
        <v>1.52</v>
      </c>
      <c r="D6359" s="13">
        <f t="shared" si="99"/>
        <v>1.52</v>
      </c>
    </row>
    <row r="6360" spans="1:4" x14ac:dyDescent="0.25">
      <c r="A6360" s="15">
        <f>Sheet2!A6360</f>
        <v>0</v>
      </c>
      <c r="B6360" s="8">
        <v>0</v>
      </c>
      <c r="C6360" s="9">
        <v>2.64</v>
      </c>
      <c r="D6360" s="13">
        <f t="shared" si="99"/>
        <v>2.64</v>
      </c>
    </row>
    <row r="6361" spans="1:4" x14ac:dyDescent="0.25">
      <c r="A6361" s="15">
        <f>Sheet2!A6361</f>
        <v>0</v>
      </c>
      <c r="B6361" s="8">
        <v>0</v>
      </c>
      <c r="C6361" s="9">
        <v>1.05</v>
      </c>
      <c r="D6361" s="13">
        <f t="shared" si="99"/>
        <v>1.05</v>
      </c>
    </row>
    <row r="6362" spans="1:4" x14ac:dyDescent="0.25">
      <c r="A6362" s="15">
        <f>Sheet2!A6362</f>
        <v>0</v>
      </c>
      <c r="B6362" s="8">
        <v>0</v>
      </c>
      <c r="C6362" s="9">
        <v>1.75</v>
      </c>
      <c r="D6362" s="13">
        <f t="shared" si="99"/>
        <v>1.75</v>
      </c>
    </row>
    <row r="6363" spans="1:4" x14ac:dyDescent="0.25">
      <c r="A6363" s="15">
        <f>Sheet2!A6363</f>
        <v>0</v>
      </c>
      <c r="B6363" s="8">
        <v>0</v>
      </c>
      <c r="C6363" s="9">
        <v>0.72</v>
      </c>
      <c r="D6363" s="13">
        <f t="shared" si="99"/>
        <v>0.72</v>
      </c>
    </row>
    <row r="6364" spans="1:4" x14ac:dyDescent="0.25">
      <c r="A6364" s="15">
        <f>Sheet2!A6364</f>
        <v>0</v>
      </c>
      <c r="B6364" s="8">
        <v>8.9499999999999993</v>
      </c>
      <c r="C6364" s="9">
        <v>0</v>
      </c>
      <c r="D6364" s="13">
        <f t="shared" si="99"/>
        <v>8.9499999999999993</v>
      </c>
    </row>
    <row r="6365" spans="1:4" x14ac:dyDescent="0.25">
      <c r="A6365" s="15">
        <f>Sheet2!A6365</f>
        <v>0</v>
      </c>
      <c r="B6365" s="8">
        <v>0</v>
      </c>
      <c r="C6365" s="9">
        <v>1.4</v>
      </c>
      <c r="D6365" s="13">
        <f t="shared" si="99"/>
        <v>1.4</v>
      </c>
    </row>
    <row r="6366" spans="1:4" x14ac:dyDescent="0.25">
      <c r="A6366" s="15">
        <f>Sheet2!A6366</f>
        <v>0</v>
      </c>
      <c r="B6366" s="8">
        <v>0</v>
      </c>
      <c r="C6366" s="9">
        <v>3.19</v>
      </c>
      <c r="D6366" s="13">
        <f t="shared" si="99"/>
        <v>3.19</v>
      </c>
    </row>
    <row r="6367" spans="1:4" x14ac:dyDescent="0.25">
      <c r="A6367" s="15">
        <f>Sheet2!A6367</f>
        <v>0</v>
      </c>
      <c r="B6367" s="8">
        <v>0</v>
      </c>
      <c r="C6367" s="9">
        <v>1.04</v>
      </c>
      <c r="D6367" s="13">
        <f t="shared" si="99"/>
        <v>1.04</v>
      </c>
    </row>
    <row r="6368" spans="1:4" x14ac:dyDescent="0.25">
      <c r="A6368" s="15">
        <f>Sheet2!A6368</f>
        <v>0</v>
      </c>
      <c r="B6368" s="8">
        <v>9.91</v>
      </c>
      <c r="C6368" s="9">
        <v>0</v>
      </c>
      <c r="D6368" s="13">
        <f t="shared" si="99"/>
        <v>9.91</v>
      </c>
    </row>
    <row r="6369" spans="1:4" x14ac:dyDescent="0.25">
      <c r="A6369" s="15">
        <f>Sheet2!A6369</f>
        <v>0</v>
      </c>
      <c r="B6369" s="8">
        <v>10.51</v>
      </c>
      <c r="C6369" s="9">
        <v>0</v>
      </c>
      <c r="D6369" s="13">
        <f t="shared" si="99"/>
        <v>10.51</v>
      </c>
    </row>
    <row r="6370" spans="1:4" x14ac:dyDescent="0.25">
      <c r="A6370" s="15">
        <f>Sheet2!A6370</f>
        <v>0</v>
      </c>
      <c r="B6370" s="8">
        <v>10.61</v>
      </c>
      <c r="C6370" s="9">
        <v>0</v>
      </c>
      <c r="D6370" s="13">
        <f t="shared" si="99"/>
        <v>10.61</v>
      </c>
    </row>
    <row r="6371" spans="1:4" x14ac:dyDescent="0.25">
      <c r="A6371" s="15">
        <f>Sheet2!A6371</f>
        <v>0</v>
      </c>
      <c r="B6371" s="8">
        <v>0</v>
      </c>
      <c r="C6371" s="9">
        <v>2.33</v>
      </c>
      <c r="D6371" s="13">
        <f t="shared" si="99"/>
        <v>2.33</v>
      </c>
    </row>
    <row r="6372" spans="1:4" x14ac:dyDescent="0.25">
      <c r="A6372" s="15">
        <f>Sheet2!A6372</f>
        <v>0</v>
      </c>
      <c r="B6372" s="8">
        <v>0</v>
      </c>
      <c r="C6372" s="9">
        <v>3.73</v>
      </c>
      <c r="D6372" s="13">
        <f t="shared" si="99"/>
        <v>3.73</v>
      </c>
    </row>
    <row r="6373" spans="1:4" x14ac:dyDescent="0.25">
      <c r="A6373" s="15">
        <f>Sheet2!A6373</f>
        <v>0</v>
      </c>
      <c r="B6373" s="8">
        <v>0</v>
      </c>
      <c r="C6373" s="9">
        <v>1.59</v>
      </c>
      <c r="D6373" s="13">
        <f t="shared" si="99"/>
        <v>1.59</v>
      </c>
    </row>
    <row r="6374" spans="1:4" x14ac:dyDescent="0.25">
      <c r="A6374" s="15">
        <f>Sheet2!A6374</f>
        <v>0</v>
      </c>
      <c r="B6374" s="8">
        <v>11.62</v>
      </c>
      <c r="C6374" s="9">
        <v>0</v>
      </c>
      <c r="D6374" s="13">
        <f t="shared" si="99"/>
        <v>11.62</v>
      </c>
    </row>
    <row r="6375" spans="1:4" x14ac:dyDescent="0.25">
      <c r="A6375" s="15">
        <f>Sheet2!A6375</f>
        <v>0</v>
      </c>
      <c r="B6375" s="8">
        <v>0</v>
      </c>
      <c r="C6375" s="9">
        <v>2.16</v>
      </c>
      <c r="D6375" s="13">
        <f t="shared" si="99"/>
        <v>2.16</v>
      </c>
    </row>
    <row r="6376" spans="1:4" x14ac:dyDescent="0.25">
      <c r="A6376" s="15">
        <f>Sheet2!A6376</f>
        <v>0</v>
      </c>
      <c r="B6376" s="8">
        <v>0</v>
      </c>
      <c r="C6376" s="9">
        <v>3.35</v>
      </c>
      <c r="D6376" s="13">
        <f t="shared" si="99"/>
        <v>3.35</v>
      </c>
    </row>
    <row r="6377" spans="1:4" x14ac:dyDescent="0.25">
      <c r="A6377" s="15">
        <f>Sheet2!A6377</f>
        <v>0</v>
      </c>
      <c r="B6377" s="8">
        <v>0</v>
      </c>
      <c r="C6377" s="9">
        <v>1.24</v>
      </c>
      <c r="D6377" s="13">
        <f t="shared" si="99"/>
        <v>1.24</v>
      </c>
    </row>
    <row r="6378" spans="1:4" x14ac:dyDescent="0.25">
      <c r="A6378" s="15">
        <f>Sheet2!A6378</f>
        <v>0</v>
      </c>
      <c r="B6378" s="8">
        <v>9.75</v>
      </c>
      <c r="C6378" s="9">
        <v>0</v>
      </c>
      <c r="D6378" s="13">
        <f t="shared" si="99"/>
        <v>9.75</v>
      </c>
    </row>
    <row r="6379" spans="1:4" x14ac:dyDescent="0.25">
      <c r="A6379" s="15">
        <f>Sheet2!A6379</f>
        <v>0</v>
      </c>
      <c r="B6379" s="8">
        <v>0</v>
      </c>
      <c r="C6379" s="9">
        <v>1.65</v>
      </c>
      <c r="D6379" s="13">
        <f t="shared" si="99"/>
        <v>1.65</v>
      </c>
    </row>
    <row r="6380" spans="1:4" x14ac:dyDescent="0.25">
      <c r="A6380" s="15">
        <f>Sheet2!A6380</f>
        <v>0</v>
      </c>
      <c r="B6380" s="8">
        <v>0</v>
      </c>
      <c r="C6380" s="9">
        <v>2.88</v>
      </c>
      <c r="D6380" s="13">
        <f t="shared" si="99"/>
        <v>2.88</v>
      </c>
    </row>
    <row r="6381" spans="1:4" x14ac:dyDescent="0.25">
      <c r="A6381" s="15">
        <f>Sheet2!A6381</f>
        <v>0</v>
      </c>
      <c r="B6381" s="8">
        <v>0</v>
      </c>
      <c r="C6381" s="9">
        <v>1.19</v>
      </c>
      <c r="D6381" s="13">
        <f t="shared" si="99"/>
        <v>1.19</v>
      </c>
    </row>
    <row r="6382" spans="1:4" x14ac:dyDescent="0.25">
      <c r="A6382" s="15">
        <f>Sheet2!A6382</f>
        <v>0</v>
      </c>
      <c r="B6382" s="8">
        <v>10.24</v>
      </c>
      <c r="C6382" s="9">
        <v>0</v>
      </c>
      <c r="D6382" s="13">
        <f t="shared" si="99"/>
        <v>10.24</v>
      </c>
    </row>
    <row r="6383" spans="1:4" x14ac:dyDescent="0.25">
      <c r="A6383" s="15">
        <f>Sheet2!A6383</f>
        <v>0</v>
      </c>
      <c r="B6383" s="8">
        <v>0</v>
      </c>
      <c r="C6383" s="9">
        <v>0.65</v>
      </c>
      <c r="D6383" s="13">
        <f t="shared" si="99"/>
        <v>0.65</v>
      </c>
    </row>
    <row r="6384" spans="1:4" x14ac:dyDescent="0.25">
      <c r="A6384" s="15">
        <f>Sheet2!A6384</f>
        <v>0</v>
      </c>
      <c r="B6384" s="8">
        <v>9.73</v>
      </c>
      <c r="C6384" s="9">
        <v>0</v>
      </c>
      <c r="D6384" s="13">
        <f t="shared" si="99"/>
        <v>9.73</v>
      </c>
    </row>
    <row r="6385" spans="1:4" x14ac:dyDescent="0.25">
      <c r="A6385" s="15">
        <f>Sheet2!A6385</f>
        <v>0</v>
      </c>
      <c r="B6385" s="8">
        <v>6.54</v>
      </c>
      <c r="C6385" s="9">
        <v>0</v>
      </c>
      <c r="D6385" s="13">
        <f t="shared" si="99"/>
        <v>6.54</v>
      </c>
    </row>
    <row r="6386" spans="1:4" x14ac:dyDescent="0.25">
      <c r="A6386" s="15">
        <f>Sheet2!A6386</f>
        <v>0</v>
      </c>
      <c r="B6386" s="8">
        <v>7.55</v>
      </c>
      <c r="C6386" s="9">
        <v>0</v>
      </c>
      <c r="D6386" s="13">
        <f t="shared" si="99"/>
        <v>7.55</v>
      </c>
    </row>
    <row r="6387" spans="1:4" x14ac:dyDescent="0.25">
      <c r="A6387" s="15">
        <f>Sheet2!A6387</f>
        <v>0</v>
      </c>
      <c r="B6387" s="8">
        <v>0</v>
      </c>
      <c r="C6387" s="9">
        <v>0.75</v>
      </c>
      <c r="D6387" s="13">
        <f t="shared" si="99"/>
        <v>0.75</v>
      </c>
    </row>
    <row r="6388" spans="1:4" x14ac:dyDescent="0.25">
      <c r="A6388" s="15">
        <f>Sheet2!A6388</f>
        <v>0</v>
      </c>
      <c r="B6388" s="8">
        <v>0</v>
      </c>
      <c r="C6388" s="9">
        <v>3.11</v>
      </c>
      <c r="D6388" s="13">
        <f t="shared" si="99"/>
        <v>3.11</v>
      </c>
    </row>
    <row r="6389" spans="1:4" x14ac:dyDescent="0.25">
      <c r="A6389" s="15">
        <f>Sheet2!A6389</f>
        <v>0</v>
      </c>
      <c r="B6389" s="8">
        <v>0</v>
      </c>
      <c r="C6389" s="9">
        <v>0.98</v>
      </c>
      <c r="D6389" s="13">
        <f t="shared" si="99"/>
        <v>0.98</v>
      </c>
    </row>
    <row r="6390" spans="1:4" x14ac:dyDescent="0.25">
      <c r="A6390" s="15">
        <f>Sheet2!A6390</f>
        <v>0</v>
      </c>
      <c r="B6390" s="8">
        <v>9.41</v>
      </c>
      <c r="C6390" s="9">
        <v>0</v>
      </c>
      <c r="D6390" s="13">
        <f t="shared" si="99"/>
        <v>9.41</v>
      </c>
    </row>
    <row r="6391" spans="1:4" x14ac:dyDescent="0.25">
      <c r="A6391" s="15">
        <f>Sheet2!A6391</f>
        <v>0</v>
      </c>
      <c r="B6391" s="8">
        <v>8.93</v>
      </c>
      <c r="C6391" s="9">
        <v>0</v>
      </c>
      <c r="D6391" s="13">
        <f t="shared" si="99"/>
        <v>8.93</v>
      </c>
    </row>
    <row r="6392" spans="1:4" x14ac:dyDescent="0.25">
      <c r="A6392" s="15">
        <f>Sheet2!A6392</f>
        <v>0</v>
      </c>
      <c r="B6392" s="8">
        <v>9.24</v>
      </c>
      <c r="C6392" s="9">
        <v>0</v>
      </c>
      <c r="D6392" s="13">
        <f t="shared" si="99"/>
        <v>9.24</v>
      </c>
    </row>
    <row r="6393" spans="1:4" x14ac:dyDescent="0.25">
      <c r="A6393" s="15">
        <f>Sheet2!A6393</f>
        <v>0</v>
      </c>
      <c r="B6393" s="8">
        <v>0</v>
      </c>
      <c r="C6393" s="9">
        <v>1.69</v>
      </c>
      <c r="D6393" s="13">
        <f t="shared" si="99"/>
        <v>1.69</v>
      </c>
    </row>
    <row r="6394" spans="1:4" x14ac:dyDescent="0.25">
      <c r="A6394" s="15">
        <f>Sheet2!A6394</f>
        <v>0</v>
      </c>
      <c r="B6394" s="8">
        <v>0</v>
      </c>
      <c r="C6394" s="9">
        <v>2.88</v>
      </c>
      <c r="D6394" s="13">
        <f t="shared" si="99"/>
        <v>2.88</v>
      </c>
    </row>
    <row r="6395" spans="1:4" x14ac:dyDescent="0.25">
      <c r="A6395" s="15">
        <f>Sheet2!A6395</f>
        <v>0</v>
      </c>
      <c r="B6395" s="8">
        <v>0</v>
      </c>
      <c r="C6395" s="9">
        <v>1.78</v>
      </c>
      <c r="D6395" s="13">
        <f t="shared" si="99"/>
        <v>1.78</v>
      </c>
    </row>
    <row r="6396" spans="1:4" x14ac:dyDescent="0.25">
      <c r="A6396" s="15">
        <f>Sheet2!A6396</f>
        <v>0</v>
      </c>
      <c r="B6396" s="8">
        <v>11.51</v>
      </c>
      <c r="C6396" s="9">
        <v>0</v>
      </c>
      <c r="D6396" s="13">
        <f t="shared" si="99"/>
        <v>11.51</v>
      </c>
    </row>
    <row r="6397" spans="1:4" x14ac:dyDescent="0.25">
      <c r="A6397" s="15">
        <f>Sheet2!A6397</f>
        <v>0</v>
      </c>
      <c r="B6397" s="8">
        <v>0</v>
      </c>
      <c r="C6397" s="9">
        <v>2.61</v>
      </c>
      <c r="D6397" s="13">
        <f t="shared" si="99"/>
        <v>2.61</v>
      </c>
    </row>
    <row r="6398" spans="1:4" x14ac:dyDescent="0.25">
      <c r="A6398" s="15">
        <f>Sheet2!A6398</f>
        <v>0</v>
      </c>
      <c r="B6398" s="8">
        <v>0</v>
      </c>
      <c r="C6398" s="9">
        <v>3.78</v>
      </c>
      <c r="D6398" s="13">
        <f t="shared" si="99"/>
        <v>3.78</v>
      </c>
    </row>
    <row r="6399" spans="1:4" x14ac:dyDescent="0.25">
      <c r="A6399" s="15">
        <f>Sheet2!A6399</f>
        <v>0</v>
      </c>
      <c r="B6399" s="8">
        <v>0</v>
      </c>
      <c r="C6399" s="9">
        <v>3.14</v>
      </c>
      <c r="D6399" s="13">
        <f t="shared" si="99"/>
        <v>3.14</v>
      </c>
    </row>
    <row r="6400" spans="1:4" x14ac:dyDescent="0.25">
      <c r="A6400" s="15">
        <f>Sheet2!A6400</f>
        <v>0</v>
      </c>
      <c r="B6400" s="8">
        <v>0</v>
      </c>
      <c r="C6400" s="9">
        <v>3.49</v>
      </c>
      <c r="D6400" s="13">
        <f t="shared" si="99"/>
        <v>3.49</v>
      </c>
    </row>
    <row r="6401" spans="1:4" x14ac:dyDescent="0.25">
      <c r="A6401" s="15">
        <f>Sheet2!A6401</f>
        <v>0</v>
      </c>
      <c r="B6401" s="8">
        <v>0</v>
      </c>
      <c r="C6401" s="9">
        <v>1.1499999999999999</v>
      </c>
      <c r="D6401" s="13">
        <f t="shared" si="99"/>
        <v>1.1499999999999999</v>
      </c>
    </row>
    <row r="6402" spans="1:4" x14ac:dyDescent="0.25">
      <c r="A6402" s="15">
        <f>Sheet2!A6402</f>
        <v>0</v>
      </c>
      <c r="B6402" s="8">
        <v>7.3</v>
      </c>
      <c r="C6402" s="9">
        <v>0</v>
      </c>
      <c r="D6402" s="13">
        <f t="shared" si="99"/>
        <v>7.3</v>
      </c>
    </row>
    <row r="6403" spans="1:4" x14ac:dyDescent="0.25">
      <c r="A6403" s="15">
        <f>Sheet2!A6403</f>
        <v>0</v>
      </c>
      <c r="B6403" s="8">
        <v>0</v>
      </c>
      <c r="C6403" s="9">
        <v>2.38</v>
      </c>
      <c r="D6403" s="13">
        <f t="shared" ref="D6403:D6466" si="100">B6403+C6403</f>
        <v>2.38</v>
      </c>
    </row>
    <row r="6404" spans="1:4" x14ac:dyDescent="0.25">
      <c r="A6404" s="15">
        <f>Sheet2!A6404</f>
        <v>0</v>
      </c>
      <c r="B6404" s="8">
        <v>0</v>
      </c>
      <c r="C6404" s="9">
        <v>1.38</v>
      </c>
      <c r="D6404" s="13">
        <f t="shared" si="100"/>
        <v>1.38</v>
      </c>
    </row>
    <row r="6405" spans="1:4" x14ac:dyDescent="0.25">
      <c r="A6405" s="15">
        <f>Sheet2!A6405</f>
        <v>0</v>
      </c>
      <c r="B6405" s="8">
        <v>0</v>
      </c>
      <c r="C6405" s="9">
        <v>0.64</v>
      </c>
      <c r="D6405" s="13">
        <f t="shared" si="100"/>
        <v>0.64</v>
      </c>
    </row>
    <row r="6406" spans="1:4" x14ac:dyDescent="0.25">
      <c r="A6406" s="15">
        <f>Sheet2!A6406</f>
        <v>0</v>
      </c>
      <c r="B6406" s="8">
        <v>7.68</v>
      </c>
      <c r="C6406" s="9">
        <v>0</v>
      </c>
      <c r="D6406" s="13">
        <f t="shared" si="100"/>
        <v>7.68</v>
      </c>
    </row>
    <row r="6407" spans="1:4" x14ac:dyDescent="0.25">
      <c r="A6407" s="15">
        <f>Sheet2!A6407</f>
        <v>0</v>
      </c>
      <c r="B6407" s="8">
        <v>0</v>
      </c>
      <c r="C6407" s="9">
        <v>0.83</v>
      </c>
      <c r="D6407" s="13">
        <f t="shared" si="100"/>
        <v>0.83</v>
      </c>
    </row>
    <row r="6408" spans="1:4" x14ac:dyDescent="0.25">
      <c r="A6408" s="15">
        <f>Sheet2!A6408</f>
        <v>0</v>
      </c>
      <c r="B6408" s="8">
        <v>0</v>
      </c>
      <c r="C6408" s="9">
        <v>1.0900000000000001</v>
      </c>
      <c r="D6408" s="13">
        <f t="shared" si="100"/>
        <v>1.0900000000000001</v>
      </c>
    </row>
    <row r="6409" spans="1:4" x14ac:dyDescent="0.25">
      <c r="A6409" s="15">
        <f>Sheet2!A6409</f>
        <v>0</v>
      </c>
      <c r="B6409" s="8">
        <v>0</v>
      </c>
      <c r="C6409" s="9">
        <v>0.28999999999999998</v>
      </c>
      <c r="D6409" s="13">
        <f t="shared" si="100"/>
        <v>0.28999999999999998</v>
      </c>
    </row>
    <row r="6410" spans="1:4" x14ac:dyDescent="0.25">
      <c r="A6410" s="15">
        <f>Sheet2!A6410</f>
        <v>0</v>
      </c>
      <c r="B6410" s="8">
        <v>5</v>
      </c>
      <c r="C6410" s="9">
        <v>0</v>
      </c>
      <c r="D6410" s="13">
        <f t="shared" si="100"/>
        <v>5</v>
      </c>
    </row>
    <row r="6411" spans="1:4" x14ac:dyDescent="0.25">
      <c r="A6411" s="15">
        <f>Sheet2!A6411</f>
        <v>0</v>
      </c>
      <c r="B6411" s="8">
        <v>6.78</v>
      </c>
      <c r="C6411" s="9">
        <v>0</v>
      </c>
      <c r="D6411" s="13">
        <f t="shared" si="100"/>
        <v>6.78</v>
      </c>
    </row>
    <row r="6412" spans="1:4" x14ac:dyDescent="0.25">
      <c r="A6412" s="15">
        <f>Sheet2!A6412</f>
        <v>0</v>
      </c>
      <c r="B6412" s="8">
        <v>5.59</v>
      </c>
      <c r="C6412" s="9">
        <v>0</v>
      </c>
      <c r="D6412" s="13">
        <f t="shared" si="100"/>
        <v>5.59</v>
      </c>
    </row>
    <row r="6413" spans="1:4" x14ac:dyDescent="0.25">
      <c r="A6413" s="15">
        <f>Sheet2!A6413</f>
        <v>0</v>
      </c>
      <c r="B6413" s="8">
        <v>0</v>
      </c>
      <c r="C6413" s="9">
        <v>1.18</v>
      </c>
      <c r="D6413" s="13">
        <f t="shared" si="100"/>
        <v>1.18</v>
      </c>
    </row>
    <row r="6414" spans="1:4" x14ac:dyDescent="0.25">
      <c r="A6414" s="15">
        <f>Sheet2!A6414</f>
        <v>0</v>
      </c>
      <c r="B6414" s="8">
        <v>0</v>
      </c>
      <c r="C6414" s="9">
        <v>3.19</v>
      </c>
      <c r="D6414" s="13">
        <f t="shared" si="100"/>
        <v>3.19</v>
      </c>
    </row>
    <row r="6415" spans="1:4" x14ac:dyDescent="0.25">
      <c r="A6415" s="15">
        <f>Sheet2!A6415</f>
        <v>0</v>
      </c>
      <c r="B6415" s="8">
        <v>0</v>
      </c>
      <c r="C6415" s="9">
        <v>0.92</v>
      </c>
      <c r="D6415" s="13">
        <f t="shared" si="100"/>
        <v>0.92</v>
      </c>
    </row>
    <row r="6416" spans="1:4" x14ac:dyDescent="0.25">
      <c r="A6416" s="15">
        <f>Sheet2!A6416</f>
        <v>0</v>
      </c>
      <c r="B6416" s="8">
        <v>7.76</v>
      </c>
      <c r="C6416" s="9">
        <v>0</v>
      </c>
      <c r="D6416" s="13">
        <f t="shared" si="100"/>
        <v>7.76</v>
      </c>
    </row>
    <row r="6417" spans="1:4" x14ac:dyDescent="0.25">
      <c r="A6417" s="15">
        <f>Sheet2!A6417</f>
        <v>0</v>
      </c>
      <c r="B6417" s="8">
        <v>7.82</v>
      </c>
      <c r="C6417" s="9">
        <v>0</v>
      </c>
      <c r="D6417" s="13">
        <f t="shared" si="100"/>
        <v>7.82</v>
      </c>
    </row>
    <row r="6418" spans="1:4" x14ac:dyDescent="0.25">
      <c r="A6418" s="15">
        <f>Sheet2!A6418</f>
        <v>0</v>
      </c>
      <c r="B6418" s="8">
        <v>8.1999999999999993</v>
      </c>
      <c r="C6418" s="9">
        <v>0</v>
      </c>
      <c r="D6418" s="13">
        <f t="shared" si="100"/>
        <v>8.1999999999999993</v>
      </c>
    </row>
    <row r="6419" spans="1:4" x14ac:dyDescent="0.25">
      <c r="A6419" s="15">
        <f>Sheet2!A6419</f>
        <v>0</v>
      </c>
      <c r="B6419" s="8">
        <v>0</v>
      </c>
      <c r="C6419" s="9">
        <v>1.75</v>
      </c>
      <c r="D6419" s="13">
        <f t="shared" si="100"/>
        <v>1.75</v>
      </c>
    </row>
    <row r="6420" spans="1:4" x14ac:dyDescent="0.25">
      <c r="A6420" s="15">
        <f>Sheet2!A6420</f>
        <v>0</v>
      </c>
      <c r="B6420" s="8">
        <v>0</v>
      </c>
      <c r="C6420" s="9">
        <v>2.37</v>
      </c>
      <c r="D6420" s="13">
        <f t="shared" si="100"/>
        <v>2.37</v>
      </c>
    </row>
    <row r="6421" spans="1:4" x14ac:dyDescent="0.25">
      <c r="A6421" s="15">
        <f>Sheet2!A6421</f>
        <v>0</v>
      </c>
      <c r="B6421" s="8">
        <v>0</v>
      </c>
      <c r="C6421" s="9">
        <v>1.55</v>
      </c>
      <c r="D6421" s="13">
        <f t="shared" si="100"/>
        <v>1.55</v>
      </c>
    </row>
    <row r="6422" spans="1:4" x14ac:dyDescent="0.25">
      <c r="A6422" s="15">
        <f>Sheet2!A6422</f>
        <v>0</v>
      </c>
      <c r="B6422" s="8">
        <v>0</v>
      </c>
      <c r="C6422" s="9">
        <v>0.22</v>
      </c>
      <c r="D6422" s="13">
        <f t="shared" si="100"/>
        <v>0.22</v>
      </c>
    </row>
    <row r="6423" spans="1:4" x14ac:dyDescent="0.25">
      <c r="A6423" s="15">
        <f>Sheet2!A6423</f>
        <v>0</v>
      </c>
      <c r="B6423" s="8">
        <v>0</v>
      </c>
      <c r="C6423" s="9">
        <v>1.36</v>
      </c>
      <c r="D6423" s="13">
        <f t="shared" si="100"/>
        <v>1.36</v>
      </c>
    </row>
    <row r="6424" spans="1:4" x14ac:dyDescent="0.25">
      <c r="A6424" s="15">
        <f>Sheet2!A6424</f>
        <v>0</v>
      </c>
      <c r="B6424" s="8">
        <v>0</v>
      </c>
      <c r="C6424" s="9">
        <v>2.76</v>
      </c>
      <c r="D6424" s="13">
        <f t="shared" si="100"/>
        <v>2.76</v>
      </c>
    </row>
    <row r="6425" spans="1:4" x14ac:dyDescent="0.25">
      <c r="A6425" s="15">
        <f>Sheet2!A6425</f>
        <v>0</v>
      </c>
      <c r="B6425" s="8">
        <v>0</v>
      </c>
      <c r="C6425" s="9">
        <v>1.25</v>
      </c>
      <c r="D6425" s="13">
        <f t="shared" si="100"/>
        <v>1.25</v>
      </c>
    </row>
    <row r="6426" spans="1:4" x14ac:dyDescent="0.25">
      <c r="A6426" s="15">
        <f>Sheet2!A6426</f>
        <v>0</v>
      </c>
      <c r="B6426" s="8">
        <v>7.96</v>
      </c>
      <c r="C6426" s="9">
        <v>0</v>
      </c>
      <c r="D6426" s="13">
        <f t="shared" si="100"/>
        <v>7.96</v>
      </c>
    </row>
    <row r="6427" spans="1:4" x14ac:dyDescent="0.25">
      <c r="A6427" s="15">
        <f>Sheet2!A6427</f>
        <v>0</v>
      </c>
      <c r="B6427" s="8">
        <v>0</v>
      </c>
      <c r="C6427" s="9">
        <v>0.78</v>
      </c>
      <c r="D6427" s="13">
        <f t="shared" si="100"/>
        <v>0.78</v>
      </c>
    </row>
    <row r="6428" spans="1:4" x14ac:dyDescent="0.25">
      <c r="A6428" s="15">
        <f>Sheet2!A6428</f>
        <v>0</v>
      </c>
      <c r="B6428" s="8">
        <v>0</v>
      </c>
      <c r="C6428" s="9">
        <v>2.94</v>
      </c>
      <c r="D6428" s="13">
        <f t="shared" si="100"/>
        <v>2.94</v>
      </c>
    </row>
    <row r="6429" spans="1:4" x14ac:dyDescent="0.25">
      <c r="A6429" s="15">
        <f>Sheet2!A6429</f>
        <v>0</v>
      </c>
      <c r="B6429" s="8">
        <v>0</v>
      </c>
      <c r="C6429" s="9">
        <v>1.21</v>
      </c>
      <c r="D6429" s="13">
        <f t="shared" si="100"/>
        <v>1.21</v>
      </c>
    </row>
    <row r="6430" spans="1:4" x14ac:dyDescent="0.25">
      <c r="A6430" s="15">
        <f>Sheet2!A6430</f>
        <v>0</v>
      </c>
      <c r="B6430" s="8">
        <v>9.43</v>
      </c>
      <c r="C6430" s="9">
        <v>0</v>
      </c>
      <c r="D6430" s="13">
        <f t="shared" si="100"/>
        <v>9.43</v>
      </c>
    </row>
    <row r="6431" spans="1:4" x14ac:dyDescent="0.25">
      <c r="A6431" s="15">
        <f>Sheet2!A6431</f>
        <v>0</v>
      </c>
      <c r="B6431" s="8">
        <v>0</v>
      </c>
      <c r="C6431" s="9">
        <v>1.1000000000000001</v>
      </c>
      <c r="D6431" s="13">
        <f t="shared" si="100"/>
        <v>1.1000000000000001</v>
      </c>
    </row>
    <row r="6432" spans="1:4" x14ac:dyDescent="0.25">
      <c r="A6432" s="15">
        <f>Sheet2!A6432</f>
        <v>0</v>
      </c>
      <c r="B6432" s="8">
        <v>0</v>
      </c>
      <c r="C6432" s="9">
        <v>3.12</v>
      </c>
      <c r="D6432" s="13">
        <f t="shared" si="100"/>
        <v>3.12</v>
      </c>
    </row>
    <row r="6433" spans="1:4" x14ac:dyDescent="0.25">
      <c r="A6433" s="15">
        <f>Sheet2!A6433</f>
        <v>0</v>
      </c>
      <c r="B6433" s="8">
        <v>0</v>
      </c>
      <c r="C6433" s="9">
        <v>0.89</v>
      </c>
      <c r="D6433" s="13">
        <f t="shared" si="100"/>
        <v>0.89</v>
      </c>
    </row>
    <row r="6434" spans="1:4" x14ac:dyDescent="0.25">
      <c r="A6434" s="15">
        <f>Sheet2!A6434</f>
        <v>0</v>
      </c>
      <c r="B6434" s="8">
        <v>9.3699999999999992</v>
      </c>
      <c r="C6434" s="9">
        <v>0</v>
      </c>
      <c r="D6434" s="13">
        <f t="shared" si="100"/>
        <v>9.3699999999999992</v>
      </c>
    </row>
    <row r="6435" spans="1:4" x14ac:dyDescent="0.25">
      <c r="A6435" s="15">
        <f>Sheet2!A6435</f>
        <v>0</v>
      </c>
      <c r="B6435" s="8">
        <v>9.27</v>
      </c>
      <c r="C6435" s="9">
        <v>0</v>
      </c>
      <c r="D6435" s="13">
        <f t="shared" si="100"/>
        <v>9.27</v>
      </c>
    </row>
    <row r="6436" spans="1:4" x14ac:dyDescent="0.25">
      <c r="A6436" s="15">
        <f>Sheet2!A6436</f>
        <v>0</v>
      </c>
      <c r="B6436" s="8">
        <v>8.58</v>
      </c>
      <c r="C6436" s="9">
        <v>0</v>
      </c>
      <c r="D6436" s="13">
        <f t="shared" si="100"/>
        <v>8.58</v>
      </c>
    </row>
    <row r="6437" spans="1:4" x14ac:dyDescent="0.25">
      <c r="A6437" s="15">
        <f>Sheet2!A6437</f>
        <v>0</v>
      </c>
      <c r="B6437" s="8">
        <v>8.85</v>
      </c>
      <c r="C6437" s="9">
        <v>0</v>
      </c>
      <c r="D6437" s="13">
        <f t="shared" si="100"/>
        <v>8.85</v>
      </c>
    </row>
    <row r="6438" spans="1:4" x14ac:dyDescent="0.25">
      <c r="A6438" s="15">
        <f>Sheet2!A6438</f>
        <v>0</v>
      </c>
      <c r="B6438" s="8">
        <v>0</v>
      </c>
      <c r="C6438" s="9">
        <v>2.79</v>
      </c>
      <c r="D6438" s="13">
        <f t="shared" si="100"/>
        <v>2.79</v>
      </c>
    </row>
    <row r="6439" spans="1:4" x14ac:dyDescent="0.25">
      <c r="A6439" s="15">
        <f>Sheet2!A6439</f>
        <v>0</v>
      </c>
      <c r="B6439" s="8">
        <v>0</v>
      </c>
      <c r="C6439" s="9">
        <v>1.02</v>
      </c>
      <c r="D6439" s="13">
        <f t="shared" si="100"/>
        <v>1.02</v>
      </c>
    </row>
    <row r="6440" spans="1:4" x14ac:dyDescent="0.25">
      <c r="A6440" s="15">
        <f>Sheet2!A6440</f>
        <v>0</v>
      </c>
      <c r="B6440" s="8">
        <v>9.57</v>
      </c>
      <c r="C6440" s="9">
        <v>0</v>
      </c>
      <c r="D6440" s="13">
        <f t="shared" si="100"/>
        <v>9.57</v>
      </c>
    </row>
    <row r="6441" spans="1:4" x14ac:dyDescent="0.25">
      <c r="A6441" s="15">
        <f>Sheet2!A6441</f>
        <v>0</v>
      </c>
      <c r="B6441" s="8">
        <v>9.74</v>
      </c>
      <c r="C6441" s="9">
        <v>0</v>
      </c>
      <c r="D6441" s="13">
        <f t="shared" si="100"/>
        <v>9.74</v>
      </c>
    </row>
    <row r="6442" spans="1:4" x14ac:dyDescent="0.25">
      <c r="A6442" s="15">
        <f>Sheet2!A6442</f>
        <v>0</v>
      </c>
      <c r="B6442" s="8">
        <v>9.98</v>
      </c>
      <c r="C6442" s="9">
        <v>0</v>
      </c>
      <c r="D6442" s="13">
        <f t="shared" si="100"/>
        <v>9.98</v>
      </c>
    </row>
    <row r="6443" spans="1:4" x14ac:dyDescent="0.25">
      <c r="A6443" s="15">
        <f>Sheet2!A6443</f>
        <v>0</v>
      </c>
      <c r="B6443" s="8">
        <v>0</v>
      </c>
      <c r="C6443" s="9">
        <v>2.5099999999999998</v>
      </c>
      <c r="D6443" s="13">
        <f t="shared" si="100"/>
        <v>2.5099999999999998</v>
      </c>
    </row>
    <row r="6444" spans="1:4" x14ac:dyDescent="0.25">
      <c r="A6444" s="15">
        <f>Sheet2!A6444</f>
        <v>0</v>
      </c>
      <c r="B6444" s="8">
        <v>0</v>
      </c>
      <c r="C6444" s="9">
        <v>3.34</v>
      </c>
      <c r="D6444" s="13">
        <f t="shared" si="100"/>
        <v>3.34</v>
      </c>
    </row>
    <row r="6445" spans="1:4" x14ac:dyDescent="0.25">
      <c r="A6445" s="15">
        <f>Sheet2!A6445</f>
        <v>0</v>
      </c>
      <c r="B6445" s="8">
        <v>0</v>
      </c>
      <c r="C6445" s="9">
        <v>2.3199999999999998</v>
      </c>
      <c r="D6445" s="13">
        <f t="shared" si="100"/>
        <v>2.3199999999999998</v>
      </c>
    </row>
    <row r="6446" spans="1:4" x14ac:dyDescent="0.25">
      <c r="A6446" s="15">
        <f>Sheet2!A6446</f>
        <v>0</v>
      </c>
      <c r="B6446" s="8">
        <v>9.1300000000000008</v>
      </c>
      <c r="C6446" s="9">
        <v>0</v>
      </c>
      <c r="D6446" s="13">
        <f t="shared" si="100"/>
        <v>9.1300000000000008</v>
      </c>
    </row>
    <row r="6447" spans="1:4" x14ac:dyDescent="0.25">
      <c r="A6447" s="15">
        <f>Sheet2!A6447</f>
        <v>0</v>
      </c>
      <c r="B6447" s="8">
        <v>0</v>
      </c>
      <c r="C6447" s="9">
        <v>1.95</v>
      </c>
      <c r="D6447" s="13">
        <f t="shared" si="100"/>
        <v>1.95</v>
      </c>
    </row>
    <row r="6448" spans="1:4" x14ac:dyDescent="0.25">
      <c r="A6448" s="15">
        <f>Sheet2!A6448</f>
        <v>0</v>
      </c>
      <c r="B6448" s="8">
        <v>0</v>
      </c>
      <c r="C6448" s="9">
        <v>3.24</v>
      </c>
      <c r="D6448" s="13">
        <f t="shared" si="100"/>
        <v>3.24</v>
      </c>
    </row>
    <row r="6449" spans="1:4" x14ac:dyDescent="0.25">
      <c r="A6449" s="15">
        <f>Sheet2!A6449</f>
        <v>0</v>
      </c>
      <c r="B6449" s="8">
        <v>0</v>
      </c>
      <c r="C6449" s="9">
        <v>1.23</v>
      </c>
      <c r="D6449" s="13">
        <f t="shared" si="100"/>
        <v>1.23</v>
      </c>
    </row>
    <row r="6450" spans="1:4" x14ac:dyDescent="0.25">
      <c r="A6450" s="15">
        <f>Sheet2!A6450</f>
        <v>0</v>
      </c>
      <c r="B6450" s="8">
        <v>12.21</v>
      </c>
      <c r="C6450" s="9">
        <v>0</v>
      </c>
      <c r="D6450" s="13">
        <f t="shared" si="100"/>
        <v>12.21</v>
      </c>
    </row>
    <row r="6451" spans="1:4" x14ac:dyDescent="0.25">
      <c r="A6451" s="15">
        <f>Sheet2!A6451</f>
        <v>0</v>
      </c>
      <c r="B6451" s="8">
        <v>0</v>
      </c>
      <c r="C6451" s="9">
        <v>1.88</v>
      </c>
      <c r="D6451" s="13">
        <f t="shared" si="100"/>
        <v>1.88</v>
      </c>
    </row>
    <row r="6452" spans="1:4" x14ac:dyDescent="0.25">
      <c r="A6452" s="15">
        <f>Sheet2!A6452</f>
        <v>0</v>
      </c>
      <c r="B6452" s="8">
        <v>0</v>
      </c>
      <c r="C6452" s="9">
        <v>2.94</v>
      </c>
      <c r="D6452" s="13">
        <f t="shared" si="100"/>
        <v>2.94</v>
      </c>
    </row>
    <row r="6453" spans="1:4" x14ac:dyDescent="0.25">
      <c r="A6453" s="15">
        <f>Sheet2!A6453</f>
        <v>0</v>
      </c>
      <c r="B6453" s="8">
        <v>0</v>
      </c>
      <c r="C6453" s="9">
        <v>1.1100000000000001</v>
      </c>
      <c r="D6453" s="13">
        <f t="shared" si="100"/>
        <v>1.1100000000000001</v>
      </c>
    </row>
    <row r="6454" spans="1:4" x14ac:dyDescent="0.25">
      <c r="A6454" s="15">
        <f>Sheet2!A6454</f>
        <v>0</v>
      </c>
      <c r="B6454" s="8">
        <v>9.7200000000000006</v>
      </c>
      <c r="C6454" s="9">
        <v>0</v>
      </c>
      <c r="D6454" s="13">
        <f t="shared" si="100"/>
        <v>9.7200000000000006</v>
      </c>
    </row>
    <row r="6455" spans="1:4" x14ac:dyDescent="0.25">
      <c r="A6455" s="15">
        <f>Sheet2!A6455</f>
        <v>0</v>
      </c>
      <c r="B6455" s="8">
        <v>0</v>
      </c>
      <c r="C6455" s="9">
        <v>1.26</v>
      </c>
      <c r="D6455" s="13">
        <f t="shared" si="100"/>
        <v>1.26</v>
      </c>
    </row>
    <row r="6456" spans="1:4" x14ac:dyDescent="0.25">
      <c r="A6456" s="15">
        <f>Sheet2!A6456</f>
        <v>0</v>
      </c>
      <c r="B6456" s="8">
        <v>0</v>
      </c>
      <c r="C6456" s="9">
        <v>2.82</v>
      </c>
      <c r="D6456" s="13">
        <f t="shared" si="100"/>
        <v>2.82</v>
      </c>
    </row>
    <row r="6457" spans="1:4" x14ac:dyDescent="0.25">
      <c r="A6457" s="15">
        <f>Sheet2!A6457</f>
        <v>0</v>
      </c>
      <c r="B6457" s="8">
        <v>0</v>
      </c>
      <c r="C6457" s="9">
        <v>0.83</v>
      </c>
      <c r="D6457" s="13">
        <f t="shared" si="100"/>
        <v>0.83</v>
      </c>
    </row>
    <row r="6458" spans="1:4" x14ac:dyDescent="0.25">
      <c r="A6458" s="15">
        <f>Sheet2!A6458</f>
        <v>0</v>
      </c>
      <c r="B6458" s="8">
        <v>6.54</v>
      </c>
      <c r="C6458" s="9">
        <v>0</v>
      </c>
      <c r="D6458" s="13">
        <f t="shared" si="100"/>
        <v>6.54</v>
      </c>
    </row>
    <row r="6459" spans="1:4" x14ac:dyDescent="0.25">
      <c r="A6459" s="15">
        <f>Sheet2!A6459</f>
        <v>0</v>
      </c>
      <c r="B6459" s="8">
        <v>3.69</v>
      </c>
      <c r="C6459" s="9">
        <v>0</v>
      </c>
      <c r="D6459" s="13">
        <f t="shared" si="100"/>
        <v>3.69</v>
      </c>
    </row>
    <row r="6460" spans="1:4" x14ac:dyDescent="0.25">
      <c r="A6460" s="15">
        <f>Sheet2!A6460</f>
        <v>0</v>
      </c>
      <c r="B6460" s="8">
        <v>6.67</v>
      </c>
      <c r="C6460" s="9">
        <v>0</v>
      </c>
      <c r="D6460" s="13">
        <f t="shared" si="100"/>
        <v>6.67</v>
      </c>
    </row>
    <row r="6461" spans="1:4" x14ac:dyDescent="0.25">
      <c r="A6461" s="15">
        <f>Sheet2!A6461</f>
        <v>0</v>
      </c>
      <c r="B6461" s="8">
        <v>0</v>
      </c>
      <c r="C6461" s="9">
        <v>0.46</v>
      </c>
      <c r="D6461" s="13">
        <f t="shared" si="100"/>
        <v>0.46</v>
      </c>
    </row>
    <row r="6462" spans="1:4" x14ac:dyDescent="0.25">
      <c r="A6462" s="15">
        <f>Sheet2!A6462</f>
        <v>0</v>
      </c>
      <c r="B6462" s="8">
        <v>6.92</v>
      </c>
      <c r="C6462" s="9">
        <v>0</v>
      </c>
      <c r="D6462" s="13">
        <f t="shared" si="100"/>
        <v>6.92</v>
      </c>
    </row>
    <row r="6463" spans="1:4" x14ac:dyDescent="0.25">
      <c r="A6463" s="15">
        <f>Sheet2!A6463</f>
        <v>0</v>
      </c>
      <c r="B6463" s="8">
        <v>8.2100000000000009</v>
      </c>
      <c r="C6463" s="9">
        <v>0</v>
      </c>
      <c r="D6463" s="13">
        <f t="shared" si="100"/>
        <v>8.2100000000000009</v>
      </c>
    </row>
    <row r="6464" spans="1:4" x14ac:dyDescent="0.25">
      <c r="A6464" s="15">
        <f>Sheet2!A6464</f>
        <v>0</v>
      </c>
      <c r="B6464" s="8">
        <v>9.44</v>
      </c>
      <c r="C6464" s="9">
        <v>0</v>
      </c>
      <c r="D6464" s="13">
        <f t="shared" si="100"/>
        <v>9.44</v>
      </c>
    </row>
    <row r="6465" spans="1:4" x14ac:dyDescent="0.25">
      <c r="A6465" s="15">
        <f>Sheet2!A6465</f>
        <v>0</v>
      </c>
      <c r="B6465" s="8">
        <v>0</v>
      </c>
      <c r="C6465" s="9">
        <v>0.55000000000000004</v>
      </c>
      <c r="D6465" s="13">
        <f t="shared" si="100"/>
        <v>0.55000000000000004</v>
      </c>
    </row>
    <row r="6466" spans="1:4" x14ac:dyDescent="0.25">
      <c r="A6466" s="15">
        <f>Sheet2!A6466</f>
        <v>0</v>
      </c>
      <c r="B6466" s="8">
        <v>0</v>
      </c>
      <c r="C6466" s="9">
        <v>3.63</v>
      </c>
      <c r="D6466" s="13">
        <f t="shared" si="100"/>
        <v>3.63</v>
      </c>
    </row>
    <row r="6467" spans="1:4" x14ac:dyDescent="0.25">
      <c r="A6467" s="15">
        <f>Sheet2!A6467</f>
        <v>0</v>
      </c>
      <c r="B6467" s="8">
        <v>0</v>
      </c>
      <c r="C6467" s="9">
        <v>3.87</v>
      </c>
      <c r="D6467" s="13">
        <f t="shared" ref="D6467:D6530" si="101">B6467+C6467</f>
        <v>3.87</v>
      </c>
    </row>
    <row r="6468" spans="1:4" x14ac:dyDescent="0.25">
      <c r="A6468" s="15">
        <f>Sheet2!A6468</f>
        <v>0</v>
      </c>
      <c r="B6468" s="8">
        <v>0</v>
      </c>
      <c r="C6468" s="9">
        <v>3.95</v>
      </c>
      <c r="D6468" s="13">
        <f t="shared" si="101"/>
        <v>3.95</v>
      </c>
    </row>
    <row r="6469" spans="1:4" x14ac:dyDescent="0.25">
      <c r="A6469" s="15">
        <f>Sheet2!A6469</f>
        <v>0</v>
      </c>
      <c r="B6469" s="8">
        <v>0</v>
      </c>
      <c r="C6469" s="9">
        <v>2.25</v>
      </c>
      <c r="D6469" s="13">
        <f t="shared" si="101"/>
        <v>2.25</v>
      </c>
    </row>
    <row r="6470" spans="1:4" x14ac:dyDescent="0.25">
      <c r="A6470" s="15">
        <f>Sheet2!A6470</f>
        <v>0</v>
      </c>
      <c r="B6470" s="8">
        <v>0</v>
      </c>
      <c r="C6470" s="9">
        <v>3.09</v>
      </c>
      <c r="D6470" s="13">
        <f t="shared" si="101"/>
        <v>3.09</v>
      </c>
    </row>
    <row r="6471" spans="1:4" x14ac:dyDescent="0.25">
      <c r="A6471" s="15">
        <f>Sheet2!A6471</f>
        <v>0</v>
      </c>
      <c r="B6471" s="8">
        <v>0</v>
      </c>
      <c r="C6471" s="9">
        <v>0.96</v>
      </c>
      <c r="D6471" s="13">
        <f t="shared" si="101"/>
        <v>0.96</v>
      </c>
    </row>
    <row r="6472" spans="1:4" x14ac:dyDescent="0.25">
      <c r="A6472" s="15">
        <f>Sheet2!A6472</f>
        <v>0</v>
      </c>
      <c r="B6472" s="8">
        <v>0</v>
      </c>
      <c r="C6472" s="9">
        <v>2.41</v>
      </c>
      <c r="D6472" s="13">
        <f t="shared" si="101"/>
        <v>2.41</v>
      </c>
    </row>
    <row r="6473" spans="1:4" x14ac:dyDescent="0.25">
      <c r="A6473" s="15">
        <f>Sheet2!A6473</f>
        <v>0</v>
      </c>
      <c r="B6473" s="8">
        <v>0</v>
      </c>
      <c r="C6473" s="9">
        <v>1.58</v>
      </c>
      <c r="D6473" s="13">
        <f t="shared" si="101"/>
        <v>1.58</v>
      </c>
    </row>
    <row r="6474" spans="1:4" x14ac:dyDescent="0.25">
      <c r="A6474" s="15">
        <f>Sheet2!A6474</f>
        <v>0</v>
      </c>
      <c r="B6474" s="8">
        <v>10.97</v>
      </c>
      <c r="C6474" s="9">
        <v>0</v>
      </c>
      <c r="D6474" s="13">
        <f t="shared" si="101"/>
        <v>10.97</v>
      </c>
    </row>
    <row r="6475" spans="1:4" x14ac:dyDescent="0.25">
      <c r="A6475" s="15">
        <f>Sheet2!A6475</f>
        <v>0</v>
      </c>
      <c r="B6475" s="8">
        <v>0</v>
      </c>
      <c r="C6475" s="9">
        <v>1.62</v>
      </c>
      <c r="D6475" s="13">
        <f t="shared" si="101"/>
        <v>1.62</v>
      </c>
    </row>
    <row r="6476" spans="1:4" x14ac:dyDescent="0.25">
      <c r="A6476" s="15">
        <f>Sheet2!A6476</f>
        <v>0</v>
      </c>
      <c r="B6476" s="8">
        <v>0</v>
      </c>
      <c r="C6476" s="9">
        <v>2.91</v>
      </c>
      <c r="D6476" s="13">
        <f t="shared" si="101"/>
        <v>2.91</v>
      </c>
    </row>
    <row r="6477" spans="1:4" x14ac:dyDescent="0.25">
      <c r="A6477" s="15">
        <f>Sheet2!A6477</f>
        <v>0</v>
      </c>
      <c r="B6477" s="8">
        <v>0</v>
      </c>
      <c r="C6477" s="9">
        <v>1.24</v>
      </c>
      <c r="D6477" s="13">
        <f t="shared" si="101"/>
        <v>1.24</v>
      </c>
    </row>
    <row r="6478" spans="1:4" x14ac:dyDescent="0.25">
      <c r="A6478" s="15">
        <f>Sheet2!A6478</f>
        <v>0</v>
      </c>
      <c r="B6478" s="8">
        <v>10.17</v>
      </c>
      <c r="C6478" s="9">
        <v>0</v>
      </c>
      <c r="D6478" s="13">
        <f t="shared" si="101"/>
        <v>10.17</v>
      </c>
    </row>
    <row r="6479" spans="1:4" x14ac:dyDescent="0.25">
      <c r="A6479" s="15">
        <f>Sheet2!A6479</f>
        <v>0</v>
      </c>
      <c r="B6479" s="8">
        <v>9.15</v>
      </c>
      <c r="C6479" s="9">
        <v>0</v>
      </c>
      <c r="D6479" s="13">
        <f t="shared" si="101"/>
        <v>9.15</v>
      </c>
    </row>
    <row r="6480" spans="1:4" x14ac:dyDescent="0.25">
      <c r="A6480" s="15">
        <f>Sheet2!A6480</f>
        <v>0</v>
      </c>
      <c r="B6480" s="8">
        <v>7.86</v>
      </c>
      <c r="C6480" s="9">
        <v>0</v>
      </c>
      <c r="D6480" s="13">
        <f t="shared" si="101"/>
        <v>7.86</v>
      </c>
    </row>
    <row r="6481" spans="1:4" x14ac:dyDescent="0.25">
      <c r="A6481" s="15">
        <f>Sheet2!A6481</f>
        <v>0</v>
      </c>
      <c r="B6481" s="8">
        <v>0</v>
      </c>
      <c r="C6481" s="9">
        <v>1.86</v>
      </c>
      <c r="D6481" s="13">
        <f t="shared" si="101"/>
        <v>1.86</v>
      </c>
    </row>
    <row r="6482" spans="1:4" x14ac:dyDescent="0.25">
      <c r="A6482" s="15">
        <f>Sheet2!A6482</f>
        <v>0</v>
      </c>
      <c r="B6482" s="8">
        <v>0</v>
      </c>
      <c r="C6482" s="9">
        <v>2.34</v>
      </c>
      <c r="D6482" s="13">
        <f t="shared" si="101"/>
        <v>2.34</v>
      </c>
    </row>
    <row r="6483" spans="1:4" x14ac:dyDescent="0.25">
      <c r="A6483" s="15">
        <f>Sheet2!A6483</f>
        <v>0</v>
      </c>
      <c r="B6483" s="8">
        <v>7.28</v>
      </c>
      <c r="C6483" s="9">
        <v>0</v>
      </c>
      <c r="D6483" s="13">
        <f t="shared" si="101"/>
        <v>7.28</v>
      </c>
    </row>
    <row r="6484" spans="1:4" x14ac:dyDescent="0.25">
      <c r="A6484" s="15">
        <f>Sheet2!A6484</f>
        <v>0</v>
      </c>
      <c r="B6484" s="8">
        <v>7.15</v>
      </c>
      <c r="C6484" s="9">
        <v>0</v>
      </c>
      <c r="D6484" s="13">
        <f t="shared" si="101"/>
        <v>7.15</v>
      </c>
    </row>
    <row r="6485" spans="1:4" x14ac:dyDescent="0.25">
      <c r="A6485" s="15">
        <f>Sheet2!A6485</f>
        <v>0</v>
      </c>
      <c r="B6485" s="8">
        <v>6.95</v>
      </c>
      <c r="C6485" s="9">
        <v>0</v>
      </c>
      <c r="D6485" s="13">
        <f t="shared" si="101"/>
        <v>6.95</v>
      </c>
    </row>
    <row r="6486" spans="1:4" x14ac:dyDescent="0.25">
      <c r="A6486" s="15">
        <f>Sheet2!A6486</f>
        <v>0</v>
      </c>
      <c r="B6486" s="8">
        <v>6.82</v>
      </c>
      <c r="C6486" s="9">
        <v>0</v>
      </c>
      <c r="D6486" s="13">
        <f t="shared" si="101"/>
        <v>6.82</v>
      </c>
    </row>
    <row r="6487" spans="1:4" x14ac:dyDescent="0.25">
      <c r="A6487" s="15">
        <f>Sheet2!A6487</f>
        <v>0</v>
      </c>
      <c r="B6487" s="8">
        <v>6.83</v>
      </c>
      <c r="C6487" s="9">
        <v>0</v>
      </c>
      <c r="D6487" s="13">
        <f t="shared" si="101"/>
        <v>6.83</v>
      </c>
    </row>
    <row r="6488" spans="1:4" x14ac:dyDescent="0.25">
      <c r="A6488" s="15">
        <f>Sheet2!A6488</f>
        <v>0</v>
      </c>
      <c r="B6488" s="8">
        <v>7.01</v>
      </c>
      <c r="C6488" s="9">
        <v>0</v>
      </c>
      <c r="D6488" s="13">
        <f t="shared" si="101"/>
        <v>7.01</v>
      </c>
    </row>
    <row r="6489" spans="1:4" x14ac:dyDescent="0.25">
      <c r="A6489" s="15">
        <f>Sheet2!A6489</f>
        <v>0</v>
      </c>
      <c r="B6489" s="8">
        <v>6.99</v>
      </c>
      <c r="C6489" s="9">
        <v>0</v>
      </c>
      <c r="D6489" s="13">
        <f t="shared" si="101"/>
        <v>6.99</v>
      </c>
    </row>
    <row r="6490" spans="1:4" x14ac:dyDescent="0.25">
      <c r="A6490" s="15">
        <f>Sheet2!A6490</f>
        <v>0</v>
      </c>
      <c r="B6490" s="8">
        <v>7.31</v>
      </c>
      <c r="C6490" s="9">
        <v>0</v>
      </c>
      <c r="D6490" s="13">
        <f t="shared" si="101"/>
        <v>7.31</v>
      </c>
    </row>
    <row r="6491" spans="1:4" x14ac:dyDescent="0.25">
      <c r="A6491" s="15">
        <f>Sheet2!A6491</f>
        <v>0</v>
      </c>
      <c r="B6491" s="8">
        <v>0</v>
      </c>
      <c r="C6491" s="9">
        <v>1.1200000000000001</v>
      </c>
      <c r="D6491" s="13">
        <f t="shared" si="101"/>
        <v>1.1200000000000001</v>
      </c>
    </row>
    <row r="6492" spans="1:4" x14ac:dyDescent="0.25">
      <c r="A6492" s="15">
        <f>Sheet2!A6492</f>
        <v>0</v>
      </c>
      <c r="B6492" s="8">
        <v>0</v>
      </c>
      <c r="C6492" s="9">
        <v>3.76</v>
      </c>
      <c r="D6492" s="13">
        <f t="shared" si="101"/>
        <v>3.76</v>
      </c>
    </row>
    <row r="6493" spans="1:4" x14ac:dyDescent="0.25">
      <c r="A6493" s="15">
        <f>Sheet2!A6493</f>
        <v>0</v>
      </c>
      <c r="B6493" s="8">
        <v>0</v>
      </c>
      <c r="C6493" s="9">
        <v>1.82</v>
      </c>
      <c r="D6493" s="13">
        <f t="shared" si="101"/>
        <v>1.82</v>
      </c>
    </row>
    <row r="6494" spans="1:4" x14ac:dyDescent="0.25">
      <c r="A6494" s="15">
        <f>Sheet2!A6494</f>
        <v>0</v>
      </c>
      <c r="B6494" s="8">
        <v>10.44</v>
      </c>
      <c r="C6494" s="9">
        <v>0</v>
      </c>
      <c r="D6494" s="13">
        <f t="shared" si="101"/>
        <v>10.44</v>
      </c>
    </row>
    <row r="6495" spans="1:4" x14ac:dyDescent="0.25">
      <c r="A6495" s="15">
        <f>Sheet2!A6495</f>
        <v>0</v>
      </c>
      <c r="B6495" s="8">
        <v>13.65</v>
      </c>
      <c r="C6495" s="9">
        <v>0</v>
      </c>
      <c r="D6495" s="13">
        <f t="shared" si="101"/>
        <v>13.65</v>
      </c>
    </row>
    <row r="6496" spans="1:4" x14ac:dyDescent="0.25">
      <c r="A6496" s="15">
        <f>Sheet2!A6496</f>
        <v>0</v>
      </c>
      <c r="B6496" s="8">
        <v>6.2</v>
      </c>
      <c r="C6496" s="9">
        <v>0</v>
      </c>
      <c r="D6496" s="13">
        <f t="shared" si="101"/>
        <v>6.2</v>
      </c>
    </row>
    <row r="6497" spans="1:4" x14ac:dyDescent="0.25">
      <c r="A6497" s="15">
        <f>Sheet2!A6497</f>
        <v>0</v>
      </c>
      <c r="B6497" s="8">
        <v>0</v>
      </c>
      <c r="C6497" s="9">
        <v>1.97</v>
      </c>
      <c r="D6497" s="13">
        <f t="shared" si="101"/>
        <v>1.97</v>
      </c>
    </row>
    <row r="6498" spans="1:4" x14ac:dyDescent="0.25">
      <c r="A6498" s="15">
        <f>Sheet2!A6498</f>
        <v>0</v>
      </c>
      <c r="B6498" s="8">
        <v>0</v>
      </c>
      <c r="C6498" s="9">
        <v>2.82</v>
      </c>
      <c r="D6498" s="13">
        <f t="shared" si="101"/>
        <v>2.82</v>
      </c>
    </row>
    <row r="6499" spans="1:4" x14ac:dyDescent="0.25">
      <c r="A6499" s="15">
        <f>Sheet2!A6499</f>
        <v>0</v>
      </c>
      <c r="B6499" s="8">
        <v>0</v>
      </c>
      <c r="C6499" s="9">
        <v>1.6</v>
      </c>
      <c r="D6499" s="13">
        <f t="shared" si="101"/>
        <v>1.6</v>
      </c>
    </row>
    <row r="6500" spans="1:4" x14ac:dyDescent="0.25">
      <c r="A6500" s="15">
        <f>Sheet2!A6500</f>
        <v>0</v>
      </c>
      <c r="B6500" s="8">
        <v>8.11</v>
      </c>
      <c r="C6500" s="9">
        <v>0</v>
      </c>
      <c r="D6500" s="13">
        <f t="shared" si="101"/>
        <v>8.11</v>
      </c>
    </row>
    <row r="6501" spans="1:4" x14ac:dyDescent="0.25">
      <c r="A6501" s="15">
        <f>Sheet2!A6501</f>
        <v>0</v>
      </c>
      <c r="B6501" s="8">
        <v>0</v>
      </c>
      <c r="C6501" s="9">
        <v>1.76</v>
      </c>
      <c r="D6501" s="13">
        <f t="shared" si="101"/>
        <v>1.76</v>
      </c>
    </row>
    <row r="6502" spans="1:4" x14ac:dyDescent="0.25">
      <c r="A6502" s="15">
        <f>Sheet2!A6502</f>
        <v>0</v>
      </c>
      <c r="B6502" s="8">
        <v>0</v>
      </c>
      <c r="C6502" s="9">
        <v>3.04</v>
      </c>
      <c r="D6502" s="13">
        <f t="shared" si="101"/>
        <v>3.04</v>
      </c>
    </row>
    <row r="6503" spans="1:4" x14ac:dyDescent="0.25">
      <c r="A6503" s="15">
        <f>Sheet2!A6503</f>
        <v>0</v>
      </c>
      <c r="B6503" s="8">
        <v>0</v>
      </c>
      <c r="C6503" s="9">
        <v>1.21</v>
      </c>
      <c r="D6503" s="13">
        <f t="shared" si="101"/>
        <v>1.21</v>
      </c>
    </row>
    <row r="6504" spans="1:4" x14ac:dyDescent="0.25">
      <c r="A6504" s="15">
        <f>Sheet2!A6504</f>
        <v>0</v>
      </c>
      <c r="B6504" s="8">
        <v>5.85</v>
      </c>
      <c r="C6504" s="9">
        <v>0</v>
      </c>
      <c r="D6504" s="13">
        <f t="shared" si="101"/>
        <v>5.85</v>
      </c>
    </row>
    <row r="6505" spans="1:4" x14ac:dyDescent="0.25">
      <c r="A6505" s="15">
        <f>Sheet2!A6505</f>
        <v>0</v>
      </c>
      <c r="B6505" s="8">
        <v>7.87</v>
      </c>
      <c r="C6505" s="9">
        <v>0</v>
      </c>
      <c r="D6505" s="13">
        <f t="shared" si="101"/>
        <v>7.87</v>
      </c>
    </row>
    <row r="6506" spans="1:4" x14ac:dyDescent="0.25">
      <c r="A6506" s="15">
        <f>Sheet2!A6506</f>
        <v>0</v>
      </c>
      <c r="B6506" s="8">
        <v>8.35</v>
      </c>
      <c r="C6506" s="9">
        <v>0</v>
      </c>
      <c r="D6506" s="13">
        <f t="shared" si="101"/>
        <v>8.35</v>
      </c>
    </row>
    <row r="6507" spans="1:4" x14ac:dyDescent="0.25">
      <c r="A6507" s="15">
        <f>Sheet2!A6507</f>
        <v>0</v>
      </c>
      <c r="B6507" s="8">
        <v>7.21</v>
      </c>
      <c r="C6507" s="9">
        <v>0</v>
      </c>
      <c r="D6507" s="13">
        <f t="shared" si="101"/>
        <v>7.21</v>
      </c>
    </row>
    <row r="6508" spans="1:4" x14ac:dyDescent="0.25">
      <c r="A6508" s="15">
        <f>Sheet2!A6508</f>
        <v>0</v>
      </c>
      <c r="B6508" s="8">
        <v>6.53</v>
      </c>
      <c r="C6508" s="9">
        <v>0</v>
      </c>
      <c r="D6508" s="13">
        <f t="shared" si="101"/>
        <v>6.53</v>
      </c>
    </row>
    <row r="6509" spans="1:4" x14ac:dyDescent="0.25">
      <c r="A6509" s="15">
        <f>Sheet2!A6509</f>
        <v>0</v>
      </c>
      <c r="B6509" s="8">
        <v>6.47</v>
      </c>
      <c r="C6509" s="9">
        <v>0</v>
      </c>
      <c r="D6509" s="13">
        <f t="shared" si="101"/>
        <v>6.47</v>
      </c>
    </row>
    <row r="6510" spans="1:4" x14ac:dyDescent="0.25">
      <c r="A6510" s="15">
        <f>Sheet2!A6510</f>
        <v>0</v>
      </c>
      <c r="B6510" s="8">
        <v>6.43</v>
      </c>
      <c r="C6510" s="9">
        <v>0</v>
      </c>
      <c r="D6510" s="13">
        <f t="shared" si="101"/>
        <v>6.43</v>
      </c>
    </row>
    <row r="6511" spans="1:4" x14ac:dyDescent="0.25">
      <c r="A6511" s="15">
        <f>Sheet2!A6511</f>
        <v>0</v>
      </c>
      <c r="B6511" s="8">
        <v>6.78</v>
      </c>
      <c r="C6511" s="9">
        <v>0</v>
      </c>
      <c r="D6511" s="13">
        <f t="shared" si="101"/>
        <v>6.78</v>
      </c>
    </row>
    <row r="6512" spans="1:4" x14ac:dyDescent="0.25">
      <c r="A6512" s="15">
        <f>Sheet2!A6512</f>
        <v>0</v>
      </c>
      <c r="B6512" s="8">
        <v>6.68</v>
      </c>
      <c r="C6512" s="9">
        <v>0</v>
      </c>
      <c r="D6512" s="13">
        <f t="shared" si="101"/>
        <v>6.68</v>
      </c>
    </row>
    <row r="6513" spans="1:4" x14ac:dyDescent="0.25">
      <c r="A6513" s="15">
        <f>Sheet2!A6513</f>
        <v>0</v>
      </c>
      <c r="B6513" s="8">
        <v>0</v>
      </c>
      <c r="C6513" s="9">
        <v>0.92</v>
      </c>
      <c r="D6513" s="13">
        <f t="shared" si="101"/>
        <v>0.92</v>
      </c>
    </row>
    <row r="6514" spans="1:4" x14ac:dyDescent="0.25">
      <c r="A6514" s="15">
        <f>Sheet2!A6514</f>
        <v>0</v>
      </c>
      <c r="B6514" s="8">
        <v>0</v>
      </c>
      <c r="C6514" s="9">
        <v>2.44</v>
      </c>
      <c r="D6514" s="13">
        <f t="shared" si="101"/>
        <v>2.44</v>
      </c>
    </row>
    <row r="6515" spans="1:4" x14ac:dyDescent="0.25">
      <c r="A6515" s="15">
        <f>Sheet2!A6515</f>
        <v>0</v>
      </c>
      <c r="B6515" s="8">
        <v>0</v>
      </c>
      <c r="C6515" s="9">
        <v>2.42</v>
      </c>
      <c r="D6515" s="13">
        <f t="shared" si="101"/>
        <v>2.42</v>
      </c>
    </row>
    <row r="6516" spans="1:4" x14ac:dyDescent="0.25">
      <c r="A6516" s="15">
        <f>Sheet2!A6516</f>
        <v>0</v>
      </c>
      <c r="B6516" s="8">
        <v>0</v>
      </c>
      <c r="C6516" s="9">
        <v>0.32</v>
      </c>
      <c r="D6516" s="13">
        <f t="shared" si="101"/>
        <v>0.32</v>
      </c>
    </row>
    <row r="6517" spans="1:4" x14ac:dyDescent="0.25">
      <c r="A6517" s="15">
        <f>Sheet2!A6517</f>
        <v>0</v>
      </c>
      <c r="B6517" s="8">
        <v>10.16</v>
      </c>
      <c r="C6517" s="9">
        <v>0</v>
      </c>
      <c r="D6517" s="13">
        <f t="shared" si="101"/>
        <v>10.16</v>
      </c>
    </row>
    <row r="6518" spans="1:4" x14ac:dyDescent="0.25">
      <c r="A6518" s="15">
        <f>Sheet2!A6518</f>
        <v>0</v>
      </c>
      <c r="B6518" s="8">
        <v>0</v>
      </c>
      <c r="C6518" s="9">
        <v>0.36</v>
      </c>
      <c r="D6518" s="13">
        <f t="shared" si="101"/>
        <v>0.36</v>
      </c>
    </row>
    <row r="6519" spans="1:4" x14ac:dyDescent="0.25">
      <c r="A6519" s="15">
        <f>Sheet2!A6519</f>
        <v>0</v>
      </c>
      <c r="B6519" s="8">
        <v>0</v>
      </c>
      <c r="C6519" s="9">
        <v>0.37</v>
      </c>
      <c r="D6519" s="13">
        <f t="shared" si="101"/>
        <v>0.37</v>
      </c>
    </row>
    <row r="6520" spans="1:4" x14ac:dyDescent="0.25">
      <c r="A6520" s="15">
        <f>Sheet2!A6520</f>
        <v>0</v>
      </c>
      <c r="B6520" s="8">
        <v>7.2</v>
      </c>
      <c r="C6520" s="9">
        <v>0</v>
      </c>
      <c r="D6520" s="13">
        <f t="shared" si="101"/>
        <v>7.2</v>
      </c>
    </row>
    <row r="6521" spans="1:4" x14ac:dyDescent="0.25">
      <c r="A6521" s="15">
        <f>Sheet2!A6521</f>
        <v>0</v>
      </c>
      <c r="B6521" s="8">
        <v>7.91</v>
      </c>
      <c r="C6521" s="9">
        <v>0</v>
      </c>
      <c r="D6521" s="13">
        <f t="shared" si="101"/>
        <v>7.91</v>
      </c>
    </row>
    <row r="6522" spans="1:4" x14ac:dyDescent="0.25">
      <c r="A6522" s="15">
        <f>Sheet2!A6522</f>
        <v>0</v>
      </c>
      <c r="B6522" s="8">
        <v>7.03</v>
      </c>
      <c r="C6522" s="9">
        <v>0</v>
      </c>
      <c r="D6522" s="13">
        <f t="shared" si="101"/>
        <v>7.03</v>
      </c>
    </row>
    <row r="6523" spans="1:4" x14ac:dyDescent="0.25">
      <c r="A6523" s="15">
        <f>Sheet2!A6523</f>
        <v>0</v>
      </c>
      <c r="B6523" s="8">
        <v>0</v>
      </c>
      <c r="C6523" s="9">
        <v>2.12</v>
      </c>
      <c r="D6523" s="13">
        <f t="shared" si="101"/>
        <v>2.12</v>
      </c>
    </row>
    <row r="6524" spans="1:4" x14ac:dyDescent="0.25">
      <c r="A6524" s="15">
        <f>Sheet2!A6524</f>
        <v>0</v>
      </c>
      <c r="B6524" s="8">
        <v>0</v>
      </c>
      <c r="C6524" s="9">
        <v>2.95</v>
      </c>
      <c r="D6524" s="13">
        <f t="shared" si="101"/>
        <v>2.95</v>
      </c>
    </row>
    <row r="6525" spans="1:4" x14ac:dyDescent="0.25">
      <c r="A6525" s="15">
        <f>Sheet2!A6525</f>
        <v>0</v>
      </c>
      <c r="B6525" s="8">
        <v>0</v>
      </c>
      <c r="C6525" s="9">
        <v>1.31</v>
      </c>
      <c r="D6525" s="13">
        <f t="shared" si="101"/>
        <v>1.31</v>
      </c>
    </row>
    <row r="6526" spans="1:4" x14ac:dyDescent="0.25">
      <c r="A6526" s="15">
        <f>Sheet2!A6526</f>
        <v>0</v>
      </c>
      <c r="B6526" s="8">
        <v>8.39</v>
      </c>
      <c r="C6526" s="9">
        <v>0</v>
      </c>
      <c r="D6526" s="13">
        <f t="shared" si="101"/>
        <v>8.39</v>
      </c>
    </row>
    <row r="6527" spans="1:4" x14ac:dyDescent="0.25">
      <c r="A6527" s="15">
        <f>Sheet2!A6527</f>
        <v>0</v>
      </c>
      <c r="B6527" s="8">
        <v>8.15</v>
      </c>
      <c r="C6527" s="9">
        <v>0</v>
      </c>
      <c r="D6527" s="13">
        <f t="shared" si="101"/>
        <v>8.15</v>
      </c>
    </row>
    <row r="6528" spans="1:4" x14ac:dyDescent="0.25">
      <c r="A6528" s="15">
        <f>Sheet2!A6528</f>
        <v>0</v>
      </c>
      <c r="B6528" s="8">
        <v>9.02</v>
      </c>
      <c r="C6528" s="9">
        <v>0</v>
      </c>
      <c r="D6528" s="13">
        <f t="shared" si="101"/>
        <v>9.02</v>
      </c>
    </row>
    <row r="6529" spans="1:4" x14ac:dyDescent="0.25">
      <c r="A6529" s="15">
        <f>Sheet2!A6529</f>
        <v>0</v>
      </c>
      <c r="B6529" s="8">
        <v>7.04</v>
      </c>
      <c r="C6529" s="9">
        <v>0</v>
      </c>
      <c r="D6529" s="13">
        <f t="shared" si="101"/>
        <v>7.04</v>
      </c>
    </row>
    <row r="6530" spans="1:4" x14ac:dyDescent="0.25">
      <c r="A6530" s="15">
        <f>Sheet2!A6530</f>
        <v>0</v>
      </c>
      <c r="B6530" s="8">
        <v>4.84</v>
      </c>
      <c r="C6530" s="9">
        <v>0</v>
      </c>
      <c r="D6530" s="13">
        <f t="shared" si="101"/>
        <v>4.84</v>
      </c>
    </row>
    <row r="6531" spans="1:4" x14ac:dyDescent="0.25">
      <c r="A6531" s="15">
        <f>Sheet2!A6531</f>
        <v>0</v>
      </c>
      <c r="B6531" s="8">
        <v>5.28</v>
      </c>
      <c r="C6531" s="9">
        <v>0</v>
      </c>
      <c r="D6531" s="13">
        <f t="shared" ref="D6531:D6594" si="102">B6531+C6531</f>
        <v>5.28</v>
      </c>
    </row>
    <row r="6532" spans="1:4" x14ac:dyDescent="0.25">
      <c r="A6532" s="15">
        <f>Sheet2!A6532</f>
        <v>0</v>
      </c>
      <c r="B6532" s="8">
        <v>5.66</v>
      </c>
      <c r="C6532" s="9">
        <v>0</v>
      </c>
      <c r="D6532" s="13">
        <f t="shared" si="102"/>
        <v>5.66</v>
      </c>
    </row>
    <row r="6533" spans="1:4" x14ac:dyDescent="0.25">
      <c r="A6533" s="15">
        <f>Sheet2!A6533</f>
        <v>0</v>
      </c>
      <c r="B6533" s="8">
        <v>6.09</v>
      </c>
      <c r="C6533" s="9">
        <v>0</v>
      </c>
      <c r="D6533" s="13">
        <f t="shared" si="102"/>
        <v>6.09</v>
      </c>
    </row>
    <row r="6534" spans="1:4" x14ac:dyDescent="0.25">
      <c r="A6534" s="15">
        <f>Sheet2!A6534</f>
        <v>0</v>
      </c>
      <c r="B6534" s="8">
        <v>6.01</v>
      </c>
      <c r="C6534" s="9">
        <v>0</v>
      </c>
      <c r="D6534" s="13">
        <f t="shared" si="102"/>
        <v>6.01</v>
      </c>
    </row>
    <row r="6535" spans="1:4" x14ac:dyDescent="0.25">
      <c r="A6535" s="15">
        <f>Sheet2!A6535</f>
        <v>0</v>
      </c>
      <c r="B6535" s="8">
        <v>4.87</v>
      </c>
      <c r="C6535" s="9">
        <v>0</v>
      </c>
      <c r="D6535" s="13">
        <f t="shared" si="102"/>
        <v>4.87</v>
      </c>
    </row>
    <row r="6536" spans="1:4" x14ac:dyDescent="0.25">
      <c r="A6536" s="15">
        <f>Sheet2!A6536</f>
        <v>0</v>
      </c>
      <c r="B6536" s="8">
        <v>0</v>
      </c>
      <c r="C6536" s="9">
        <v>0.38</v>
      </c>
      <c r="D6536" s="13">
        <f t="shared" si="102"/>
        <v>0.38</v>
      </c>
    </row>
    <row r="6537" spans="1:4" x14ac:dyDescent="0.25">
      <c r="A6537" s="15">
        <f>Sheet2!A6537</f>
        <v>0</v>
      </c>
      <c r="B6537" s="8">
        <v>0</v>
      </c>
      <c r="C6537" s="9">
        <v>0.36</v>
      </c>
      <c r="D6537" s="13">
        <f t="shared" si="102"/>
        <v>0.36</v>
      </c>
    </row>
    <row r="6538" spans="1:4" x14ac:dyDescent="0.25">
      <c r="A6538" s="15">
        <f>Sheet2!A6538</f>
        <v>0</v>
      </c>
      <c r="B6538" s="8">
        <v>4.1100000000000003</v>
      </c>
      <c r="C6538" s="9">
        <v>0</v>
      </c>
      <c r="D6538" s="13">
        <f t="shared" si="102"/>
        <v>4.1100000000000003</v>
      </c>
    </row>
    <row r="6539" spans="1:4" x14ac:dyDescent="0.25">
      <c r="A6539" s="15">
        <f>Sheet2!A6539</f>
        <v>0</v>
      </c>
      <c r="B6539" s="8">
        <v>4.09</v>
      </c>
      <c r="C6539" s="9">
        <v>0</v>
      </c>
      <c r="D6539" s="13">
        <f t="shared" si="102"/>
        <v>4.09</v>
      </c>
    </row>
    <row r="6540" spans="1:4" x14ac:dyDescent="0.25">
      <c r="A6540" s="15">
        <f>Sheet2!A6540</f>
        <v>0</v>
      </c>
      <c r="B6540" s="8">
        <v>3.5</v>
      </c>
      <c r="C6540" s="9">
        <v>0</v>
      </c>
      <c r="D6540" s="13">
        <f t="shared" si="102"/>
        <v>3.5</v>
      </c>
    </row>
    <row r="6541" spans="1:4" x14ac:dyDescent="0.25">
      <c r="A6541" s="15">
        <f>Sheet2!A6541</f>
        <v>0</v>
      </c>
      <c r="B6541" s="8">
        <v>5.16</v>
      </c>
      <c r="C6541" s="9">
        <v>0</v>
      </c>
      <c r="D6541" s="13">
        <f t="shared" si="102"/>
        <v>5.16</v>
      </c>
    </row>
    <row r="6542" spans="1:4" x14ac:dyDescent="0.25">
      <c r="A6542" s="15">
        <f>Sheet2!A6542</f>
        <v>0</v>
      </c>
      <c r="B6542" s="8">
        <v>0</v>
      </c>
      <c r="C6542" s="9">
        <v>1.28</v>
      </c>
      <c r="D6542" s="13">
        <f t="shared" si="102"/>
        <v>1.28</v>
      </c>
    </row>
    <row r="6543" spans="1:4" x14ac:dyDescent="0.25">
      <c r="A6543" s="15">
        <f>Sheet2!A6543</f>
        <v>0</v>
      </c>
      <c r="B6543" s="8">
        <v>0</v>
      </c>
      <c r="C6543" s="9">
        <v>0.78</v>
      </c>
      <c r="D6543" s="13">
        <f t="shared" si="102"/>
        <v>0.78</v>
      </c>
    </row>
    <row r="6544" spans="1:4" x14ac:dyDescent="0.25">
      <c r="A6544" s="15">
        <f>Sheet2!A6544</f>
        <v>0</v>
      </c>
      <c r="B6544" s="8">
        <v>5.42</v>
      </c>
      <c r="C6544" s="9">
        <v>0</v>
      </c>
      <c r="D6544" s="13">
        <f t="shared" si="102"/>
        <v>5.42</v>
      </c>
    </row>
    <row r="6545" spans="1:4" x14ac:dyDescent="0.25">
      <c r="A6545" s="15">
        <f>Sheet2!A6545</f>
        <v>0</v>
      </c>
      <c r="B6545" s="8">
        <v>5.97</v>
      </c>
      <c r="C6545" s="9">
        <v>0</v>
      </c>
      <c r="D6545" s="13">
        <f t="shared" si="102"/>
        <v>5.97</v>
      </c>
    </row>
    <row r="6546" spans="1:4" x14ac:dyDescent="0.25">
      <c r="A6546" s="15">
        <f>Sheet2!A6546</f>
        <v>0</v>
      </c>
      <c r="B6546" s="8">
        <v>6.89</v>
      </c>
      <c r="C6546" s="9">
        <v>0</v>
      </c>
      <c r="D6546" s="13">
        <f t="shared" si="102"/>
        <v>6.89</v>
      </c>
    </row>
    <row r="6547" spans="1:4" x14ac:dyDescent="0.25">
      <c r="A6547" s="15">
        <f>Sheet2!A6547</f>
        <v>0</v>
      </c>
      <c r="B6547" s="8">
        <v>0</v>
      </c>
      <c r="C6547" s="9">
        <v>0.75</v>
      </c>
      <c r="D6547" s="13">
        <f t="shared" si="102"/>
        <v>0.75</v>
      </c>
    </row>
    <row r="6548" spans="1:4" x14ac:dyDescent="0.25">
      <c r="A6548" s="15">
        <f>Sheet2!A6548</f>
        <v>0</v>
      </c>
      <c r="B6548" s="8">
        <v>0</v>
      </c>
      <c r="C6548" s="9">
        <v>2.94</v>
      </c>
      <c r="D6548" s="13">
        <f t="shared" si="102"/>
        <v>2.94</v>
      </c>
    </row>
    <row r="6549" spans="1:4" x14ac:dyDescent="0.25">
      <c r="A6549" s="15">
        <f>Sheet2!A6549</f>
        <v>0</v>
      </c>
      <c r="B6549" s="8">
        <v>0</v>
      </c>
      <c r="C6549" s="9">
        <v>2</v>
      </c>
      <c r="D6549" s="13">
        <f t="shared" si="102"/>
        <v>2</v>
      </c>
    </row>
    <row r="6550" spans="1:4" x14ac:dyDescent="0.25">
      <c r="A6550" s="15">
        <f>Sheet2!A6550</f>
        <v>0</v>
      </c>
      <c r="B6550" s="8">
        <v>10.69</v>
      </c>
      <c r="C6550" s="9">
        <v>0</v>
      </c>
      <c r="D6550" s="13">
        <f t="shared" si="102"/>
        <v>10.69</v>
      </c>
    </row>
    <row r="6551" spans="1:4" x14ac:dyDescent="0.25">
      <c r="A6551" s="15">
        <f>Sheet2!A6551</f>
        <v>0</v>
      </c>
      <c r="B6551" s="8">
        <v>0</v>
      </c>
      <c r="C6551" s="9">
        <v>2.04</v>
      </c>
      <c r="D6551" s="13">
        <f t="shared" si="102"/>
        <v>2.04</v>
      </c>
    </row>
    <row r="6552" spans="1:4" x14ac:dyDescent="0.25">
      <c r="A6552" s="15">
        <f>Sheet2!A6552</f>
        <v>0</v>
      </c>
      <c r="B6552" s="8">
        <v>0</v>
      </c>
      <c r="C6552" s="9">
        <v>4.2300000000000004</v>
      </c>
      <c r="D6552" s="13">
        <f t="shared" si="102"/>
        <v>4.2300000000000004</v>
      </c>
    </row>
    <row r="6553" spans="1:4" x14ac:dyDescent="0.25">
      <c r="A6553" s="15">
        <f>Sheet2!A6553</f>
        <v>0</v>
      </c>
      <c r="B6553" s="8">
        <v>0</v>
      </c>
      <c r="C6553" s="9">
        <v>1.72</v>
      </c>
      <c r="D6553" s="13">
        <f t="shared" si="102"/>
        <v>1.72</v>
      </c>
    </row>
    <row r="6554" spans="1:4" x14ac:dyDescent="0.25">
      <c r="A6554" s="15">
        <f>Sheet2!A6554</f>
        <v>0</v>
      </c>
      <c r="B6554" s="8">
        <v>3.89</v>
      </c>
      <c r="C6554" s="9">
        <v>0</v>
      </c>
      <c r="D6554" s="13">
        <f t="shared" si="102"/>
        <v>3.89</v>
      </c>
    </row>
    <row r="6555" spans="1:4" x14ac:dyDescent="0.25">
      <c r="A6555" s="15">
        <f>Sheet2!A6555</f>
        <v>0</v>
      </c>
      <c r="B6555" s="8">
        <v>3.75</v>
      </c>
      <c r="C6555" s="9">
        <v>0</v>
      </c>
      <c r="D6555" s="13">
        <f t="shared" si="102"/>
        <v>3.75</v>
      </c>
    </row>
    <row r="6556" spans="1:4" x14ac:dyDescent="0.25">
      <c r="A6556" s="15">
        <f>Sheet2!A6556</f>
        <v>0</v>
      </c>
      <c r="B6556" s="8">
        <v>3.74</v>
      </c>
      <c r="C6556" s="9">
        <v>0</v>
      </c>
      <c r="D6556" s="13">
        <f t="shared" si="102"/>
        <v>3.74</v>
      </c>
    </row>
    <row r="6557" spans="1:4" x14ac:dyDescent="0.25">
      <c r="A6557" s="15">
        <f>Sheet2!A6557</f>
        <v>0</v>
      </c>
      <c r="B6557" s="8">
        <v>3.66</v>
      </c>
      <c r="C6557" s="9">
        <v>0</v>
      </c>
      <c r="D6557" s="13">
        <f t="shared" si="102"/>
        <v>3.66</v>
      </c>
    </row>
    <row r="6558" spans="1:4" x14ac:dyDescent="0.25">
      <c r="A6558" s="15">
        <f>Sheet2!A6558</f>
        <v>0</v>
      </c>
      <c r="B6558" s="8">
        <v>2.81</v>
      </c>
      <c r="C6558" s="9">
        <v>0</v>
      </c>
      <c r="D6558" s="13">
        <f t="shared" si="102"/>
        <v>2.81</v>
      </c>
    </row>
    <row r="6559" spans="1:4" x14ac:dyDescent="0.25">
      <c r="A6559" s="15">
        <f>Sheet2!A6559</f>
        <v>0</v>
      </c>
      <c r="B6559" s="8">
        <v>2.76</v>
      </c>
      <c r="C6559" s="9">
        <v>0</v>
      </c>
      <c r="D6559" s="13">
        <f t="shared" si="102"/>
        <v>2.76</v>
      </c>
    </row>
    <row r="6560" spans="1:4" x14ac:dyDescent="0.25">
      <c r="A6560" s="15">
        <f>Sheet2!A6560</f>
        <v>0</v>
      </c>
      <c r="B6560" s="8">
        <v>2.67</v>
      </c>
      <c r="C6560" s="9">
        <v>0</v>
      </c>
      <c r="D6560" s="13">
        <f t="shared" si="102"/>
        <v>2.67</v>
      </c>
    </row>
    <row r="6561" spans="1:4" x14ac:dyDescent="0.25">
      <c r="A6561" s="15">
        <f>Sheet2!A6561</f>
        <v>0</v>
      </c>
      <c r="B6561" s="8">
        <v>0</v>
      </c>
      <c r="C6561" s="9">
        <v>0.25</v>
      </c>
      <c r="D6561" s="13">
        <f t="shared" si="102"/>
        <v>0.25</v>
      </c>
    </row>
    <row r="6562" spans="1:4" x14ac:dyDescent="0.25">
      <c r="A6562" s="15">
        <f>Sheet2!A6562</f>
        <v>0</v>
      </c>
      <c r="B6562" s="8">
        <v>1.1399999999999999</v>
      </c>
      <c r="C6562" s="9">
        <v>0</v>
      </c>
      <c r="D6562" s="13">
        <f t="shared" si="102"/>
        <v>1.1399999999999999</v>
      </c>
    </row>
    <row r="6563" spans="1:4" x14ac:dyDescent="0.25">
      <c r="A6563" s="15">
        <f>Sheet2!A6563</f>
        <v>0</v>
      </c>
      <c r="B6563" s="8">
        <v>2.2200000000000002</v>
      </c>
      <c r="C6563" s="9">
        <v>0</v>
      </c>
      <c r="D6563" s="13">
        <f t="shared" si="102"/>
        <v>2.2200000000000002</v>
      </c>
    </row>
    <row r="6564" spans="1:4" x14ac:dyDescent="0.25">
      <c r="A6564" s="15">
        <f>Sheet2!A6564</f>
        <v>0</v>
      </c>
      <c r="B6564" s="8">
        <v>3.73</v>
      </c>
      <c r="C6564" s="9">
        <v>0</v>
      </c>
      <c r="D6564" s="13">
        <f t="shared" si="102"/>
        <v>3.73</v>
      </c>
    </row>
    <row r="6565" spans="1:4" x14ac:dyDescent="0.25">
      <c r="A6565" s="15">
        <f>Sheet2!A6565</f>
        <v>0</v>
      </c>
      <c r="B6565" s="8">
        <v>3.57</v>
      </c>
      <c r="C6565" s="9">
        <v>0</v>
      </c>
      <c r="D6565" s="13">
        <f t="shared" si="102"/>
        <v>3.57</v>
      </c>
    </row>
    <row r="6566" spans="1:4" x14ac:dyDescent="0.25">
      <c r="A6566" s="15">
        <f>Sheet2!A6566</f>
        <v>0</v>
      </c>
      <c r="B6566" s="8">
        <v>0</v>
      </c>
      <c r="C6566" s="9">
        <v>1.85</v>
      </c>
      <c r="D6566" s="13">
        <f t="shared" si="102"/>
        <v>1.85</v>
      </c>
    </row>
    <row r="6567" spans="1:4" x14ac:dyDescent="0.25">
      <c r="A6567" s="15">
        <f>Sheet2!A6567</f>
        <v>0</v>
      </c>
      <c r="B6567" s="8">
        <v>0</v>
      </c>
      <c r="C6567" s="9">
        <v>1.99</v>
      </c>
      <c r="D6567" s="13">
        <f t="shared" si="102"/>
        <v>1.99</v>
      </c>
    </row>
    <row r="6568" spans="1:4" x14ac:dyDescent="0.25">
      <c r="A6568" s="15">
        <f>Sheet2!A6568</f>
        <v>0</v>
      </c>
      <c r="B6568" s="8">
        <v>0</v>
      </c>
      <c r="C6568" s="9">
        <v>0.76</v>
      </c>
      <c r="D6568" s="13">
        <f t="shared" si="102"/>
        <v>0.76</v>
      </c>
    </row>
    <row r="6569" spans="1:4" x14ac:dyDescent="0.25">
      <c r="A6569" s="15">
        <f>Sheet2!A6569</f>
        <v>0</v>
      </c>
      <c r="B6569" s="8">
        <v>3.52</v>
      </c>
      <c r="C6569" s="9">
        <v>0</v>
      </c>
      <c r="D6569" s="13">
        <f t="shared" si="102"/>
        <v>3.52</v>
      </c>
    </row>
    <row r="6570" spans="1:4" x14ac:dyDescent="0.25">
      <c r="A6570" s="15">
        <f>Sheet2!A6570</f>
        <v>0</v>
      </c>
      <c r="B6570" s="8">
        <v>3.44</v>
      </c>
      <c r="C6570" s="9">
        <v>0</v>
      </c>
      <c r="D6570" s="13">
        <f t="shared" si="102"/>
        <v>3.44</v>
      </c>
    </row>
    <row r="6571" spans="1:4" x14ac:dyDescent="0.25">
      <c r="A6571" s="15">
        <f>Sheet2!A6571</f>
        <v>0</v>
      </c>
      <c r="B6571" s="8">
        <v>0</v>
      </c>
      <c r="C6571" s="9">
        <v>0.24</v>
      </c>
      <c r="D6571" s="13">
        <f t="shared" si="102"/>
        <v>0.24</v>
      </c>
    </row>
    <row r="6572" spans="1:4" x14ac:dyDescent="0.25">
      <c r="A6572" s="15">
        <f>Sheet2!A6572</f>
        <v>0</v>
      </c>
      <c r="B6572" s="8">
        <v>0</v>
      </c>
      <c r="C6572" s="9">
        <v>1.23</v>
      </c>
      <c r="D6572" s="13">
        <f t="shared" si="102"/>
        <v>1.23</v>
      </c>
    </row>
    <row r="6573" spans="1:4" x14ac:dyDescent="0.25">
      <c r="A6573" s="15">
        <f>Sheet2!A6573</f>
        <v>0</v>
      </c>
      <c r="B6573" s="8">
        <v>0</v>
      </c>
      <c r="C6573" s="9">
        <v>0.28000000000000003</v>
      </c>
      <c r="D6573" s="13">
        <f t="shared" si="102"/>
        <v>0.28000000000000003</v>
      </c>
    </row>
    <row r="6574" spans="1:4" x14ac:dyDescent="0.25">
      <c r="A6574" s="15">
        <f>Sheet2!A6574</f>
        <v>0</v>
      </c>
      <c r="B6574" s="8">
        <v>2.5299999999999998</v>
      </c>
      <c r="C6574" s="9">
        <v>0</v>
      </c>
      <c r="D6574" s="13">
        <f t="shared" si="102"/>
        <v>2.5299999999999998</v>
      </c>
    </row>
    <row r="6575" spans="1:4" x14ac:dyDescent="0.25">
      <c r="A6575" s="15">
        <f>Sheet2!A6575</f>
        <v>0</v>
      </c>
      <c r="B6575" s="8">
        <v>2.92</v>
      </c>
      <c r="C6575" s="9">
        <v>0</v>
      </c>
      <c r="D6575" s="13">
        <f t="shared" si="102"/>
        <v>2.92</v>
      </c>
    </row>
    <row r="6576" spans="1:4" x14ac:dyDescent="0.25">
      <c r="A6576" s="15">
        <f>Sheet2!A6576</f>
        <v>0</v>
      </c>
      <c r="B6576" s="8">
        <v>3.64</v>
      </c>
      <c r="C6576" s="9">
        <v>0</v>
      </c>
      <c r="D6576" s="13">
        <f t="shared" si="102"/>
        <v>3.64</v>
      </c>
    </row>
    <row r="6577" spans="1:4" x14ac:dyDescent="0.25">
      <c r="A6577" s="15">
        <f>Sheet2!A6577</f>
        <v>0</v>
      </c>
      <c r="B6577" s="8">
        <v>3.59</v>
      </c>
      <c r="C6577" s="9">
        <v>0</v>
      </c>
      <c r="D6577" s="13">
        <f t="shared" si="102"/>
        <v>3.59</v>
      </c>
    </row>
    <row r="6578" spans="1:4" x14ac:dyDescent="0.25">
      <c r="A6578" s="15">
        <f>Sheet2!A6578</f>
        <v>0</v>
      </c>
      <c r="B6578" s="8">
        <v>3.54</v>
      </c>
      <c r="C6578" s="9">
        <v>0</v>
      </c>
      <c r="D6578" s="13">
        <f t="shared" si="102"/>
        <v>3.54</v>
      </c>
    </row>
    <row r="6579" spans="1:4" x14ac:dyDescent="0.25">
      <c r="A6579" s="15">
        <f>Sheet2!A6579</f>
        <v>0</v>
      </c>
      <c r="B6579" s="8">
        <v>3.45</v>
      </c>
      <c r="C6579" s="9">
        <v>0</v>
      </c>
      <c r="D6579" s="13">
        <f t="shared" si="102"/>
        <v>3.45</v>
      </c>
    </row>
    <row r="6580" spans="1:4" x14ac:dyDescent="0.25">
      <c r="A6580" s="15">
        <f>Sheet2!A6580</f>
        <v>0</v>
      </c>
      <c r="B6580" s="8">
        <v>3.51</v>
      </c>
      <c r="C6580" s="9">
        <v>0</v>
      </c>
      <c r="D6580" s="13">
        <f t="shared" si="102"/>
        <v>3.51</v>
      </c>
    </row>
    <row r="6581" spans="1:4" x14ac:dyDescent="0.25">
      <c r="A6581" s="15">
        <f>Sheet2!A6581</f>
        <v>0</v>
      </c>
      <c r="B6581" s="8">
        <v>3.44</v>
      </c>
      <c r="C6581" s="9">
        <v>0</v>
      </c>
      <c r="D6581" s="13">
        <f t="shared" si="102"/>
        <v>3.44</v>
      </c>
    </row>
    <row r="6582" spans="1:4" x14ac:dyDescent="0.25">
      <c r="A6582" s="15">
        <f>Sheet2!A6582</f>
        <v>0</v>
      </c>
      <c r="B6582" s="8">
        <v>2.79</v>
      </c>
      <c r="C6582" s="9">
        <v>0</v>
      </c>
      <c r="D6582" s="13">
        <f t="shared" si="102"/>
        <v>2.79</v>
      </c>
    </row>
    <row r="6583" spans="1:4" x14ac:dyDescent="0.25">
      <c r="A6583" s="15">
        <f>Sheet2!A6583</f>
        <v>0</v>
      </c>
      <c r="B6583" s="8">
        <v>2.21</v>
      </c>
      <c r="C6583" s="9">
        <v>0</v>
      </c>
      <c r="D6583" s="13">
        <f t="shared" si="102"/>
        <v>2.21</v>
      </c>
    </row>
    <row r="6584" spans="1:4" x14ac:dyDescent="0.25">
      <c r="A6584" s="15">
        <f>Sheet2!A6584</f>
        <v>0</v>
      </c>
      <c r="B6584" s="8">
        <v>2.71</v>
      </c>
      <c r="C6584" s="9">
        <v>0</v>
      </c>
      <c r="D6584" s="13">
        <f t="shared" si="102"/>
        <v>2.71</v>
      </c>
    </row>
    <row r="6585" spans="1:4" x14ac:dyDescent="0.25">
      <c r="A6585" s="15">
        <f>Sheet2!A6585</f>
        <v>0</v>
      </c>
      <c r="B6585" s="8">
        <v>2.73</v>
      </c>
      <c r="C6585" s="9">
        <v>0</v>
      </c>
      <c r="D6585" s="13">
        <f t="shared" si="102"/>
        <v>2.73</v>
      </c>
    </row>
    <row r="6586" spans="1:4" x14ac:dyDescent="0.25">
      <c r="A6586" s="15">
        <f>Sheet2!A6586</f>
        <v>0</v>
      </c>
      <c r="B6586" s="8">
        <v>2</v>
      </c>
      <c r="C6586" s="9">
        <v>0</v>
      </c>
      <c r="D6586" s="13">
        <f t="shared" si="102"/>
        <v>2</v>
      </c>
    </row>
    <row r="6587" spans="1:4" x14ac:dyDescent="0.25">
      <c r="A6587" s="15">
        <f>Sheet2!A6587</f>
        <v>0</v>
      </c>
      <c r="B6587" s="8">
        <v>2.4700000000000002</v>
      </c>
      <c r="C6587" s="9">
        <v>0</v>
      </c>
      <c r="D6587" s="13">
        <f t="shared" si="102"/>
        <v>2.4700000000000002</v>
      </c>
    </row>
    <row r="6588" spans="1:4" x14ac:dyDescent="0.25">
      <c r="A6588" s="15">
        <f>Sheet2!A6588</f>
        <v>0</v>
      </c>
      <c r="B6588" s="8">
        <v>3.18</v>
      </c>
      <c r="C6588" s="9">
        <v>0</v>
      </c>
      <c r="D6588" s="13">
        <f t="shared" si="102"/>
        <v>3.18</v>
      </c>
    </row>
    <row r="6589" spans="1:4" x14ac:dyDescent="0.25">
      <c r="A6589" s="15">
        <f>Sheet2!A6589</f>
        <v>0</v>
      </c>
      <c r="B6589" s="8">
        <v>3.27</v>
      </c>
      <c r="C6589" s="9">
        <v>0</v>
      </c>
      <c r="D6589" s="13">
        <f t="shared" si="102"/>
        <v>3.27</v>
      </c>
    </row>
    <row r="6590" spans="1:4" x14ac:dyDescent="0.25">
      <c r="A6590" s="15">
        <f>Sheet2!A6590</f>
        <v>0</v>
      </c>
      <c r="B6590" s="8">
        <v>0</v>
      </c>
      <c r="C6590" s="9">
        <v>1.78</v>
      </c>
      <c r="D6590" s="13">
        <f t="shared" si="102"/>
        <v>1.78</v>
      </c>
    </row>
    <row r="6591" spans="1:4" x14ac:dyDescent="0.25">
      <c r="A6591" s="15">
        <f>Sheet2!A6591</f>
        <v>0</v>
      </c>
      <c r="B6591" s="8">
        <v>0</v>
      </c>
      <c r="C6591" s="9">
        <v>0.71</v>
      </c>
      <c r="D6591" s="13">
        <f t="shared" si="102"/>
        <v>0.71</v>
      </c>
    </row>
    <row r="6592" spans="1:4" x14ac:dyDescent="0.25">
      <c r="A6592" s="15">
        <f>Sheet2!A6592</f>
        <v>0</v>
      </c>
      <c r="B6592" s="8">
        <v>2.71</v>
      </c>
      <c r="C6592" s="9">
        <v>0</v>
      </c>
      <c r="D6592" s="13">
        <f t="shared" si="102"/>
        <v>2.71</v>
      </c>
    </row>
    <row r="6593" spans="1:4" x14ac:dyDescent="0.25">
      <c r="A6593" s="15">
        <f>Sheet2!A6593</f>
        <v>0</v>
      </c>
      <c r="B6593" s="8">
        <v>3.93</v>
      </c>
      <c r="C6593" s="9">
        <v>0</v>
      </c>
      <c r="D6593" s="13">
        <f t="shared" si="102"/>
        <v>3.93</v>
      </c>
    </row>
    <row r="6594" spans="1:4" x14ac:dyDescent="0.25">
      <c r="A6594" s="15">
        <f>Sheet2!A6594</f>
        <v>0</v>
      </c>
      <c r="B6594" s="8">
        <v>3.32</v>
      </c>
      <c r="C6594" s="9">
        <v>0</v>
      </c>
      <c r="D6594" s="13">
        <f t="shared" si="102"/>
        <v>3.32</v>
      </c>
    </row>
    <row r="6595" spans="1:4" x14ac:dyDescent="0.25">
      <c r="A6595" s="15">
        <f>Sheet2!A6595</f>
        <v>0</v>
      </c>
      <c r="B6595" s="8">
        <v>2.1800000000000002</v>
      </c>
      <c r="C6595" s="9">
        <v>0</v>
      </c>
      <c r="D6595" s="13">
        <f t="shared" ref="D6595:D6658" si="103">B6595+C6595</f>
        <v>2.1800000000000002</v>
      </c>
    </row>
    <row r="6596" spans="1:4" x14ac:dyDescent="0.25">
      <c r="A6596" s="15">
        <f>Sheet2!A6596</f>
        <v>0</v>
      </c>
      <c r="B6596" s="8">
        <v>2.61</v>
      </c>
      <c r="C6596" s="9">
        <v>0</v>
      </c>
      <c r="D6596" s="13">
        <f t="shared" si="103"/>
        <v>2.61</v>
      </c>
    </row>
    <row r="6597" spans="1:4" x14ac:dyDescent="0.25">
      <c r="A6597" s="15">
        <f>Sheet2!A6597</f>
        <v>0</v>
      </c>
      <c r="B6597" s="8">
        <v>2.2000000000000002</v>
      </c>
      <c r="C6597" s="9">
        <v>0</v>
      </c>
      <c r="D6597" s="13">
        <f t="shared" si="103"/>
        <v>2.2000000000000002</v>
      </c>
    </row>
    <row r="6598" spans="1:4" x14ac:dyDescent="0.25">
      <c r="A6598" s="15">
        <f>Sheet2!A6598</f>
        <v>0</v>
      </c>
      <c r="B6598" s="8">
        <v>2.61</v>
      </c>
      <c r="C6598" s="9">
        <v>0</v>
      </c>
      <c r="D6598" s="13">
        <f t="shared" si="103"/>
        <v>2.61</v>
      </c>
    </row>
    <row r="6599" spans="1:4" x14ac:dyDescent="0.25">
      <c r="A6599" s="15">
        <f>Sheet2!A6599</f>
        <v>0</v>
      </c>
      <c r="B6599" s="8">
        <v>2.5</v>
      </c>
      <c r="C6599" s="9">
        <v>0</v>
      </c>
      <c r="D6599" s="13">
        <f t="shared" si="103"/>
        <v>2.5</v>
      </c>
    </row>
    <row r="6600" spans="1:4" x14ac:dyDescent="0.25">
      <c r="A6600" s="15">
        <f>Sheet2!A6600</f>
        <v>0</v>
      </c>
      <c r="B6600" s="8">
        <v>2.17</v>
      </c>
      <c r="C6600" s="9">
        <v>0</v>
      </c>
      <c r="D6600" s="13">
        <f t="shared" si="103"/>
        <v>2.17</v>
      </c>
    </row>
    <row r="6601" spans="1:4" x14ac:dyDescent="0.25">
      <c r="A6601" s="15">
        <f>Sheet2!A6601</f>
        <v>0</v>
      </c>
      <c r="B6601" s="8">
        <v>2.5499999999999998</v>
      </c>
      <c r="C6601" s="9">
        <v>0</v>
      </c>
      <c r="D6601" s="13">
        <f t="shared" si="103"/>
        <v>2.5499999999999998</v>
      </c>
    </row>
    <row r="6602" spans="1:4" x14ac:dyDescent="0.25">
      <c r="A6602" s="15">
        <f>Sheet2!A6602</f>
        <v>0</v>
      </c>
      <c r="B6602" s="8">
        <v>2.4300000000000002</v>
      </c>
      <c r="C6602" s="9">
        <v>0</v>
      </c>
      <c r="D6602" s="13">
        <f t="shared" si="103"/>
        <v>2.4300000000000002</v>
      </c>
    </row>
    <row r="6603" spans="1:4" x14ac:dyDescent="0.25">
      <c r="A6603" s="15">
        <f>Sheet2!A6603</f>
        <v>0</v>
      </c>
      <c r="B6603" s="8">
        <v>1.35</v>
      </c>
      <c r="C6603" s="9">
        <v>0</v>
      </c>
      <c r="D6603" s="13">
        <f t="shared" si="103"/>
        <v>1.35</v>
      </c>
    </row>
    <row r="6604" spans="1:4" x14ac:dyDescent="0.25">
      <c r="A6604" s="15">
        <f>Sheet2!A6604</f>
        <v>0</v>
      </c>
      <c r="B6604" s="8">
        <v>1.1100000000000001</v>
      </c>
      <c r="C6604" s="9">
        <v>0</v>
      </c>
      <c r="D6604" s="13">
        <f t="shared" si="103"/>
        <v>1.1100000000000001</v>
      </c>
    </row>
    <row r="6605" spans="1:4" x14ac:dyDescent="0.25">
      <c r="A6605" s="15">
        <f>Sheet2!A6605</f>
        <v>0</v>
      </c>
      <c r="B6605" s="8">
        <v>2.5099999999999998</v>
      </c>
      <c r="C6605" s="9">
        <v>0</v>
      </c>
      <c r="D6605" s="13">
        <f t="shared" si="103"/>
        <v>2.5099999999999998</v>
      </c>
    </row>
    <row r="6606" spans="1:4" x14ac:dyDescent="0.25">
      <c r="A6606" s="15">
        <f>Sheet2!A6606</f>
        <v>0</v>
      </c>
      <c r="B6606" s="8">
        <v>1.59</v>
      </c>
      <c r="C6606" s="9">
        <v>0</v>
      </c>
      <c r="D6606" s="13">
        <f t="shared" si="103"/>
        <v>1.59</v>
      </c>
    </row>
    <row r="6607" spans="1:4" x14ac:dyDescent="0.25">
      <c r="A6607" s="15">
        <f>Sheet2!A6607</f>
        <v>0</v>
      </c>
      <c r="B6607" s="8">
        <v>1.51</v>
      </c>
      <c r="C6607" s="9">
        <v>0</v>
      </c>
      <c r="D6607" s="13">
        <f t="shared" si="103"/>
        <v>1.51</v>
      </c>
    </row>
    <row r="6608" spans="1:4" x14ac:dyDescent="0.25">
      <c r="A6608" s="15">
        <f>Sheet2!A6608</f>
        <v>0</v>
      </c>
      <c r="B6608" s="8">
        <v>1.48</v>
      </c>
      <c r="C6608" s="9">
        <v>0</v>
      </c>
      <c r="D6608" s="13">
        <f t="shared" si="103"/>
        <v>1.48</v>
      </c>
    </row>
    <row r="6609" spans="1:4" x14ac:dyDescent="0.25">
      <c r="A6609" s="15">
        <f>Sheet2!A6609</f>
        <v>0</v>
      </c>
      <c r="B6609" s="8">
        <v>0.8</v>
      </c>
      <c r="C6609" s="9">
        <v>0</v>
      </c>
      <c r="D6609" s="13">
        <f t="shared" si="103"/>
        <v>0.8</v>
      </c>
    </row>
    <row r="6610" spans="1:4" x14ac:dyDescent="0.25">
      <c r="A6610" s="15">
        <f>Sheet2!A6610</f>
        <v>0</v>
      </c>
      <c r="B6610" s="8">
        <v>0.64</v>
      </c>
      <c r="C6610" s="9">
        <v>0</v>
      </c>
      <c r="D6610" s="13">
        <f t="shared" si="103"/>
        <v>0.64</v>
      </c>
    </row>
    <row r="6611" spans="1:4" x14ac:dyDescent="0.25">
      <c r="A6611" s="15">
        <f>Sheet2!A6611</f>
        <v>0</v>
      </c>
      <c r="B6611" s="8">
        <v>1.02</v>
      </c>
      <c r="C6611" s="9">
        <v>0</v>
      </c>
      <c r="D6611" s="13">
        <f t="shared" si="103"/>
        <v>1.02</v>
      </c>
    </row>
    <row r="6612" spans="1:4" x14ac:dyDescent="0.25">
      <c r="A6612" s="15">
        <f>Sheet2!A6612</f>
        <v>0</v>
      </c>
      <c r="B6612" s="8">
        <v>1.95</v>
      </c>
      <c r="C6612" s="9">
        <v>0</v>
      </c>
      <c r="D6612" s="13">
        <f t="shared" si="103"/>
        <v>1.95</v>
      </c>
    </row>
    <row r="6613" spans="1:4" x14ac:dyDescent="0.25">
      <c r="A6613" s="15">
        <f>Sheet2!A6613</f>
        <v>0</v>
      </c>
      <c r="B6613" s="8">
        <v>1.83</v>
      </c>
      <c r="C6613" s="9">
        <v>0</v>
      </c>
      <c r="D6613" s="13">
        <f t="shared" si="103"/>
        <v>1.83</v>
      </c>
    </row>
    <row r="6614" spans="1:4" x14ac:dyDescent="0.25">
      <c r="A6614" s="15">
        <f>Sheet2!A6614</f>
        <v>0</v>
      </c>
      <c r="B6614" s="8">
        <v>0</v>
      </c>
      <c r="C6614" s="9">
        <v>0.79</v>
      </c>
      <c r="D6614" s="13">
        <f t="shared" si="103"/>
        <v>0.79</v>
      </c>
    </row>
    <row r="6615" spans="1:4" x14ac:dyDescent="0.25">
      <c r="A6615" s="15">
        <f>Sheet2!A6615</f>
        <v>0</v>
      </c>
      <c r="B6615" s="8">
        <v>0</v>
      </c>
      <c r="C6615" s="9">
        <v>0.82</v>
      </c>
      <c r="D6615" s="13">
        <f t="shared" si="103"/>
        <v>0.82</v>
      </c>
    </row>
    <row r="6616" spans="1:4" x14ac:dyDescent="0.25">
      <c r="A6616" s="15">
        <f>Sheet2!A6616</f>
        <v>0</v>
      </c>
      <c r="B6616" s="8">
        <v>1.64</v>
      </c>
      <c r="C6616" s="9">
        <v>0</v>
      </c>
      <c r="D6616" s="13">
        <f t="shared" si="103"/>
        <v>1.64</v>
      </c>
    </row>
    <row r="6617" spans="1:4" x14ac:dyDescent="0.25">
      <c r="A6617" s="15">
        <f>Sheet2!A6617</f>
        <v>0</v>
      </c>
      <c r="B6617" s="8">
        <v>1.3</v>
      </c>
      <c r="C6617" s="9">
        <v>0</v>
      </c>
      <c r="D6617" s="13">
        <f t="shared" si="103"/>
        <v>1.3</v>
      </c>
    </row>
    <row r="6618" spans="1:4" x14ac:dyDescent="0.25">
      <c r="A6618" s="15">
        <f>Sheet2!A6618</f>
        <v>0</v>
      </c>
      <c r="B6618" s="8">
        <v>2.4500000000000002</v>
      </c>
      <c r="C6618" s="9">
        <v>0</v>
      </c>
      <c r="D6618" s="13">
        <f t="shared" si="103"/>
        <v>2.4500000000000002</v>
      </c>
    </row>
    <row r="6619" spans="1:4" x14ac:dyDescent="0.25">
      <c r="A6619" s="15">
        <f>Sheet2!A6619</f>
        <v>0</v>
      </c>
      <c r="B6619" s="8">
        <v>3.33</v>
      </c>
      <c r="C6619" s="9">
        <v>0</v>
      </c>
      <c r="D6619" s="13">
        <f t="shared" si="103"/>
        <v>3.33</v>
      </c>
    </row>
    <row r="6620" spans="1:4" x14ac:dyDescent="0.25">
      <c r="A6620" s="15">
        <f>Sheet2!A6620</f>
        <v>0</v>
      </c>
      <c r="B6620" s="8">
        <v>0</v>
      </c>
      <c r="C6620" s="9">
        <v>1.58</v>
      </c>
      <c r="D6620" s="13">
        <f t="shared" si="103"/>
        <v>1.58</v>
      </c>
    </row>
    <row r="6621" spans="1:4" x14ac:dyDescent="0.25">
      <c r="A6621" s="15">
        <f>Sheet2!A6621</f>
        <v>0</v>
      </c>
      <c r="B6621" s="8">
        <v>3.32</v>
      </c>
      <c r="C6621" s="9">
        <v>0</v>
      </c>
      <c r="D6621" s="13">
        <f t="shared" si="103"/>
        <v>3.32</v>
      </c>
    </row>
    <row r="6622" spans="1:4" x14ac:dyDescent="0.25">
      <c r="A6622" s="15">
        <f>Sheet2!A6622</f>
        <v>0</v>
      </c>
      <c r="B6622" s="8">
        <v>2.7</v>
      </c>
      <c r="C6622" s="9">
        <v>0</v>
      </c>
      <c r="D6622" s="13">
        <f t="shared" si="103"/>
        <v>2.7</v>
      </c>
    </row>
    <row r="6623" spans="1:4" x14ac:dyDescent="0.25">
      <c r="A6623" s="15">
        <f>Sheet2!A6623</f>
        <v>0</v>
      </c>
      <c r="B6623" s="8">
        <v>1.45</v>
      </c>
      <c r="C6623" s="9">
        <v>0</v>
      </c>
      <c r="D6623" s="13">
        <f t="shared" si="103"/>
        <v>1.45</v>
      </c>
    </row>
    <row r="6624" spans="1:4" x14ac:dyDescent="0.25">
      <c r="A6624" s="15">
        <f>Sheet2!A6624</f>
        <v>0</v>
      </c>
      <c r="B6624" s="8">
        <v>2.4900000000000002</v>
      </c>
      <c r="C6624" s="9">
        <v>0</v>
      </c>
      <c r="D6624" s="13">
        <f t="shared" si="103"/>
        <v>2.4900000000000002</v>
      </c>
    </row>
    <row r="6625" spans="1:4" x14ac:dyDescent="0.25">
      <c r="A6625" s="15">
        <f>Sheet2!A6625</f>
        <v>0</v>
      </c>
      <c r="B6625" s="8">
        <v>2.25</v>
      </c>
      <c r="C6625" s="9">
        <v>0</v>
      </c>
      <c r="D6625" s="13">
        <f t="shared" si="103"/>
        <v>2.25</v>
      </c>
    </row>
    <row r="6626" spans="1:4" x14ac:dyDescent="0.25">
      <c r="A6626" s="15">
        <f>Sheet2!A6626</f>
        <v>0</v>
      </c>
      <c r="B6626" s="8">
        <v>2.2200000000000002</v>
      </c>
      <c r="C6626" s="9">
        <v>0</v>
      </c>
      <c r="D6626" s="13">
        <f t="shared" si="103"/>
        <v>2.2200000000000002</v>
      </c>
    </row>
    <row r="6627" spans="1:4" x14ac:dyDescent="0.25">
      <c r="A6627" s="15">
        <f>Sheet2!A6627</f>
        <v>0</v>
      </c>
      <c r="B6627" s="8">
        <v>2.12</v>
      </c>
      <c r="C6627" s="9">
        <v>0</v>
      </c>
      <c r="D6627" s="13">
        <f t="shared" si="103"/>
        <v>2.12</v>
      </c>
    </row>
    <row r="6628" spans="1:4" x14ac:dyDescent="0.25">
      <c r="A6628" s="15">
        <f>Sheet2!A6628</f>
        <v>0</v>
      </c>
      <c r="B6628" s="8">
        <v>2.17</v>
      </c>
      <c r="C6628" s="9">
        <v>0</v>
      </c>
      <c r="D6628" s="13">
        <f t="shared" si="103"/>
        <v>2.17</v>
      </c>
    </row>
    <row r="6629" spans="1:4" x14ac:dyDescent="0.25">
      <c r="A6629" s="15">
        <f>Sheet2!A6629</f>
        <v>0</v>
      </c>
      <c r="B6629" s="8">
        <v>2.09</v>
      </c>
      <c r="C6629" s="9">
        <v>0</v>
      </c>
      <c r="D6629" s="13">
        <f t="shared" si="103"/>
        <v>2.09</v>
      </c>
    </row>
    <row r="6630" spans="1:4" x14ac:dyDescent="0.25">
      <c r="A6630" s="15">
        <f>Sheet2!A6630</f>
        <v>0</v>
      </c>
      <c r="B6630" s="8">
        <v>1.48</v>
      </c>
      <c r="C6630" s="9">
        <v>0</v>
      </c>
      <c r="D6630" s="13">
        <f t="shared" si="103"/>
        <v>1.48</v>
      </c>
    </row>
    <row r="6631" spans="1:4" x14ac:dyDescent="0.25">
      <c r="A6631" s="15">
        <f>Sheet2!A6631</f>
        <v>0</v>
      </c>
      <c r="B6631" s="8">
        <v>1.53</v>
      </c>
      <c r="C6631" s="9">
        <v>0</v>
      </c>
      <c r="D6631" s="13">
        <f t="shared" si="103"/>
        <v>1.53</v>
      </c>
    </row>
    <row r="6632" spans="1:4" x14ac:dyDescent="0.25">
      <c r="A6632" s="15">
        <f>Sheet2!A6632</f>
        <v>0</v>
      </c>
      <c r="B6632" s="8">
        <v>1.44</v>
      </c>
      <c r="C6632" s="9">
        <v>0</v>
      </c>
      <c r="D6632" s="13">
        <f t="shared" si="103"/>
        <v>1.44</v>
      </c>
    </row>
    <row r="6633" spans="1:4" x14ac:dyDescent="0.25">
      <c r="A6633" s="15">
        <f>Sheet2!A6633</f>
        <v>0</v>
      </c>
      <c r="B6633" s="8">
        <v>1.71</v>
      </c>
      <c r="C6633" s="9">
        <v>0</v>
      </c>
      <c r="D6633" s="13">
        <f t="shared" si="103"/>
        <v>1.71</v>
      </c>
    </row>
    <row r="6634" spans="1:4" x14ac:dyDescent="0.25">
      <c r="A6634" s="15">
        <f>Sheet2!A6634</f>
        <v>0</v>
      </c>
      <c r="B6634" s="8">
        <v>0.84</v>
      </c>
      <c r="C6634" s="9">
        <v>0</v>
      </c>
      <c r="D6634" s="13">
        <f t="shared" si="103"/>
        <v>0.84</v>
      </c>
    </row>
    <row r="6635" spans="1:4" x14ac:dyDescent="0.25">
      <c r="A6635" s="15">
        <f>Sheet2!A6635</f>
        <v>0</v>
      </c>
      <c r="B6635" s="8">
        <v>0.6</v>
      </c>
      <c r="C6635" s="9">
        <v>0</v>
      </c>
      <c r="D6635" s="13">
        <f t="shared" si="103"/>
        <v>0.6</v>
      </c>
    </row>
    <row r="6636" spans="1:4" x14ac:dyDescent="0.25">
      <c r="A6636" s="15">
        <f>Sheet2!A6636</f>
        <v>0</v>
      </c>
      <c r="B6636" s="8">
        <v>0.59</v>
      </c>
      <c r="C6636" s="9">
        <v>0</v>
      </c>
      <c r="D6636" s="13">
        <f t="shared" si="103"/>
        <v>0.59</v>
      </c>
    </row>
    <row r="6637" spans="1:4" x14ac:dyDescent="0.25">
      <c r="A6637" s="15">
        <f>Sheet2!A6637</f>
        <v>0</v>
      </c>
      <c r="B6637" s="8">
        <v>1.3</v>
      </c>
      <c r="C6637" s="9">
        <v>0</v>
      </c>
      <c r="D6637" s="13">
        <f t="shared" si="103"/>
        <v>1.3</v>
      </c>
    </row>
    <row r="6638" spans="1:4" x14ac:dyDescent="0.25">
      <c r="A6638" s="15">
        <f>Sheet2!A6638</f>
        <v>0</v>
      </c>
      <c r="B6638" s="8">
        <v>1.01</v>
      </c>
      <c r="C6638" s="9">
        <v>0</v>
      </c>
      <c r="D6638" s="13">
        <f t="shared" si="103"/>
        <v>1.01</v>
      </c>
    </row>
    <row r="6639" spans="1:4" x14ac:dyDescent="0.25">
      <c r="A6639" s="15">
        <f>Sheet2!A6639</f>
        <v>0</v>
      </c>
      <c r="B6639" s="8">
        <v>0.82</v>
      </c>
      <c r="C6639" s="9">
        <v>0</v>
      </c>
      <c r="D6639" s="13">
        <f t="shared" si="103"/>
        <v>0.82</v>
      </c>
    </row>
    <row r="6640" spans="1:4" x14ac:dyDescent="0.25">
      <c r="A6640" s="15">
        <f>Sheet2!A6640</f>
        <v>0</v>
      </c>
      <c r="B6640" s="8">
        <v>1.1599999999999999</v>
      </c>
      <c r="C6640" s="9">
        <v>0</v>
      </c>
      <c r="D6640" s="13">
        <f t="shared" si="103"/>
        <v>1.1599999999999999</v>
      </c>
    </row>
    <row r="6641" spans="1:4" x14ac:dyDescent="0.25">
      <c r="A6641" s="15">
        <f>Sheet2!A6641</f>
        <v>0</v>
      </c>
      <c r="B6641" s="8">
        <v>5.81</v>
      </c>
      <c r="C6641" s="9">
        <v>0</v>
      </c>
      <c r="D6641" s="13">
        <f t="shared" si="103"/>
        <v>5.81</v>
      </c>
    </row>
    <row r="6642" spans="1:4" x14ac:dyDescent="0.25">
      <c r="A6642" s="15">
        <f>Sheet2!A6642</f>
        <v>0</v>
      </c>
      <c r="B6642" s="8">
        <v>9.4600000000000009</v>
      </c>
      <c r="C6642" s="9">
        <v>0</v>
      </c>
      <c r="D6642" s="13">
        <f t="shared" si="103"/>
        <v>9.4600000000000009</v>
      </c>
    </row>
    <row r="6643" spans="1:4" x14ac:dyDescent="0.25">
      <c r="A6643" s="15">
        <f>Sheet2!A6643</f>
        <v>0</v>
      </c>
      <c r="B6643" s="8">
        <v>10.09</v>
      </c>
      <c r="C6643" s="9">
        <v>0</v>
      </c>
      <c r="D6643" s="13">
        <f t="shared" si="103"/>
        <v>10.09</v>
      </c>
    </row>
    <row r="6644" spans="1:4" x14ac:dyDescent="0.25">
      <c r="A6644" s="15">
        <f>Sheet2!A6644</f>
        <v>0</v>
      </c>
      <c r="B6644" s="8">
        <v>10.67</v>
      </c>
      <c r="C6644" s="9">
        <v>0</v>
      </c>
      <c r="D6644" s="13">
        <f t="shared" si="103"/>
        <v>10.67</v>
      </c>
    </row>
    <row r="6645" spans="1:4" x14ac:dyDescent="0.25">
      <c r="A6645" s="15">
        <f>Sheet2!A6645</f>
        <v>0</v>
      </c>
      <c r="B6645" s="8">
        <v>10.53</v>
      </c>
      <c r="C6645" s="9">
        <v>0</v>
      </c>
      <c r="D6645" s="13">
        <f t="shared" si="103"/>
        <v>10.53</v>
      </c>
    </row>
    <row r="6646" spans="1:4" x14ac:dyDescent="0.25">
      <c r="A6646" s="15">
        <f>Sheet2!A6646</f>
        <v>0</v>
      </c>
      <c r="B6646" s="8">
        <v>9.93</v>
      </c>
      <c r="C6646" s="9">
        <v>0</v>
      </c>
      <c r="D6646" s="13">
        <f t="shared" si="103"/>
        <v>9.93</v>
      </c>
    </row>
    <row r="6647" spans="1:4" x14ac:dyDescent="0.25">
      <c r="A6647" s="15">
        <f>Sheet2!A6647</f>
        <v>0</v>
      </c>
      <c r="B6647" s="8">
        <v>7.96</v>
      </c>
      <c r="C6647" s="9">
        <v>0</v>
      </c>
      <c r="D6647" s="13">
        <f t="shared" si="103"/>
        <v>7.96</v>
      </c>
    </row>
    <row r="6648" spans="1:4" x14ac:dyDescent="0.25">
      <c r="A6648" s="15">
        <f>Sheet2!A6648</f>
        <v>0</v>
      </c>
      <c r="B6648" s="8">
        <v>5.49</v>
      </c>
      <c r="C6648" s="9">
        <v>0</v>
      </c>
      <c r="D6648" s="13">
        <f t="shared" si="103"/>
        <v>5.49</v>
      </c>
    </row>
    <row r="6649" spans="1:4" x14ac:dyDescent="0.25">
      <c r="A6649" s="15">
        <f>Sheet2!A6649</f>
        <v>0</v>
      </c>
      <c r="B6649" s="8">
        <v>5.33</v>
      </c>
      <c r="C6649" s="9">
        <v>0</v>
      </c>
      <c r="D6649" s="13">
        <f t="shared" si="103"/>
        <v>5.33</v>
      </c>
    </row>
    <row r="6650" spans="1:4" x14ac:dyDescent="0.25">
      <c r="A6650" s="15">
        <f>Sheet2!A6650</f>
        <v>0</v>
      </c>
      <c r="B6650" s="8">
        <v>5.1100000000000003</v>
      </c>
      <c r="C6650" s="9">
        <v>0</v>
      </c>
      <c r="D6650" s="13">
        <f t="shared" si="103"/>
        <v>5.1100000000000003</v>
      </c>
    </row>
    <row r="6651" spans="1:4" x14ac:dyDescent="0.25">
      <c r="A6651" s="15">
        <f>Sheet2!A6651</f>
        <v>0</v>
      </c>
      <c r="B6651" s="8">
        <v>4.99</v>
      </c>
      <c r="C6651" s="9">
        <v>0</v>
      </c>
      <c r="D6651" s="13">
        <f t="shared" si="103"/>
        <v>4.99</v>
      </c>
    </row>
    <row r="6652" spans="1:4" x14ac:dyDescent="0.25">
      <c r="A6652" s="15">
        <f>Sheet2!A6652</f>
        <v>0</v>
      </c>
      <c r="B6652" s="8">
        <v>4.91</v>
      </c>
      <c r="C6652" s="9">
        <v>0</v>
      </c>
      <c r="D6652" s="13">
        <f t="shared" si="103"/>
        <v>4.91</v>
      </c>
    </row>
    <row r="6653" spans="1:4" x14ac:dyDescent="0.25">
      <c r="A6653" s="15">
        <f>Sheet2!A6653</f>
        <v>0</v>
      </c>
      <c r="B6653" s="8">
        <v>5.04</v>
      </c>
      <c r="C6653" s="9">
        <v>0</v>
      </c>
      <c r="D6653" s="13">
        <f t="shared" si="103"/>
        <v>5.04</v>
      </c>
    </row>
    <row r="6654" spans="1:4" x14ac:dyDescent="0.25">
      <c r="A6654" s="15">
        <f>Sheet2!A6654</f>
        <v>0</v>
      </c>
      <c r="B6654" s="8">
        <v>4.22</v>
      </c>
      <c r="C6654" s="9">
        <v>0</v>
      </c>
      <c r="D6654" s="13">
        <f t="shared" si="103"/>
        <v>4.22</v>
      </c>
    </row>
    <row r="6655" spans="1:4" x14ac:dyDescent="0.25">
      <c r="A6655" s="15">
        <f>Sheet2!A6655</f>
        <v>0</v>
      </c>
      <c r="B6655" s="8">
        <v>4.26</v>
      </c>
      <c r="C6655" s="9">
        <v>0</v>
      </c>
      <c r="D6655" s="13">
        <f t="shared" si="103"/>
        <v>4.26</v>
      </c>
    </row>
    <row r="6656" spans="1:4" x14ac:dyDescent="0.25">
      <c r="A6656" s="15">
        <f>Sheet2!A6656</f>
        <v>0</v>
      </c>
      <c r="B6656" s="8">
        <v>4.29</v>
      </c>
      <c r="C6656" s="9">
        <v>0</v>
      </c>
      <c r="D6656" s="13">
        <f t="shared" si="103"/>
        <v>4.29</v>
      </c>
    </row>
    <row r="6657" spans="1:4" x14ac:dyDescent="0.25">
      <c r="A6657" s="15">
        <f>Sheet2!A6657</f>
        <v>0</v>
      </c>
      <c r="B6657" s="8">
        <v>4.47</v>
      </c>
      <c r="C6657" s="9">
        <v>0</v>
      </c>
      <c r="D6657" s="13">
        <f t="shared" si="103"/>
        <v>4.47</v>
      </c>
    </row>
    <row r="6658" spans="1:4" x14ac:dyDescent="0.25">
      <c r="A6658" s="15">
        <f>Sheet2!A6658</f>
        <v>0</v>
      </c>
      <c r="B6658" s="8">
        <v>0</v>
      </c>
      <c r="C6658" s="9">
        <v>0.34</v>
      </c>
      <c r="D6658" s="13">
        <f t="shared" si="103"/>
        <v>0.34</v>
      </c>
    </row>
    <row r="6659" spans="1:4" x14ac:dyDescent="0.25">
      <c r="A6659" s="15">
        <f>Sheet2!A6659</f>
        <v>0</v>
      </c>
      <c r="B6659" s="8">
        <v>0</v>
      </c>
      <c r="C6659" s="9">
        <v>0.57999999999999996</v>
      </c>
      <c r="D6659" s="13">
        <f t="shared" ref="D6659:D6722" si="104">B6659+C6659</f>
        <v>0.57999999999999996</v>
      </c>
    </row>
    <row r="6660" spans="1:4" x14ac:dyDescent="0.25">
      <c r="A6660" s="15">
        <f>Sheet2!A6660</f>
        <v>0</v>
      </c>
      <c r="B6660" s="8">
        <v>0</v>
      </c>
      <c r="C6660" s="9">
        <v>0.51</v>
      </c>
      <c r="D6660" s="13">
        <f t="shared" si="104"/>
        <v>0.51</v>
      </c>
    </row>
    <row r="6661" spans="1:4" x14ac:dyDescent="0.25">
      <c r="A6661" s="15">
        <f>Sheet2!A6661</f>
        <v>0</v>
      </c>
      <c r="B6661" s="8">
        <v>8.4</v>
      </c>
      <c r="C6661" s="9">
        <v>0</v>
      </c>
      <c r="D6661" s="13">
        <f t="shared" si="104"/>
        <v>8.4</v>
      </c>
    </row>
    <row r="6662" spans="1:4" x14ac:dyDescent="0.25">
      <c r="A6662" s="15">
        <f>Sheet2!A6662</f>
        <v>0</v>
      </c>
      <c r="B6662" s="8">
        <v>7.98</v>
      </c>
      <c r="C6662" s="9">
        <v>0</v>
      </c>
      <c r="D6662" s="13">
        <f t="shared" si="104"/>
        <v>7.98</v>
      </c>
    </row>
    <row r="6663" spans="1:4" x14ac:dyDescent="0.25">
      <c r="A6663" s="15">
        <f>Sheet2!A6663</f>
        <v>0</v>
      </c>
      <c r="B6663" s="8">
        <v>7.23</v>
      </c>
      <c r="C6663" s="9">
        <v>0</v>
      </c>
      <c r="D6663" s="13">
        <f t="shared" si="104"/>
        <v>7.23</v>
      </c>
    </row>
    <row r="6664" spans="1:4" x14ac:dyDescent="0.25">
      <c r="A6664" s="15">
        <f>Sheet2!A6664</f>
        <v>0</v>
      </c>
      <c r="B6664" s="8">
        <v>8.24</v>
      </c>
      <c r="C6664" s="9">
        <v>0</v>
      </c>
      <c r="D6664" s="13">
        <f t="shared" si="104"/>
        <v>8.24</v>
      </c>
    </row>
    <row r="6665" spans="1:4" x14ac:dyDescent="0.25">
      <c r="A6665" s="15">
        <f>Sheet2!A6665</f>
        <v>0</v>
      </c>
      <c r="B6665" s="8">
        <v>7.78</v>
      </c>
      <c r="C6665" s="9">
        <v>0</v>
      </c>
      <c r="D6665" s="13">
        <f t="shared" si="104"/>
        <v>7.78</v>
      </c>
    </row>
    <row r="6666" spans="1:4" x14ac:dyDescent="0.25">
      <c r="A6666" s="15">
        <f>Sheet2!A6666</f>
        <v>0</v>
      </c>
      <c r="B6666" s="8">
        <v>8.02</v>
      </c>
      <c r="C6666" s="9">
        <v>0</v>
      </c>
      <c r="D6666" s="13">
        <f t="shared" si="104"/>
        <v>8.02</v>
      </c>
    </row>
    <row r="6667" spans="1:4" x14ac:dyDescent="0.25">
      <c r="A6667" s="15">
        <f>Sheet2!A6667</f>
        <v>0</v>
      </c>
      <c r="B6667" s="8">
        <v>7.6</v>
      </c>
      <c r="C6667" s="9">
        <v>0</v>
      </c>
      <c r="D6667" s="13">
        <f t="shared" si="104"/>
        <v>7.6</v>
      </c>
    </row>
    <row r="6668" spans="1:4" x14ac:dyDescent="0.25">
      <c r="A6668" s="15">
        <f>Sheet2!A6668</f>
        <v>0</v>
      </c>
      <c r="B6668" s="8">
        <v>7.03</v>
      </c>
      <c r="C6668" s="9">
        <v>0</v>
      </c>
      <c r="D6668" s="13">
        <f t="shared" si="104"/>
        <v>7.03</v>
      </c>
    </row>
    <row r="6669" spans="1:4" x14ac:dyDescent="0.25">
      <c r="A6669" s="15">
        <f>Sheet2!A6669</f>
        <v>0</v>
      </c>
      <c r="B6669" s="8">
        <v>5.43</v>
      </c>
      <c r="C6669" s="9">
        <v>0</v>
      </c>
      <c r="D6669" s="13">
        <f t="shared" si="104"/>
        <v>5.43</v>
      </c>
    </row>
    <row r="6670" spans="1:4" x14ac:dyDescent="0.25">
      <c r="A6670" s="15">
        <f>Sheet2!A6670</f>
        <v>0</v>
      </c>
      <c r="B6670" s="8">
        <v>3.06</v>
      </c>
      <c r="C6670" s="9">
        <v>0</v>
      </c>
      <c r="D6670" s="13">
        <f t="shared" si="104"/>
        <v>3.06</v>
      </c>
    </row>
    <row r="6671" spans="1:4" x14ac:dyDescent="0.25">
      <c r="A6671" s="15">
        <f>Sheet2!A6671</f>
        <v>0</v>
      </c>
      <c r="B6671" s="8">
        <v>2.38</v>
      </c>
      <c r="C6671" s="9">
        <v>0</v>
      </c>
      <c r="D6671" s="13">
        <f t="shared" si="104"/>
        <v>2.38</v>
      </c>
    </row>
    <row r="6672" spans="1:4" x14ac:dyDescent="0.25">
      <c r="A6672" s="15">
        <f>Sheet2!A6672</f>
        <v>0</v>
      </c>
      <c r="B6672" s="8">
        <v>2.4</v>
      </c>
      <c r="C6672" s="9">
        <v>0</v>
      </c>
      <c r="D6672" s="13">
        <f t="shared" si="104"/>
        <v>2.4</v>
      </c>
    </row>
    <row r="6673" spans="1:4" x14ac:dyDescent="0.25">
      <c r="A6673" s="15">
        <f>Sheet2!A6673</f>
        <v>0</v>
      </c>
      <c r="B6673" s="8">
        <v>2.0299999999999998</v>
      </c>
      <c r="C6673" s="9">
        <v>0</v>
      </c>
      <c r="D6673" s="13">
        <f t="shared" si="104"/>
        <v>2.0299999999999998</v>
      </c>
    </row>
    <row r="6674" spans="1:4" x14ac:dyDescent="0.25">
      <c r="A6674" s="15">
        <f>Sheet2!A6674</f>
        <v>0</v>
      </c>
      <c r="B6674" s="8">
        <v>2.4700000000000002</v>
      </c>
      <c r="C6674" s="9">
        <v>0</v>
      </c>
      <c r="D6674" s="13">
        <f t="shared" si="104"/>
        <v>2.4700000000000002</v>
      </c>
    </row>
    <row r="6675" spans="1:4" x14ac:dyDescent="0.25">
      <c r="A6675" s="15">
        <f>Sheet2!A6675</f>
        <v>0</v>
      </c>
      <c r="B6675" s="8">
        <v>3.19</v>
      </c>
      <c r="C6675" s="9">
        <v>0</v>
      </c>
      <c r="D6675" s="13">
        <f t="shared" si="104"/>
        <v>3.19</v>
      </c>
    </row>
    <row r="6676" spans="1:4" x14ac:dyDescent="0.25">
      <c r="A6676" s="15">
        <f>Sheet2!A6676</f>
        <v>0</v>
      </c>
      <c r="B6676" s="8">
        <v>3.48</v>
      </c>
      <c r="C6676" s="9">
        <v>0</v>
      </c>
      <c r="D6676" s="13">
        <f t="shared" si="104"/>
        <v>3.48</v>
      </c>
    </row>
    <row r="6677" spans="1:4" x14ac:dyDescent="0.25">
      <c r="A6677" s="15">
        <f>Sheet2!A6677</f>
        <v>0</v>
      </c>
      <c r="B6677" s="8">
        <v>3.32</v>
      </c>
      <c r="C6677" s="9">
        <v>0</v>
      </c>
      <c r="D6677" s="13">
        <f t="shared" si="104"/>
        <v>3.32</v>
      </c>
    </row>
    <row r="6678" spans="1:4" x14ac:dyDescent="0.25">
      <c r="A6678" s="15">
        <f>Sheet2!A6678</f>
        <v>0</v>
      </c>
      <c r="B6678" s="8">
        <v>3.44</v>
      </c>
      <c r="C6678" s="9">
        <v>0</v>
      </c>
      <c r="D6678" s="13">
        <f t="shared" si="104"/>
        <v>3.44</v>
      </c>
    </row>
    <row r="6679" spans="1:4" x14ac:dyDescent="0.25">
      <c r="A6679" s="15">
        <f>Sheet2!A6679</f>
        <v>0</v>
      </c>
      <c r="B6679" s="8">
        <v>2.6</v>
      </c>
      <c r="C6679" s="9">
        <v>0</v>
      </c>
      <c r="D6679" s="13">
        <f t="shared" si="104"/>
        <v>2.6</v>
      </c>
    </row>
    <row r="6680" spans="1:4" x14ac:dyDescent="0.25">
      <c r="A6680" s="15">
        <f>Sheet2!A6680</f>
        <v>0</v>
      </c>
      <c r="B6680" s="8">
        <v>1.82</v>
      </c>
      <c r="C6680" s="9">
        <v>0</v>
      </c>
      <c r="D6680" s="13">
        <f t="shared" si="104"/>
        <v>1.82</v>
      </c>
    </row>
    <row r="6681" spans="1:4" x14ac:dyDescent="0.25">
      <c r="A6681" s="15">
        <f>Sheet2!A6681</f>
        <v>0</v>
      </c>
      <c r="B6681" s="8">
        <v>1.54</v>
      </c>
      <c r="C6681" s="9">
        <v>0</v>
      </c>
      <c r="D6681" s="13">
        <f t="shared" si="104"/>
        <v>1.54</v>
      </c>
    </row>
    <row r="6682" spans="1:4" x14ac:dyDescent="0.25">
      <c r="A6682" s="15">
        <f>Sheet2!A6682</f>
        <v>0</v>
      </c>
      <c r="B6682" s="8">
        <v>1.96</v>
      </c>
      <c r="C6682" s="9">
        <v>0</v>
      </c>
      <c r="D6682" s="13">
        <f t="shared" si="104"/>
        <v>1.96</v>
      </c>
    </row>
    <row r="6683" spans="1:4" x14ac:dyDescent="0.25">
      <c r="A6683" s="15">
        <f>Sheet2!A6683</f>
        <v>0</v>
      </c>
      <c r="B6683" s="8">
        <v>1.19</v>
      </c>
      <c r="C6683" s="9">
        <v>0</v>
      </c>
      <c r="D6683" s="13">
        <f t="shared" si="104"/>
        <v>1.19</v>
      </c>
    </row>
    <row r="6684" spans="1:4" x14ac:dyDescent="0.25">
      <c r="A6684" s="15">
        <f>Sheet2!A6684</f>
        <v>0</v>
      </c>
      <c r="B6684" s="8">
        <v>1.1399999999999999</v>
      </c>
      <c r="C6684" s="9">
        <v>0</v>
      </c>
      <c r="D6684" s="13">
        <f t="shared" si="104"/>
        <v>1.1399999999999999</v>
      </c>
    </row>
    <row r="6685" spans="1:4" x14ac:dyDescent="0.25">
      <c r="A6685" s="15">
        <f>Sheet2!A6685</f>
        <v>0</v>
      </c>
      <c r="B6685" s="8">
        <v>0.66</v>
      </c>
      <c r="C6685" s="9">
        <v>0</v>
      </c>
      <c r="D6685" s="13">
        <f t="shared" si="104"/>
        <v>0.66</v>
      </c>
    </row>
    <row r="6686" spans="1:4" x14ac:dyDescent="0.25">
      <c r="A6686" s="15">
        <f>Sheet2!A6686</f>
        <v>0</v>
      </c>
      <c r="B6686" s="8">
        <v>0.63</v>
      </c>
      <c r="C6686" s="9">
        <v>0</v>
      </c>
      <c r="D6686" s="13">
        <f t="shared" si="104"/>
        <v>0.63</v>
      </c>
    </row>
    <row r="6687" spans="1:4" x14ac:dyDescent="0.25">
      <c r="A6687" s="15">
        <f>Sheet2!A6687</f>
        <v>0</v>
      </c>
      <c r="B6687" s="8">
        <v>0.62</v>
      </c>
      <c r="C6687" s="9">
        <v>0</v>
      </c>
      <c r="D6687" s="13">
        <f t="shared" si="104"/>
        <v>0.62</v>
      </c>
    </row>
    <row r="6688" spans="1:4" x14ac:dyDescent="0.25">
      <c r="A6688" s="15">
        <f>Sheet2!A6688</f>
        <v>0</v>
      </c>
      <c r="B6688" s="8">
        <v>1.68</v>
      </c>
      <c r="C6688" s="9">
        <v>0</v>
      </c>
      <c r="D6688" s="13">
        <f t="shared" si="104"/>
        <v>1.68</v>
      </c>
    </row>
    <row r="6689" spans="1:4" x14ac:dyDescent="0.25">
      <c r="A6689" s="15">
        <f>Sheet2!A6689</f>
        <v>0</v>
      </c>
      <c r="B6689" s="8">
        <v>1.1499999999999999</v>
      </c>
      <c r="C6689" s="9">
        <v>0</v>
      </c>
      <c r="D6689" s="13">
        <f t="shared" si="104"/>
        <v>1.1499999999999999</v>
      </c>
    </row>
    <row r="6690" spans="1:4" x14ac:dyDescent="0.25">
      <c r="A6690" s="15">
        <f>Sheet2!A6690</f>
        <v>0</v>
      </c>
      <c r="B6690" s="8">
        <v>0.88</v>
      </c>
      <c r="C6690" s="9">
        <v>0</v>
      </c>
      <c r="D6690" s="13">
        <f t="shared" si="104"/>
        <v>0.88</v>
      </c>
    </row>
    <row r="6691" spans="1:4" x14ac:dyDescent="0.25">
      <c r="A6691" s="15">
        <f>Sheet2!A6691</f>
        <v>0</v>
      </c>
      <c r="B6691" s="8">
        <v>1.05</v>
      </c>
      <c r="C6691" s="9">
        <v>0</v>
      </c>
      <c r="D6691" s="13">
        <f t="shared" si="104"/>
        <v>1.05</v>
      </c>
    </row>
    <row r="6692" spans="1:4" x14ac:dyDescent="0.25">
      <c r="A6692" s="15">
        <f>Sheet2!A6692</f>
        <v>0</v>
      </c>
      <c r="B6692" s="8">
        <v>1.07</v>
      </c>
      <c r="C6692" s="9">
        <v>0</v>
      </c>
      <c r="D6692" s="13">
        <f t="shared" si="104"/>
        <v>1.07</v>
      </c>
    </row>
    <row r="6693" spans="1:4" x14ac:dyDescent="0.25">
      <c r="A6693" s="15">
        <f>Sheet2!A6693</f>
        <v>0</v>
      </c>
      <c r="B6693" s="8">
        <v>1.04</v>
      </c>
      <c r="C6693" s="9">
        <v>0</v>
      </c>
      <c r="D6693" s="13">
        <f t="shared" si="104"/>
        <v>1.04</v>
      </c>
    </row>
    <row r="6694" spans="1:4" x14ac:dyDescent="0.25">
      <c r="A6694" s="15">
        <f>Sheet2!A6694</f>
        <v>0</v>
      </c>
      <c r="B6694" s="8">
        <v>1.01</v>
      </c>
      <c r="C6694" s="9">
        <v>0</v>
      </c>
      <c r="D6694" s="13">
        <f t="shared" si="104"/>
        <v>1.01</v>
      </c>
    </row>
    <row r="6695" spans="1:4" x14ac:dyDescent="0.25">
      <c r="A6695" s="15">
        <f>Sheet2!A6695</f>
        <v>0</v>
      </c>
      <c r="B6695" s="8">
        <v>2.5</v>
      </c>
      <c r="C6695" s="9">
        <v>0</v>
      </c>
      <c r="D6695" s="13">
        <f t="shared" si="104"/>
        <v>2.5</v>
      </c>
    </row>
    <row r="6696" spans="1:4" x14ac:dyDescent="0.25">
      <c r="A6696" s="15">
        <f>Sheet2!A6696</f>
        <v>0</v>
      </c>
      <c r="B6696" s="8">
        <v>3.22</v>
      </c>
      <c r="C6696" s="9">
        <v>0</v>
      </c>
      <c r="D6696" s="13">
        <f t="shared" si="104"/>
        <v>3.22</v>
      </c>
    </row>
    <row r="6697" spans="1:4" x14ac:dyDescent="0.25">
      <c r="A6697" s="15">
        <f>Sheet2!A6697</f>
        <v>0</v>
      </c>
      <c r="B6697" s="8">
        <v>2.1800000000000002</v>
      </c>
      <c r="C6697" s="9">
        <v>0</v>
      </c>
      <c r="D6697" s="13">
        <f t="shared" si="104"/>
        <v>2.1800000000000002</v>
      </c>
    </row>
    <row r="6698" spans="1:4" x14ac:dyDescent="0.25">
      <c r="A6698" s="15">
        <f>Sheet2!A6698</f>
        <v>0</v>
      </c>
      <c r="B6698" s="8">
        <v>2.3199999999999998</v>
      </c>
      <c r="C6698" s="9">
        <v>0</v>
      </c>
      <c r="D6698" s="13">
        <f t="shared" si="104"/>
        <v>2.3199999999999998</v>
      </c>
    </row>
    <row r="6699" spans="1:4" x14ac:dyDescent="0.25">
      <c r="A6699" s="15">
        <f>Sheet2!A6699</f>
        <v>0</v>
      </c>
      <c r="B6699" s="8">
        <v>2.2000000000000002</v>
      </c>
      <c r="C6699" s="9">
        <v>0</v>
      </c>
      <c r="D6699" s="13">
        <f t="shared" si="104"/>
        <v>2.2000000000000002</v>
      </c>
    </row>
    <row r="6700" spans="1:4" x14ac:dyDescent="0.25">
      <c r="A6700" s="15">
        <f>Sheet2!A6700</f>
        <v>0</v>
      </c>
      <c r="B6700" s="8">
        <v>2.13</v>
      </c>
      <c r="C6700" s="9">
        <v>0</v>
      </c>
      <c r="D6700" s="13">
        <f t="shared" si="104"/>
        <v>2.13</v>
      </c>
    </row>
    <row r="6701" spans="1:4" x14ac:dyDescent="0.25">
      <c r="A6701" s="15">
        <f>Sheet2!A6701</f>
        <v>0</v>
      </c>
      <c r="B6701" s="8">
        <v>1.64</v>
      </c>
      <c r="C6701" s="9">
        <v>0</v>
      </c>
      <c r="D6701" s="13">
        <f t="shared" si="104"/>
        <v>1.64</v>
      </c>
    </row>
    <row r="6702" spans="1:4" x14ac:dyDescent="0.25">
      <c r="A6702" s="15">
        <f>Sheet2!A6702</f>
        <v>0</v>
      </c>
      <c r="B6702" s="8">
        <v>1.98</v>
      </c>
      <c r="C6702" s="9">
        <v>0</v>
      </c>
      <c r="D6702" s="13">
        <f t="shared" si="104"/>
        <v>1.98</v>
      </c>
    </row>
    <row r="6703" spans="1:4" x14ac:dyDescent="0.25">
      <c r="A6703" s="15">
        <f>Sheet2!A6703</f>
        <v>0</v>
      </c>
      <c r="B6703" s="8">
        <v>1.41</v>
      </c>
      <c r="C6703" s="9">
        <v>0</v>
      </c>
      <c r="D6703" s="13">
        <f t="shared" si="104"/>
        <v>1.41</v>
      </c>
    </row>
    <row r="6704" spans="1:4" x14ac:dyDescent="0.25">
      <c r="A6704" s="15">
        <f>Sheet2!A6704</f>
        <v>0</v>
      </c>
      <c r="B6704" s="8">
        <v>1.61</v>
      </c>
      <c r="C6704" s="9">
        <v>0</v>
      </c>
      <c r="D6704" s="13">
        <f t="shared" si="104"/>
        <v>1.61</v>
      </c>
    </row>
    <row r="6705" spans="1:4" x14ac:dyDescent="0.25">
      <c r="A6705" s="15">
        <f>Sheet2!A6705</f>
        <v>0</v>
      </c>
      <c r="B6705" s="8">
        <v>0.94</v>
      </c>
      <c r="C6705" s="9">
        <v>0</v>
      </c>
      <c r="D6705" s="13">
        <f t="shared" si="104"/>
        <v>0.94</v>
      </c>
    </row>
    <row r="6706" spans="1:4" x14ac:dyDescent="0.25">
      <c r="A6706" s="15">
        <f>Sheet2!A6706</f>
        <v>0</v>
      </c>
      <c r="B6706" s="8">
        <v>0.7</v>
      </c>
      <c r="C6706" s="9">
        <v>0</v>
      </c>
      <c r="D6706" s="13">
        <f t="shared" si="104"/>
        <v>0.7</v>
      </c>
    </row>
    <row r="6707" spans="1:4" x14ac:dyDescent="0.25">
      <c r="A6707" s="15">
        <f>Sheet2!A6707</f>
        <v>0</v>
      </c>
      <c r="B6707" s="8">
        <v>1.38</v>
      </c>
      <c r="C6707" s="9">
        <v>0</v>
      </c>
      <c r="D6707" s="13">
        <f t="shared" si="104"/>
        <v>1.38</v>
      </c>
    </row>
    <row r="6708" spans="1:4" x14ac:dyDescent="0.25">
      <c r="A6708" s="15">
        <f>Sheet2!A6708</f>
        <v>0</v>
      </c>
      <c r="B6708" s="8">
        <v>1.42</v>
      </c>
      <c r="C6708" s="9">
        <v>0</v>
      </c>
      <c r="D6708" s="13">
        <f t="shared" si="104"/>
        <v>1.42</v>
      </c>
    </row>
    <row r="6709" spans="1:4" x14ac:dyDescent="0.25">
      <c r="A6709" s="15">
        <f>Sheet2!A6709</f>
        <v>0</v>
      </c>
      <c r="B6709" s="8">
        <v>1.21</v>
      </c>
      <c r="C6709" s="9">
        <v>0</v>
      </c>
      <c r="D6709" s="13">
        <f t="shared" si="104"/>
        <v>1.21</v>
      </c>
    </row>
    <row r="6710" spans="1:4" x14ac:dyDescent="0.25">
      <c r="A6710" s="15">
        <f>Sheet2!A6710</f>
        <v>0</v>
      </c>
      <c r="B6710" s="8">
        <v>0</v>
      </c>
      <c r="C6710" s="9">
        <v>1.77</v>
      </c>
      <c r="D6710" s="13">
        <f t="shared" si="104"/>
        <v>1.77</v>
      </c>
    </row>
    <row r="6711" spans="1:4" x14ac:dyDescent="0.25">
      <c r="A6711" s="15">
        <f>Sheet2!A6711</f>
        <v>0</v>
      </c>
      <c r="B6711" s="8">
        <v>0</v>
      </c>
      <c r="C6711" s="9">
        <v>0.86</v>
      </c>
      <c r="D6711" s="13">
        <f t="shared" si="104"/>
        <v>0.86</v>
      </c>
    </row>
    <row r="6712" spans="1:4" x14ac:dyDescent="0.25">
      <c r="A6712" s="15">
        <f>Sheet2!A6712</f>
        <v>0</v>
      </c>
      <c r="B6712" s="8">
        <v>5.96</v>
      </c>
      <c r="C6712" s="9">
        <v>0</v>
      </c>
      <c r="D6712" s="13">
        <f t="shared" si="104"/>
        <v>5.96</v>
      </c>
    </row>
    <row r="6713" spans="1:4" x14ac:dyDescent="0.25">
      <c r="A6713" s="15">
        <f>Sheet2!A6713</f>
        <v>0</v>
      </c>
      <c r="B6713" s="8">
        <v>6.28</v>
      </c>
      <c r="C6713" s="9">
        <v>0</v>
      </c>
      <c r="D6713" s="13">
        <f t="shared" si="104"/>
        <v>6.28</v>
      </c>
    </row>
    <row r="6714" spans="1:4" x14ac:dyDescent="0.25">
      <c r="A6714" s="15">
        <f>Sheet2!A6714</f>
        <v>0</v>
      </c>
      <c r="B6714" s="8">
        <v>4.82</v>
      </c>
      <c r="C6714" s="9">
        <v>0</v>
      </c>
      <c r="D6714" s="13">
        <f t="shared" si="104"/>
        <v>4.82</v>
      </c>
    </row>
    <row r="6715" spans="1:4" x14ac:dyDescent="0.25">
      <c r="A6715" s="15">
        <f>Sheet2!A6715</f>
        <v>0</v>
      </c>
      <c r="B6715" s="8">
        <v>5.22</v>
      </c>
      <c r="C6715" s="9">
        <v>0</v>
      </c>
      <c r="D6715" s="13">
        <f t="shared" si="104"/>
        <v>5.22</v>
      </c>
    </row>
    <row r="6716" spans="1:4" x14ac:dyDescent="0.25">
      <c r="A6716" s="15">
        <f>Sheet2!A6716</f>
        <v>0</v>
      </c>
      <c r="B6716" s="8">
        <v>0</v>
      </c>
      <c r="C6716" s="9">
        <v>1.2</v>
      </c>
      <c r="D6716" s="13">
        <f t="shared" si="104"/>
        <v>1.2</v>
      </c>
    </row>
    <row r="6717" spans="1:4" x14ac:dyDescent="0.25">
      <c r="A6717" s="15">
        <f>Sheet2!A6717</f>
        <v>0</v>
      </c>
      <c r="B6717" s="8">
        <v>0</v>
      </c>
      <c r="C6717" s="9">
        <v>1.21</v>
      </c>
      <c r="D6717" s="13">
        <f t="shared" si="104"/>
        <v>1.21</v>
      </c>
    </row>
    <row r="6718" spans="1:4" x14ac:dyDescent="0.25">
      <c r="A6718" s="15">
        <f>Sheet2!A6718</f>
        <v>0</v>
      </c>
      <c r="B6718" s="8">
        <v>2.27</v>
      </c>
      <c r="C6718" s="9">
        <v>0</v>
      </c>
      <c r="D6718" s="13">
        <f t="shared" si="104"/>
        <v>2.27</v>
      </c>
    </row>
    <row r="6719" spans="1:4" x14ac:dyDescent="0.25">
      <c r="A6719" s="15">
        <f>Sheet2!A6719</f>
        <v>0</v>
      </c>
      <c r="B6719" s="8">
        <v>4.04</v>
      </c>
      <c r="C6719" s="9">
        <v>0</v>
      </c>
      <c r="D6719" s="13">
        <f t="shared" si="104"/>
        <v>4.04</v>
      </c>
    </row>
    <row r="6720" spans="1:4" x14ac:dyDescent="0.25">
      <c r="A6720" s="15">
        <f>Sheet2!A6720</f>
        <v>0</v>
      </c>
      <c r="B6720" s="8">
        <v>2.73</v>
      </c>
      <c r="C6720" s="9">
        <v>0</v>
      </c>
      <c r="D6720" s="13">
        <f t="shared" si="104"/>
        <v>2.73</v>
      </c>
    </row>
    <row r="6721" spans="1:4" x14ac:dyDescent="0.25">
      <c r="A6721" s="15">
        <f>Sheet2!A6721</f>
        <v>0</v>
      </c>
      <c r="B6721" s="8">
        <v>2.44</v>
      </c>
      <c r="C6721" s="9">
        <v>0</v>
      </c>
      <c r="D6721" s="13">
        <f t="shared" si="104"/>
        <v>2.44</v>
      </c>
    </row>
    <row r="6722" spans="1:4" x14ac:dyDescent="0.25">
      <c r="A6722" s="15">
        <f>Sheet2!A6722</f>
        <v>0</v>
      </c>
      <c r="B6722" s="8">
        <v>2.4700000000000002</v>
      </c>
      <c r="C6722" s="9">
        <v>0</v>
      </c>
      <c r="D6722" s="13">
        <f t="shared" si="104"/>
        <v>2.4700000000000002</v>
      </c>
    </row>
    <row r="6723" spans="1:4" x14ac:dyDescent="0.25">
      <c r="A6723" s="15">
        <f>Sheet2!A6723</f>
        <v>0</v>
      </c>
      <c r="B6723" s="8">
        <v>2.33</v>
      </c>
      <c r="C6723" s="9">
        <v>0</v>
      </c>
      <c r="D6723" s="13">
        <f t="shared" ref="D6723:D6786" si="105">B6723+C6723</f>
        <v>2.33</v>
      </c>
    </row>
    <row r="6724" spans="1:4" x14ac:dyDescent="0.25">
      <c r="A6724" s="15">
        <f>Sheet2!A6724</f>
        <v>0</v>
      </c>
      <c r="B6724" s="8">
        <v>2.4</v>
      </c>
      <c r="C6724" s="9">
        <v>0</v>
      </c>
      <c r="D6724" s="13">
        <f t="shared" si="105"/>
        <v>2.4</v>
      </c>
    </row>
    <row r="6725" spans="1:4" x14ac:dyDescent="0.25">
      <c r="A6725" s="15">
        <f>Sheet2!A6725</f>
        <v>0</v>
      </c>
      <c r="B6725" s="8">
        <v>2.39</v>
      </c>
      <c r="C6725" s="9">
        <v>0</v>
      </c>
      <c r="D6725" s="13">
        <f t="shared" si="105"/>
        <v>2.39</v>
      </c>
    </row>
    <row r="6726" spans="1:4" x14ac:dyDescent="0.25">
      <c r="A6726" s="15">
        <f>Sheet2!A6726</f>
        <v>0</v>
      </c>
      <c r="B6726" s="8">
        <v>1.58</v>
      </c>
      <c r="C6726" s="9">
        <v>0</v>
      </c>
      <c r="D6726" s="13">
        <f t="shared" si="105"/>
        <v>1.58</v>
      </c>
    </row>
    <row r="6727" spans="1:4" x14ac:dyDescent="0.25">
      <c r="A6727" s="15">
        <f>Sheet2!A6727</f>
        <v>0</v>
      </c>
      <c r="B6727" s="8">
        <v>1.5</v>
      </c>
      <c r="C6727" s="9">
        <v>0</v>
      </c>
      <c r="D6727" s="13">
        <f t="shared" si="105"/>
        <v>1.5</v>
      </c>
    </row>
    <row r="6728" spans="1:4" x14ac:dyDescent="0.25">
      <c r="A6728" s="15">
        <f>Sheet2!A6728</f>
        <v>0</v>
      </c>
      <c r="B6728" s="8">
        <v>1.5</v>
      </c>
      <c r="C6728" s="9">
        <v>0</v>
      </c>
      <c r="D6728" s="13">
        <f t="shared" si="105"/>
        <v>1.5</v>
      </c>
    </row>
    <row r="6729" spans="1:4" x14ac:dyDescent="0.25">
      <c r="A6729" s="15">
        <f>Sheet2!A6729</f>
        <v>0</v>
      </c>
      <c r="B6729" s="8">
        <v>1.96</v>
      </c>
      <c r="C6729" s="9">
        <v>0</v>
      </c>
      <c r="D6729" s="13">
        <f t="shared" si="105"/>
        <v>1.96</v>
      </c>
    </row>
    <row r="6730" spans="1:4" x14ac:dyDescent="0.25">
      <c r="A6730" s="15">
        <f>Sheet2!A6730</f>
        <v>0</v>
      </c>
      <c r="B6730" s="8">
        <v>2.75</v>
      </c>
      <c r="C6730" s="9">
        <v>0</v>
      </c>
      <c r="D6730" s="13">
        <f t="shared" si="105"/>
        <v>2.75</v>
      </c>
    </row>
    <row r="6731" spans="1:4" x14ac:dyDescent="0.25">
      <c r="A6731" s="15">
        <f>Sheet2!A6731</f>
        <v>0</v>
      </c>
      <c r="B6731" s="8">
        <v>2.97</v>
      </c>
      <c r="C6731" s="9">
        <v>0</v>
      </c>
      <c r="D6731" s="13">
        <f t="shared" si="105"/>
        <v>2.97</v>
      </c>
    </row>
    <row r="6732" spans="1:4" x14ac:dyDescent="0.25">
      <c r="A6732" s="15">
        <f>Sheet2!A6732</f>
        <v>0</v>
      </c>
      <c r="B6732" s="8">
        <v>2.89</v>
      </c>
      <c r="C6732" s="9">
        <v>0</v>
      </c>
      <c r="D6732" s="13">
        <f t="shared" si="105"/>
        <v>2.89</v>
      </c>
    </row>
    <row r="6733" spans="1:4" x14ac:dyDescent="0.25">
      <c r="A6733" s="15">
        <f>Sheet2!A6733</f>
        <v>0</v>
      </c>
      <c r="B6733" s="8">
        <v>0</v>
      </c>
      <c r="C6733" s="9">
        <v>0.65</v>
      </c>
      <c r="D6733" s="13">
        <f t="shared" si="105"/>
        <v>0.65</v>
      </c>
    </row>
    <row r="6734" spans="1:4" x14ac:dyDescent="0.25">
      <c r="A6734" s="15">
        <f>Sheet2!A6734</f>
        <v>0</v>
      </c>
      <c r="B6734" s="8">
        <v>0</v>
      </c>
      <c r="C6734" s="9">
        <v>1</v>
      </c>
      <c r="D6734" s="13">
        <f t="shared" si="105"/>
        <v>1</v>
      </c>
    </row>
    <row r="6735" spans="1:4" x14ac:dyDescent="0.25">
      <c r="A6735" s="15">
        <f>Sheet2!A6735</f>
        <v>0</v>
      </c>
      <c r="B6735" s="8">
        <v>6.86</v>
      </c>
      <c r="C6735" s="9">
        <v>0</v>
      </c>
      <c r="D6735" s="13">
        <f t="shared" si="105"/>
        <v>6.86</v>
      </c>
    </row>
    <row r="6736" spans="1:4" x14ac:dyDescent="0.25">
      <c r="A6736" s="15">
        <f>Sheet2!A6736</f>
        <v>0</v>
      </c>
      <c r="B6736" s="8">
        <v>4.53</v>
      </c>
      <c r="C6736" s="9">
        <v>0</v>
      </c>
      <c r="D6736" s="13">
        <f t="shared" si="105"/>
        <v>4.53</v>
      </c>
    </row>
    <row r="6737" spans="1:4" x14ac:dyDescent="0.25">
      <c r="A6737" s="15">
        <f>Sheet2!A6737</f>
        <v>0</v>
      </c>
      <c r="B6737" s="8">
        <v>5.33</v>
      </c>
      <c r="C6737" s="9">
        <v>0</v>
      </c>
      <c r="D6737" s="13">
        <f t="shared" si="105"/>
        <v>5.33</v>
      </c>
    </row>
    <row r="6738" spans="1:4" x14ac:dyDescent="0.25">
      <c r="A6738" s="15">
        <f>Sheet2!A6738</f>
        <v>0</v>
      </c>
      <c r="B6738" s="8">
        <v>4.67</v>
      </c>
      <c r="C6738" s="9">
        <v>0</v>
      </c>
      <c r="D6738" s="13">
        <f t="shared" si="105"/>
        <v>4.67</v>
      </c>
    </row>
    <row r="6739" spans="1:4" x14ac:dyDescent="0.25">
      <c r="A6739" s="15">
        <f>Sheet2!A6739</f>
        <v>0</v>
      </c>
      <c r="B6739" s="8">
        <v>5.4</v>
      </c>
      <c r="C6739" s="9">
        <v>0</v>
      </c>
      <c r="D6739" s="13">
        <f t="shared" si="105"/>
        <v>5.4</v>
      </c>
    </row>
    <row r="6740" spans="1:4" x14ac:dyDescent="0.25">
      <c r="A6740" s="15">
        <f>Sheet2!A6740</f>
        <v>0</v>
      </c>
      <c r="B6740" s="8">
        <v>5.69</v>
      </c>
      <c r="C6740" s="9">
        <v>0</v>
      </c>
      <c r="D6740" s="13">
        <f t="shared" si="105"/>
        <v>5.69</v>
      </c>
    </row>
    <row r="6741" spans="1:4" x14ac:dyDescent="0.25">
      <c r="A6741" s="15">
        <f>Sheet2!A6741</f>
        <v>0</v>
      </c>
      <c r="B6741" s="8">
        <v>4.76</v>
      </c>
      <c r="C6741" s="9">
        <v>0</v>
      </c>
      <c r="D6741" s="13">
        <f t="shared" si="105"/>
        <v>4.76</v>
      </c>
    </row>
    <row r="6742" spans="1:4" x14ac:dyDescent="0.25">
      <c r="A6742" s="15">
        <f>Sheet2!A6742</f>
        <v>0</v>
      </c>
      <c r="B6742" s="8">
        <v>4.4800000000000004</v>
      </c>
      <c r="C6742" s="9">
        <v>0</v>
      </c>
      <c r="D6742" s="13">
        <f t="shared" si="105"/>
        <v>4.4800000000000004</v>
      </c>
    </row>
    <row r="6743" spans="1:4" x14ac:dyDescent="0.25">
      <c r="A6743" s="15">
        <f>Sheet2!A6743</f>
        <v>0</v>
      </c>
      <c r="B6743" s="8">
        <v>4.9000000000000004</v>
      </c>
      <c r="C6743" s="9">
        <v>0</v>
      </c>
      <c r="D6743" s="13">
        <f t="shared" si="105"/>
        <v>4.9000000000000004</v>
      </c>
    </row>
    <row r="6744" spans="1:4" x14ac:dyDescent="0.25">
      <c r="A6744" s="15">
        <f>Sheet2!A6744</f>
        <v>0</v>
      </c>
      <c r="B6744" s="8">
        <v>6.13</v>
      </c>
      <c r="C6744" s="9">
        <v>0</v>
      </c>
      <c r="D6744" s="13">
        <f t="shared" si="105"/>
        <v>6.13</v>
      </c>
    </row>
    <row r="6745" spans="1:4" x14ac:dyDescent="0.25">
      <c r="A6745" s="15">
        <f>Sheet2!A6745</f>
        <v>0</v>
      </c>
      <c r="B6745" s="8">
        <v>5.0199999999999996</v>
      </c>
      <c r="C6745" s="9">
        <v>0</v>
      </c>
      <c r="D6745" s="13">
        <f t="shared" si="105"/>
        <v>5.0199999999999996</v>
      </c>
    </row>
    <row r="6746" spans="1:4" x14ac:dyDescent="0.25">
      <c r="A6746" s="15">
        <f>Sheet2!A6746</f>
        <v>0</v>
      </c>
      <c r="B6746" s="8">
        <v>4.8</v>
      </c>
      <c r="C6746" s="9">
        <v>0</v>
      </c>
      <c r="D6746" s="13">
        <f t="shared" si="105"/>
        <v>4.8</v>
      </c>
    </row>
    <row r="6747" spans="1:4" x14ac:dyDescent="0.25">
      <c r="A6747" s="15">
        <f>Sheet2!A6747</f>
        <v>0</v>
      </c>
      <c r="B6747" s="8">
        <v>4.2699999999999996</v>
      </c>
      <c r="C6747" s="9">
        <v>0</v>
      </c>
      <c r="D6747" s="13">
        <f t="shared" si="105"/>
        <v>4.2699999999999996</v>
      </c>
    </row>
    <row r="6748" spans="1:4" x14ac:dyDescent="0.25">
      <c r="A6748" s="15">
        <f>Sheet2!A6748</f>
        <v>0</v>
      </c>
      <c r="B6748" s="8">
        <v>4.41</v>
      </c>
      <c r="C6748" s="9">
        <v>0</v>
      </c>
      <c r="D6748" s="13">
        <f t="shared" si="105"/>
        <v>4.41</v>
      </c>
    </row>
    <row r="6749" spans="1:4" x14ac:dyDescent="0.25">
      <c r="A6749" s="15">
        <f>Sheet2!A6749</f>
        <v>0</v>
      </c>
      <c r="B6749" s="8">
        <v>4.12</v>
      </c>
      <c r="C6749" s="9">
        <v>0</v>
      </c>
      <c r="D6749" s="13">
        <f t="shared" si="105"/>
        <v>4.12</v>
      </c>
    </row>
    <row r="6750" spans="1:4" x14ac:dyDescent="0.25">
      <c r="A6750" s="15">
        <f>Sheet2!A6750</f>
        <v>0</v>
      </c>
      <c r="B6750" s="8">
        <v>3.21</v>
      </c>
      <c r="C6750" s="9">
        <v>0</v>
      </c>
      <c r="D6750" s="13">
        <f t="shared" si="105"/>
        <v>3.21</v>
      </c>
    </row>
    <row r="6751" spans="1:4" x14ac:dyDescent="0.25">
      <c r="A6751" s="15">
        <f>Sheet2!A6751</f>
        <v>0</v>
      </c>
      <c r="B6751" s="8">
        <v>4.05</v>
      </c>
      <c r="C6751" s="9">
        <v>0</v>
      </c>
      <c r="D6751" s="13">
        <f t="shared" si="105"/>
        <v>4.05</v>
      </c>
    </row>
    <row r="6752" spans="1:4" x14ac:dyDescent="0.25">
      <c r="A6752" s="15">
        <f>Sheet2!A6752</f>
        <v>0</v>
      </c>
      <c r="B6752" s="8">
        <v>3.91</v>
      </c>
      <c r="C6752" s="9">
        <v>0</v>
      </c>
      <c r="D6752" s="13">
        <f t="shared" si="105"/>
        <v>3.91</v>
      </c>
    </row>
    <row r="6753" spans="1:4" x14ac:dyDescent="0.25">
      <c r="A6753" s="15">
        <f>Sheet2!A6753</f>
        <v>0</v>
      </c>
      <c r="B6753" s="8">
        <v>3.81</v>
      </c>
      <c r="C6753" s="9">
        <v>0</v>
      </c>
      <c r="D6753" s="13">
        <f t="shared" si="105"/>
        <v>3.81</v>
      </c>
    </row>
    <row r="6754" spans="1:4" x14ac:dyDescent="0.25">
      <c r="A6754" s="15">
        <f>Sheet2!A6754</f>
        <v>0</v>
      </c>
      <c r="B6754" s="8">
        <v>0</v>
      </c>
      <c r="C6754" s="9">
        <v>0.34</v>
      </c>
      <c r="D6754" s="13">
        <f t="shared" si="105"/>
        <v>0.34</v>
      </c>
    </row>
    <row r="6755" spans="1:4" x14ac:dyDescent="0.25">
      <c r="A6755" s="15">
        <f>Sheet2!A6755</f>
        <v>0</v>
      </c>
      <c r="B6755" s="8">
        <v>0</v>
      </c>
      <c r="C6755" s="9">
        <v>0.79</v>
      </c>
      <c r="D6755" s="13">
        <f t="shared" si="105"/>
        <v>0.79</v>
      </c>
    </row>
    <row r="6756" spans="1:4" x14ac:dyDescent="0.25">
      <c r="A6756" s="15">
        <f>Sheet2!A6756</f>
        <v>0</v>
      </c>
      <c r="B6756" s="8">
        <v>0</v>
      </c>
      <c r="C6756" s="9">
        <v>0.82</v>
      </c>
      <c r="D6756" s="13">
        <f t="shared" si="105"/>
        <v>0.82</v>
      </c>
    </row>
    <row r="6757" spans="1:4" x14ac:dyDescent="0.25">
      <c r="A6757" s="15">
        <f>Sheet2!A6757</f>
        <v>0</v>
      </c>
      <c r="B6757" s="8">
        <v>0</v>
      </c>
      <c r="C6757" s="9">
        <v>2</v>
      </c>
      <c r="D6757" s="13">
        <f t="shared" si="105"/>
        <v>2</v>
      </c>
    </row>
    <row r="6758" spans="1:4" x14ac:dyDescent="0.25">
      <c r="A6758" s="15">
        <f>Sheet2!A6758</f>
        <v>0</v>
      </c>
      <c r="B6758" s="8">
        <v>0</v>
      </c>
      <c r="C6758" s="9">
        <v>0.77</v>
      </c>
      <c r="D6758" s="13">
        <f t="shared" si="105"/>
        <v>0.77</v>
      </c>
    </row>
    <row r="6759" spans="1:4" x14ac:dyDescent="0.25">
      <c r="A6759" s="15">
        <f>Sheet2!A6759</f>
        <v>0</v>
      </c>
      <c r="B6759" s="8">
        <v>4.07</v>
      </c>
      <c r="C6759" s="9">
        <v>0</v>
      </c>
      <c r="D6759" s="13">
        <f t="shared" si="105"/>
        <v>4.07</v>
      </c>
    </row>
    <row r="6760" spans="1:4" x14ac:dyDescent="0.25">
      <c r="A6760" s="15">
        <f>Sheet2!A6760</f>
        <v>0</v>
      </c>
      <c r="B6760" s="8">
        <v>0</v>
      </c>
      <c r="C6760" s="9">
        <v>2.35</v>
      </c>
      <c r="D6760" s="13">
        <f t="shared" si="105"/>
        <v>2.35</v>
      </c>
    </row>
    <row r="6761" spans="1:4" x14ac:dyDescent="0.25">
      <c r="A6761" s="15">
        <f>Sheet2!A6761</f>
        <v>0</v>
      </c>
      <c r="B6761" s="8">
        <v>0</v>
      </c>
      <c r="C6761" s="9">
        <v>3.15</v>
      </c>
      <c r="D6761" s="13">
        <f t="shared" si="105"/>
        <v>3.15</v>
      </c>
    </row>
    <row r="6762" spans="1:4" x14ac:dyDescent="0.25">
      <c r="A6762" s="15">
        <f>Sheet2!A6762</f>
        <v>0</v>
      </c>
      <c r="B6762" s="8">
        <v>0</v>
      </c>
      <c r="C6762" s="9">
        <v>0.85</v>
      </c>
      <c r="D6762" s="13">
        <f t="shared" si="105"/>
        <v>0.85</v>
      </c>
    </row>
    <row r="6763" spans="1:4" x14ac:dyDescent="0.25">
      <c r="A6763" s="15">
        <f>Sheet2!A6763</f>
        <v>0</v>
      </c>
      <c r="B6763" s="8">
        <v>4.49</v>
      </c>
      <c r="C6763" s="9">
        <v>0</v>
      </c>
      <c r="D6763" s="13">
        <f t="shared" si="105"/>
        <v>4.49</v>
      </c>
    </row>
    <row r="6764" spans="1:4" x14ac:dyDescent="0.25">
      <c r="A6764" s="15">
        <f>Sheet2!A6764</f>
        <v>0</v>
      </c>
      <c r="B6764" s="8">
        <v>0</v>
      </c>
      <c r="C6764" s="9">
        <v>0.93</v>
      </c>
      <c r="D6764" s="13">
        <f t="shared" si="105"/>
        <v>0.93</v>
      </c>
    </row>
    <row r="6765" spans="1:4" x14ac:dyDescent="0.25">
      <c r="A6765" s="15">
        <f>Sheet2!A6765</f>
        <v>0</v>
      </c>
      <c r="B6765" s="8">
        <v>0</v>
      </c>
      <c r="C6765" s="9">
        <v>1.0900000000000001</v>
      </c>
      <c r="D6765" s="13">
        <f t="shared" si="105"/>
        <v>1.0900000000000001</v>
      </c>
    </row>
    <row r="6766" spans="1:4" x14ac:dyDescent="0.25">
      <c r="A6766" s="15">
        <f>Sheet2!A6766</f>
        <v>0</v>
      </c>
      <c r="B6766" s="8">
        <v>0</v>
      </c>
      <c r="C6766" s="9">
        <v>0.54</v>
      </c>
      <c r="D6766" s="13">
        <f t="shared" si="105"/>
        <v>0.54</v>
      </c>
    </row>
    <row r="6767" spans="1:4" x14ac:dyDescent="0.25">
      <c r="A6767" s="15">
        <f>Sheet2!A6767</f>
        <v>0</v>
      </c>
      <c r="B6767" s="8">
        <v>6.2</v>
      </c>
      <c r="C6767" s="9">
        <v>0</v>
      </c>
      <c r="D6767" s="13">
        <f t="shared" si="105"/>
        <v>6.2</v>
      </c>
    </row>
    <row r="6768" spans="1:4" x14ac:dyDescent="0.25">
      <c r="A6768" s="15">
        <f>Sheet2!A6768</f>
        <v>0</v>
      </c>
      <c r="B6768" s="8">
        <v>7.07</v>
      </c>
      <c r="C6768" s="9">
        <v>0</v>
      </c>
      <c r="D6768" s="13">
        <f t="shared" si="105"/>
        <v>7.07</v>
      </c>
    </row>
    <row r="6769" spans="1:4" x14ac:dyDescent="0.25">
      <c r="A6769" s="15">
        <f>Sheet2!A6769</f>
        <v>0</v>
      </c>
      <c r="B6769" s="8">
        <v>6.36</v>
      </c>
      <c r="C6769" s="9">
        <v>0</v>
      </c>
      <c r="D6769" s="13">
        <f t="shared" si="105"/>
        <v>6.36</v>
      </c>
    </row>
    <row r="6770" spans="1:4" x14ac:dyDescent="0.25">
      <c r="A6770" s="15">
        <f>Sheet2!A6770</f>
        <v>0</v>
      </c>
      <c r="B6770" s="8">
        <v>6.1</v>
      </c>
      <c r="C6770" s="9">
        <v>0</v>
      </c>
      <c r="D6770" s="13">
        <f t="shared" si="105"/>
        <v>6.1</v>
      </c>
    </row>
    <row r="6771" spans="1:4" x14ac:dyDescent="0.25">
      <c r="A6771" s="15">
        <f>Sheet2!A6771</f>
        <v>0</v>
      </c>
      <c r="B6771" s="8">
        <v>5.97</v>
      </c>
      <c r="C6771" s="9">
        <v>0</v>
      </c>
      <c r="D6771" s="13">
        <f t="shared" si="105"/>
        <v>5.97</v>
      </c>
    </row>
    <row r="6772" spans="1:4" x14ac:dyDescent="0.25">
      <c r="A6772" s="15">
        <f>Sheet2!A6772</f>
        <v>0</v>
      </c>
      <c r="B6772" s="8">
        <v>6.04</v>
      </c>
      <c r="C6772" s="9">
        <v>0</v>
      </c>
      <c r="D6772" s="13">
        <f t="shared" si="105"/>
        <v>6.04</v>
      </c>
    </row>
    <row r="6773" spans="1:4" x14ac:dyDescent="0.25">
      <c r="A6773" s="15">
        <f>Sheet2!A6773</f>
        <v>0</v>
      </c>
      <c r="B6773" s="8">
        <v>5.77</v>
      </c>
      <c r="C6773" s="9">
        <v>0</v>
      </c>
      <c r="D6773" s="13">
        <f t="shared" si="105"/>
        <v>5.77</v>
      </c>
    </row>
    <row r="6774" spans="1:4" x14ac:dyDescent="0.25">
      <c r="A6774" s="15">
        <f>Sheet2!A6774</f>
        <v>0</v>
      </c>
      <c r="B6774" s="8">
        <v>4.9800000000000004</v>
      </c>
      <c r="C6774" s="9">
        <v>0</v>
      </c>
      <c r="D6774" s="13">
        <f t="shared" si="105"/>
        <v>4.9800000000000004</v>
      </c>
    </row>
    <row r="6775" spans="1:4" x14ac:dyDescent="0.25">
      <c r="A6775" s="15">
        <f>Sheet2!A6775</f>
        <v>0</v>
      </c>
      <c r="B6775" s="8">
        <v>5.19</v>
      </c>
      <c r="C6775" s="9">
        <v>0</v>
      </c>
      <c r="D6775" s="13">
        <f t="shared" si="105"/>
        <v>5.19</v>
      </c>
    </row>
    <row r="6776" spans="1:4" x14ac:dyDescent="0.25">
      <c r="A6776" s="15">
        <f>Sheet2!A6776</f>
        <v>0</v>
      </c>
      <c r="B6776" s="8">
        <v>0</v>
      </c>
      <c r="C6776" s="9">
        <v>0.72</v>
      </c>
      <c r="D6776" s="13">
        <f t="shared" si="105"/>
        <v>0.72</v>
      </c>
    </row>
    <row r="6777" spans="1:4" x14ac:dyDescent="0.25">
      <c r="A6777" s="15">
        <f>Sheet2!A6777</f>
        <v>0</v>
      </c>
      <c r="B6777" s="8">
        <v>0</v>
      </c>
      <c r="C6777" s="9">
        <v>1.5</v>
      </c>
      <c r="D6777" s="13">
        <f t="shared" si="105"/>
        <v>1.5</v>
      </c>
    </row>
    <row r="6778" spans="1:4" x14ac:dyDescent="0.25">
      <c r="A6778" s="15">
        <f>Sheet2!A6778</f>
        <v>0</v>
      </c>
      <c r="B6778" s="8">
        <v>0</v>
      </c>
      <c r="C6778" s="9">
        <v>0.61</v>
      </c>
      <c r="D6778" s="13">
        <f t="shared" si="105"/>
        <v>0.61</v>
      </c>
    </row>
    <row r="6779" spans="1:4" x14ac:dyDescent="0.25">
      <c r="A6779" s="15">
        <f>Sheet2!A6779</f>
        <v>0</v>
      </c>
      <c r="B6779" s="8">
        <v>4.18</v>
      </c>
      <c r="C6779" s="9">
        <v>0</v>
      </c>
      <c r="D6779" s="13">
        <f t="shared" si="105"/>
        <v>4.18</v>
      </c>
    </row>
    <row r="6780" spans="1:4" x14ac:dyDescent="0.25">
      <c r="A6780" s="15">
        <f>Sheet2!A6780</f>
        <v>0</v>
      </c>
      <c r="B6780" s="8">
        <v>0</v>
      </c>
      <c r="C6780" s="9">
        <v>0.54</v>
      </c>
      <c r="D6780" s="13">
        <f t="shared" si="105"/>
        <v>0.54</v>
      </c>
    </row>
    <row r="6781" spans="1:4" x14ac:dyDescent="0.25">
      <c r="A6781" s="15">
        <f>Sheet2!A6781</f>
        <v>0</v>
      </c>
      <c r="B6781" s="8">
        <v>0</v>
      </c>
      <c r="C6781" s="9">
        <v>1.28</v>
      </c>
      <c r="D6781" s="13">
        <f t="shared" si="105"/>
        <v>1.28</v>
      </c>
    </row>
    <row r="6782" spans="1:4" x14ac:dyDescent="0.25">
      <c r="A6782" s="15">
        <f>Sheet2!A6782</f>
        <v>0</v>
      </c>
      <c r="B6782" s="8">
        <v>0</v>
      </c>
      <c r="C6782" s="9">
        <v>2.4500000000000002</v>
      </c>
      <c r="D6782" s="13">
        <f t="shared" si="105"/>
        <v>2.4500000000000002</v>
      </c>
    </row>
    <row r="6783" spans="1:4" x14ac:dyDescent="0.25">
      <c r="A6783" s="15">
        <f>Sheet2!A6783</f>
        <v>0</v>
      </c>
      <c r="B6783" s="8">
        <v>0</v>
      </c>
      <c r="C6783" s="9">
        <v>3.01</v>
      </c>
      <c r="D6783" s="13">
        <f t="shared" si="105"/>
        <v>3.01</v>
      </c>
    </row>
    <row r="6784" spans="1:4" x14ac:dyDescent="0.25">
      <c r="A6784" s="15">
        <f>Sheet2!A6784</f>
        <v>0</v>
      </c>
      <c r="B6784" s="8">
        <v>0</v>
      </c>
      <c r="C6784" s="9">
        <v>0.82</v>
      </c>
      <c r="D6784" s="13">
        <f t="shared" si="105"/>
        <v>0.82</v>
      </c>
    </row>
    <row r="6785" spans="1:4" x14ac:dyDescent="0.25">
      <c r="A6785" s="15">
        <f>Sheet2!A6785</f>
        <v>0</v>
      </c>
      <c r="B6785" s="8">
        <v>8.2100000000000009</v>
      </c>
      <c r="C6785" s="9">
        <v>0</v>
      </c>
      <c r="D6785" s="13">
        <f t="shared" si="105"/>
        <v>8.2100000000000009</v>
      </c>
    </row>
    <row r="6786" spans="1:4" x14ac:dyDescent="0.25">
      <c r="A6786" s="15">
        <f>Sheet2!A6786</f>
        <v>0</v>
      </c>
      <c r="B6786" s="8">
        <v>0</v>
      </c>
      <c r="C6786" s="9">
        <v>2.25</v>
      </c>
      <c r="D6786" s="13">
        <f t="shared" si="105"/>
        <v>2.25</v>
      </c>
    </row>
    <row r="6787" spans="1:4" x14ac:dyDescent="0.25">
      <c r="A6787" s="15">
        <f>Sheet2!A6787</f>
        <v>0</v>
      </c>
      <c r="B6787" s="8">
        <v>0</v>
      </c>
      <c r="C6787" s="9">
        <v>3.15</v>
      </c>
      <c r="D6787" s="13">
        <f t="shared" ref="D6787:D6850" si="106">B6787+C6787</f>
        <v>3.15</v>
      </c>
    </row>
    <row r="6788" spans="1:4" x14ac:dyDescent="0.25">
      <c r="A6788" s="15">
        <f>Sheet2!A6788</f>
        <v>0</v>
      </c>
      <c r="B6788" s="8">
        <v>0</v>
      </c>
      <c r="C6788" s="9">
        <v>0.82</v>
      </c>
      <c r="D6788" s="13">
        <f t="shared" si="106"/>
        <v>0.82</v>
      </c>
    </row>
    <row r="6789" spans="1:4" x14ac:dyDescent="0.25">
      <c r="A6789" s="15">
        <f>Sheet2!A6789</f>
        <v>0</v>
      </c>
      <c r="B6789" s="8">
        <v>6.32</v>
      </c>
      <c r="C6789" s="9">
        <v>0</v>
      </c>
      <c r="D6789" s="13">
        <f t="shared" si="106"/>
        <v>6.32</v>
      </c>
    </row>
    <row r="6790" spans="1:4" x14ac:dyDescent="0.25">
      <c r="A6790" s="15">
        <f>Sheet2!A6790</f>
        <v>0</v>
      </c>
      <c r="B6790" s="8">
        <v>0</v>
      </c>
      <c r="C6790" s="9">
        <v>0.81</v>
      </c>
      <c r="D6790" s="13">
        <f t="shared" si="106"/>
        <v>0.81</v>
      </c>
    </row>
    <row r="6791" spans="1:4" x14ac:dyDescent="0.25">
      <c r="A6791" s="15">
        <f>Sheet2!A6791</f>
        <v>0</v>
      </c>
      <c r="B6791" s="8">
        <v>0</v>
      </c>
      <c r="C6791" s="9">
        <v>1.86</v>
      </c>
      <c r="D6791" s="13">
        <f t="shared" si="106"/>
        <v>1.86</v>
      </c>
    </row>
    <row r="6792" spans="1:4" x14ac:dyDescent="0.25">
      <c r="A6792" s="15">
        <f>Sheet2!A6792</f>
        <v>0</v>
      </c>
      <c r="B6792" s="8">
        <v>0</v>
      </c>
      <c r="C6792" s="9">
        <v>0.47</v>
      </c>
      <c r="D6792" s="13">
        <f t="shared" si="106"/>
        <v>0.47</v>
      </c>
    </row>
    <row r="6793" spans="1:4" x14ac:dyDescent="0.25">
      <c r="A6793" s="15">
        <f>Sheet2!A6793</f>
        <v>0</v>
      </c>
      <c r="B6793" s="8">
        <v>5.17</v>
      </c>
      <c r="C6793" s="9">
        <v>0</v>
      </c>
      <c r="D6793" s="13">
        <f t="shared" si="106"/>
        <v>5.17</v>
      </c>
    </row>
    <row r="6794" spans="1:4" x14ac:dyDescent="0.25">
      <c r="A6794" s="15">
        <f>Sheet2!A6794</f>
        <v>0</v>
      </c>
      <c r="B6794" s="8">
        <v>5.6</v>
      </c>
      <c r="C6794" s="9">
        <v>0</v>
      </c>
      <c r="D6794" s="13">
        <f t="shared" si="106"/>
        <v>5.6</v>
      </c>
    </row>
    <row r="6795" spans="1:4" x14ac:dyDescent="0.25">
      <c r="A6795" s="15">
        <f>Sheet2!A6795</f>
        <v>0</v>
      </c>
      <c r="B6795" s="8">
        <v>5.81</v>
      </c>
      <c r="C6795" s="9">
        <v>0</v>
      </c>
      <c r="D6795" s="13">
        <f t="shared" si="106"/>
        <v>5.81</v>
      </c>
    </row>
    <row r="6796" spans="1:4" x14ac:dyDescent="0.25">
      <c r="A6796" s="15">
        <f>Sheet2!A6796</f>
        <v>0</v>
      </c>
      <c r="B6796" s="8">
        <v>5.43</v>
      </c>
      <c r="C6796" s="9">
        <v>0</v>
      </c>
      <c r="D6796" s="13">
        <f t="shared" si="106"/>
        <v>5.43</v>
      </c>
    </row>
    <row r="6797" spans="1:4" x14ac:dyDescent="0.25">
      <c r="A6797" s="15">
        <f>Sheet2!A6797</f>
        <v>0</v>
      </c>
      <c r="B6797" s="8">
        <v>5.62</v>
      </c>
      <c r="C6797" s="9">
        <v>0</v>
      </c>
      <c r="D6797" s="13">
        <f t="shared" si="106"/>
        <v>5.62</v>
      </c>
    </row>
    <row r="6798" spans="1:4" x14ac:dyDescent="0.25">
      <c r="A6798" s="15">
        <f>Sheet2!A6798</f>
        <v>0</v>
      </c>
      <c r="B6798" s="8">
        <v>6.04</v>
      </c>
      <c r="C6798" s="9">
        <v>0</v>
      </c>
      <c r="D6798" s="13">
        <f t="shared" si="106"/>
        <v>6.04</v>
      </c>
    </row>
    <row r="6799" spans="1:4" x14ac:dyDescent="0.25">
      <c r="A6799" s="15">
        <f>Sheet2!A6799</f>
        <v>0</v>
      </c>
      <c r="B6799" s="8">
        <v>6.37</v>
      </c>
      <c r="C6799" s="9">
        <v>0</v>
      </c>
      <c r="D6799" s="13">
        <f t="shared" si="106"/>
        <v>6.37</v>
      </c>
    </row>
    <row r="6800" spans="1:4" x14ac:dyDescent="0.25">
      <c r="A6800" s="15">
        <f>Sheet2!A6800</f>
        <v>0</v>
      </c>
      <c r="B6800" s="8">
        <v>5.44</v>
      </c>
      <c r="C6800" s="9">
        <v>0</v>
      </c>
      <c r="D6800" s="13">
        <f t="shared" si="106"/>
        <v>5.44</v>
      </c>
    </row>
    <row r="6801" spans="1:4" x14ac:dyDescent="0.25">
      <c r="A6801" s="15">
        <f>Sheet2!A6801</f>
        <v>0</v>
      </c>
      <c r="B6801" s="8">
        <v>2.11</v>
      </c>
      <c r="C6801" s="9">
        <v>0</v>
      </c>
      <c r="D6801" s="13">
        <f t="shared" si="106"/>
        <v>2.11</v>
      </c>
    </row>
    <row r="6802" spans="1:4" x14ac:dyDescent="0.25">
      <c r="A6802" s="15">
        <f>Sheet2!A6802</f>
        <v>0</v>
      </c>
      <c r="B6802" s="8">
        <v>2.95</v>
      </c>
      <c r="C6802" s="9">
        <v>0</v>
      </c>
      <c r="D6802" s="13">
        <f t="shared" si="106"/>
        <v>2.95</v>
      </c>
    </row>
    <row r="6803" spans="1:4" x14ac:dyDescent="0.25">
      <c r="A6803" s="15">
        <f>Sheet2!A6803</f>
        <v>0</v>
      </c>
      <c r="B6803" s="8">
        <v>2.19</v>
      </c>
      <c r="C6803" s="9">
        <v>0</v>
      </c>
      <c r="D6803" s="13">
        <f t="shared" si="106"/>
        <v>2.19</v>
      </c>
    </row>
    <row r="6804" spans="1:4" x14ac:dyDescent="0.25">
      <c r="A6804" s="15">
        <f>Sheet2!A6804</f>
        <v>0</v>
      </c>
      <c r="B6804" s="8">
        <v>3.78</v>
      </c>
      <c r="C6804" s="9">
        <v>0</v>
      </c>
      <c r="D6804" s="13">
        <f t="shared" si="106"/>
        <v>3.78</v>
      </c>
    </row>
    <row r="6805" spans="1:4" x14ac:dyDescent="0.25">
      <c r="A6805" s="15">
        <f>Sheet2!A6805</f>
        <v>0</v>
      </c>
      <c r="B6805" s="8">
        <v>3.61</v>
      </c>
      <c r="C6805" s="9">
        <v>0</v>
      </c>
      <c r="D6805" s="13">
        <f t="shared" si="106"/>
        <v>3.61</v>
      </c>
    </row>
    <row r="6806" spans="1:4" x14ac:dyDescent="0.25">
      <c r="A6806" s="15">
        <f>Sheet2!A6806</f>
        <v>0</v>
      </c>
      <c r="B6806" s="8">
        <v>3.44</v>
      </c>
      <c r="C6806" s="9">
        <v>0</v>
      </c>
      <c r="D6806" s="13">
        <f t="shared" si="106"/>
        <v>3.44</v>
      </c>
    </row>
    <row r="6807" spans="1:4" x14ac:dyDescent="0.25">
      <c r="A6807" s="15">
        <f>Sheet2!A6807</f>
        <v>0</v>
      </c>
      <c r="B6807" s="8">
        <v>3.99</v>
      </c>
      <c r="C6807" s="9">
        <v>0</v>
      </c>
      <c r="D6807" s="13">
        <f t="shared" si="106"/>
        <v>3.99</v>
      </c>
    </row>
    <row r="6808" spans="1:4" x14ac:dyDescent="0.25">
      <c r="A6808" s="15">
        <f>Sheet2!A6808</f>
        <v>0</v>
      </c>
      <c r="B6808" s="8">
        <v>0</v>
      </c>
      <c r="C6808" s="9">
        <v>0.83</v>
      </c>
      <c r="D6808" s="13">
        <f t="shared" si="106"/>
        <v>0.83</v>
      </c>
    </row>
    <row r="6809" spans="1:4" x14ac:dyDescent="0.25">
      <c r="A6809" s="15">
        <f>Sheet2!A6809</f>
        <v>0</v>
      </c>
      <c r="B6809" s="8">
        <v>0</v>
      </c>
      <c r="C6809" s="9">
        <v>1.33</v>
      </c>
      <c r="D6809" s="13">
        <f t="shared" si="106"/>
        <v>1.33</v>
      </c>
    </row>
    <row r="6810" spans="1:4" x14ac:dyDescent="0.25">
      <c r="A6810" s="15">
        <f>Sheet2!A6810</f>
        <v>0</v>
      </c>
      <c r="B6810" s="8">
        <v>0</v>
      </c>
      <c r="C6810" s="9">
        <v>0.83</v>
      </c>
      <c r="D6810" s="13">
        <f t="shared" si="106"/>
        <v>0.83</v>
      </c>
    </row>
    <row r="6811" spans="1:4" x14ac:dyDescent="0.25">
      <c r="A6811" s="15">
        <f>Sheet2!A6811</f>
        <v>0</v>
      </c>
      <c r="B6811" s="8">
        <v>4.18</v>
      </c>
      <c r="C6811" s="9">
        <v>0</v>
      </c>
      <c r="D6811" s="13">
        <f t="shared" si="106"/>
        <v>4.18</v>
      </c>
    </row>
    <row r="6812" spans="1:4" x14ac:dyDescent="0.25">
      <c r="A6812" s="15">
        <f>Sheet2!A6812</f>
        <v>0</v>
      </c>
      <c r="B6812" s="8">
        <v>3.71</v>
      </c>
      <c r="C6812" s="9">
        <v>0</v>
      </c>
      <c r="D6812" s="13">
        <f t="shared" si="106"/>
        <v>3.71</v>
      </c>
    </row>
    <row r="6813" spans="1:4" x14ac:dyDescent="0.25">
      <c r="A6813" s="15">
        <f>Sheet2!A6813</f>
        <v>0</v>
      </c>
      <c r="B6813" s="8">
        <v>4.17</v>
      </c>
      <c r="C6813" s="9">
        <v>0</v>
      </c>
      <c r="D6813" s="13">
        <f t="shared" si="106"/>
        <v>4.17</v>
      </c>
    </row>
    <row r="6814" spans="1:4" x14ac:dyDescent="0.25">
      <c r="A6814" s="15">
        <f>Sheet2!A6814</f>
        <v>0</v>
      </c>
      <c r="B6814" s="8">
        <v>4.75</v>
      </c>
      <c r="C6814" s="9">
        <v>0</v>
      </c>
      <c r="D6814" s="13">
        <f t="shared" si="106"/>
        <v>4.75</v>
      </c>
    </row>
    <row r="6815" spans="1:4" x14ac:dyDescent="0.25">
      <c r="A6815" s="15">
        <f>Sheet2!A6815</f>
        <v>0</v>
      </c>
      <c r="B6815" s="8">
        <v>3.97</v>
      </c>
      <c r="C6815" s="9">
        <v>0</v>
      </c>
      <c r="D6815" s="13">
        <f t="shared" si="106"/>
        <v>3.97</v>
      </c>
    </row>
    <row r="6816" spans="1:4" x14ac:dyDescent="0.25">
      <c r="A6816" s="15">
        <f>Sheet2!A6816</f>
        <v>0</v>
      </c>
      <c r="B6816" s="8">
        <v>3.64</v>
      </c>
      <c r="C6816" s="9">
        <v>0</v>
      </c>
      <c r="D6816" s="13">
        <f t="shared" si="106"/>
        <v>3.64</v>
      </c>
    </row>
    <row r="6817" spans="1:4" x14ac:dyDescent="0.25">
      <c r="A6817" s="15">
        <f>Sheet2!A6817</f>
        <v>0</v>
      </c>
      <c r="B6817" s="8">
        <v>3.74</v>
      </c>
      <c r="C6817" s="9">
        <v>0</v>
      </c>
      <c r="D6817" s="13">
        <f t="shared" si="106"/>
        <v>3.74</v>
      </c>
    </row>
    <row r="6818" spans="1:4" x14ac:dyDescent="0.25">
      <c r="A6818" s="15">
        <f>Sheet2!A6818</f>
        <v>0</v>
      </c>
      <c r="B6818" s="8">
        <v>3.58</v>
      </c>
      <c r="C6818" s="9">
        <v>0</v>
      </c>
      <c r="D6818" s="13">
        <f t="shared" si="106"/>
        <v>3.58</v>
      </c>
    </row>
    <row r="6819" spans="1:4" x14ac:dyDescent="0.25">
      <c r="A6819" s="15">
        <f>Sheet2!A6819</f>
        <v>0</v>
      </c>
      <c r="B6819" s="8">
        <v>3.64</v>
      </c>
      <c r="C6819" s="9">
        <v>0</v>
      </c>
      <c r="D6819" s="13">
        <f t="shared" si="106"/>
        <v>3.64</v>
      </c>
    </row>
    <row r="6820" spans="1:4" x14ac:dyDescent="0.25">
      <c r="A6820" s="15">
        <f>Sheet2!A6820</f>
        <v>0</v>
      </c>
      <c r="B6820" s="8">
        <v>3.73</v>
      </c>
      <c r="C6820" s="9">
        <v>0</v>
      </c>
      <c r="D6820" s="13">
        <f t="shared" si="106"/>
        <v>3.73</v>
      </c>
    </row>
    <row r="6821" spans="1:4" x14ac:dyDescent="0.25">
      <c r="A6821" s="15">
        <f>Sheet2!A6821</f>
        <v>0</v>
      </c>
      <c r="B6821" s="8">
        <v>3.2</v>
      </c>
      <c r="C6821" s="9">
        <v>0</v>
      </c>
      <c r="D6821" s="13">
        <f t="shared" si="106"/>
        <v>3.2</v>
      </c>
    </row>
    <row r="6822" spans="1:4" x14ac:dyDescent="0.25">
      <c r="A6822" s="15">
        <f>Sheet2!A6822</f>
        <v>0</v>
      </c>
      <c r="B6822" s="8">
        <v>2.81</v>
      </c>
      <c r="C6822" s="9">
        <v>0</v>
      </c>
      <c r="D6822" s="13">
        <f t="shared" si="106"/>
        <v>2.81</v>
      </c>
    </row>
    <row r="6823" spans="1:4" x14ac:dyDescent="0.25">
      <c r="A6823" s="15">
        <f>Sheet2!A6823</f>
        <v>0</v>
      </c>
      <c r="B6823" s="8">
        <v>2.73</v>
      </c>
      <c r="C6823" s="9">
        <v>0</v>
      </c>
      <c r="D6823" s="13">
        <f t="shared" si="106"/>
        <v>2.73</v>
      </c>
    </row>
    <row r="6824" spans="1:4" x14ac:dyDescent="0.25">
      <c r="A6824" s="15">
        <f>Sheet2!A6824</f>
        <v>0</v>
      </c>
      <c r="B6824" s="8">
        <v>2.65</v>
      </c>
      <c r="C6824" s="9">
        <v>0</v>
      </c>
      <c r="D6824" s="13">
        <f t="shared" si="106"/>
        <v>2.65</v>
      </c>
    </row>
    <row r="6825" spans="1:4" x14ac:dyDescent="0.25">
      <c r="A6825" s="15">
        <f>Sheet2!A6825</f>
        <v>0</v>
      </c>
      <c r="B6825" s="8">
        <v>2.0499999999999998</v>
      </c>
      <c r="C6825" s="9">
        <v>0</v>
      </c>
      <c r="D6825" s="13">
        <f t="shared" si="106"/>
        <v>2.0499999999999998</v>
      </c>
    </row>
    <row r="6826" spans="1:4" x14ac:dyDescent="0.25">
      <c r="A6826" s="15">
        <f>Sheet2!A6826</f>
        <v>0</v>
      </c>
      <c r="B6826" s="8">
        <v>1.83</v>
      </c>
      <c r="C6826" s="9">
        <v>0</v>
      </c>
      <c r="D6826" s="13">
        <f t="shared" si="106"/>
        <v>1.83</v>
      </c>
    </row>
    <row r="6827" spans="1:4" x14ac:dyDescent="0.25">
      <c r="A6827" s="15">
        <f>Sheet2!A6827</f>
        <v>0</v>
      </c>
      <c r="B6827" s="8">
        <v>1.98</v>
      </c>
      <c r="C6827" s="9">
        <v>0</v>
      </c>
      <c r="D6827" s="13">
        <f t="shared" si="106"/>
        <v>1.98</v>
      </c>
    </row>
    <row r="6828" spans="1:4" x14ac:dyDescent="0.25">
      <c r="A6828" s="15">
        <f>Sheet2!A6828</f>
        <v>0</v>
      </c>
      <c r="B6828" s="8">
        <v>3.25</v>
      </c>
      <c r="C6828" s="9">
        <v>0</v>
      </c>
      <c r="D6828" s="13">
        <f t="shared" si="106"/>
        <v>3.25</v>
      </c>
    </row>
    <row r="6829" spans="1:4" x14ac:dyDescent="0.25">
      <c r="A6829" s="15">
        <f>Sheet2!A6829</f>
        <v>0</v>
      </c>
      <c r="B6829" s="8">
        <v>0</v>
      </c>
      <c r="C6829" s="9">
        <v>0.55000000000000004</v>
      </c>
      <c r="D6829" s="13">
        <f t="shared" si="106"/>
        <v>0.55000000000000004</v>
      </c>
    </row>
    <row r="6830" spans="1:4" x14ac:dyDescent="0.25">
      <c r="A6830" s="15">
        <f>Sheet2!A6830</f>
        <v>0</v>
      </c>
      <c r="B6830" s="8">
        <v>0</v>
      </c>
      <c r="C6830" s="9">
        <v>0.3</v>
      </c>
      <c r="D6830" s="13">
        <f t="shared" si="106"/>
        <v>0.3</v>
      </c>
    </row>
    <row r="6831" spans="1:4" x14ac:dyDescent="0.25">
      <c r="A6831" s="15">
        <f>Sheet2!A6831</f>
        <v>0</v>
      </c>
      <c r="B6831" s="8">
        <v>5.04</v>
      </c>
      <c r="C6831" s="9">
        <v>0</v>
      </c>
      <c r="D6831" s="13">
        <f t="shared" si="106"/>
        <v>5.04</v>
      </c>
    </row>
    <row r="6832" spans="1:4" x14ac:dyDescent="0.25">
      <c r="A6832" s="15">
        <f>Sheet2!A6832</f>
        <v>0</v>
      </c>
      <c r="B6832" s="8">
        <v>5.29</v>
      </c>
      <c r="C6832" s="9">
        <v>0</v>
      </c>
      <c r="D6832" s="13">
        <f t="shared" si="106"/>
        <v>5.29</v>
      </c>
    </row>
    <row r="6833" spans="1:4" x14ac:dyDescent="0.25">
      <c r="A6833" s="15">
        <f>Sheet2!A6833</f>
        <v>0</v>
      </c>
      <c r="B6833" s="8">
        <v>4.38</v>
      </c>
      <c r="C6833" s="9">
        <v>0</v>
      </c>
      <c r="D6833" s="13">
        <f t="shared" si="106"/>
        <v>4.38</v>
      </c>
    </row>
    <row r="6834" spans="1:4" x14ac:dyDescent="0.25">
      <c r="A6834" s="15">
        <f>Sheet2!A6834</f>
        <v>0</v>
      </c>
      <c r="B6834" s="8">
        <v>3.9</v>
      </c>
      <c r="C6834" s="9">
        <v>0</v>
      </c>
      <c r="D6834" s="13">
        <f t="shared" si="106"/>
        <v>3.9</v>
      </c>
    </row>
    <row r="6835" spans="1:4" x14ac:dyDescent="0.25">
      <c r="A6835" s="15">
        <f>Sheet2!A6835</f>
        <v>0</v>
      </c>
      <c r="B6835" s="8">
        <v>3.81</v>
      </c>
      <c r="C6835" s="9">
        <v>0</v>
      </c>
      <c r="D6835" s="13">
        <f t="shared" si="106"/>
        <v>3.81</v>
      </c>
    </row>
    <row r="6836" spans="1:4" x14ac:dyDescent="0.25">
      <c r="A6836" s="15">
        <f>Sheet2!A6836</f>
        <v>0</v>
      </c>
      <c r="B6836" s="8">
        <v>4.17</v>
      </c>
      <c r="C6836" s="9">
        <v>0</v>
      </c>
      <c r="D6836" s="13">
        <f t="shared" si="106"/>
        <v>4.17</v>
      </c>
    </row>
    <row r="6837" spans="1:4" x14ac:dyDescent="0.25">
      <c r="A6837" s="15">
        <f>Sheet2!A6837</f>
        <v>0</v>
      </c>
      <c r="B6837" s="8">
        <v>4.68</v>
      </c>
      <c r="C6837" s="9">
        <v>0</v>
      </c>
      <c r="D6837" s="13">
        <f t="shared" si="106"/>
        <v>4.68</v>
      </c>
    </row>
    <row r="6838" spans="1:4" x14ac:dyDescent="0.25">
      <c r="A6838" s="15">
        <f>Sheet2!A6838</f>
        <v>0</v>
      </c>
      <c r="B6838" s="8">
        <v>5.43</v>
      </c>
      <c r="C6838" s="9">
        <v>0</v>
      </c>
      <c r="D6838" s="13">
        <f t="shared" si="106"/>
        <v>5.43</v>
      </c>
    </row>
    <row r="6839" spans="1:4" x14ac:dyDescent="0.25">
      <c r="A6839" s="15">
        <f>Sheet2!A6839</f>
        <v>0</v>
      </c>
      <c r="B6839" s="8">
        <v>3.91</v>
      </c>
      <c r="C6839" s="9">
        <v>0</v>
      </c>
      <c r="D6839" s="13">
        <f t="shared" si="106"/>
        <v>3.91</v>
      </c>
    </row>
    <row r="6840" spans="1:4" x14ac:dyDescent="0.25">
      <c r="A6840" s="15">
        <f>Sheet2!A6840</f>
        <v>0</v>
      </c>
      <c r="B6840" s="8">
        <v>1.9</v>
      </c>
      <c r="C6840" s="9">
        <v>0</v>
      </c>
      <c r="D6840" s="13">
        <f t="shared" si="106"/>
        <v>1.9</v>
      </c>
    </row>
    <row r="6841" spans="1:4" x14ac:dyDescent="0.25">
      <c r="A6841" s="15">
        <f>Sheet2!A6841</f>
        <v>0</v>
      </c>
      <c r="B6841" s="8">
        <v>2.08</v>
      </c>
      <c r="C6841" s="9">
        <v>0</v>
      </c>
      <c r="D6841" s="13">
        <f t="shared" si="106"/>
        <v>2.08</v>
      </c>
    </row>
    <row r="6842" spans="1:4" x14ac:dyDescent="0.25">
      <c r="A6842" s="15">
        <f>Sheet2!A6842</f>
        <v>0</v>
      </c>
      <c r="B6842" s="8">
        <v>2.41</v>
      </c>
      <c r="C6842" s="9">
        <v>0</v>
      </c>
      <c r="D6842" s="13">
        <f t="shared" si="106"/>
        <v>2.41</v>
      </c>
    </row>
    <row r="6843" spans="1:4" x14ac:dyDescent="0.25">
      <c r="A6843" s="15">
        <f>Sheet2!A6843</f>
        <v>0</v>
      </c>
      <c r="B6843" s="8">
        <v>2.4500000000000002</v>
      </c>
      <c r="C6843" s="9">
        <v>0</v>
      </c>
      <c r="D6843" s="13">
        <f t="shared" si="106"/>
        <v>2.4500000000000002</v>
      </c>
    </row>
    <row r="6844" spans="1:4" x14ac:dyDescent="0.25">
      <c r="A6844" s="15">
        <f>Sheet2!A6844</f>
        <v>0</v>
      </c>
      <c r="B6844" s="8">
        <v>2.39</v>
      </c>
      <c r="C6844" s="9">
        <v>0</v>
      </c>
      <c r="D6844" s="13">
        <f t="shared" si="106"/>
        <v>2.39</v>
      </c>
    </row>
    <row r="6845" spans="1:4" x14ac:dyDescent="0.25">
      <c r="A6845" s="15">
        <f>Sheet2!A6845</f>
        <v>0</v>
      </c>
      <c r="B6845" s="8">
        <v>2.4700000000000002</v>
      </c>
      <c r="C6845" s="9">
        <v>0</v>
      </c>
      <c r="D6845" s="13">
        <f t="shared" si="106"/>
        <v>2.4700000000000002</v>
      </c>
    </row>
    <row r="6846" spans="1:4" x14ac:dyDescent="0.25">
      <c r="A6846" s="15">
        <f>Sheet2!A6846</f>
        <v>0</v>
      </c>
      <c r="B6846" s="8">
        <v>1.99</v>
      </c>
      <c r="C6846" s="9">
        <v>0</v>
      </c>
      <c r="D6846" s="13">
        <f t="shared" si="106"/>
        <v>1.99</v>
      </c>
    </row>
    <row r="6847" spans="1:4" x14ac:dyDescent="0.25">
      <c r="A6847" s="15">
        <f>Sheet2!A6847</f>
        <v>0</v>
      </c>
      <c r="B6847" s="8">
        <v>1.62</v>
      </c>
      <c r="C6847" s="9">
        <v>0</v>
      </c>
      <c r="D6847" s="13">
        <f t="shared" si="106"/>
        <v>1.62</v>
      </c>
    </row>
    <row r="6848" spans="1:4" x14ac:dyDescent="0.25">
      <c r="A6848" s="15">
        <f>Sheet2!A6848</f>
        <v>0</v>
      </c>
      <c r="B6848" s="8">
        <v>1.4</v>
      </c>
      <c r="C6848" s="9">
        <v>0</v>
      </c>
      <c r="D6848" s="13">
        <f t="shared" si="106"/>
        <v>1.4</v>
      </c>
    </row>
    <row r="6849" spans="1:4" x14ac:dyDescent="0.25">
      <c r="A6849" s="15">
        <f>Sheet2!A6849</f>
        <v>0</v>
      </c>
      <c r="B6849" s="8">
        <v>1.44</v>
      </c>
      <c r="C6849" s="9">
        <v>0</v>
      </c>
      <c r="D6849" s="13">
        <f t="shared" si="106"/>
        <v>1.44</v>
      </c>
    </row>
    <row r="6850" spans="1:4" x14ac:dyDescent="0.25">
      <c r="A6850" s="15">
        <f>Sheet2!A6850</f>
        <v>0</v>
      </c>
      <c r="B6850" s="8">
        <v>0.89</v>
      </c>
      <c r="C6850" s="9">
        <v>0</v>
      </c>
      <c r="D6850" s="13">
        <f t="shared" si="106"/>
        <v>0.89</v>
      </c>
    </row>
    <row r="6851" spans="1:4" x14ac:dyDescent="0.25">
      <c r="A6851" s="15">
        <f>Sheet2!A6851</f>
        <v>0</v>
      </c>
      <c r="B6851" s="8">
        <v>0.56999999999999995</v>
      </c>
      <c r="C6851" s="9">
        <v>0</v>
      </c>
      <c r="D6851" s="13">
        <f t="shared" ref="D6851:D6914" si="107">B6851+C6851</f>
        <v>0.56999999999999995</v>
      </c>
    </row>
    <row r="6852" spans="1:4" x14ac:dyDescent="0.25">
      <c r="A6852" s="15">
        <f>Sheet2!A6852</f>
        <v>0</v>
      </c>
      <c r="B6852" s="8">
        <v>0.69</v>
      </c>
      <c r="C6852" s="9">
        <v>0</v>
      </c>
      <c r="D6852" s="13">
        <f t="shared" si="107"/>
        <v>0.69</v>
      </c>
    </row>
    <row r="6853" spans="1:4" x14ac:dyDescent="0.25">
      <c r="A6853" s="15">
        <f>Sheet2!A6853</f>
        <v>0</v>
      </c>
      <c r="B6853" s="8">
        <v>1.26</v>
      </c>
      <c r="C6853" s="9">
        <v>0</v>
      </c>
      <c r="D6853" s="13">
        <f t="shared" si="107"/>
        <v>1.26</v>
      </c>
    </row>
    <row r="6854" spans="1:4" x14ac:dyDescent="0.25">
      <c r="A6854" s="15">
        <f>Sheet2!A6854</f>
        <v>0</v>
      </c>
      <c r="B6854" s="8">
        <v>2.4300000000000002</v>
      </c>
      <c r="C6854" s="9">
        <v>0</v>
      </c>
      <c r="D6854" s="13">
        <f t="shared" si="107"/>
        <v>2.4300000000000002</v>
      </c>
    </row>
    <row r="6855" spans="1:4" x14ac:dyDescent="0.25">
      <c r="A6855" s="15">
        <f>Sheet2!A6855</f>
        <v>0</v>
      </c>
      <c r="B6855" s="8">
        <v>2.11</v>
      </c>
      <c r="C6855" s="9">
        <v>0</v>
      </c>
      <c r="D6855" s="13">
        <f t="shared" si="107"/>
        <v>2.11</v>
      </c>
    </row>
    <row r="6856" spans="1:4" x14ac:dyDescent="0.25">
      <c r="A6856" s="15">
        <f>Sheet2!A6856</f>
        <v>0</v>
      </c>
      <c r="B6856" s="8">
        <v>2.2200000000000002</v>
      </c>
      <c r="C6856" s="9">
        <v>0</v>
      </c>
      <c r="D6856" s="13">
        <f t="shared" si="107"/>
        <v>2.2200000000000002</v>
      </c>
    </row>
    <row r="6857" spans="1:4" x14ac:dyDescent="0.25">
      <c r="A6857" s="15">
        <f>Sheet2!A6857</f>
        <v>0</v>
      </c>
      <c r="B6857" s="8">
        <v>2.34</v>
      </c>
      <c r="C6857" s="9">
        <v>0</v>
      </c>
      <c r="D6857" s="13">
        <f t="shared" si="107"/>
        <v>2.34</v>
      </c>
    </row>
    <row r="6858" spans="1:4" x14ac:dyDescent="0.25">
      <c r="A6858" s="15">
        <f>Sheet2!A6858</f>
        <v>0</v>
      </c>
      <c r="B6858" s="8">
        <v>2.2799999999999998</v>
      </c>
      <c r="C6858" s="9">
        <v>0</v>
      </c>
      <c r="D6858" s="13">
        <f t="shared" si="107"/>
        <v>2.2799999999999998</v>
      </c>
    </row>
    <row r="6859" spans="1:4" x14ac:dyDescent="0.25">
      <c r="A6859" s="15">
        <f>Sheet2!A6859</f>
        <v>0</v>
      </c>
      <c r="B6859" s="8">
        <v>3.3</v>
      </c>
      <c r="C6859" s="9">
        <v>0</v>
      </c>
      <c r="D6859" s="13">
        <f t="shared" si="107"/>
        <v>3.3</v>
      </c>
    </row>
    <row r="6860" spans="1:4" x14ac:dyDescent="0.25">
      <c r="A6860" s="15">
        <f>Sheet2!A6860</f>
        <v>0</v>
      </c>
      <c r="B6860" s="8">
        <v>3.61</v>
      </c>
      <c r="C6860" s="9">
        <v>0</v>
      </c>
      <c r="D6860" s="13">
        <f t="shared" si="107"/>
        <v>3.61</v>
      </c>
    </row>
    <row r="6861" spans="1:4" x14ac:dyDescent="0.25">
      <c r="A6861" s="15">
        <f>Sheet2!A6861</f>
        <v>0</v>
      </c>
      <c r="B6861" s="8">
        <v>3.63</v>
      </c>
      <c r="C6861" s="9">
        <v>0</v>
      </c>
      <c r="D6861" s="13">
        <f t="shared" si="107"/>
        <v>3.63</v>
      </c>
    </row>
    <row r="6862" spans="1:4" x14ac:dyDescent="0.25">
      <c r="A6862" s="15">
        <f>Sheet2!A6862</f>
        <v>0</v>
      </c>
      <c r="B6862" s="8">
        <v>3.65</v>
      </c>
      <c r="C6862" s="9">
        <v>0</v>
      </c>
      <c r="D6862" s="13">
        <f t="shared" si="107"/>
        <v>3.65</v>
      </c>
    </row>
    <row r="6863" spans="1:4" x14ac:dyDescent="0.25">
      <c r="A6863" s="15">
        <f>Sheet2!A6863</f>
        <v>0</v>
      </c>
      <c r="B6863" s="8">
        <v>4.57</v>
      </c>
      <c r="C6863" s="9">
        <v>0</v>
      </c>
      <c r="D6863" s="13">
        <f t="shared" si="107"/>
        <v>4.57</v>
      </c>
    </row>
    <row r="6864" spans="1:4" x14ac:dyDescent="0.25">
      <c r="A6864" s="15">
        <f>Sheet2!A6864</f>
        <v>0</v>
      </c>
      <c r="B6864" s="8">
        <v>3.88</v>
      </c>
      <c r="C6864" s="9">
        <v>0</v>
      </c>
      <c r="D6864" s="13">
        <f t="shared" si="107"/>
        <v>3.88</v>
      </c>
    </row>
    <row r="6865" spans="1:4" x14ac:dyDescent="0.25">
      <c r="A6865" s="15">
        <f>Sheet2!A6865</f>
        <v>0</v>
      </c>
      <c r="B6865" s="8">
        <v>3.79</v>
      </c>
      <c r="C6865" s="9">
        <v>0</v>
      </c>
      <c r="D6865" s="13">
        <f t="shared" si="107"/>
        <v>3.79</v>
      </c>
    </row>
    <row r="6866" spans="1:4" x14ac:dyDescent="0.25">
      <c r="A6866" s="15">
        <f>Sheet2!A6866</f>
        <v>0</v>
      </c>
      <c r="B6866" s="8">
        <v>3.63</v>
      </c>
      <c r="C6866" s="9">
        <v>0</v>
      </c>
      <c r="D6866" s="13">
        <f t="shared" si="107"/>
        <v>3.63</v>
      </c>
    </row>
    <row r="6867" spans="1:4" x14ac:dyDescent="0.25">
      <c r="A6867" s="15">
        <f>Sheet2!A6867</f>
        <v>0</v>
      </c>
      <c r="B6867" s="8">
        <v>3.49</v>
      </c>
      <c r="C6867" s="9">
        <v>0</v>
      </c>
      <c r="D6867" s="13">
        <f t="shared" si="107"/>
        <v>3.49</v>
      </c>
    </row>
    <row r="6868" spans="1:4" x14ac:dyDescent="0.25">
      <c r="A6868" s="15">
        <f>Sheet2!A6868</f>
        <v>0</v>
      </c>
      <c r="B6868" s="8">
        <v>3.54</v>
      </c>
      <c r="C6868" s="9">
        <v>0</v>
      </c>
      <c r="D6868" s="13">
        <f t="shared" si="107"/>
        <v>3.54</v>
      </c>
    </row>
    <row r="6869" spans="1:4" x14ac:dyDescent="0.25">
      <c r="A6869" s="15">
        <f>Sheet2!A6869</f>
        <v>0</v>
      </c>
      <c r="B6869" s="8">
        <v>3.47</v>
      </c>
      <c r="C6869" s="9">
        <v>0</v>
      </c>
      <c r="D6869" s="13">
        <f t="shared" si="107"/>
        <v>3.47</v>
      </c>
    </row>
    <row r="6870" spans="1:4" x14ac:dyDescent="0.25">
      <c r="A6870" s="15">
        <f>Sheet2!A6870</f>
        <v>0</v>
      </c>
      <c r="B6870" s="8">
        <v>2.5499999999999998</v>
      </c>
      <c r="C6870" s="9">
        <v>0</v>
      </c>
      <c r="D6870" s="13">
        <f t="shared" si="107"/>
        <v>2.5499999999999998</v>
      </c>
    </row>
    <row r="6871" spans="1:4" x14ac:dyDescent="0.25">
      <c r="A6871" s="15">
        <f>Sheet2!A6871</f>
        <v>0</v>
      </c>
      <c r="B6871" s="8">
        <v>2.58</v>
      </c>
      <c r="C6871" s="9">
        <v>0</v>
      </c>
      <c r="D6871" s="13">
        <f t="shared" si="107"/>
        <v>2.58</v>
      </c>
    </row>
    <row r="6872" spans="1:4" x14ac:dyDescent="0.25">
      <c r="A6872" s="15">
        <f>Sheet2!A6872</f>
        <v>0</v>
      </c>
      <c r="B6872" s="8">
        <v>2.6</v>
      </c>
      <c r="C6872" s="9">
        <v>0</v>
      </c>
      <c r="D6872" s="13">
        <f t="shared" si="107"/>
        <v>2.6</v>
      </c>
    </row>
    <row r="6873" spans="1:4" x14ac:dyDescent="0.25">
      <c r="A6873" s="15">
        <f>Sheet2!A6873</f>
        <v>0</v>
      </c>
      <c r="B6873" s="8">
        <v>2.4500000000000002</v>
      </c>
      <c r="C6873" s="9">
        <v>0</v>
      </c>
      <c r="D6873" s="13">
        <f t="shared" si="107"/>
        <v>2.4500000000000002</v>
      </c>
    </row>
    <row r="6874" spans="1:4" x14ac:dyDescent="0.25">
      <c r="A6874" s="15">
        <f>Sheet2!A6874</f>
        <v>0</v>
      </c>
      <c r="B6874" s="8">
        <v>0</v>
      </c>
      <c r="C6874" s="9">
        <v>0.71</v>
      </c>
      <c r="D6874" s="13">
        <f t="shared" si="107"/>
        <v>0.71</v>
      </c>
    </row>
    <row r="6875" spans="1:4" x14ac:dyDescent="0.25">
      <c r="A6875" s="15">
        <f>Sheet2!A6875</f>
        <v>0</v>
      </c>
      <c r="B6875" s="8">
        <v>0</v>
      </c>
      <c r="C6875" s="9">
        <v>0.77</v>
      </c>
      <c r="D6875" s="13">
        <f t="shared" si="107"/>
        <v>0.77</v>
      </c>
    </row>
    <row r="6876" spans="1:4" x14ac:dyDescent="0.25">
      <c r="A6876" s="15">
        <f>Sheet2!A6876</f>
        <v>0</v>
      </c>
      <c r="B6876" s="8">
        <v>0</v>
      </c>
      <c r="C6876" s="9">
        <v>0.28000000000000003</v>
      </c>
      <c r="D6876" s="13">
        <f t="shared" si="107"/>
        <v>0.28000000000000003</v>
      </c>
    </row>
    <row r="6877" spans="1:4" x14ac:dyDescent="0.25">
      <c r="A6877" s="15">
        <f>Sheet2!A6877</f>
        <v>0</v>
      </c>
      <c r="B6877" s="8">
        <v>1.45</v>
      </c>
      <c r="C6877" s="9">
        <v>0</v>
      </c>
      <c r="D6877" s="13">
        <f t="shared" si="107"/>
        <v>1.45</v>
      </c>
    </row>
    <row r="6878" spans="1:4" x14ac:dyDescent="0.25">
      <c r="A6878" s="15">
        <f>Sheet2!A6878</f>
        <v>0</v>
      </c>
      <c r="B6878" s="8">
        <v>1.66</v>
      </c>
      <c r="C6878" s="9">
        <v>0</v>
      </c>
      <c r="D6878" s="13">
        <f t="shared" si="107"/>
        <v>1.66</v>
      </c>
    </row>
    <row r="6879" spans="1:4" x14ac:dyDescent="0.25">
      <c r="A6879" s="15">
        <f>Sheet2!A6879</f>
        <v>0</v>
      </c>
      <c r="B6879" s="8">
        <v>1.6</v>
      </c>
      <c r="C6879" s="9">
        <v>0</v>
      </c>
      <c r="D6879" s="13">
        <f t="shared" si="107"/>
        <v>1.6</v>
      </c>
    </row>
    <row r="6880" spans="1:4" x14ac:dyDescent="0.25">
      <c r="A6880" s="15">
        <f>Sheet2!A6880</f>
        <v>0</v>
      </c>
      <c r="B6880" s="8">
        <v>0</v>
      </c>
      <c r="C6880" s="9">
        <v>1.03</v>
      </c>
      <c r="D6880" s="13">
        <f t="shared" si="107"/>
        <v>1.03</v>
      </c>
    </row>
    <row r="6881" spans="1:4" x14ac:dyDescent="0.25">
      <c r="A6881" s="15">
        <f>Sheet2!A6881</f>
        <v>0</v>
      </c>
      <c r="B6881" s="8">
        <v>0</v>
      </c>
      <c r="C6881" s="9">
        <v>1.08</v>
      </c>
      <c r="D6881" s="13">
        <f t="shared" si="107"/>
        <v>1.08</v>
      </c>
    </row>
    <row r="6882" spans="1:4" x14ac:dyDescent="0.25">
      <c r="A6882" s="15">
        <f>Sheet2!A6882</f>
        <v>0</v>
      </c>
      <c r="B6882" s="8">
        <v>0</v>
      </c>
      <c r="C6882" s="9">
        <v>0.24</v>
      </c>
      <c r="D6882" s="13">
        <f t="shared" si="107"/>
        <v>0.24</v>
      </c>
    </row>
    <row r="6883" spans="1:4" x14ac:dyDescent="0.25">
      <c r="A6883" s="15">
        <f>Sheet2!A6883</f>
        <v>0</v>
      </c>
      <c r="B6883" s="8">
        <v>2.86</v>
      </c>
      <c r="C6883" s="9">
        <v>0</v>
      </c>
      <c r="D6883" s="13">
        <f t="shared" si="107"/>
        <v>2.86</v>
      </c>
    </row>
    <row r="6884" spans="1:4" x14ac:dyDescent="0.25">
      <c r="A6884" s="15">
        <f>Sheet2!A6884</f>
        <v>0</v>
      </c>
      <c r="B6884" s="8">
        <v>3.06</v>
      </c>
      <c r="C6884" s="9">
        <v>0</v>
      </c>
      <c r="D6884" s="13">
        <f t="shared" si="107"/>
        <v>3.06</v>
      </c>
    </row>
    <row r="6885" spans="1:4" x14ac:dyDescent="0.25">
      <c r="A6885" s="15">
        <f>Sheet2!A6885</f>
        <v>0</v>
      </c>
      <c r="B6885" s="8">
        <v>3.23</v>
      </c>
      <c r="C6885" s="9">
        <v>0</v>
      </c>
      <c r="D6885" s="13">
        <f t="shared" si="107"/>
        <v>3.23</v>
      </c>
    </row>
    <row r="6886" spans="1:4" x14ac:dyDescent="0.25">
      <c r="A6886" s="15">
        <f>Sheet2!A6886</f>
        <v>0</v>
      </c>
      <c r="B6886" s="8">
        <v>4.29</v>
      </c>
      <c r="C6886" s="9">
        <v>0</v>
      </c>
      <c r="D6886" s="13">
        <f t="shared" si="107"/>
        <v>4.29</v>
      </c>
    </row>
    <row r="6887" spans="1:4" x14ac:dyDescent="0.25">
      <c r="A6887" s="15">
        <f>Sheet2!A6887</f>
        <v>0</v>
      </c>
      <c r="B6887" s="8">
        <v>4.26</v>
      </c>
      <c r="C6887" s="9">
        <v>0</v>
      </c>
      <c r="D6887" s="13">
        <f t="shared" si="107"/>
        <v>4.26</v>
      </c>
    </row>
    <row r="6888" spans="1:4" x14ac:dyDescent="0.25">
      <c r="A6888" s="15">
        <f>Sheet2!A6888</f>
        <v>0</v>
      </c>
      <c r="B6888" s="8">
        <v>3.43</v>
      </c>
      <c r="C6888" s="9">
        <v>0</v>
      </c>
      <c r="D6888" s="13">
        <f t="shared" si="107"/>
        <v>3.43</v>
      </c>
    </row>
    <row r="6889" spans="1:4" x14ac:dyDescent="0.25">
      <c r="A6889" s="15">
        <f>Sheet2!A6889</f>
        <v>0</v>
      </c>
      <c r="B6889" s="8">
        <v>3.74</v>
      </c>
      <c r="C6889" s="9">
        <v>0</v>
      </c>
      <c r="D6889" s="13">
        <f t="shared" si="107"/>
        <v>3.74</v>
      </c>
    </row>
    <row r="6890" spans="1:4" x14ac:dyDescent="0.25">
      <c r="A6890" s="15">
        <f>Sheet2!A6890</f>
        <v>0</v>
      </c>
      <c r="B6890" s="8">
        <v>3.89</v>
      </c>
      <c r="C6890" s="9">
        <v>0</v>
      </c>
      <c r="D6890" s="13">
        <f t="shared" si="107"/>
        <v>3.89</v>
      </c>
    </row>
    <row r="6891" spans="1:4" x14ac:dyDescent="0.25">
      <c r="A6891" s="15">
        <f>Sheet2!A6891</f>
        <v>0</v>
      </c>
      <c r="B6891" s="8">
        <v>3.75</v>
      </c>
      <c r="C6891" s="9">
        <v>0</v>
      </c>
      <c r="D6891" s="13">
        <f t="shared" si="107"/>
        <v>3.75</v>
      </c>
    </row>
    <row r="6892" spans="1:4" x14ac:dyDescent="0.25">
      <c r="A6892" s="15">
        <f>Sheet2!A6892</f>
        <v>0</v>
      </c>
      <c r="B6892" s="8">
        <v>3.74</v>
      </c>
      <c r="C6892" s="9">
        <v>0</v>
      </c>
      <c r="D6892" s="13">
        <f t="shared" si="107"/>
        <v>3.74</v>
      </c>
    </row>
    <row r="6893" spans="1:4" x14ac:dyDescent="0.25">
      <c r="A6893" s="15">
        <f>Sheet2!A6893</f>
        <v>0</v>
      </c>
      <c r="B6893" s="8">
        <v>3.66</v>
      </c>
      <c r="C6893" s="9">
        <v>0</v>
      </c>
      <c r="D6893" s="13">
        <f t="shared" si="107"/>
        <v>3.66</v>
      </c>
    </row>
    <row r="6894" spans="1:4" x14ac:dyDescent="0.25">
      <c r="A6894" s="15">
        <f>Sheet2!A6894</f>
        <v>0</v>
      </c>
      <c r="B6894" s="8">
        <v>2.81</v>
      </c>
      <c r="C6894" s="9">
        <v>0</v>
      </c>
      <c r="D6894" s="13">
        <f t="shared" si="107"/>
        <v>2.81</v>
      </c>
    </row>
    <row r="6895" spans="1:4" x14ac:dyDescent="0.25">
      <c r="A6895" s="15">
        <f>Sheet2!A6895</f>
        <v>0</v>
      </c>
      <c r="B6895" s="8">
        <v>2.76</v>
      </c>
      <c r="C6895" s="9">
        <v>0</v>
      </c>
      <c r="D6895" s="13">
        <f t="shared" si="107"/>
        <v>2.76</v>
      </c>
    </row>
    <row r="6896" spans="1:4" x14ac:dyDescent="0.25">
      <c r="A6896" s="15">
        <f>Sheet2!A6896</f>
        <v>0</v>
      </c>
      <c r="B6896" s="8">
        <v>2.67</v>
      </c>
      <c r="C6896" s="9">
        <v>0</v>
      </c>
      <c r="D6896" s="13">
        <f t="shared" si="107"/>
        <v>2.67</v>
      </c>
    </row>
    <row r="6897" spans="1:4" x14ac:dyDescent="0.25">
      <c r="A6897" s="15">
        <f>Sheet2!A6897</f>
        <v>0</v>
      </c>
      <c r="B6897" s="8">
        <v>0</v>
      </c>
      <c r="C6897" s="9">
        <v>0.25</v>
      </c>
      <c r="D6897" s="13">
        <f t="shared" si="107"/>
        <v>0.25</v>
      </c>
    </row>
    <row r="6898" spans="1:4" x14ac:dyDescent="0.25">
      <c r="A6898" s="15">
        <f>Sheet2!A6898</f>
        <v>0</v>
      </c>
      <c r="B6898" s="8">
        <v>1.1399999999999999</v>
      </c>
      <c r="C6898" s="9">
        <v>0</v>
      </c>
      <c r="D6898" s="13">
        <f t="shared" si="107"/>
        <v>1.1399999999999999</v>
      </c>
    </row>
    <row r="6899" spans="1:4" x14ac:dyDescent="0.25">
      <c r="A6899" s="15">
        <f>Sheet2!A6899</f>
        <v>0</v>
      </c>
      <c r="B6899" s="8">
        <v>2.2200000000000002</v>
      </c>
      <c r="C6899" s="9">
        <v>0</v>
      </c>
      <c r="D6899" s="13">
        <f t="shared" si="107"/>
        <v>2.2200000000000002</v>
      </c>
    </row>
    <row r="6900" spans="1:4" x14ac:dyDescent="0.25">
      <c r="A6900" s="15">
        <f>Sheet2!A6900</f>
        <v>0</v>
      </c>
      <c r="B6900" s="8">
        <v>3.73</v>
      </c>
      <c r="C6900" s="9">
        <v>0</v>
      </c>
      <c r="D6900" s="13">
        <f t="shared" si="107"/>
        <v>3.73</v>
      </c>
    </row>
    <row r="6901" spans="1:4" x14ac:dyDescent="0.25">
      <c r="A6901" s="15">
        <f>Sheet2!A6901</f>
        <v>0</v>
      </c>
      <c r="B6901" s="8">
        <v>3.57</v>
      </c>
      <c r="C6901" s="9">
        <v>0</v>
      </c>
      <c r="D6901" s="13">
        <f t="shared" si="107"/>
        <v>3.57</v>
      </c>
    </row>
    <row r="6902" spans="1:4" x14ac:dyDescent="0.25">
      <c r="A6902" s="15">
        <f>Sheet2!A6902</f>
        <v>0</v>
      </c>
      <c r="B6902" s="8">
        <v>0</v>
      </c>
      <c r="C6902" s="9">
        <v>1.85</v>
      </c>
      <c r="D6902" s="13">
        <f t="shared" si="107"/>
        <v>1.85</v>
      </c>
    </row>
    <row r="6903" spans="1:4" x14ac:dyDescent="0.25">
      <c r="A6903" s="15">
        <f>Sheet2!A6903</f>
        <v>0</v>
      </c>
      <c r="B6903" s="8">
        <v>0</v>
      </c>
      <c r="C6903" s="9">
        <v>1.99</v>
      </c>
      <c r="D6903" s="13">
        <f t="shared" si="107"/>
        <v>1.99</v>
      </c>
    </row>
    <row r="6904" spans="1:4" x14ac:dyDescent="0.25">
      <c r="A6904" s="15">
        <f>Sheet2!A6904</f>
        <v>0</v>
      </c>
      <c r="B6904" s="8">
        <v>0</v>
      </c>
      <c r="C6904" s="9">
        <v>0.76</v>
      </c>
      <c r="D6904" s="13">
        <f t="shared" si="107"/>
        <v>0.76</v>
      </c>
    </row>
    <row r="6905" spans="1:4" x14ac:dyDescent="0.25">
      <c r="A6905" s="15">
        <f>Sheet2!A6905</f>
        <v>0</v>
      </c>
      <c r="B6905" s="8">
        <v>3.52</v>
      </c>
      <c r="C6905" s="9">
        <v>0</v>
      </c>
      <c r="D6905" s="13">
        <f t="shared" si="107"/>
        <v>3.52</v>
      </c>
    </row>
    <row r="6906" spans="1:4" x14ac:dyDescent="0.25">
      <c r="A6906" s="15">
        <f>Sheet2!A6906</f>
        <v>0</v>
      </c>
      <c r="B6906" s="8">
        <v>3.44</v>
      </c>
      <c r="C6906" s="9">
        <v>0</v>
      </c>
      <c r="D6906" s="13">
        <f t="shared" si="107"/>
        <v>3.44</v>
      </c>
    </row>
    <row r="6907" spans="1:4" x14ac:dyDescent="0.25">
      <c r="A6907" s="15">
        <f>Sheet2!A6907</f>
        <v>0</v>
      </c>
      <c r="B6907" s="8">
        <v>0</v>
      </c>
      <c r="C6907" s="9">
        <v>0.24</v>
      </c>
      <c r="D6907" s="13">
        <f t="shared" si="107"/>
        <v>0.24</v>
      </c>
    </row>
    <row r="6908" spans="1:4" x14ac:dyDescent="0.25">
      <c r="A6908" s="15">
        <f>Sheet2!A6908</f>
        <v>0</v>
      </c>
      <c r="B6908" s="8">
        <v>0</v>
      </c>
      <c r="C6908" s="9">
        <v>1.23</v>
      </c>
      <c r="D6908" s="13">
        <f t="shared" si="107"/>
        <v>1.23</v>
      </c>
    </row>
    <row r="6909" spans="1:4" x14ac:dyDescent="0.25">
      <c r="A6909" s="15">
        <f>Sheet2!A6909</f>
        <v>0</v>
      </c>
      <c r="B6909" s="8">
        <v>0</v>
      </c>
      <c r="C6909" s="9">
        <v>0.28000000000000003</v>
      </c>
      <c r="D6909" s="13">
        <f t="shared" si="107"/>
        <v>0.28000000000000003</v>
      </c>
    </row>
    <row r="6910" spans="1:4" x14ac:dyDescent="0.25">
      <c r="A6910" s="15">
        <f>Sheet2!A6910</f>
        <v>0</v>
      </c>
      <c r="B6910" s="8">
        <v>2.5299999999999998</v>
      </c>
      <c r="C6910" s="9">
        <v>0</v>
      </c>
      <c r="D6910" s="13">
        <f t="shared" si="107"/>
        <v>2.5299999999999998</v>
      </c>
    </row>
    <row r="6911" spans="1:4" x14ac:dyDescent="0.25">
      <c r="A6911" s="15">
        <f>Sheet2!A6911</f>
        <v>0</v>
      </c>
      <c r="B6911" s="8">
        <v>2.92</v>
      </c>
      <c r="C6911" s="9">
        <v>0</v>
      </c>
      <c r="D6911" s="13">
        <f t="shared" si="107"/>
        <v>2.92</v>
      </c>
    </row>
    <row r="6912" spans="1:4" x14ac:dyDescent="0.25">
      <c r="A6912" s="15">
        <f>Sheet2!A6912</f>
        <v>0</v>
      </c>
      <c r="B6912" s="8">
        <v>3.64</v>
      </c>
      <c r="C6912" s="9">
        <v>0</v>
      </c>
      <c r="D6912" s="13">
        <f t="shared" si="107"/>
        <v>3.64</v>
      </c>
    </row>
    <row r="6913" spans="1:4" x14ac:dyDescent="0.25">
      <c r="A6913" s="15">
        <f>Sheet2!A6913</f>
        <v>0</v>
      </c>
      <c r="B6913" s="8">
        <v>3.59</v>
      </c>
      <c r="C6913" s="9">
        <v>0</v>
      </c>
      <c r="D6913" s="13">
        <f t="shared" si="107"/>
        <v>3.59</v>
      </c>
    </row>
    <row r="6914" spans="1:4" x14ac:dyDescent="0.25">
      <c r="A6914" s="15">
        <f>Sheet2!A6914</f>
        <v>0</v>
      </c>
      <c r="B6914" s="8">
        <v>3.54</v>
      </c>
      <c r="C6914" s="9">
        <v>0</v>
      </c>
      <c r="D6914" s="13">
        <f t="shared" si="107"/>
        <v>3.54</v>
      </c>
    </row>
    <row r="6915" spans="1:4" x14ac:dyDescent="0.25">
      <c r="A6915" s="15">
        <f>Sheet2!A6915</f>
        <v>0</v>
      </c>
      <c r="B6915" s="8">
        <v>3.45</v>
      </c>
      <c r="C6915" s="9">
        <v>0</v>
      </c>
      <c r="D6915" s="13">
        <f t="shared" ref="D6915:D6978" si="108">B6915+C6915</f>
        <v>3.45</v>
      </c>
    </row>
    <row r="6916" spans="1:4" x14ac:dyDescent="0.25">
      <c r="A6916" s="15">
        <f>Sheet2!A6916</f>
        <v>0</v>
      </c>
      <c r="B6916" s="8">
        <v>3.51</v>
      </c>
      <c r="C6916" s="9">
        <v>0</v>
      </c>
      <c r="D6916" s="13">
        <f t="shared" si="108"/>
        <v>3.51</v>
      </c>
    </row>
    <row r="6917" spans="1:4" x14ac:dyDescent="0.25">
      <c r="A6917" s="15">
        <f>Sheet2!A6917</f>
        <v>0</v>
      </c>
      <c r="B6917" s="8">
        <v>3.44</v>
      </c>
      <c r="C6917" s="9">
        <v>0</v>
      </c>
      <c r="D6917" s="13">
        <f t="shared" si="108"/>
        <v>3.44</v>
      </c>
    </row>
    <row r="6918" spans="1:4" x14ac:dyDescent="0.25">
      <c r="A6918" s="15">
        <f>Sheet2!A6918</f>
        <v>0</v>
      </c>
      <c r="B6918" s="8">
        <v>2.79</v>
      </c>
      <c r="C6918" s="9">
        <v>0</v>
      </c>
      <c r="D6918" s="13">
        <f t="shared" si="108"/>
        <v>2.79</v>
      </c>
    </row>
    <row r="6919" spans="1:4" x14ac:dyDescent="0.25">
      <c r="A6919" s="15">
        <f>Sheet2!A6919</f>
        <v>0</v>
      </c>
      <c r="B6919" s="8">
        <v>2.21</v>
      </c>
      <c r="C6919" s="9">
        <v>0</v>
      </c>
      <c r="D6919" s="13">
        <f t="shared" si="108"/>
        <v>2.21</v>
      </c>
    </row>
    <row r="6920" spans="1:4" x14ac:dyDescent="0.25">
      <c r="A6920" s="15">
        <f>Sheet2!A6920</f>
        <v>0</v>
      </c>
      <c r="B6920" s="8">
        <v>2.71</v>
      </c>
      <c r="C6920" s="9">
        <v>0</v>
      </c>
      <c r="D6920" s="13">
        <f t="shared" si="108"/>
        <v>2.71</v>
      </c>
    </row>
    <row r="6921" spans="1:4" x14ac:dyDescent="0.25">
      <c r="A6921" s="15">
        <f>Sheet2!A6921</f>
        <v>0</v>
      </c>
      <c r="B6921" s="8">
        <v>2.73</v>
      </c>
      <c r="C6921" s="9">
        <v>0</v>
      </c>
      <c r="D6921" s="13">
        <f t="shared" si="108"/>
        <v>2.73</v>
      </c>
    </row>
    <row r="6922" spans="1:4" x14ac:dyDescent="0.25">
      <c r="A6922" s="15">
        <f>Sheet2!A6922</f>
        <v>0</v>
      </c>
      <c r="B6922" s="8">
        <v>2</v>
      </c>
      <c r="C6922" s="9">
        <v>0</v>
      </c>
      <c r="D6922" s="13">
        <f t="shared" si="108"/>
        <v>2</v>
      </c>
    </row>
    <row r="6923" spans="1:4" x14ac:dyDescent="0.25">
      <c r="A6923" s="15">
        <f>Sheet2!A6923</f>
        <v>0</v>
      </c>
      <c r="B6923" s="8">
        <v>2.4700000000000002</v>
      </c>
      <c r="C6923" s="9">
        <v>0</v>
      </c>
      <c r="D6923" s="13">
        <f t="shared" si="108"/>
        <v>2.4700000000000002</v>
      </c>
    </row>
    <row r="6924" spans="1:4" x14ac:dyDescent="0.25">
      <c r="A6924" s="15">
        <f>Sheet2!A6924</f>
        <v>0</v>
      </c>
      <c r="B6924" s="8">
        <v>3.18</v>
      </c>
      <c r="C6924" s="9">
        <v>0</v>
      </c>
      <c r="D6924" s="13">
        <f t="shared" si="108"/>
        <v>3.18</v>
      </c>
    </row>
    <row r="6925" spans="1:4" x14ac:dyDescent="0.25">
      <c r="A6925" s="15">
        <f>Sheet2!A6925</f>
        <v>0</v>
      </c>
      <c r="B6925" s="8">
        <v>3.27</v>
      </c>
      <c r="C6925" s="9">
        <v>0</v>
      </c>
      <c r="D6925" s="13">
        <f t="shared" si="108"/>
        <v>3.27</v>
      </c>
    </row>
    <row r="6926" spans="1:4" x14ac:dyDescent="0.25">
      <c r="A6926" s="15">
        <f>Sheet2!A6926</f>
        <v>0</v>
      </c>
      <c r="B6926" s="8">
        <v>0</v>
      </c>
      <c r="C6926" s="9">
        <v>1.78</v>
      </c>
      <c r="D6926" s="13">
        <f t="shared" si="108"/>
        <v>1.78</v>
      </c>
    </row>
    <row r="6927" spans="1:4" x14ac:dyDescent="0.25">
      <c r="A6927" s="15">
        <f>Sheet2!A6927</f>
        <v>0</v>
      </c>
      <c r="B6927" s="8">
        <v>0</v>
      </c>
      <c r="C6927" s="9">
        <v>0.71</v>
      </c>
      <c r="D6927" s="13">
        <f t="shared" si="108"/>
        <v>0.71</v>
      </c>
    </row>
    <row r="6928" spans="1:4" x14ac:dyDescent="0.25">
      <c r="A6928" s="15">
        <f>Sheet2!A6928</f>
        <v>0</v>
      </c>
      <c r="B6928" s="8">
        <v>2.71</v>
      </c>
      <c r="C6928" s="9">
        <v>0</v>
      </c>
      <c r="D6928" s="13">
        <f t="shared" si="108"/>
        <v>2.71</v>
      </c>
    </row>
    <row r="6929" spans="1:4" x14ac:dyDescent="0.25">
      <c r="A6929" s="15">
        <f>Sheet2!A6929</f>
        <v>0</v>
      </c>
      <c r="B6929" s="8">
        <v>3.93</v>
      </c>
      <c r="C6929" s="9">
        <v>0</v>
      </c>
      <c r="D6929" s="13">
        <f t="shared" si="108"/>
        <v>3.93</v>
      </c>
    </row>
    <row r="6930" spans="1:4" x14ac:dyDescent="0.25">
      <c r="A6930" s="15">
        <f>Sheet2!A6930</f>
        <v>0</v>
      </c>
      <c r="B6930" s="8">
        <v>3.32</v>
      </c>
      <c r="C6930" s="9">
        <v>0</v>
      </c>
      <c r="D6930" s="13">
        <f t="shared" si="108"/>
        <v>3.32</v>
      </c>
    </row>
    <row r="6931" spans="1:4" x14ac:dyDescent="0.25">
      <c r="A6931" s="15">
        <f>Sheet2!A6931</f>
        <v>0</v>
      </c>
      <c r="B6931" s="8">
        <v>2.1800000000000002</v>
      </c>
      <c r="C6931" s="9">
        <v>0</v>
      </c>
      <c r="D6931" s="13">
        <f t="shared" si="108"/>
        <v>2.1800000000000002</v>
      </c>
    </row>
    <row r="6932" spans="1:4" x14ac:dyDescent="0.25">
      <c r="A6932" s="15">
        <f>Sheet2!A6932</f>
        <v>0</v>
      </c>
      <c r="B6932" s="8">
        <v>2.61</v>
      </c>
      <c r="C6932" s="9">
        <v>0</v>
      </c>
      <c r="D6932" s="13">
        <f t="shared" si="108"/>
        <v>2.61</v>
      </c>
    </row>
    <row r="6933" spans="1:4" x14ac:dyDescent="0.25">
      <c r="A6933" s="15">
        <f>Sheet2!A6933</f>
        <v>0</v>
      </c>
      <c r="B6933" s="8">
        <v>2.2000000000000002</v>
      </c>
      <c r="C6933" s="9">
        <v>0</v>
      </c>
      <c r="D6933" s="13">
        <f t="shared" si="108"/>
        <v>2.2000000000000002</v>
      </c>
    </row>
    <row r="6934" spans="1:4" x14ac:dyDescent="0.25">
      <c r="A6934" s="15">
        <f>Sheet2!A6934</f>
        <v>0</v>
      </c>
      <c r="B6934" s="8">
        <v>2.61</v>
      </c>
      <c r="C6934" s="9">
        <v>0</v>
      </c>
      <c r="D6934" s="13">
        <f t="shared" si="108"/>
        <v>2.61</v>
      </c>
    </row>
    <row r="6935" spans="1:4" x14ac:dyDescent="0.25">
      <c r="A6935" s="15">
        <f>Sheet2!A6935</f>
        <v>0</v>
      </c>
      <c r="B6935" s="8">
        <v>2.5</v>
      </c>
      <c r="C6935" s="9">
        <v>0</v>
      </c>
      <c r="D6935" s="13">
        <f t="shared" si="108"/>
        <v>2.5</v>
      </c>
    </row>
    <row r="6936" spans="1:4" x14ac:dyDescent="0.25">
      <c r="A6936" s="15">
        <f>Sheet2!A6936</f>
        <v>0</v>
      </c>
      <c r="B6936" s="8">
        <v>2.17</v>
      </c>
      <c r="C6936" s="9">
        <v>0</v>
      </c>
      <c r="D6936" s="13">
        <f t="shared" si="108"/>
        <v>2.17</v>
      </c>
    </row>
    <row r="6937" spans="1:4" x14ac:dyDescent="0.25">
      <c r="A6937" s="15">
        <f>Sheet2!A6937</f>
        <v>0</v>
      </c>
      <c r="B6937" s="8">
        <v>2.5499999999999998</v>
      </c>
      <c r="C6937" s="9">
        <v>0</v>
      </c>
      <c r="D6937" s="13">
        <f t="shared" si="108"/>
        <v>2.5499999999999998</v>
      </c>
    </row>
    <row r="6938" spans="1:4" x14ac:dyDescent="0.25">
      <c r="A6938" s="15">
        <f>Sheet2!A6938</f>
        <v>0</v>
      </c>
      <c r="B6938" s="8">
        <v>2.4300000000000002</v>
      </c>
      <c r="C6938" s="9">
        <v>0</v>
      </c>
      <c r="D6938" s="13">
        <f t="shared" si="108"/>
        <v>2.4300000000000002</v>
      </c>
    </row>
    <row r="6939" spans="1:4" x14ac:dyDescent="0.25">
      <c r="A6939" s="15">
        <f>Sheet2!A6939</f>
        <v>0</v>
      </c>
      <c r="B6939" s="8">
        <v>1.35</v>
      </c>
      <c r="C6939" s="9">
        <v>0</v>
      </c>
      <c r="D6939" s="13">
        <f t="shared" si="108"/>
        <v>1.35</v>
      </c>
    </row>
    <row r="6940" spans="1:4" x14ac:dyDescent="0.25">
      <c r="A6940" s="15">
        <f>Sheet2!A6940</f>
        <v>0</v>
      </c>
      <c r="B6940" s="8">
        <v>1.1100000000000001</v>
      </c>
      <c r="C6940" s="9">
        <v>0</v>
      </c>
      <c r="D6940" s="13">
        <f t="shared" si="108"/>
        <v>1.1100000000000001</v>
      </c>
    </row>
    <row r="6941" spans="1:4" x14ac:dyDescent="0.25">
      <c r="A6941" s="15">
        <f>Sheet2!A6941</f>
        <v>0</v>
      </c>
      <c r="B6941" s="8">
        <v>2.5099999999999998</v>
      </c>
      <c r="C6941" s="9">
        <v>0</v>
      </c>
      <c r="D6941" s="13">
        <f t="shared" si="108"/>
        <v>2.5099999999999998</v>
      </c>
    </row>
    <row r="6942" spans="1:4" x14ac:dyDescent="0.25">
      <c r="A6942" s="15">
        <f>Sheet2!A6942</f>
        <v>0</v>
      </c>
      <c r="B6942" s="8">
        <v>1.59</v>
      </c>
      <c r="C6942" s="9">
        <v>0</v>
      </c>
      <c r="D6942" s="13">
        <f t="shared" si="108"/>
        <v>1.59</v>
      </c>
    </row>
    <row r="6943" spans="1:4" x14ac:dyDescent="0.25">
      <c r="A6943" s="15">
        <f>Sheet2!A6943</f>
        <v>0</v>
      </c>
      <c r="B6943" s="8">
        <v>1.51</v>
      </c>
      <c r="C6943" s="9">
        <v>0</v>
      </c>
      <c r="D6943" s="13">
        <f t="shared" si="108"/>
        <v>1.51</v>
      </c>
    </row>
    <row r="6944" spans="1:4" x14ac:dyDescent="0.25">
      <c r="A6944" s="15">
        <f>Sheet2!A6944</f>
        <v>0</v>
      </c>
      <c r="B6944" s="8">
        <v>1.48</v>
      </c>
      <c r="C6944" s="9">
        <v>0</v>
      </c>
      <c r="D6944" s="13">
        <f t="shared" si="108"/>
        <v>1.48</v>
      </c>
    </row>
    <row r="6945" spans="1:4" x14ac:dyDescent="0.25">
      <c r="A6945" s="15">
        <f>Sheet2!A6945</f>
        <v>0</v>
      </c>
      <c r="B6945" s="8">
        <v>0.8</v>
      </c>
      <c r="C6945" s="9">
        <v>0</v>
      </c>
      <c r="D6945" s="13">
        <f t="shared" si="108"/>
        <v>0.8</v>
      </c>
    </row>
    <row r="6946" spans="1:4" x14ac:dyDescent="0.25">
      <c r="A6946" s="15">
        <f>Sheet2!A6946</f>
        <v>0</v>
      </c>
      <c r="B6946" s="8">
        <v>0.64</v>
      </c>
      <c r="C6946" s="9">
        <v>0</v>
      </c>
      <c r="D6946" s="13">
        <f t="shared" si="108"/>
        <v>0.64</v>
      </c>
    </row>
    <row r="6947" spans="1:4" x14ac:dyDescent="0.25">
      <c r="A6947" s="15">
        <f>Sheet2!A6947</f>
        <v>0</v>
      </c>
      <c r="B6947" s="8">
        <v>1.02</v>
      </c>
      <c r="C6947" s="9">
        <v>0</v>
      </c>
      <c r="D6947" s="13">
        <f t="shared" si="108"/>
        <v>1.02</v>
      </c>
    </row>
    <row r="6948" spans="1:4" x14ac:dyDescent="0.25">
      <c r="A6948" s="15">
        <f>Sheet2!A6948</f>
        <v>0</v>
      </c>
      <c r="B6948" s="8">
        <v>1.95</v>
      </c>
      <c r="C6948" s="9">
        <v>0</v>
      </c>
      <c r="D6948" s="13">
        <f t="shared" si="108"/>
        <v>1.95</v>
      </c>
    </row>
    <row r="6949" spans="1:4" x14ac:dyDescent="0.25">
      <c r="A6949" s="15">
        <f>Sheet2!A6949</f>
        <v>0</v>
      </c>
      <c r="B6949" s="8">
        <v>1.83</v>
      </c>
      <c r="C6949" s="9">
        <v>0</v>
      </c>
      <c r="D6949" s="13">
        <f t="shared" si="108"/>
        <v>1.83</v>
      </c>
    </row>
    <row r="6950" spans="1:4" x14ac:dyDescent="0.25">
      <c r="A6950" s="15">
        <f>Sheet2!A6950</f>
        <v>0</v>
      </c>
      <c r="B6950" s="8">
        <v>0</v>
      </c>
      <c r="C6950" s="9">
        <v>0.79</v>
      </c>
      <c r="D6950" s="13">
        <f t="shared" si="108"/>
        <v>0.79</v>
      </c>
    </row>
    <row r="6951" spans="1:4" x14ac:dyDescent="0.25">
      <c r="A6951" s="15">
        <f>Sheet2!A6951</f>
        <v>0</v>
      </c>
      <c r="B6951" s="8">
        <v>0</v>
      </c>
      <c r="C6951" s="9">
        <v>0.82</v>
      </c>
      <c r="D6951" s="13">
        <f t="shared" si="108"/>
        <v>0.82</v>
      </c>
    </row>
    <row r="6952" spans="1:4" x14ac:dyDescent="0.25">
      <c r="A6952" s="15">
        <f>Sheet2!A6952</f>
        <v>0</v>
      </c>
      <c r="B6952" s="8">
        <v>1.64</v>
      </c>
      <c r="C6952" s="9">
        <v>0</v>
      </c>
      <c r="D6952" s="13">
        <f t="shared" si="108"/>
        <v>1.64</v>
      </c>
    </row>
    <row r="6953" spans="1:4" x14ac:dyDescent="0.25">
      <c r="A6953" s="15">
        <f>Sheet2!A6953</f>
        <v>0</v>
      </c>
      <c r="B6953" s="8">
        <v>1.3</v>
      </c>
      <c r="C6953" s="9">
        <v>0</v>
      </c>
      <c r="D6953" s="13">
        <f t="shared" si="108"/>
        <v>1.3</v>
      </c>
    </row>
    <row r="6954" spans="1:4" x14ac:dyDescent="0.25">
      <c r="A6954" s="15">
        <f>Sheet2!A6954</f>
        <v>0</v>
      </c>
      <c r="B6954" s="8">
        <v>2.4500000000000002</v>
      </c>
      <c r="C6954" s="9">
        <v>0</v>
      </c>
      <c r="D6954" s="13">
        <f t="shared" si="108"/>
        <v>2.4500000000000002</v>
      </c>
    </row>
    <row r="6955" spans="1:4" x14ac:dyDescent="0.25">
      <c r="A6955" s="15">
        <f>Sheet2!A6955</f>
        <v>0</v>
      </c>
      <c r="B6955" s="8">
        <v>3.33</v>
      </c>
      <c r="C6955" s="9">
        <v>0</v>
      </c>
      <c r="D6955" s="13">
        <f t="shared" si="108"/>
        <v>3.33</v>
      </c>
    </row>
    <row r="6956" spans="1:4" x14ac:dyDescent="0.25">
      <c r="A6956" s="15">
        <f>Sheet2!A6956</f>
        <v>0</v>
      </c>
      <c r="B6956" s="8">
        <v>0</v>
      </c>
      <c r="C6956" s="9">
        <v>1.58</v>
      </c>
      <c r="D6956" s="13">
        <f t="shared" si="108"/>
        <v>1.58</v>
      </c>
    </row>
    <row r="6957" spans="1:4" x14ac:dyDescent="0.25">
      <c r="A6957" s="15">
        <f>Sheet2!A6957</f>
        <v>0</v>
      </c>
      <c r="B6957" s="8">
        <v>3.32</v>
      </c>
      <c r="C6957" s="9">
        <v>0</v>
      </c>
      <c r="D6957" s="13">
        <f t="shared" si="108"/>
        <v>3.32</v>
      </c>
    </row>
    <row r="6958" spans="1:4" x14ac:dyDescent="0.25">
      <c r="A6958" s="15">
        <f>Sheet2!A6958</f>
        <v>0</v>
      </c>
      <c r="B6958" s="8">
        <v>2.7</v>
      </c>
      <c r="C6958" s="9">
        <v>0</v>
      </c>
      <c r="D6958" s="13">
        <f t="shared" si="108"/>
        <v>2.7</v>
      </c>
    </row>
    <row r="6959" spans="1:4" x14ac:dyDescent="0.25">
      <c r="A6959" s="15">
        <f>Sheet2!A6959</f>
        <v>0</v>
      </c>
      <c r="B6959" s="8">
        <v>1.45</v>
      </c>
      <c r="C6959" s="9">
        <v>0</v>
      </c>
      <c r="D6959" s="13">
        <f t="shared" si="108"/>
        <v>1.45</v>
      </c>
    </row>
    <row r="6960" spans="1:4" x14ac:dyDescent="0.25">
      <c r="A6960" s="15">
        <f>Sheet2!A6960</f>
        <v>0</v>
      </c>
      <c r="B6960" s="8">
        <v>2.4900000000000002</v>
      </c>
      <c r="C6960" s="9">
        <v>0</v>
      </c>
      <c r="D6960" s="13">
        <f t="shared" si="108"/>
        <v>2.4900000000000002</v>
      </c>
    </row>
    <row r="6961" spans="1:4" x14ac:dyDescent="0.25">
      <c r="A6961" s="15">
        <f>Sheet2!A6961</f>
        <v>0</v>
      </c>
      <c r="B6961" s="8">
        <v>2.25</v>
      </c>
      <c r="C6961" s="9">
        <v>0</v>
      </c>
      <c r="D6961" s="13">
        <f t="shared" si="108"/>
        <v>2.25</v>
      </c>
    </row>
    <row r="6962" spans="1:4" x14ac:dyDescent="0.25">
      <c r="A6962" s="15">
        <f>Sheet2!A6962</f>
        <v>0</v>
      </c>
      <c r="B6962" s="8">
        <v>2.2200000000000002</v>
      </c>
      <c r="C6962" s="9">
        <v>0</v>
      </c>
      <c r="D6962" s="13">
        <f t="shared" si="108"/>
        <v>2.2200000000000002</v>
      </c>
    </row>
    <row r="6963" spans="1:4" x14ac:dyDescent="0.25">
      <c r="A6963" s="15">
        <f>Sheet2!A6963</f>
        <v>0</v>
      </c>
      <c r="B6963" s="8">
        <v>2.12</v>
      </c>
      <c r="C6963" s="9">
        <v>0</v>
      </c>
      <c r="D6963" s="13">
        <f t="shared" si="108"/>
        <v>2.12</v>
      </c>
    </row>
    <row r="6964" spans="1:4" x14ac:dyDescent="0.25">
      <c r="A6964" s="15">
        <f>Sheet2!A6964</f>
        <v>0</v>
      </c>
      <c r="B6964" s="8">
        <v>2.17</v>
      </c>
      <c r="C6964" s="9">
        <v>0</v>
      </c>
      <c r="D6964" s="13">
        <f t="shared" si="108"/>
        <v>2.17</v>
      </c>
    </row>
    <row r="6965" spans="1:4" x14ac:dyDescent="0.25">
      <c r="A6965" s="15">
        <f>Sheet2!A6965</f>
        <v>0</v>
      </c>
      <c r="B6965" s="8">
        <v>2.09</v>
      </c>
      <c r="C6965" s="9">
        <v>0</v>
      </c>
      <c r="D6965" s="13">
        <f t="shared" si="108"/>
        <v>2.09</v>
      </c>
    </row>
    <row r="6966" spans="1:4" x14ac:dyDescent="0.25">
      <c r="A6966" s="15">
        <f>Sheet2!A6966</f>
        <v>0</v>
      </c>
      <c r="B6966" s="8">
        <v>1.48</v>
      </c>
      <c r="C6966" s="9">
        <v>0</v>
      </c>
      <c r="D6966" s="13">
        <f t="shared" si="108"/>
        <v>1.48</v>
      </c>
    </row>
    <row r="6967" spans="1:4" x14ac:dyDescent="0.25">
      <c r="A6967" s="15">
        <f>Sheet2!A6967</f>
        <v>0</v>
      </c>
      <c r="B6967" s="8">
        <v>1.53</v>
      </c>
      <c r="C6967" s="9">
        <v>0</v>
      </c>
      <c r="D6967" s="13">
        <f t="shared" si="108"/>
        <v>1.53</v>
      </c>
    </row>
    <row r="6968" spans="1:4" x14ac:dyDescent="0.25">
      <c r="A6968" s="15">
        <f>Sheet2!A6968</f>
        <v>0</v>
      </c>
      <c r="B6968" s="8">
        <v>1.44</v>
      </c>
      <c r="C6968" s="9">
        <v>0</v>
      </c>
      <c r="D6968" s="13">
        <f t="shared" si="108"/>
        <v>1.44</v>
      </c>
    </row>
    <row r="6969" spans="1:4" x14ac:dyDescent="0.25">
      <c r="A6969" s="15">
        <f>Sheet2!A6969</f>
        <v>0</v>
      </c>
      <c r="B6969" s="8">
        <v>1.71</v>
      </c>
      <c r="C6969" s="9">
        <v>0</v>
      </c>
      <c r="D6969" s="13">
        <f t="shared" si="108"/>
        <v>1.71</v>
      </c>
    </row>
    <row r="6970" spans="1:4" x14ac:dyDescent="0.25">
      <c r="A6970" s="15">
        <f>Sheet2!A6970</f>
        <v>0</v>
      </c>
      <c r="B6970" s="8">
        <v>0.84</v>
      </c>
      <c r="C6970" s="9">
        <v>0</v>
      </c>
      <c r="D6970" s="13">
        <f t="shared" si="108"/>
        <v>0.84</v>
      </c>
    </row>
    <row r="6971" spans="1:4" x14ac:dyDescent="0.25">
      <c r="A6971" s="15">
        <f>Sheet2!A6971</f>
        <v>0</v>
      </c>
      <c r="B6971" s="8">
        <v>0.6</v>
      </c>
      <c r="C6971" s="9">
        <v>0</v>
      </c>
      <c r="D6971" s="13">
        <f t="shared" si="108"/>
        <v>0.6</v>
      </c>
    </row>
    <row r="6972" spans="1:4" x14ac:dyDescent="0.25">
      <c r="A6972" s="15">
        <f>Sheet2!A6972</f>
        <v>0</v>
      </c>
      <c r="B6972" s="8">
        <v>0.59</v>
      </c>
      <c r="C6972" s="9">
        <v>0</v>
      </c>
      <c r="D6972" s="13">
        <f t="shared" si="108"/>
        <v>0.59</v>
      </c>
    </row>
    <row r="6973" spans="1:4" x14ac:dyDescent="0.25">
      <c r="A6973" s="15">
        <f>Sheet2!A6973</f>
        <v>0</v>
      </c>
      <c r="B6973" s="8">
        <v>1.3</v>
      </c>
      <c r="C6973" s="9">
        <v>0</v>
      </c>
      <c r="D6973" s="13">
        <f t="shared" si="108"/>
        <v>1.3</v>
      </c>
    </row>
    <row r="6974" spans="1:4" x14ac:dyDescent="0.25">
      <c r="A6974" s="15">
        <f>Sheet2!A6974</f>
        <v>0</v>
      </c>
      <c r="B6974" s="8">
        <v>1.01</v>
      </c>
      <c r="C6974" s="9">
        <v>0</v>
      </c>
      <c r="D6974" s="13">
        <f t="shared" si="108"/>
        <v>1.01</v>
      </c>
    </row>
    <row r="6975" spans="1:4" x14ac:dyDescent="0.25">
      <c r="A6975" s="15">
        <f>Sheet2!A6975</f>
        <v>0</v>
      </c>
      <c r="B6975" s="8">
        <v>0.82</v>
      </c>
      <c r="C6975" s="9">
        <v>0</v>
      </c>
      <c r="D6975" s="13">
        <f t="shared" si="108"/>
        <v>0.82</v>
      </c>
    </row>
    <row r="6976" spans="1:4" x14ac:dyDescent="0.25">
      <c r="A6976" s="15">
        <f>Sheet2!A6976</f>
        <v>0</v>
      </c>
      <c r="B6976" s="8">
        <v>1.1599999999999999</v>
      </c>
      <c r="C6976" s="9">
        <v>0</v>
      </c>
      <c r="D6976" s="13">
        <f t="shared" si="108"/>
        <v>1.1599999999999999</v>
      </c>
    </row>
    <row r="6977" spans="1:4" x14ac:dyDescent="0.25">
      <c r="A6977" s="15">
        <f>Sheet2!A6977</f>
        <v>0</v>
      </c>
      <c r="B6977" s="8">
        <v>1.45</v>
      </c>
      <c r="C6977" s="9">
        <v>0</v>
      </c>
      <c r="D6977" s="13">
        <f t="shared" si="108"/>
        <v>1.45</v>
      </c>
    </row>
    <row r="6978" spans="1:4" x14ac:dyDescent="0.25">
      <c r="A6978" s="15">
        <f>Sheet2!A6978</f>
        <v>0</v>
      </c>
      <c r="B6978" s="8">
        <v>2.2799999999999998</v>
      </c>
      <c r="C6978" s="9">
        <v>0</v>
      </c>
      <c r="D6978" s="13">
        <f t="shared" si="108"/>
        <v>2.2799999999999998</v>
      </c>
    </row>
    <row r="6979" spans="1:4" x14ac:dyDescent="0.25">
      <c r="A6979" s="15">
        <f>Sheet2!A6979</f>
        <v>0</v>
      </c>
      <c r="B6979" s="8">
        <v>1.41</v>
      </c>
      <c r="C6979" s="9">
        <v>0</v>
      </c>
      <c r="D6979" s="13">
        <f t="shared" ref="D6979:D7042" si="109">B6979+C6979</f>
        <v>1.41</v>
      </c>
    </row>
    <row r="6980" spans="1:4" x14ac:dyDescent="0.25">
      <c r="A6980" s="15">
        <f>Sheet2!A6980</f>
        <v>0</v>
      </c>
      <c r="B6980" s="8">
        <v>1.98</v>
      </c>
      <c r="C6980" s="9">
        <v>0</v>
      </c>
      <c r="D6980" s="13">
        <f t="shared" si="109"/>
        <v>1.98</v>
      </c>
    </row>
    <row r="6981" spans="1:4" x14ac:dyDescent="0.25">
      <c r="A6981" s="15">
        <f>Sheet2!A6981</f>
        <v>0</v>
      </c>
      <c r="B6981" s="8">
        <v>1.1599999999999999</v>
      </c>
      <c r="C6981" s="9">
        <v>0</v>
      </c>
      <c r="D6981" s="13">
        <f t="shared" si="109"/>
        <v>1.1599999999999999</v>
      </c>
    </row>
    <row r="6982" spans="1:4" x14ac:dyDescent="0.25">
      <c r="A6982" s="15">
        <f>Sheet2!A6982</f>
        <v>0</v>
      </c>
      <c r="B6982" s="8">
        <v>1.19</v>
      </c>
      <c r="C6982" s="9">
        <v>0</v>
      </c>
      <c r="D6982" s="13">
        <f t="shared" si="109"/>
        <v>1.19</v>
      </c>
    </row>
    <row r="6983" spans="1:4" x14ac:dyDescent="0.25">
      <c r="A6983" s="15">
        <f>Sheet2!A6983</f>
        <v>0</v>
      </c>
      <c r="B6983" s="8">
        <v>1</v>
      </c>
      <c r="C6983" s="9">
        <v>0</v>
      </c>
      <c r="D6983" s="13">
        <f t="shared" si="109"/>
        <v>1</v>
      </c>
    </row>
    <row r="6984" spans="1:4" x14ac:dyDescent="0.25">
      <c r="A6984" s="15">
        <f>Sheet2!A6984</f>
        <v>0</v>
      </c>
      <c r="B6984" s="8">
        <v>1.36</v>
      </c>
      <c r="C6984" s="9">
        <v>0</v>
      </c>
      <c r="D6984" s="13">
        <f t="shared" si="109"/>
        <v>1.36</v>
      </c>
    </row>
    <row r="6985" spans="1:4" x14ac:dyDescent="0.25">
      <c r="A6985" s="15">
        <f>Sheet2!A6985</f>
        <v>0</v>
      </c>
      <c r="B6985" s="8">
        <v>1.29</v>
      </c>
      <c r="C6985" s="9">
        <v>0</v>
      </c>
      <c r="D6985" s="13">
        <f t="shared" si="109"/>
        <v>1.29</v>
      </c>
    </row>
    <row r="6986" spans="1:4" x14ac:dyDescent="0.25">
      <c r="A6986" s="15">
        <f>Sheet2!A6986</f>
        <v>0</v>
      </c>
      <c r="B6986" s="8">
        <v>1.1599999999999999</v>
      </c>
      <c r="C6986" s="9">
        <v>0</v>
      </c>
      <c r="D6986" s="13">
        <f t="shared" si="109"/>
        <v>1.1599999999999999</v>
      </c>
    </row>
    <row r="6987" spans="1:4" x14ac:dyDescent="0.25">
      <c r="A6987" s="15">
        <f>Sheet2!A6987</f>
        <v>0</v>
      </c>
      <c r="B6987" s="8">
        <v>1.22</v>
      </c>
      <c r="C6987" s="9">
        <v>0</v>
      </c>
      <c r="D6987" s="13">
        <f t="shared" si="109"/>
        <v>1.22</v>
      </c>
    </row>
    <row r="6988" spans="1:4" x14ac:dyDescent="0.25">
      <c r="A6988" s="15">
        <f>Sheet2!A6988</f>
        <v>0</v>
      </c>
      <c r="B6988" s="8">
        <v>1.1299999999999999</v>
      </c>
      <c r="C6988" s="9">
        <v>0</v>
      </c>
      <c r="D6988" s="13">
        <f t="shared" si="109"/>
        <v>1.1299999999999999</v>
      </c>
    </row>
    <row r="6989" spans="1:4" x14ac:dyDescent="0.25">
      <c r="A6989" s="15">
        <f>Sheet2!A6989</f>
        <v>0</v>
      </c>
      <c r="B6989" s="8">
        <v>1.08</v>
      </c>
      <c r="C6989" s="9">
        <v>0</v>
      </c>
      <c r="D6989" s="13">
        <f t="shared" si="109"/>
        <v>1.08</v>
      </c>
    </row>
    <row r="6990" spans="1:4" x14ac:dyDescent="0.25">
      <c r="A6990" s="15">
        <f>Sheet2!A6990</f>
        <v>0</v>
      </c>
      <c r="B6990" s="8">
        <v>0.66</v>
      </c>
      <c r="C6990" s="9">
        <v>0</v>
      </c>
      <c r="D6990" s="13">
        <f t="shared" si="109"/>
        <v>0.66</v>
      </c>
    </row>
    <row r="6991" spans="1:4" x14ac:dyDescent="0.25">
      <c r="A6991" s="15">
        <f>Sheet2!A6991</f>
        <v>0</v>
      </c>
      <c r="B6991" s="8">
        <v>0.44</v>
      </c>
      <c r="C6991" s="9">
        <v>0</v>
      </c>
      <c r="D6991" s="13">
        <f t="shared" si="109"/>
        <v>0.44</v>
      </c>
    </row>
    <row r="6992" spans="1:4" x14ac:dyDescent="0.25">
      <c r="A6992" s="15">
        <f>Sheet2!A6992</f>
        <v>0</v>
      </c>
      <c r="B6992" s="8">
        <v>0.47</v>
      </c>
      <c r="C6992" s="9">
        <v>0</v>
      </c>
      <c r="D6992" s="13">
        <f t="shared" si="109"/>
        <v>0.47</v>
      </c>
    </row>
    <row r="6993" spans="1:4" x14ac:dyDescent="0.25">
      <c r="A6993" s="15">
        <f>Sheet2!A6993</f>
        <v>0</v>
      </c>
      <c r="B6993" s="8">
        <v>0.57999999999999996</v>
      </c>
      <c r="C6993" s="9">
        <v>0</v>
      </c>
      <c r="D6993" s="13">
        <f t="shared" si="109"/>
        <v>0.57999999999999996</v>
      </c>
    </row>
    <row r="6994" spans="1:4" x14ac:dyDescent="0.25">
      <c r="A6994" s="15">
        <f>Sheet2!A6994</f>
        <v>0</v>
      </c>
      <c r="B6994" s="8">
        <v>0.61</v>
      </c>
      <c r="C6994" s="9">
        <v>0</v>
      </c>
      <c r="D6994" s="13">
        <f t="shared" si="109"/>
        <v>0.61</v>
      </c>
    </row>
    <row r="6995" spans="1:4" x14ac:dyDescent="0.25">
      <c r="A6995" s="15">
        <f>Sheet2!A6995</f>
        <v>0</v>
      </c>
      <c r="B6995" s="8">
        <v>0.86</v>
      </c>
      <c r="C6995" s="9">
        <v>0</v>
      </c>
      <c r="D6995" s="13">
        <f t="shared" si="109"/>
        <v>0.86</v>
      </c>
    </row>
    <row r="6996" spans="1:4" x14ac:dyDescent="0.25">
      <c r="A6996" s="15">
        <f>Sheet2!A6996</f>
        <v>0</v>
      </c>
      <c r="B6996" s="8">
        <v>0.73</v>
      </c>
      <c r="C6996" s="9">
        <v>0</v>
      </c>
      <c r="D6996" s="13">
        <f t="shared" si="109"/>
        <v>0.73</v>
      </c>
    </row>
    <row r="6997" spans="1:4" x14ac:dyDescent="0.25">
      <c r="A6997" s="15">
        <f>Sheet2!A6997</f>
        <v>0</v>
      </c>
      <c r="B6997" s="8">
        <v>0.55000000000000004</v>
      </c>
      <c r="C6997" s="9">
        <v>0</v>
      </c>
      <c r="D6997" s="13">
        <f t="shared" si="109"/>
        <v>0.55000000000000004</v>
      </c>
    </row>
    <row r="6998" spans="1:4" x14ac:dyDescent="0.25">
      <c r="A6998" s="15">
        <f>Sheet2!A6998</f>
        <v>0</v>
      </c>
      <c r="B6998" s="8">
        <v>0.95</v>
      </c>
      <c r="C6998" s="9">
        <v>0</v>
      </c>
      <c r="D6998" s="13">
        <f t="shared" si="109"/>
        <v>0.95</v>
      </c>
    </row>
    <row r="6999" spans="1:4" x14ac:dyDescent="0.25">
      <c r="A6999" s="15">
        <f>Sheet2!A6999</f>
        <v>0</v>
      </c>
      <c r="B6999" s="8">
        <v>0.95</v>
      </c>
      <c r="C6999" s="9">
        <v>0</v>
      </c>
      <c r="D6999" s="13">
        <f t="shared" si="109"/>
        <v>0.95</v>
      </c>
    </row>
    <row r="7000" spans="1:4" x14ac:dyDescent="0.25">
      <c r="A7000" s="15">
        <f>Sheet2!A7000</f>
        <v>0</v>
      </c>
      <c r="B7000" s="8">
        <v>1.41</v>
      </c>
      <c r="C7000" s="9">
        <v>0</v>
      </c>
      <c r="D7000" s="13">
        <f t="shared" si="109"/>
        <v>1.41</v>
      </c>
    </row>
    <row r="7001" spans="1:4" x14ac:dyDescent="0.25">
      <c r="A7001" s="15">
        <f>Sheet2!A7001</f>
        <v>0</v>
      </c>
      <c r="B7001" s="8">
        <v>1.67</v>
      </c>
      <c r="C7001" s="9">
        <v>0</v>
      </c>
      <c r="D7001" s="13">
        <f t="shared" si="109"/>
        <v>1.67</v>
      </c>
    </row>
    <row r="7002" spans="1:4" x14ac:dyDescent="0.25">
      <c r="A7002" s="15">
        <f>Sheet2!A7002</f>
        <v>0</v>
      </c>
      <c r="B7002" s="8">
        <v>1.44</v>
      </c>
      <c r="C7002" s="9">
        <v>0</v>
      </c>
      <c r="D7002" s="13">
        <f t="shared" si="109"/>
        <v>1.44</v>
      </c>
    </row>
    <row r="7003" spans="1:4" x14ac:dyDescent="0.25">
      <c r="A7003" s="15">
        <f>Sheet2!A7003</f>
        <v>0</v>
      </c>
      <c r="B7003" s="8">
        <v>2.0499999999999998</v>
      </c>
      <c r="C7003" s="9">
        <v>0</v>
      </c>
      <c r="D7003" s="13">
        <f t="shared" si="109"/>
        <v>2.0499999999999998</v>
      </c>
    </row>
    <row r="7004" spans="1:4" x14ac:dyDescent="0.25">
      <c r="A7004" s="15">
        <f>Sheet2!A7004</f>
        <v>0</v>
      </c>
      <c r="B7004" s="8">
        <v>2.2999999999999998</v>
      </c>
      <c r="C7004" s="9">
        <v>0</v>
      </c>
      <c r="D7004" s="13">
        <f t="shared" si="109"/>
        <v>2.2999999999999998</v>
      </c>
    </row>
    <row r="7005" spans="1:4" x14ac:dyDescent="0.25">
      <c r="A7005" s="15">
        <f>Sheet2!A7005</f>
        <v>0</v>
      </c>
      <c r="B7005" s="8">
        <v>2.2400000000000002</v>
      </c>
      <c r="C7005" s="9">
        <v>0</v>
      </c>
      <c r="D7005" s="13">
        <f t="shared" si="109"/>
        <v>2.2400000000000002</v>
      </c>
    </row>
    <row r="7006" spans="1:4" x14ac:dyDescent="0.25">
      <c r="A7006" s="15">
        <f>Sheet2!A7006</f>
        <v>0</v>
      </c>
      <c r="B7006" s="8">
        <v>2.29</v>
      </c>
      <c r="C7006" s="9">
        <v>0</v>
      </c>
      <c r="D7006" s="13">
        <f t="shared" si="109"/>
        <v>2.29</v>
      </c>
    </row>
    <row r="7007" spans="1:4" x14ac:dyDescent="0.25">
      <c r="A7007" s="15">
        <f>Sheet2!A7007</f>
        <v>0</v>
      </c>
      <c r="B7007" s="8">
        <v>2.36</v>
      </c>
      <c r="C7007" s="9">
        <v>0</v>
      </c>
      <c r="D7007" s="13">
        <f t="shared" si="109"/>
        <v>2.36</v>
      </c>
    </row>
    <row r="7008" spans="1:4" x14ac:dyDescent="0.25">
      <c r="A7008" s="15">
        <f>Sheet2!A7008</f>
        <v>0</v>
      </c>
      <c r="B7008" s="8">
        <v>1.78</v>
      </c>
      <c r="C7008" s="9">
        <v>0</v>
      </c>
      <c r="D7008" s="13">
        <f t="shared" si="109"/>
        <v>1.78</v>
      </c>
    </row>
    <row r="7009" spans="1:4" x14ac:dyDescent="0.25">
      <c r="A7009" s="15">
        <f>Sheet2!A7009</f>
        <v>0</v>
      </c>
      <c r="B7009" s="8">
        <v>1.56</v>
      </c>
      <c r="C7009" s="9">
        <v>0</v>
      </c>
      <c r="D7009" s="13">
        <f t="shared" si="109"/>
        <v>1.56</v>
      </c>
    </row>
    <row r="7010" spans="1:4" x14ac:dyDescent="0.25">
      <c r="A7010" s="15">
        <f>Sheet2!A7010</f>
        <v>0</v>
      </c>
      <c r="B7010" s="8">
        <v>1.31</v>
      </c>
      <c r="C7010" s="9">
        <v>0</v>
      </c>
      <c r="D7010" s="13">
        <f t="shared" si="109"/>
        <v>1.31</v>
      </c>
    </row>
    <row r="7011" spans="1:4" x14ac:dyDescent="0.25">
      <c r="A7011" s="15">
        <f>Sheet2!A7011</f>
        <v>0</v>
      </c>
      <c r="B7011" s="8">
        <v>1.19</v>
      </c>
      <c r="C7011" s="9">
        <v>0</v>
      </c>
      <c r="D7011" s="13">
        <f t="shared" si="109"/>
        <v>1.19</v>
      </c>
    </row>
    <row r="7012" spans="1:4" x14ac:dyDescent="0.25">
      <c r="A7012" s="15">
        <f>Sheet2!A7012</f>
        <v>0</v>
      </c>
      <c r="B7012" s="8">
        <v>1.1399999999999999</v>
      </c>
      <c r="C7012" s="9">
        <v>0</v>
      </c>
      <c r="D7012" s="13">
        <f t="shared" si="109"/>
        <v>1.1399999999999999</v>
      </c>
    </row>
    <row r="7013" spans="1:4" x14ac:dyDescent="0.25">
      <c r="A7013" s="15">
        <f>Sheet2!A7013</f>
        <v>0</v>
      </c>
      <c r="B7013" s="8">
        <v>1.06</v>
      </c>
      <c r="C7013" s="9">
        <v>0</v>
      </c>
      <c r="D7013" s="13">
        <f t="shared" si="109"/>
        <v>1.06</v>
      </c>
    </row>
    <row r="7014" spans="1:4" x14ac:dyDescent="0.25">
      <c r="A7014" s="15">
        <f>Sheet2!A7014</f>
        <v>0</v>
      </c>
      <c r="B7014" s="8">
        <v>0.84</v>
      </c>
      <c r="C7014" s="9">
        <v>0</v>
      </c>
      <c r="D7014" s="13">
        <f t="shared" si="109"/>
        <v>0.84</v>
      </c>
    </row>
    <row r="7015" spans="1:4" x14ac:dyDescent="0.25">
      <c r="A7015" s="15">
        <f>Sheet2!A7015</f>
        <v>0</v>
      </c>
      <c r="B7015" s="8">
        <v>0.49</v>
      </c>
      <c r="C7015" s="9">
        <v>0</v>
      </c>
      <c r="D7015" s="13">
        <f t="shared" si="109"/>
        <v>0.49</v>
      </c>
    </row>
    <row r="7016" spans="1:4" x14ac:dyDescent="0.25">
      <c r="A7016" s="15">
        <f>Sheet2!A7016</f>
        <v>0</v>
      </c>
      <c r="B7016" s="8">
        <v>0.49</v>
      </c>
      <c r="C7016" s="9">
        <v>0</v>
      </c>
      <c r="D7016" s="13">
        <f t="shared" si="109"/>
        <v>0.49</v>
      </c>
    </row>
    <row r="7017" spans="1:4" x14ac:dyDescent="0.25">
      <c r="A7017" s="15">
        <f>Sheet2!A7017</f>
        <v>0</v>
      </c>
      <c r="B7017" s="8">
        <v>0.55000000000000004</v>
      </c>
      <c r="C7017" s="9">
        <v>0</v>
      </c>
      <c r="D7017" s="13">
        <f t="shared" si="109"/>
        <v>0.55000000000000004</v>
      </c>
    </row>
    <row r="7018" spans="1:4" x14ac:dyDescent="0.25">
      <c r="A7018" s="15">
        <f>Sheet2!A7018</f>
        <v>0</v>
      </c>
      <c r="B7018" s="8">
        <v>0.6</v>
      </c>
      <c r="C7018" s="9">
        <v>0</v>
      </c>
      <c r="D7018" s="13">
        <f t="shared" si="109"/>
        <v>0.6</v>
      </c>
    </row>
    <row r="7019" spans="1:4" x14ac:dyDescent="0.25">
      <c r="A7019" s="15">
        <f>Sheet2!A7019</f>
        <v>0</v>
      </c>
      <c r="B7019" s="8">
        <v>2.74</v>
      </c>
      <c r="C7019" s="9">
        <v>0</v>
      </c>
      <c r="D7019" s="13">
        <f t="shared" si="109"/>
        <v>2.74</v>
      </c>
    </row>
    <row r="7020" spans="1:4" x14ac:dyDescent="0.25">
      <c r="A7020" s="15">
        <f>Sheet2!A7020</f>
        <v>0</v>
      </c>
      <c r="B7020" s="8">
        <v>0.92</v>
      </c>
      <c r="C7020" s="9">
        <v>0</v>
      </c>
      <c r="D7020" s="13">
        <f t="shared" si="109"/>
        <v>0.92</v>
      </c>
    </row>
    <row r="7021" spans="1:4" x14ac:dyDescent="0.25">
      <c r="A7021" s="15">
        <f>Sheet2!A7021</f>
        <v>0</v>
      </c>
      <c r="B7021" s="8">
        <v>0.78</v>
      </c>
      <c r="C7021" s="9">
        <v>0</v>
      </c>
      <c r="D7021" s="13">
        <f t="shared" si="109"/>
        <v>0.78</v>
      </c>
    </row>
    <row r="7022" spans="1:4" x14ac:dyDescent="0.25">
      <c r="A7022" s="15">
        <f>Sheet2!A7022</f>
        <v>0</v>
      </c>
      <c r="B7022" s="8">
        <v>0.89</v>
      </c>
      <c r="C7022" s="9">
        <v>0</v>
      </c>
      <c r="D7022" s="13">
        <f t="shared" si="109"/>
        <v>0.89</v>
      </c>
    </row>
    <row r="7023" spans="1:4" x14ac:dyDescent="0.25">
      <c r="A7023" s="15">
        <f>Sheet2!A7023</f>
        <v>0</v>
      </c>
      <c r="B7023" s="8">
        <v>0.76</v>
      </c>
      <c r="C7023" s="9">
        <v>0</v>
      </c>
      <c r="D7023" s="13">
        <f t="shared" si="109"/>
        <v>0.76</v>
      </c>
    </row>
    <row r="7024" spans="1:4" x14ac:dyDescent="0.25">
      <c r="A7024" s="15">
        <f>Sheet2!A7024</f>
        <v>0</v>
      </c>
      <c r="B7024" s="8">
        <v>0.82</v>
      </c>
      <c r="C7024" s="9">
        <v>0</v>
      </c>
      <c r="D7024" s="13">
        <f t="shared" si="109"/>
        <v>0.82</v>
      </c>
    </row>
    <row r="7025" spans="1:4" x14ac:dyDescent="0.25">
      <c r="A7025" s="15">
        <f>Sheet2!A7025</f>
        <v>0</v>
      </c>
      <c r="B7025" s="8">
        <v>1.79</v>
      </c>
      <c r="C7025" s="9">
        <v>0</v>
      </c>
      <c r="D7025" s="13">
        <f t="shared" si="109"/>
        <v>1.79</v>
      </c>
    </row>
    <row r="7026" spans="1:4" x14ac:dyDescent="0.25">
      <c r="A7026" s="15">
        <f>Sheet2!A7026</f>
        <v>0</v>
      </c>
      <c r="B7026" s="8">
        <v>2.0099999999999998</v>
      </c>
      <c r="C7026" s="9">
        <v>0</v>
      </c>
      <c r="D7026" s="13">
        <f t="shared" si="109"/>
        <v>2.0099999999999998</v>
      </c>
    </row>
    <row r="7027" spans="1:4" x14ac:dyDescent="0.25">
      <c r="A7027" s="15">
        <f>Sheet2!A7027</f>
        <v>0</v>
      </c>
      <c r="B7027" s="8">
        <v>0.91</v>
      </c>
      <c r="C7027" s="9">
        <v>0</v>
      </c>
      <c r="D7027" s="13">
        <f t="shared" si="109"/>
        <v>0.91</v>
      </c>
    </row>
    <row r="7028" spans="1:4" x14ac:dyDescent="0.25">
      <c r="A7028" s="15">
        <f>Sheet2!A7028</f>
        <v>0</v>
      </c>
      <c r="B7028" s="8">
        <v>1.18</v>
      </c>
      <c r="C7028" s="9">
        <v>0</v>
      </c>
      <c r="D7028" s="13">
        <f t="shared" si="109"/>
        <v>1.18</v>
      </c>
    </row>
    <row r="7029" spans="1:4" x14ac:dyDescent="0.25">
      <c r="A7029" s="15">
        <f>Sheet2!A7029</f>
        <v>0</v>
      </c>
      <c r="B7029" s="8">
        <v>1.19</v>
      </c>
      <c r="C7029" s="9">
        <v>0</v>
      </c>
      <c r="D7029" s="13">
        <f t="shared" si="109"/>
        <v>1.19</v>
      </c>
    </row>
    <row r="7030" spans="1:4" x14ac:dyDescent="0.25">
      <c r="A7030" s="15">
        <f>Sheet2!A7030</f>
        <v>0</v>
      </c>
      <c r="B7030" s="8">
        <v>1.29</v>
      </c>
      <c r="C7030" s="9">
        <v>0</v>
      </c>
      <c r="D7030" s="13">
        <f t="shared" si="109"/>
        <v>1.29</v>
      </c>
    </row>
    <row r="7031" spans="1:4" x14ac:dyDescent="0.25">
      <c r="A7031" s="15">
        <f>Sheet2!A7031</f>
        <v>0</v>
      </c>
      <c r="B7031" s="8">
        <v>1.03</v>
      </c>
      <c r="C7031" s="9">
        <v>0</v>
      </c>
      <c r="D7031" s="13">
        <f t="shared" si="109"/>
        <v>1.03</v>
      </c>
    </row>
    <row r="7032" spans="1:4" x14ac:dyDescent="0.25">
      <c r="A7032" s="15">
        <f>Sheet2!A7032</f>
        <v>0</v>
      </c>
      <c r="B7032" s="8">
        <v>2.29</v>
      </c>
      <c r="C7032" s="9">
        <v>0</v>
      </c>
      <c r="D7032" s="13">
        <f t="shared" si="109"/>
        <v>2.29</v>
      </c>
    </row>
    <row r="7033" spans="1:4" x14ac:dyDescent="0.25">
      <c r="A7033" s="15">
        <f>Sheet2!A7033</f>
        <v>0</v>
      </c>
      <c r="B7033" s="8">
        <v>2.56</v>
      </c>
      <c r="C7033" s="9">
        <v>0</v>
      </c>
      <c r="D7033" s="13">
        <f t="shared" si="109"/>
        <v>2.56</v>
      </c>
    </row>
    <row r="7034" spans="1:4" x14ac:dyDescent="0.25">
      <c r="A7034" s="15">
        <f>Sheet2!A7034</f>
        <v>0</v>
      </c>
      <c r="B7034" s="8">
        <v>1.33</v>
      </c>
      <c r="C7034" s="9">
        <v>0</v>
      </c>
      <c r="D7034" s="13">
        <f t="shared" si="109"/>
        <v>1.33</v>
      </c>
    </row>
    <row r="7035" spans="1:4" x14ac:dyDescent="0.25">
      <c r="A7035" s="15">
        <f>Sheet2!A7035</f>
        <v>0</v>
      </c>
      <c r="B7035" s="8">
        <v>1.35</v>
      </c>
      <c r="C7035" s="9">
        <v>0</v>
      </c>
      <c r="D7035" s="13">
        <f t="shared" si="109"/>
        <v>1.35</v>
      </c>
    </row>
    <row r="7036" spans="1:4" x14ac:dyDescent="0.25">
      <c r="A7036" s="15">
        <f>Sheet2!A7036</f>
        <v>0</v>
      </c>
      <c r="B7036" s="8">
        <v>1.18</v>
      </c>
      <c r="C7036" s="9">
        <v>0</v>
      </c>
      <c r="D7036" s="13">
        <f t="shared" si="109"/>
        <v>1.18</v>
      </c>
    </row>
    <row r="7037" spans="1:4" x14ac:dyDescent="0.25">
      <c r="A7037" s="15">
        <f>Sheet2!A7037</f>
        <v>0</v>
      </c>
      <c r="B7037" s="8">
        <v>1.22</v>
      </c>
      <c r="C7037" s="9">
        <v>0</v>
      </c>
      <c r="D7037" s="13">
        <f t="shared" si="109"/>
        <v>1.22</v>
      </c>
    </row>
    <row r="7038" spans="1:4" x14ac:dyDescent="0.25">
      <c r="A7038" s="15">
        <f>Sheet2!A7038</f>
        <v>0</v>
      </c>
      <c r="B7038" s="8">
        <v>1.08</v>
      </c>
      <c r="C7038" s="9">
        <v>0</v>
      </c>
      <c r="D7038" s="13">
        <f t="shared" si="109"/>
        <v>1.08</v>
      </c>
    </row>
    <row r="7039" spans="1:4" x14ac:dyDescent="0.25">
      <c r="A7039" s="15">
        <f>Sheet2!A7039</f>
        <v>0</v>
      </c>
      <c r="B7039" s="8">
        <v>0.89</v>
      </c>
      <c r="C7039" s="9">
        <v>0</v>
      </c>
      <c r="D7039" s="13">
        <f t="shared" si="109"/>
        <v>0.89</v>
      </c>
    </row>
    <row r="7040" spans="1:4" x14ac:dyDescent="0.25">
      <c r="A7040" s="15">
        <f>Sheet2!A7040</f>
        <v>0</v>
      </c>
      <c r="B7040" s="8">
        <v>1.89</v>
      </c>
      <c r="C7040" s="9">
        <v>0</v>
      </c>
      <c r="D7040" s="13">
        <f t="shared" si="109"/>
        <v>1.89</v>
      </c>
    </row>
    <row r="7041" spans="1:4" x14ac:dyDescent="0.25">
      <c r="A7041" s="15">
        <f>Sheet2!A7041</f>
        <v>0</v>
      </c>
      <c r="B7041" s="8">
        <v>2.1</v>
      </c>
      <c r="C7041" s="9">
        <v>0</v>
      </c>
      <c r="D7041" s="13">
        <f t="shared" si="109"/>
        <v>2.1</v>
      </c>
    </row>
    <row r="7042" spans="1:4" x14ac:dyDescent="0.25">
      <c r="A7042" s="15">
        <f>Sheet2!A7042</f>
        <v>0</v>
      </c>
      <c r="B7042" s="8">
        <v>1.97</v>
      </c>
      <c r="C7042" s="9">
        <v>0</v>
      </c>
      <c r="D7042" s="13">
        <f t="shared" si="109"/>
        <v>1.97</v>
      </c>
    </row>
    <row r="7043" spans="1:4" x14ac:dyDescent="0.25">
      <c r="A7043" s="15">
        <f>Sheet2!A7043</f>
        <v>0</v>
      </c>
      <c r="B7043" s="8">
        <v>2.2599999999999998</v>
      </c>
      <c r="C7043" s="9">
        <v>0</v>
      </c>
      <c r="D7043" s="13">
        <f t="shared" ref="D7043:D7106" si="110">B7043+C7043</f>
        <v>2.2599999999999998</v>
      </c>
    </row>
    <row r="7044" spans="1:4" x14ac:dyDescent="0.25">
      <c r="A7044" s="15">
        <f>Sheet2!A7044</f>
        <v>0</v>
      </c>
      <c r="B7044" s="8">
        <v>2.83</v>
      </c>
      <c r="C7044" s="9">
        <v>0</v>
      </c>
      <c r="D7044" s="13">
        <f t="shared" si="110"/>
        <v>2.83</v>
      </c>
    </row>
    <row r="7045" spans="1:4" x14ac:dyDescent="0.25">
      <c r="A7045" s="15">
        <f>Sheet2!A7045</f>
        <v>0</v>
      </c>
      <c r="B7045" s="8">
        <v>1.65</v>
      </c>
      <c r="C7045" s="9">
        <v>0</v>
      </c>
      <c r="D7045" s="13">
        <f t="shared" si="110"/>
        <v>1.65</v>
      </c>
    </row>
    <row r="7046" spans="1:4" x14ac:dyDescent="0.25">
      <c r="A7046" s="15">
        <f>Sheet2!A7046</f>
        <v>0</v>
      </c>
      <c r="B7046" s="8">
        <v>1.1499999999999999</v>
      </c>
      <c r="C7046" s="9">
        <v>0</v>
      </c>
      <c r="D7046" s="13">
        <f t="shared" si="110"/>
        <v>1.1499999999999999</v>
      </c>
    </row>
    <row r="7047" spans="1:4" x14ac:dyDescent="0.25">
      <c r="A7047" s="15">
        <f>Sheet2!A7047</f>
        <v>0</v>
      </c>
      <c r="B7047" s="8">
        <v>1.61</v>
      </c>
      <c r="C7047" s="9">
        <v>0</v>
      </c>
      <c r="D7047" s="13">
        <f t="shared" si="110"/>
        <v>1.61</v>
      </c>
    </row>
    <row r="7048" spans="1:4" x14ac:dyDescent="0.25">
      <c r="A7048" s="15">
        <f>Sheet2!A7048</f>
        <v>0</v>
      </c>
      <c r="B7048" s="8">
        <v>2.56</v>
      </c>
      <c r="C7048" s="9">
        <v>0</v>
      </c>
      <c r="D7048" s="13">
        <f t="shared" si="110"/>
        <v>2.56</v>
      </c>
    </row>
    <row r="7049" spans="1:4" x14ac:dyDescent="0.25">
      <c r="A7049" s="15">
        <f>Sheet2!A7049</f>
        <v>0</v>
      </c>
      <c r="B7049" s="8">
        <v>4.18</v>
      </c>
      <c r="C7049" s="9">
        <v>0</v>
      </c>
      <c r="D7049" s="13">
        <f t="shared" si="110"/>
        <v>4.18</v>
      </c>
    </row>
    <row r="7050" spans="1:4" x14ac:dyDescent="0.25">
      <c r="A7050" s="15">
        <f>Sheet2!A7050</f>
        <v>0</v>
      </c>
      <c r="B7050" s="8">
        <v>3.6</v>
      </c>
      <c r="C7050" s="9">
        <v>0</v>
      </c>
      <c r="D7050" s="13">
        <f t="shared" si="110"/>
        <v>3.6</v>
      </c>
    </row>
    <row r="7051" spans="1:4" x14ac:dyDescent="0.25">
      <c r="A7051" s="15">
        <f>Sheet2!A7051</f>
        <v>0</v>
      </c>
      <c r="B7051" s="8">
        <v>3.63</v>
      </c>
      <c r="C7051" s="9">
        <v>0</v>
      </c>
      <c r="D7051" s="13">
        <f t="shared" si="110"/>
        <v>3.63</v>
      </c>
    </row>
    <row r="7052" spans="1:4" x14ac:dyDescent="0.25">
      <c r="A7052" s="15">
        <f>Sheet2!A7052</f>
        <v>0</v>
      </c>
      <c r="B7052" s="8">
        <v>3.48</v>
      </c>
      <c r="C7052" s="9">
        <v>0</v>
      </c>
      <c r="D7052" s="13">
        <f t="shared" si="110"/>
        <v>3.48</v>
      </c>
    </row>
    <row r="7053" spans="1:4" x14ac:dyDescent="0.25">
      <c r="A7053" s="15">
        <f>Sheet2!A7053</f>
        <v>0</v>
      </c>
      <c r="B7053" s="8">
        <v>4</v>
      </c>
      <c r="C7053" s="9">
        <v>0</v>
      </c>
      <c r="D7053" s="13">
        <f t="shared" si="110"/>
        <v>4</v>
      </c>
    </row>
    <row r="7054" spans="1:4" x14ac:dyDescent="0.25">
      <c r="A7054" s="15">
        <f>Sheet2!A7054</f>
        <v>0</v>
      </c>
      <c r="B7054" s="8">
        <v>4.2300000000000004</v>
      </c>
      <c r="C7054" s="9">
        <v>0</v>
      </c>
      <c r="D7054" s="13">
        <f t="shared" si="110"/>
        <v>4.2300000000000004</v>
      </c>
    </row>
    <row r="7055" spans="1:4" x14ac:dyDescent="0.25">
      <c r="A7055" s="15">
        <f>Sheet2!A7055</f>
        <v>0</v>
      </c>
      <c r="B7055" s="8">
        <v>4.42</v>
      </c>
      <c r="C7055" s="9">
        <v>0</v>
      </c>
      <c r="D7055" s="13">
        <f t="shared" si="110"/>
        <v>4.42</v>
      </c>
    </row>
    <row r="7056" spans="1:4" x14ac:dyDescent="0.25">
      <c r="A7056" s="15">
        <f>Sheet2!A7056</f>
        <v>0</v>
      </c>
      <c r="B7056" s="8">
        <v>3.62</v>
      </c>
      <c r="C7056" s="9">
        <v>0</v>
      </c>
      <c r="D7056" s="13">
        <f t="shared" si="110"/>
        <v>3.62</v>
      </c>
    </row>
    <row r="7057" spans="1:4" x14ac:dyDescent="0.25">
      <c r="A7057" s="15">
        <f>Sheet2!A7057</f>
        <v>0</v>
      </c>
      <c r="B7057" s="8">
        <v>2.6</v>
      </c>
      <c r="C7057" s="9">
        <v>0</v>
      </c>
      <c r="D7057" s="13">
        <f t="shared" si="110"/>
        <v>2.6</v>
      </c>
    </row>
    <row r="7058" spans="1:4" x14ac:dyDescent="0.25">
      <c r="A7058" s="15">
        <f>Sheet2!A7058</f>
        <v>0</v>
      </c>
      <c r="B7058" s="8">
        <v>2.11</v>
      </c>
      <c r="C7058" s="9">
        <v>0</v>
      </c>
      <c r="D7058" s="13">
        <f t="shared" si="110"/>
        <v>2.11</v>
      </c>
    </row>
    <row r="7059" spans="1:4" x14ac:dyDescent="0.25">
      <c r="A7059" s="15">
        <f>Sheet2!A7059</f>
        <v>0</v>
      </c>
      <c r="B7059" s="8">
        <v>1.97</v>
      </c>
      <c r="C7059" s="9">
        <v>0</v>
      </c>
      <c r="D7059" s="13">
        <f t="shared" si="110"/>
        <v>1.97</v>
      </c>
    </row>
    <row r="7060" spans="1:4" x14ac:dyDescent="0.25">
      <c r="A7060" s="15">
        <f>Sheet2!A7060</f>
        <v>0</v>
      </c>
      <c r="B7060" s="8">
        <v>2.02</v>
      </c>
      <c r="C7060" s="9">
        <v>0</v>
      </c>
      <c r="D7060" s="13">
        <f t="shared" si="110"/>
        <v>2.02</v>
      </c>
    </row>
    <row r="7061" spans="1:4" x14ac:dyDescent="0.25">
      <c r="A7061" s="15">
        <f>Sheet2!A7061</f>
        <v>0</v>
      </c>
      <c r="B7061" s="8">
        <v>2.0699999999999998</v>
      </c>
      <c r="C7061" s="9">
        <v>0</v>
      </c>
      <c r="D7061" s="13">
        <f t="shared" si="110"/>
        <v>2.0699999999999998</v>
      </c>
    </row>
    <row r="7062" spans="1:4" x14ac:dyDescent="0.25">
      <c r="A7062" s="15">
        <f>Sheet2!A7062</f>
        <v>0</v>
      </c>
      <c r="B7062" s="8">
        <v>1.92</v>
      </c>
      <c r="C7062" s="9">
        <v>0</v>
      </c>
      <c r="D7062" s="13">
        <f t="shared" si="110"/>
        <v>1.92</v>
      </c>
    </row>
    <row r="7063" spans="1:4" x14ac:dyDescent="0.25">
      <c r="A7063" s="15">
        <f>Sheet2!A7063</f>
        <v>0</v>
      </c>
      <c r="B7063" s="8">
        <v>2.0099999999999998</v>
      </c>
      <c r="C7063" s="9">
        <v>0</v>
      </c>
      <c r="D7063" s="13">
        <f t="shared" si="110"/>
        <v>2.0099999999999998</v>
      </c>
    </row>
    <row r="7064" spans="1:4" x14ac:dyDescent="0.25">
      <c r="A7064" s="15">
        <f>Sheet2!A7064</f>
        <v>0</v>
      </c>
      <c r="B7064" s="8">
        <v>1.65</v>
      </c>
      <c r="C7064" s="9">
        <v>0</v>
      </c>
      <c r="D7064" s="13">
        <f t="shared" si="110"/>
        <v>1.65</v>
      </c>
    </row>
    <row r="7065" spans="1:4" x14ac:dyDescent="0.25">
      <c r="A7065" s="15">
        <f>Sheet2!A7065</f>
        <v>0</v>
      </c>
      <c r="B7065" s="8">
        <v>1.65</v>
      </c>
      <c r="C7065" s="9">
        <v>0</v>
      </c>
      <c r="D7065" s="13">
        <f t="shared" si="110"/>
        <v>1.65</v>
      </c>
    </row>
    <row r="7066" spans="1:4" x14ac:dyDescent="0.25">
      <c r="A7066" s="15">
        <f>Sheet2!A7066</f>
        <v>0</v>
      </c>
      <c r="B7066" s="8">
        <v>1.27</v>
      </c>
      <c r="C7066" s="9">
        <v>0</v>
      </c>
      <c r="D7066" s="13">
        <f t="shared" si="110"/>
        <v>1.27</v>
      </c>
    </row>
    <row r="7067" spans="1:4" x14ac:dyDescent="0.25">
      <c r="A7067" s="15">
        <f>Sheet2!A7067</f>
        <v>0</v>
      </c>
      <c r="B7067" s="8">
        <v>1.94</v>
      </c>
      <c r="C7067" s="9">
        <v>0</v>
      </c>
      <c r="D7067" s="13">
        <f t="shared" si="110"/>
        <v>1.94</v>
      </c>
    </row>
    <row r="7068" spans="1:4" x14ac:dyDescent="0.25">
      <c r="A7068" s="15">
        <f>Sheet2!A7068</f>
        <v>0</v>
      </c>
      <c r="B7068" s="8">
        <v>0</v>
      </c>
      <c r="C7068" s="9">
        <v>0.52</v>
      </c>
      <c r="D7068" s="13">
        <f t="shared" si="110"/>
        <v>0.52</v>
      </c>
    </row>
    <row r="7069" spans="1:4" x14ac:dyDescent="0.25">
      <c r="A7069" s="15">
        <f>Sheet2!A7069</f>
        <v>0</v>
      </c>
      <c r="B7069" s="8">
        <v>0</v>
      </c>
      <c r="C7069" s="9">
        <v>0.83</v>
      </c>
      <c r="D7069" s="13">
        <f t="shared" si="110"/>
        <v>0.83</v>
      </c>
    </row>
    <row r="7070" spans="1:4" x14ac:dyDescent="0.25">
      <c r="A7070" s="15">
        <f>Sheet2!A7070</f>
        <v>0</v>
      </c>
      <c r="B7070" s="8">
        <v>0</v>
      </c>
      <c r="C7070" s="9">
        <v>0.38</v>
      </c>
      <c r="D7070" s="13">
        <f t="shared" si="110"/>
        <v>0.38</v>
      </c>
    </row>
    <row r="7071" spans="1:4" x14ac:dyDescent="0.25">
      <c r="A7071" s="15">
        <f>Sheet2!A7071</f>
        <v>0</v>
      </c>
      <c r="B7071" s="8">
        <v>2.85</v>
      </c>
      <c r="C7071" s="9">
        <v>0</v>
      </c>
      <c r="D7071" s="13">
        <f t="shared" si="110"/>
        <v>2.85</v>
      </c>
    </row>
    <row r="7072" spans="1:4" x14ac:dyDescent="0.25">
      <c r="A7072" s="15">
        <f>Sheet2!A7072</f>
        <v>0</v>
      </c>
      <c r="B7072" s="8">
        <v>2.71</v>
      </c>
      <c r="C7072" s="9">
        <v>0</v>
      </c>
      <c r="D7072" s="13">
        <f t="shared" si="110"/>
        <v>2.71</v>
      </c>
    </row>
    <row r="7073" spans="1:4" x14ac:dyDescent="0.25">
      <c r="A7073" s="15">
        <f>Sheet2!A7073</f>
        <v>0</v>
      </c>
      <c r="B7073" s="8">
        <v>2.1800000000000002</v>
      </c>
      <c r="C7073" s="9">
        <v>0</v>
      </c>
      <c r="D7073" s="13">
        <f t="shared" si="110"/>
        <v>2.1800000000000002</v>
      </c>
    </row>
    <row r="7074" spans="1:4" x14ac:dyDescent="0.25">
      <c r="A7074" s="15">
        <f>Sheet2!A7074</f>
        <v>0</v>
      </c>
      <c r="B7074" s="8">
        <v>2.19</v>
      </c>
      <c r="C7074" s="9">
        <v>0</v>
      </c>
      <c r="D7074" s="13">
        <f t="shared" si="110"/>
        <v>2.19</v>
      </c>
    </row>
    <row r="7075" spans="1:4" x14ac:dyDescent="0.25">
      <c r="A7075" s="15">
        <f>Sheet2!A7075</f>
        <v>0</v>
      </c>
      <c r="B7075" s="8">
        <v>2.58</v>
      </c>
      <c r="C7075" s="9">
        <v>0</v>
      </c>
      <c r="D7075" s="13">
        <f t="shared" si="110"/>
        <v>2.58</v>
      </c>
    </row>
    <row r="7076" spans="1:4" x14ac:dyDescent="0.25">
      <c r="A7076" s="15">
        <f>Sheet2!A7076</f>
        <v>0</v>
      </c>
      <c r="B7076" s="8">
        <v>4.04</v>
      </c>
      <c r="C7076" s="9">
        <v>0</v>
      </c>
      <c r="D7076" s="13">
        <f t="shared" si="110"/>
        <v>4.04</v>
      </c>
    </row>
    <row r="7077" spans="1:4" x14ac:dyDescent="0.25">
      <c r="A7077" s="15">
        <f>Sheet2!A7077</f>
        <v>0</v>
      </c>
      <c r="B7077" s="8">
        <v>3.13</v>
      </c>
      <c r="C7077" s="9">
        <v>0</v>
      </c>
      <c r="D7077" s="13">
        <f t="shared" si="110"/>
        <v>3.13</v>
      </c>
    </row>
    <row r="7078" spans="1:4" x14ac:dyDescent="0.25">
      <c r="A7078" s="15">
        <f>Sheet2!A7078</f>
        <v>0</v>
      </c>
      <c r="B7078" s="8">
        <v>3.82</v>
      </c>
      <c r="C7078" s="9">
        <v>0</v>
      </c>
      <c r="D7078" s="13">
        <f t="shared" si="110"/>
        <v>3.82</v>
      </c>
    </row>
    <row r="7079" spans="1:4" x14ac:dyDescent="0.25">
      <c r="A7079" s="15">
        <f>Sheet2!A7079</f>
        <v>0</v>
      </c>
      <c r="B7079" s="8">
        <v>3.05</v>
      </c>
      <c r="C7079" s="9">
        <v>0</v>
      </c>
      <c r="D7079" s="13">
        <f t="shared" si="110"/>
        <v>3.05</v>
      </c>
    </row>
    <row r="7080" spans="1:4" x14ac:dyDescent="0.25">
      <c r="A7080" s="15">
        <f>Sheet2!A7080</f>
        <v>0</v>
      </c>
      <c r="B7080" s="8">
        <v>2.63</v>
      </c>
      <c r="C7080" s="9">
        <v>0</v>
      </c>
      <c r="D7080" s="13">
        <f t="shared" si="110"/>
        <v>2.63</v>
      </c>
    </row>
    <row r="7081" spans="1:4" x14ac:dyDescent="0.25">
      <c r="A7081" s="15">
        <f>Sheet2!A7081</f>
        <v>0</v>
      </c>
      <c r="B7081" s="8">
        <v>3.18</v>
      </c>
      <c r="C7081" s="9">
        <v>0</v>
      </c>
      <c r="D7081" s="13">
        <f t="shared" si="110"/>
        <v>3.18</v>
      </c>
    </row>
    <row r="7082" spans="1:4" x14ac:dyDescent="0.25">
      <c r="A7082" s="15">
        <f>Sheet2!A7082</f>
        <v>0</v>
      </c>
      <c r="B7082" s="8">
        <v>3.26</v>
      </c>
      <c r="C7082" s="9">
        <v>0</v>
      </c>
      <c r="D7082" s="13">
        <f t="shared" si="110"/>
        <v>3.26</v>
      </c>
    </row>
    <row r="7083" spans="1:4" x14ac:dyDescent="0.25">
      <c r="A7083" s="15">
        <f>Sheet2!A7083</f>
        <v>0</v>
      </c>
      <c r="B7083" s="8">
        <v>2.95</v>
      </c>
      <c r="C7083" s="9">
        <v>0</v>
      </c>
      <c r="D7083" s="13">
        <f t="shared" si="110"/>
        <v>2.95</v>
      </c>
    </row>
    <row r="7084" spans="1:4" x14ac:dyDescent="0.25">
      <c r="A7084" s="15">
        <f>Sheet2!A7084</f>
        <v>0</v>
      </c>
      <c r="B7084" s="8">
        <v>2.92</v>
      </c>
      <c r="C7084" s="9">
        <v>0</v>
      </c>
      <c r="D7084" s="13">
        <f t="shared" si="110"/>
        <v>2.92</v>
      </c>
    </row>
    <row r="7085" spans="1:4" x14ac:dyDescent="0.25">
      <c r="A7085" s="15">
        <f>Sheet2!A7085</f>
        <v>0</v>
      </c>
      <c r="B7085" s="8">
        <v>2.83</v>
      </c>
      <c r="C7085" s="9">
        <v>0</v>
      </c>
      <c r="D7085" s="13">
        <f t="shared" si="110"/>
        <v>2.83</v>
      </c>
    </row>
    <row r="7086" spans="1:4" x14ac:dyDescent="0.25">
      <c r="A7086" s="15">
        <f>Sheet2!A7086</f>
        <v>0</v>
      </c>
      <c r="B7086" s="8">
        <v>3.13</v>
      </c>
      <c r="C7086" s="9">
        <v>0</v>
      </c>
      <c r="D7086" s="13">
        <f t="shared" si="110"/>
        <v>3.13</v>
      </c>
    </row>
    <row r="7087" spans="1:4" x14ac:dyDescent="0.25">
      <c r="A7087" s="15">
        <f>Sheet2!A7087</f>
        <v>0</v>
      </c>
      <c r="B7087" s="8">
        <v>3.22</v>
      </c>
      <c r="C7087" s="9">
        <v>0</v>
      </c>
      <c r="D7087" s="13">
        <f t="shared" si="110"/>
        <v>3.22</v>
      </c>
    </row>
    <row r="7088" spans="1:4" x14ac:dyDescent="0.25">
      <c r="A7088" s="15">
        <f>Sheet2!A7088</f>
        <v>0</v>
      </c>
      <c r="B7088" s="8">
        <v>3.27</v>
      </c>
      <c r="C7088" s="9">
        <v>0</v>
      </c>
      <c r="D7088" s="13">
        <f t="shared" si="110"/>
        <v>3.27</v>
      </c>
    </row>
    <row r="7089" spans="1:4" x14ac:dyDescent="0.25">
      <c r="A7089" s="15">
        <f>Sheet2!A7089</f>
        <v>0</v>
      </c>
      <c r="B7089" s="8">
        <v>3.48</v>
      </c>
      <c r="C7089" s="9">
        <v>0</v>
      </c>
      <c r="D7089" s="13">
        <f t="shared" si="110"/>
        <v>3.48</v>
      </c>
    </row>
    <row r="7090" spans="1:4" x14ac:dyDescent="0.25">
      <c r="A7090" s="15">
        <f>Sheet2!A7090</f>
        <v>0</v>
      </c>
      <c r="B7090" s="8">
        <v>3.33</v>
      </c>
      <c r="C7090" s="9">
        <v>0</v>
      </c>
      <c r="D7090" s="13">
        <f t="shared" si="110"/>
        <v>3.33</v>
      </c>
    </row>
    <row r="7091" spans="1:4" x14ac:dyDescent="0.25">
      <c r="A7091" s="15">
        <f>Sheet2!A7091</f>
        <v>0</v>
      </c>
      <c r="B7091" s="8">
        <v>3.29</v>
      </c>
      <c r="C7091" s="9">
        <v>0</v>
      </c>
      <c r="D7091" s="13">
        <f t="shared" si="110"/>
        <v>3.29</v>
      </c>
    </row>
    <row r="7092" spans="1:4" x14ac:dyDescent="0.25">
      <c r="A7092" s="15">
        <f>Sheet2!A7092</f>
        <v>0</v>
      </c>
      <c r="B7092" s="8">
        <v>4.2</v>
      </c>
      <c r="C7092" s="9">
        <v>0</v>
      </c>
      <c r="D7092" s="13">
        <f t="shared" si="110"/>
        <v>4.2</v>
      </c>
    </row>
    <row r="7093" spans="1:4" x14ac:dyDescent="0.25">
      <c r="A7093" s="15">
        <f>Sheet2!A7093</f>
        <v>0</v>
      </c>
      <c r="B7093" s="8">
        <v>4.12</v>
      </c>
      <c r="C7093" s="9">
        <v>0</v>
      </c>
      <c r="D7093" s="13">
        <f t="shared" si="110"/>
        <v>4.12</v>
      </c>
    </row>
    <row r="7094" spans="1:4" x14ac:dyDescent="0.25">
      <c r="A7094" s="15">
        <f>Sheet2!A7094</f>
        <v>0</v>
      </c>
      <c r="B7094" s="8">
        <v>4.84</v>
      </c>
      <c r="C7094" s="9">
        <v>0</v>
      </c>
      <c r="D7094" s="13">
        <f t="shared" si="110"/>
        <v>4.84</v>
      </c>
    </row>
    <row r="7095" spans="1:4" x14ac:dyDescent="0.25">
      <c r="A7095" s="15">
        <f>Sheet2!A7095</f>
        <v>0</v>
      </c>
      <c r="B7095" s="8">
        <v>2.93</v>
      </c>
      <c r="C7095" s="9">
        <v>0</v>
      </c>
      <c r="D7095" s="13">
        <f t="shared" si="110"/>
        <v>2.93</v>
      </c>
    </row>
    <row r="7096" spans="1:4" x14ac:dyDescent="0.25">
      <c r="A7096" s="15">
        <f>Sheet2!A7096</f>
        <v>0</v>
      </c>
      <c r="B7096" s="8">
        <v>2.77</v>
      </c>
      <c r="C7096" s="9">
        <v>0</v>
      </c>
      <c r="D7096" s="13">
        <f t="shared" si="110"/>
        <v>2.77</v>
      </c>
    </row>
    <row r="7097" spans="1:4" x14ac:dyDescent="0.25">
      <c r="A7097" s="15">
        <f>Sheet2!A7097</f>
        <v>0</v>
      </c>
      <c r="B7097" s="8">
        <v>0</v>
      </c>
      <c r="C7097" s="9">
        <v>0.93</v>
      </c>
      <c r="D7097" s="13">
        <f t="shared" si="110"/>
        <v>0.93</v>
      </c>
    </row>
    <row r="7098" spans="1:4" x14ac:dyDescent="0.25">
      <c r="A7098" s="15">
        <f>Sheet2!A7098</f>
        <v>0</v>
      </c>
      <c r="B7098" s="8">
        <v>2.66</v>
      </c>
      <c r="C7098" s="9">
        <v>0</v>
      </c>
      <c r="D7098" s="13">
        <f t="shared" si="110"/>
        <v>2.66</v>
      </c>
    </row>
    <row r="7099" spans="1:4" x14ac:dyDescent="0.25">
      <c r="A7099" s="15">
        <f>Sheet2!A7099</f>
        <v>0</v>
      </c>
      <c r="B7099" s="8">
        <v>2.2999999999999998</v>
      </c>
      <c r="C7099" s="9">
        <v>0</v>
      </c>
      <c r="D7099" s="13">
        <f t="shared" si="110"/>
        <v>2.2999999999999998</v>
      </c>
    </row>
    <row r="7100" spans="1:4" x14ac:dyDescent="0.25">
      <c r="A7100" s="15">
        <f>Sheet2!A7100</f>
        <v>0</v>
      </c>
      <c r="B7100" s="8">
        <v>1.72</v>
      </c>
      <c r="C7100" s="9">
        <v>0</v>
      </c>
      <c r="D7100" s="13">
        <f t="shared" si="110"/>
        <v>1.72</v>
      </c>
    </row>
    <row r="7101" spans="1:4" x14ac:dyDescent="0.25">
      <c r="A7101" s="15">
        <f>Sheet2!A7101</f>
        <v>0</v>
      </c>
      <c r="B7101" s="8">
        <v>1.34</v>
      </c>
      <c r="C7101" s="9">
        <v>0</v>
      </c>
      <c r="D7101" s="13">
        <f t="shared" si="110"/>
        <v>1.34</v>
      </c>
    </row>
    <row r="7102" spans="1:4" x14ac:dyDescent="0.25">
      <c r="A7102" s="15">
        <f>Sheet2!A7102</f>
        <v>0</v>
      </c>
      <c r="B7102" s="8">
        <v>1.6</v>
      </c>
      <c r="C7102" s="9">
        <v>0</v>
      </c>
      <c r="D7102" s="13">
        <f t="shared" si="110"/>
        <v>1.6</v>
      </c>
    </row>
    <row r="7103" spans="1:4" x14ac:dyDescent="0.25">
      <c r="A7103" s="15">
        <f>Sheet2!A7103</f>
        <v>0</v>
      </c>
      <c r="B7103" s="8">
        <v>1.5</v>
      </c>
      <c r="C7103" s="9">
        <v>0</v>
      </c>
      <c r="D7103" s="13">
        <f t="shared" si="110"/>
        <v>1.5</v>
      </c>
    </row>
    <row r="7104" spans="1:4" x14ac:dyDescent="0.25">
      <c r="A7104" s="15">
        <f>Sheet2!A7104</f>
        <v>0</v>
      </c>
      <c r="B7104" s="8">
        <v>1.38</v>
      </c>
      <c r="C7104" s="9">
        <v>0</v>
      </c>
      <c r="D7104" s="13">
        <f t="shared" si="110"/>
        <v>1.38</v>
      </c>
    </row>
    <row r="7105" spans="1:4" x14ac:dyDescent="0.25">
      <c r="A7105" s="15">
        <f>Sheet2!A7105</f>
        <v>0</v>
      </c>
      <c r="B7105" s="8">
        <v>1.03</v>
      </c>
      <c r="C7105" s="9">
        <v>0</v>
      </c>
      <c r="D7105" s="13">
        <f t="shared" si="110"/>
        <v>1.03</v>
      </c>
    </row>
    <row r="7106" spans="1:4" x14ac:dyDescent="0.25">
      <c r="A7106" s="15">
        <f>Sheet2!A7106</f>
        <v>0</v>
      </c>
      <c r="B7106" s="8">
        <v>1.02</v>
      </c>
      <c r="C7106" s="9">
        <v>0</v>
      </c>
      <c r="D7106" s="13">
        <f t="shared" si="110"/>
        <v>1.02</v>
      </c>
    </row>
    <row r="7107" spans="1:4" x14ac:dyDescent="0.25">
      <c r="A7107" s="15">
        <f>Sheet2!A7107</f>
        <v>0</v>
      </c>
      <c r="B7107" s="8">
        <v>0.93</v>
      </c>
      <c r="C7107" s="9">
        <v>0</v>
      </c>
      <c r="D7107" s="13">
        <f t="shared" ref="D7107:D7170" si="111">B7107+C7107</f>
        <v>0.93</v>
      </c>
    </row>
    <row r="7108" spans="1:4" x14ac:dyDescent="0.25">
      <c r="A7108" s="15">
        <f>Sheet2!A7108</f>
        <v>0</v>
      </c>
      <c r="B7108" s="8">
        <v>0.91</v>
      </c>
      <c r="C7108" s="9">
        <v>0</v>
      </c>
      <c r="D7108" s="13">
        <f t="shared" si="111"/>
        <v>0.91</v>
      </c>
    </row>
    <row r="7109" spans="1:4" x14ac:dyDescent="0.25">
      <c r="A7109" s="15">
        <f>Sheet2!A7109</f>
        <v>0</v>
      </c>
      <c r="B7109" s="8">
        <v>0.92</v>
      </c>
      <c r="C7109" s="9">
        <v>0</v>
      </c>
      <c r="D7109" s="13">
        <f t="shared" si="111"/>
        <v>0.92</v>
      </c>
    </row>
    <row r="7110" spans="1:4" x14ac:dyDescent="0.25">
      <c r="A7110" s="15">
        <f>Sheet2!A7110</f>
        <v>0</v>
      </c>
      <c r="B7110" s="8">
        <v>0.67</v>
      </c>
      <c r="C7110" s="9">
        <v>0</v>
      </c>
      <c r="D7110" s="13">
        <f t="shared" si="111"/>
        <v>0.67</v>
      </c>
    </row>
    <row r="7111" spans="1:4" x14ac:dyDescent="0.25">
      <c r="A7111" s="15">
        <f>Sheet2!A7111</f>
        <v>0</v>
      </c>
      <c r="B7111" s="8">
        <v>0.61</v>
      </c>
      <c r="C7111" s="9">
        <v>0</v>
      </c>
      <c r="D7111" s="13">
        <f t="shared" si="111"/>
        <v>0.61</v>
      </c>
    </row>
    <row r="7112" spans="1:4" x14ac:dyDescent="0.25">
      <c r="A7112" s="15">
        <f>Sheet2!A7112</f>
        <v>0</v>
      </c>
      <c r="B7112" s="8">
        <v>0.63</v>
      </c>
      <c r="C7112" s="9">
        <v>0</v>
      </c>
      <c r="D7112" s="13">
        <f t="shared" si="111"/>
        <v>0.63</v>
      </c>
    </row>
    <row r="7113" spans="1:4" x14ac:dyDescent="0.25">
      <c r="A7113" s="15">
        <f>Sheet2!A7113</f>
        <v>0</v>
      </c>
      <c r="B7113" s="8">
        <v>0.54</v>
      </c>
      <c r="C7113" s="9">
        <v>0</v>
      </c>
      <c r="D7113" s="13">
        <f t="shared" si="111"/>
        <v>0.54</v>
      </c>
    </row>
    <row r="7114" spans="1:4" x14ac:dyDescent="0.25">
      <c r="A7114" s="15">
        <f>Sheet2!A7114</f>
        <v>0</v>
      </c>
      <c r="B7114" s="8">
        <v>0.59</v>
      </c>
      <c r="C7114" s="9">
        <v>0</v>
      </c>
      <c r="D7114" s="13">
        <f t="shared" si="111"/>
        <v>0.59</v>
      </c>
    </row>
    <row r="7115" spans="1:4" x14ac:dyDescent="0.25">
      <c r="A7115" s="15">
        <f>Sheet2!A7115</f>
        <v>0</v>
      </c>
      <c r="B7115" s="8">
        <v>0.57999999999999996</v>
      </c>
      <c r="C7115" s="9">
        <v>0</v>
      </c>
      <c r="D7115" s="13">
        <f t="shared" si="111"/>
        <v>0.57999999999999996</v>
      </c>
    </row>
    <row r="7116" spans="1:4" x14ac:dyDescent="0.25">
      <c r="A7116" s="15">
        <f>Sheet2!A7116</f>
        <v>0</v>
      </c>
      <c r="B7116" s="8">
        <v>3.38</v>
      </c>
      <c r="C7116" s="9">
        <v>0</v>
      </c>
      <c r="D7116" s="13">
        <f t="shared" si="111"/>
        <v>3.38</v>
      </c>
    </row>
    <row r="7117" spans="1:4" x14ac:dyDescent="0.25">
      <c r="A7117" s="15">
        <f>Sheet2!A7117</f>
        <v>0</v>
      </c>
      <c r="B7117" s="8">
        <v>3.33</v>
      </c>
      <c r="C7117" s="9">
        <v>0</v>
      </c>
      <c r="D7117" s="13">
        <f t="shared" si="111"/>
        <v>3.33</v>
      </c>
    </row>
    <row r="7118" spans="1:4" x14ac:dyDescent="0.25">
      <c r="A7118" s="15">
        <f>Sheet2!A7118</f>
        <v>0</v>
      </c>
      <c r="B7118" s="8">
        <v>3</v>
      </c>
      <c r="C7118" s="9">
        <v>0</v>
      </c>
      <c r="D7118" s="13">
        <f t="shared" si="111"/>
        <v>3</v>
      </c>
    </row>
    <row r="7119" spans="1:4" x14ac:dyDescent="0.25">
      <c r="A7119" s="15">
        <f>Sheet2!A7119</f>
        <v>0</v>
      </c>
      <c r="B7119" s="8">
        <v>3.21</v>
      </c>
      <c r="C7119" s="9">
        <v>0</v>
      </c>
      <c r="D7119" s="13">
        <f t="shared" si="111"/>
        <v>3.21</v>
      </c>
    </row>
    <row r="7120" spans="1:4" x14ac:dyDescent="0.25">
      <c r="A7120" s="15">
        <f>Sheet2!A7120</f>
        <v>0</v>
      </c>
      <c r="B7120" s="8">
        <v>3.91</v>
      </c>
      <c r="C7120" s="9">
        <v>0</v>
      </c>
      <c r="D7120" s="13">
        <f t="shared" si="111"/>
        <v>3.91</v>
      </c>
    </row>
    <row r="7121" spans="1:4" x14ac:dyDescent="0.25">
      <c r="A7121" s="15">
        <f>Sheet2!A7121</f>
        <v>0</v>
      </c>
      <c r="B7121" s="8">
        <v>2.98</v>
      </c>
      <c r="C7121" s="9">
        <v>0</v>
      </c>
      <c r="D7121" s="13">
        <f t="shared" si="111"/>
        <v>2.98</v>
      </c>
    </row>
    <row r="7122" spans="1:4" x14ac:dyDescent="0.25">
      <c r="A7122" s="15">
        <f>Sheet2!A7122</f>
        <v>0</v>
      </c>
      <c r="B7122" s="8">
        <v>3.6</v>
      </c>
      <c r="C7122" s="9">
        <v>0</v>
      </c>
      <c r="D7122" s="13">
        <f t="shared" si="111"/>
        <v>3.6</v>
      </c>
    </row>
    <row r="7123" spans="1:4" x14ac:dyDescent="0.25">
      <c r="A7123" s="15">
        <f>Sheet2!A7123</f>
        <v>0</v>
      </c>
      <c r="B7123" s="8">
        <v>1.4</v>
      </c>
      <c r="C7123" s="9">
        <v>0</v>
      </c>
      <c r="D7123" s="13">
        <f t="shared" si="111"/>
        <v>1.4</v>
      </c>
    </row>
    <row r="7124" spans="1:4" x14ac:dyDescent="0.25">
      <c r="A7124" s="15">
        <f>Sheet2!A7124</f>
        <v>0</v>
      </c>
      <c r="B7124" s="8">
        <v>1.52</v>
      </c>
      <c r="C7124" s="9">
        <v>0</v>
      </c>
      <c r="D7124" s="13">
        <f t="shared" si="111"/>
        <v>1.52</v>
      </c>
    </row>
    <row r="7125" spans="1:4" x14ac:dyDescent="0.25">
      <c r="A7125" s="15">
        <f>Sheet2!A7125</f>
        <v>0</v>
      </c>
      <c r="B7125" s="8">
        <v>1.27</v>
      </c>
      <c r="C7125" s="9">
        <v>0</v>
      </c>
      <c r="D7125" s="13">
        <f t="shared" si="111"/>
        <v>1.27</v>
      </c>
    </row>
    <row r="7126" spans="1:4" x14ac:dyDescent="0.25">
      <c r="A7126" s="15">
        <f>Sheet2!A7126</f>
        <v>0</v>
      </c>
      <c r="B7126" s="8">
        <v>3.85</v>
      </c>
      <c r="C7126" s="9">
        <v>0</v>
      </c>
      <c r="D7126" s="13">
        <f t="shared" si="111"/>
        <v>3.85</v>
      </c>
    </row>
    <row r="7127" spans="1:4" x14ac:dyDescent="0.25">
      <c r="A7127" s="15">
        <f>Sheet2!A7127</f>
        <v>0</v>
      </c>
      <c r="B7127" s="8">
        <v>3.42</v>
      </c>
      <c r="C7127" s="9">
        <v>0</v>
      </c>
      <c r="D7127" s="13">
        <f t="shared" si="111"/>
        <v>3.42</v>
      </c>
    </row>
    <row r="7128" spans="1:4" x14ac:dyDescent="0.25">
      <c r="A7128" s="15">
        <f>Sheet2!A7128</f>
        <v>0</v>
      </c>
      <c r="B7128" s="8">
        <v>2.64</v>
      </c>
      <c r="C7128" s="9">
        <v>0</v>
      </c>
      <c r="D7128" s="13">
        <f t="shared" si="111"/>
        <v>2.64</v>
      </c>
    </row>
    <row r="7129" spans="1:4" x14ac:dyDescent="0.25">
      <c r="A7129" s="15">
        <f>Sheet2!A7129</f>
        <v>0</v>
      </c>
      <c r="B7129" s="8">
        <v>3.47</v>
      </c>
      <c r="C7129" s="9">
        <v>0</v>
      </c>
      <c r="D7129" s="13">
        <f t="shared" si="111"/>
        <v>3.47</v>
      </c>
    </row>
    <row r="7130" spans="1:4" x14ac:dyDescent="0.25">
      <c r="A7130" s="15">
        <f>Sheet2!A7130</f>
        <v>0</v>
      </c>
      <c r="B7130" s="8">
        <v>2.23</v>
      </c>
      <c r="C7130" s="9">
        <v>0</v>
      </c>
      <c r="D7130" s="13">
        <f t="shared" si="111"/>
        <v>2.23</v>
      </c>
    </row>
    <row r="7131" spans="1:4" x14ac:dyDescent="0.25">
      <c r="A7131" s="15">
        <f>Sheet2!A7131</f>
        <v>0</v>
      </c>
      <c r="B7131" s="8">
        <v>2.2200000000000002</v>
      </c>
      <c r="C7131" s="9">
        <v>0</v>
      </c>
      <c r="D7131" s="13">
        <f t="shared" si="111"/>
        <v>2.2200000000000002</v>
      </c>
    </row>
    <row r="7132" spans="1:4" x14ac:dyDescent="0.25">
      <c r="A7132" s="15">
        <f>Sheet2!A7132</f>
        <v>0</v>
      </c>
      <c r="B7132" s="8">
        <v>2.0499999999999998</v>
      </c>
      <c r="C7132" s="9">
        <v>0</v>
      </c>
      <c r="D7132" s="13">
        <f t="shared" si="111"/>
        <v>2.0499999999999998</v>
      </c>
    </row>
    <row r="7133" spans="1:4" x14ac:dyDescent="0.25">
      <c r="A7133" s="15">
        <f>Sheet2!A7133</f>
        <v>0</v>
      </c>
      <c r="B7133" s="8">
        <v>2.08</v>
      </c>
      <c r="C7133" s="9">
        <v>0</v>
      </c>
      <c r="D7133" s="13">
        <f t="shared" si="111"/>
        <v>2.08</v>
      </c>
    </row>
    <row r="7134" spans="1:4" x14ac:dyDescent="0.25">
      <c r="A7134" s="15">
        <f>Sheet2!A7134</f>
        <v>0</v>
      </c>
      <c r="B7134" s="8">
        <v>2</v>
      </c>
      <c r="C7134" s="9">
        <v>0</v>
      </c>
      <c r="D7134" s="13">
        <f t="shared" si="111"/>
        <v>2</v>
      </c>
    </row>
    <row r="7135" spans="1:4" x14ac:dyDescent="0.25">
      <c r="A7135" s="15">
        <f>Sheet2!A7135</f>
        <v>0</v>
      </c>
      <c r="B7135" s="8">
        <v>2.15</v>
      </c>
      <c r="C7135" s="9">
        <v>0</v>
      </c>
      <c r="D7135" s="13">
        <f t="shared" si="111"/>
        <v>2.15</v>
      </c>
    </row>
    <row r="7136" spans="1:4" x14ac:dyDescent="0.25">
      <c r="A7136" s="15">
        <f>Sheet2!A7136</f>
        <v>0</v>
      </c>
      <c r="B7136" s="8">
        <v>2.11</v>
      </c>
      <c r="C7136" s="9">
        <v>0</v>
      </c>
      <c r="D7136" s="13">
        <f t="shared" si="111"/>
        <v>2.11</v>
      </c>
    </row>
    <row r="7137" spans="1:4" x14ac:dyDescent="0.25">
      <c r="A7137" s="15">
        <f>Sheet2!A7137</f>
        <v>0</v>
      </c>
      <c r="B7137" s="8">
        <v>2.11</v>
      </c>
      <c r="C7137" s="9">
        <v>0</v>
      </c>
      <c r="D7137" s="13">
        <f t="shared" si="111"/>
        <v>2.11</v>
      </c>
    </row>
    <row r="7138" spans="1:4" x14ac:dyDescent="0.25">
      <c r="A7138" s="15">
        <f>Sheet2!A7138</f>
        <v>0</v>
      </c>
      <c r="B7138" s="8">
        <v>1.91</v>
      </c>
      <c r="C7138" s="9">
        <v>0</v>
      </c>
      <c r="D7138" s="13">
        <f t="shared" si="111"/>
        <v>1.91</v>
      </c>
    </row>
    <row r="7139" spans="1:4" x14ac:dyDescent="0.25">
      <c r="A7139" s="15">
        <f>Sheet2!A7139</f>
        <v>0</v>
      </c>
      <c r="B7139" s="8">
        <v>2.09</v>
      </c>
      <c r="C7139" s="9">
        <v>0</v>
      </c>
      <c r="D7139" s="13">
        <f t="shared" si="111"/>
        <v>2.09</v>
      </c>
    </row>
    <row r="7140" spans="1:4" x14ac:dyDescent="0.25">
      <c r="A7140" s="15">
        <f>Sheet2!A7140</f>
        <v>0</v>
      </c>
      <c r="B7140" s="8">
        <v>1.91</v>
      </c>
      <c r="C7140" s="9">
        <v>0</v>
      </c>
      <c r="D7140" s="13">
        <f t="shared" si="111"/>
        <v>1.91</v>
      </c>
    </row>
    <row r="7141" spans="1:4" x14ac:dyDescent="0.25">
      <c r="A7141" s="15">
        <f>Sheet2!A7141</f>
        <v>0</v>
      </c>
      <c r="B7141" s="8">
        <v>0.61</v>
      </c>
      <c r="C7141" s="9">
        <v>0</v>
      </c>
      <c r="D7141" s="13">
        <f t="shared" si="111"/>
        <v>0.61</v>
      </c>
    </row>
    <row r="7142" spans="1:4" x14ac:dyDescent="0.25">
      <c r="A7142" s="15">
        <f>Sheet2!A7142</f>
        <v>0</v>
      </c>
      <c r="B7142" s="8">
        <v>1.62</v>
      </c>
      <c r="C7142" s="9">
        <v>0</v>
      </c>
      <c r="D7142" s="13">
        <f t="shared" si="111"/>
        <v>1.62</v>
      </c>
    </row>
    <row r="7143" spans="1:4" x14ac:dyDescent="0.25">
      <c r="A7143" s="15">
        <f>Sheet2!A7143</f>
        <v>0</v>
      </c>
      <c r="B7143" s="8">
        <v>0.92</v>
      </c>
      <c r="C7143" s="9">
        <v>0</v>
      </c>
      <c r="D7143" s="13">
        <f t="shared" si="111"/>
        <v>0.92</v>
      </c>
    </row>
    <row r="7144" spans="1:4" x14ac:dyDescent="0.25">
      <c r="A7144" s="15">
        <f>Sheet2!A7144</f>
        <v>0</v>
      </c>
      <c r="B7144" s="8">
        <v>0</v>
      </c>
      <c r="C7144" s="9">
        <v>0.92</v>
      </c>
      <c r="D7144" s="13">
        <f t="shared" si="111"/>
        <v>0.92</v>
      </c>
    </row>
    <row r="7145" spans="1:4" x14ac:dyDescent="0.25">
      <c r="A7145" s="15">
        <f>Sheet2!A7145</f>
        <v>0</v>
      </c>
      <c r="B7145" s="8">
        <v>0</v>
      </c>
      <c r="C7145" s="9">
        <v>1.31</v>
      </c>
      <c r="D7145" s="13">
        <f t="shared" si="111"/>
        <v>1.31</v>
      </c>
    </row>
    <row r="7146" spans="1:4" x14ac:dyDescent="0.25">
      <c r="A7146" s="15">
        <f>Sheet2!A7146</f>
        <v>0</v>
      </c>
      <c r="B7146" s="8">
        <v>0</v>
      </c>
      <c r="C7146" s="9">
        <v>0.27</v>
      </c>
      <c r="D7146" s="13">
        <f t="shared" si="111"/>
        <v>0.27</v>
      </c>
    </row>
    <row r="7147" spans="1:4" x14ac:dyDescent="0.25">
      <c r="A7147" s="15">
        <f>Sheet2!A7147</f>
        <v>0</v>
      </c>
      <c r="B7147" s="8">
        <v>1.24</v>
      </c>
      <c r="C7147" s="9">
        <v>0</v>
      </c>
      <c r="D7147" s="13">
        <f t="shared" si="111"/>
        <v>1.24</v>
      </c>
    </row>
    <row r="7148" spans="1:4" x14ac:dyDescent="0.25">
      <c r="A7148" s="15">
        <f>Sheet2!A7148</f>
        <v>0</v>
      </c>
      <c r="B7148" s="8">
        <v>0</v>
      </c>
      <c r="C7148" s="9">
        <v>0.91</v>
      </c>
      <c r="D7148" s="13">
        <f t="shared" si="111"/>
        <v>0.91</v>
      </c>
    </row>
    <row r="7149" spans="1:4" x14ac:dyDescent="0.25">
      <c r="A7149" s="15">
        <f>Sheet2!A7149</f>
        <v>0</v>
      </c>
      <c r="B7149" s="8">
        <v>0</v>
      </c>
      <c r="C7149" s="9">
        <v>0.41</v>
      </c>
      <c r="D7149" s="13">
        <f t="shared" si="111"/>
        <v>0.41</v>
      </c>
    </row>
    <row r="7150" spans="1:4" x14ac:dyDescent="0.25">
      <c r="A7150" s="15">
        <f>Sheet2!A7150</f>
        <v>0</v>
      </c>
      <c r="B7150" s="8">
        <v>1.52</v>
      </c>
      <c r="C7150" s="9">
        <v>0</v>
      </c>
      <c r="D7150" s="13">
        <f t="shared" si="111"/>
        <v>1.52</v>
      </c>
    </row>
    <row r="7151" spans="1:4" x14ac:dyDescent="0.25">
      <c r="A7151" s="15">
        <f>Sheet2!A7151</f>
        <v>0</v>
      </c>
      <c r="B7151" s="8">
        <v>1.3</v>
      </c>
      <c r="C7151" s="9">
        <v>0</v>
      </c>
      <c r="D7151" s="13">
        <f t="shared" si="111"/>
        <v>1.3</v>
      </c>
    </row>
    <row r="7152" spans="1:4" x14ac:dyDescent="0.25">
      <c r="A7152" s="15">
        <f>Sheet2!A7152</f>
        <v>0</v>
      </c>
      <c r="B7152" s="8">
        <v>1.17</v>
      </c>
      <c r="C7152" s="9">
        <v>0</v>
      </c>
      <c r="D7152" s="13">
        <f t="shared" si="111"/>
        <v>1.17</v>
      </c>
    </row>
    <row r="7153" spans="1:4" x14ac:dyDescent="0.25">
      <c r="A7153" s="15">
        <f>Sheet2!A7153</f>
        <v>0</v>
      </c>
      <c r="B7153" s="8">
        <v>2.62</v>
      </c>
      <c r="C7153" s="9">
        <v>0</v>
      </c>
      <c r="D7153" s="13">
        <f t="shared" si="111"/>
        <v>2.62</v>
      </c>
    </row>
    <row r="7154" spans="1:4" x14ac:dyDescent="0.25">
      <c r="A7154" s="15">
        <f>Sheet2!A7154</f>
        <v>0</v>
      </c>
      <c r="B7154" s="8">
        <v>2.41</v>
      </c>
      <c r="C7154" s="9">
        <v>0</v>
      </c>
      <c r="D7154" s="13">
        <f t="shared" si="111"/>
        <v>2.41</v>
      </c>
    </row>
    <row r="7155" spans="1:4" x14ac:dyDescent="0.25">
      <c r="A7155" s="15">
        <f>Sheet2!A7155</f>
        <v>0</v>
      </c>
      <c r="B7155" s="8">
        <v>2.21</v>
      </c>
      <c r="C7155" s="9">
        <v>0</v>
      </c>
      <c r="D7155" s="13">
        <f t="shared" si="111"/>
        <v>2.21</v>
      </c>
    </row>
    <row r="7156" spans="1:4" x14ac:dyDescent="0.25">
      <c r="A7156" s="15">
        <f>Sheet2!A7156</f>
        <v>0</v>
      </c>
      <c r="B7156" s="8">
        <v>2.15</v>
      </c>
      <c r="C7156" s="9">
        <v>0</v>
      </c>
      <c r="D7156" s="13">
        <f t="shared" si="111"/>
        <v>2.15</v>
      </c>
    </row>
    <row r="7157" spans="1:4" x14ac:dyDescent="0.25">
      <c r="A7157" s="15">
        <f>Sheet2!A7157</f>
        <v>0</v>
      </c>
      <c r="B7157" s="8">
        <v>2.2000000000000002</v>
      </c>
      <c r="C7157" s="9">
        <v>0</v>
      </c>
      <c r="D7157" s="13">
        <f t="shared" si="111"/>
        <v>2.2000000000000002</v>
      </c>
    </row>
    <row r="7158" spans="1:4" x14ac:dyDescent="0.25">
      <c r="A7158" s="15">
        <f>Sheet2!A7158</f>
        <v>0</v>
      </c>
      <c r="B7158" s="8">
        <v>2.16</v>
      </c>
      <c r="C7158" s="9">
        <v>0</v>
      </c>
      <c r="D7158" s="13">
        <f t="shared" si="111"/>
        <v>2.16</v>
      </c>
    </row>
    <row r="7159" spans="1:4" x14ac:dyDescent="0.25">
      <c r="A7159" s="15">
        <f>Sheet2!A7159</f>
        <v>0</v>
      </c>
      <c r="B7159" s="8">
        <v>2.3199999999999998</v>
      </c>
      <c r="C7159" s="9">
        <v>0</v>
      </c>
      <c r="D7159" s="13">
        <f t="shared" si="111"/>
        <v>2.3199999999999998</v>
      </c>
    </row>
    <row r="7160" spans="1:4" x14ac:dyDescent="0.25">
      <c r="A7160" s="15">
        <f>Sheet2!A7160</f>
        <v>0</v>
      </c>
      <c r="B7160" s="8">
        <v>2.23</v>
      </c>
      <c r="C7160" s="9">
        <v>0</v>
      </c>
      <c r="D7160" s="13">
        <f t="shared" si="111"/>
        <v>2.23</v>
      </c>
    </row>
    <row r="7161" spans="1:4" x14ac:dyDescent="0.25">
      <c r="A7161" s="15">
        <f>Sheet2!A7161</f>
        <v>0</v>
      </c>
      <c r="B7161" s="8">
        <v>2.58</v>
      </c>
      <c r="C7161" s="9">
        <v>0</v>
      </c>
      <c r="D7161" s="13">
        <f t="shared" si="111"/>
        <v>2.58</v>
      </c>
    </row>
    <row r="7162" spans="1:4" x14ac:dyDescent="0.25">
      <c r="A7162" s="15">
        <f>Sheet2!A7162</f>
        <v>0</v>
      </c>
      <c r="B7162" s="8">
        <v>2.33</v>
      </c>
      <c r="C7162" s="9">
        <v>0</v>
      </c>
      <c r="D7162" s="13">
        <f t="shared" si="111"/>
        <v>2.33</v>
      </c>
    </row>
    <row r="7163" spans="1:4" x14ac:dyDescent="0.25">
      <c r="A7163" s="15">
        <f>Sheet2!A7163</f>
        <v>0</v>
      </c>
      <c r="B7163" s="8">
        <v>2.5099999999999998</v>
      </c>
      <c r="C7163" s="9">
        <v>0</v>
      </c>
      <c r="D7163" s="13">
        <f t="shared" si="111"/>
        <v>2.5099999999999998</v>
      </c>
    </row>
    <row r="7164" spans="1:4" x14ac:dyDescent="0.25">
      <c r="A7164" s="15">
        <f>Sheet2!A7164</f>
        <v>0</v>
      </c>
      <c r="B7164" s="8">
        <v>3.56</v>
      </c>
      <c r="C7164" s="9">
        <v>0</v>
      </c>
      <c r="D7164" s="13">
        <f t="shared" si="111"/>
        <v>3.56</v>
      </c>
    </row>
    <row r="7165" spans="1:4" x14ac:dyDescent="0.25">
      <c r="A7165" s="15">
        <f>Sheet2!A7165</f>
        <v>0</v>
      </c>
      <c r="B7165" s="8">
        <v>3.03</v>
      </c>
      <c r="C7165" s="9">
        <v>0</v>
      </c>
      <c r="D7165" s="13">
        <f t="shared" si="111"/>
        <v>3.03</v>
      </c>
    </row>
    <row r="7166" spans="1:4" x14ac:dyDescent="0.25">
      <c r="A7166" s="15">
        <f>Sheet2!A7166</f>
        <v>0</v>
      </c>
      <c r="B7166" s="8">
        <v>0</v>
      </c>
      <c r="C7166" s="9">
        <v>0.65</v>
      </c>
      <c r="D7166" s="13">
        <f t="shared" si="111"/>
        <v>0.65</v>
      </c>
    </row>
    <row r="7167" spans="1:4" x14ac:dyDescent="0.25">
      <c r="A7167" s="15">
        <f>Sheet2!A7167</f>
        <v>0</v>
      </c>
      <c r="B7167" s="8">
        <v>0</v>
      </c>
      <c r="C7167" s="9">
        <v>0.9</v>
      </c>
      <c r="D7167" s="13">
        <f t="shared" si="111"/>
        <v>0.9</v>
      </c>
    </row>
    <row r="7168" spans="1:4" x14ac:dyDescent="0.25">
      <c r="A7168" s="15">
        <f>Sheet2!A7168</f>
        <v>0</v>
      </c>
      <c r="B7168" s="8">
        <v>0</v>
      </c>
      <c r="C7168" s="9">
        <v>0.53</v>
      </c>
      <c r="D7168" s="13">
        <f t="shared" si="111"/>
        <v>0.53</v>
      </c>
    </row>
    <row r="7169" spans="1:4" x14ac:dyDescent="0.25">
      <c r="A7169" s="15">
        <f>Sheet2!A7169</f>
        <v>0</v>
      </c>
      <c r="B7169" s="8">
        <v>2.5</v>
      </c>
      <c r="C7169" s="9">
        <v>0</v>
      </c>
      <c r="D7169" s="13">
        <f t="shared" si="111"/>
        <v>2.5</v>
      </c>
    </row>
    <row r="7170" spans="1:4" x14ac:dyDescent="0.25">
      <c r="A7170" s="15">
        <f>Sheet2!A7170</f>
        <v>0</v>
      </c>
      <c r="B7170" s="8">
        <v>2.75</v>
      </c>
      <c r="C7170" s="9">
        <v>0</v>
      </c>
      <c r="D7170" s="13">
        <f t="shared" si="111"/>
        <v>2.75</v>
      </c>
    </row>
    <row r="7171" spans="1:4" x14ac:dyDescent="0.25">
      <c r="A7171" s="15">
        <f>Sheet2!A7171</f>
        <v>0</v>
      </c>
      <c r="B7171" s="8">
        <v>2.35</v>
      </c>
      <c r="C7171" s="9">
        <v>0</v>
      </c>
      <c r="D7171" s="13">
        <f t="shared" ref="D7171:D7234" si="112">B7171+C7171</f>
        <v>2.35</v>
      </c>
    </row>
    <row r="7172" spans="1:4" x14ac:dyDescent="0.25">
      <c r="A7172" s="15">
        <f>Sheet2!A7172</f>
        <v>0</v>
      </c>
      <c r="B7172" s="8">
        <v>0</v>
      </c>
      <c r="C7172" s="9">
        <v>1.2</v>
      </c>
      <c r="D7172" s="13">
        <f t="shared" si="112"/>
        <v>1.2</v>
      </c>
    </row>
    <row r="7173" spans="1:4" x14ac:dyDescent="0.25">
      <c r="A7173" s="15">
        <f>Sheet2!A7173</f>
        <v>0</v>
      </c>
      <c r="B7173" s="8">
        <v>0</v>
      </c>
      <c r="C7173" s="9">
        <v>0.81</v>
      </c>
      <c r="D7173" s="13">
        <f t="shared" si="112"/>
        <v>0.81</v>
      </c>
    </row>
    <row r="7174" spans="1:4" x14ac:dyDescent="0.25">
      <c r="A7174" s="15">
        <f>Sheet2!A7174</f>
        <v>0</v>
      </c>
      <c r="B7174" s="8">
        <v>2.39</v>
      </c>
      <c r="C7174" s="9">
        <v>0</v>
      </c>
      <c r="D7174" s="13">
        <f t="shared" si="112"/>
        <v>2.39</v>
      </c>
    </row>
    <row r="7175" spans="1:4" x14ac:dyDescent="0.25">
      <c r="A7175" s="15">
        <f>Sheet2!A7175</f>
        <v>0</v>
      </c>
      <c r="B7175" s="8">
        <v>2.52</v>
      </c>
      <c r="C7175" s="9">
        <v>0</v>
      </c>
      <c r="D7175" s="13">
        <f t="shared" si="112"/>
        <v>2.52</v>
      </c>
    </row>
    <row r="7176" spans="1:4" x14ac:dyDescent="0.25">
      <c r="A7176" s="15">
        <f>Sheet2!A7176</f>
        <v>0</v>
      </c>
      <c r="B7176" s="8">
        <v>3.05</v>
      </c>
      <c r="C7176" s="9">
        <v>0</v>
      </c>
      <c r="D7176" s="13">
        <f t="shared" si="112"/>
        <v>3.05</v>
      </c>
    </row>
    <row r="7177" spans="1:4" x14ac:dyDescent="0.25">
      <c r="A7177" s="15">
        <f>Sheet2!A7177</f>
        <v>0</v>
      </c>
      <c r="B7177" s="8">
        <v>2.41</v>
      </c>
      <c r="C7177" s="9">
        <v>0</v>
      </c>
      <c r="D7177" s="13">
        <f t="shared" si="112"/>
        <v>2.41</v>
      </c>
    </row>
    <row r="7178" spans="1:4" x14ac:dyDescent="0.25">
      <c r="A7178" s="15">
        <f>Sheet2!A7178</f>
        <v>0</v>
      </c>
      <c r="B7178" s="8">
        <v>2.37</v>
      </c>
      <c r="C7178" s="9">
        <v>0</v>
      </c>
      <c r="D7178" s="13">
        <f t="shared" si="112"/>
        <v>2.37</v>
      </c>
    </row>
    <row r="7179" spans="1:4" x14ac:dyDescent="0.25">
      <c r="A7179" s="15">
        <f>Sheet2!A7179</f>
        <v>0</v>
      </c>
      <c r="B7179" s="8">
        <v>2.2200000000000002</v>
      </c>
      <c r="C7179" s="9">
        <v>0</v>
      </c>
      <c r="D7179" s="13">
        <f t="shared" si="112"/>
        <v>2.2200000000000002</v>
      </c>
    </row>
    <row r="7180" spans="1:4" x14ac:dyDescent="0.25">
      <c r="A7180" s="15">
        <f>Sheet2!A7180</f>
        <v>0</v>
      </c>
      <c r="B7180" s="8">
        <v>2.11</v>
      </c>
      <c r="C7180" s="9">
        <v>0</v>
      </c>
      <c r="D7180" s="13">
        <f t="shared" si="112"/>
        <v>2.11</v>
      </c>
    </row>
    <row r="7181" spans="1:4" x14ac:dyDescent="0.25">
      <c r="A7181" s="15">
        <f>Sheet2!A7181</f>
        <v>0</v>
      </c>
      <c r="B7181" s="8">
        <v>2.2400000000000002</v>
      </c>
      <c r="C7181" s="9">
        <v>0</v>
      </c>
      <c r="D7181" s="13">
        <f t="shared" si="112"/>
        <v>2.2400000000000002</v>
      </c>
    </row>
    <row r="7182" spans="1:4" x14ac:dyDescent="0.25">
      <c r="A7182" s="15">
        <f>Sheet2!A7182</f>
        <v>0</v>
      </c>
      <c r="B7182" s="8">
        <v>2.14</v>
      </c>
      <c r="C7182" s="9">
        <v>0</v>
      </c>
      <c r="D7182" s="13">
        <f t="shared" si="112"/>
        <v>2.14</v>
      </c>
    </row>
    <row r="7183" spans="1:4" x14ac:dyDescent="0.25">
      <c r="A7183" s="15">
        <f>Sheet2!A7183</f>
        <v>0</v>
      </c>
      <c r="B7183" s="8">
        <v>2.25</v>
      </c>
      <c r="C7183" s="9">
        <v>0</v>
      </c>
      <c r="D7183" s="13">
        <f t="shared" si="112"/>
        <v>2.25</v>
      </c>
    </row>
    <row r="7184" spans="1:4" x14ac:dyDescent="0.25">
      <c r="A7184" s="15">
        <f>Sheet2!A7184</f>
        <v>0</v>
      </c>
      <c r="B7184" s="8">
        <v>2.23</v>
      </c>
      <c r="C7184" s="9">
        <v>0</v>
      </c>
      <c r="D7184" s="13">
        <f t="shared" si="112"/>
        <v>2.23</v>
      </c>
    </row>
    <row r="7185" spans="1:4" x14ac:dyDescent="0.25">
      <c r="A7185" s="15">
        <f>Sheet2!A7185</f>
        <v>0</v>
      </c>
      <c r="B7185" s="8">
        <v>2.04</v>
      </c>
      <c r="C7185" s="9">
        <v>0</v>
      </c>
      <c r="D7185" s="13">
        <f t="shared" si="112"/>
        <v>2.04</v>
      </c>
    </row>
    <row r="7186" spans="1:4" x14ac:dyDescent="0.25">
      <c r="A7186" s="15">
        <f>Sheet2!A7186</f>
        <v>0</v>
      </c>
      <c r="B7186" s="8">
        <v>2.13</v>
      </c>
      <c r="C7186" s="9">
        <v>0</v>
      </c>
      <c r="D7186" s="13">
        <f t="shared" si="112"/>
        <v>2.13</v>
      </c>
    </row>
    <row r="7187" spans="1:4" x14ac:dyDescent="0.25">
      <c r="A7187" s="15">
        <f>Sheet2!A7187</f>
        <v>0</v>
      </c>
      <c r="B7187" s="8">
        <v>2.12</v>
      </c>
      <c r="C7187" s="9">
        <v>0</v>
      </c>
      <c r="D7187" s="13">
        <f t="shared" si="112"/>
        <v>2.12</v>
      </c>
    </row>
    <row r="7188" spans="1:4" x14ac:dyDescent="0.25">
      <c r="A7188" s="15">
        <f>Sheet2!A7188</f>
        <v>0</v>
      </c>
      <c r="B7188" s="8">
        <v>0</v>
      </c>
      <c r="C7188" s="9">
        <v>0.79</v>
      </c>
      <c r="D7188" s="13">
        <f t="shared" si="112"/>
        <v>0.79</v>
      </c>
    </row>
    <row r="7189" spans="1:4" x14ac:dyDescent="0.25">
      <c r="A7189" s="15">
        <f>Sheet2!A7189</f>
        <v>0</v>
      </c>
      <c r="B7189" s="8">
        <v>0</v>
      </c>
      <c r="C7189" s="9">
        <v>0.86</v>
      </c>
      <c r="D7189" s="13">
        <f t="shared" si="112"/>
        <v>0.86</v>
      </c>
    </row>
    <row r="7190" spans="1:4" x14ac:dyDescent="0.25">
      <c r="A7190" s="15">
        <f>Sheet2!A7190</f>
        <v>0</v>
      </c>
      <c r="B7190" s="8">
        <v>2.0499999999999998</v>
      </c>
      <c r="C7190" s="9">
        <v>0</v>
      </c>
      <c r="D7190" s="13">
        <f t="shared" si="112"/>
        <v>2.0499999999999998</v>
      </c>
    </row>
    <row r="7191" spans="1:4" x14ac:dyDescent="0.25">
      <c r="A7191" s="15">
        <f>Sheet2!A7191</f>
        <v>0</v>
      </c>
      <c r="B7191" s="8">
        <v>3.43</v>
      </c>
      <c r="C7191" s="9">
        <v>0</v>
      </c>
      <c r="D7191" s="13">
        <f t="shared" si="112"/>
        <v>3.43</v>
      </c>
    </row>
    <row r="7192" spans="1:4" x14ac:dyDescent="0.25">
      <c r="A7192" s="15">
        <f>Sheet2!A7192</f>
        <v>0</v>
      </c>
      <c r="B7192" s="8">
        <v>2.06</v>
      </c>
      <c r="C7192" s="9">
        <v>0</v>
      </c>
      <c r="D7192" s="13">
        <f t="shared" si="112"/>
        <v>2.06</v>
      </c>
    </row>
    <row r="7193" spans="1:4" x14ac:dyDescent="0.25">
      <c r="A7193" s="15">
        <f>Sheet2!A7193</f>
        <v>0</v>
      </c>
      <c r="B7193" s="8">
        <v>1.53</v>
      </c>
      <c r="C7193" s="9">
        <v>0</v>
      </c>
      <c r="D7193" s="13">
        <f t="shared" si="112"/>
        <v>1.53</v>
      </c>
    </row>
    <row r="7194" spans="1:4" x14ac:dyDescent="0.25">
      <c r="A7194" s="15">
        <f>Sheet2!A7194</f>
        <v>0</v>
      </c>
      <c r="B7194" s="8">
        <v>0</v>
      </c>
      <c r="C7194" s="9">
        <v>1.01</v>
      </c>
      <c r="D7194" s="13">
        <f t="shared" si="112"/>
        <v>1.01</v>
      </c>
    </row>
    <row r="7195" spans="1:4" x14ac:dyDescent="0.25">
      <c r="A7195" s="15">
        <f>Sheet2!A7195</f>
        <v>0</v>
      </c>
      <c r="B7195" s="8">
        <v>0</v>
      </c>
      <c r="C7195" s="9">
        <v>1</v>
      </c>
      <c r="D7195" s="13">
        <f t="shared" si="112"/>
        <v>1</v>
      </c>
    </row>
    <row r="7196" spans="1:4" x14ac:dyDescent="0.25">
      <c r="A7196" s="15">
        <f>Sheet2!A7196</f>
        <v>0</v>
      </c>
      <c r="B7196" s="8">
        <v>1.42</v>
      </c>
      <c r="C7196" s="9">
        <v>0</v>
      </c>
      <c r="D7196" s="13">
        <f t="shared" si="112"/>
        <v>1.42</v>
      </c>
    </row>
    <row r="7197" spans="1:4" x14ac:dyDescent="0.25">
      <c r="A7197" s="15">
        <f>Sheet2!A7197</f>
        <v>0</v>
      </c>
      <c r="B7197" s="8">
        <v>1.07</v>
      </c>
      <c r="C7197" s="9">
        <v>0</v>
      </c>
      <c r="D7197" s="13">
        <f t="shared" si="112"/>
        <v>1.07</v>
      </c>
    </row>
    <row r="7198" spans="1:4" x14ac:dyDescent="0.25">
      <c r="A7198" s="15">
        <f>Sheet2!A7198</f>
        <v>0</v>
      </c>
      <c r="B7198" s="8">
        <v>1.38</v>
      </c>
      <c r="C7198" s="9">
        <v>0</v>
      </c>
      <c r="D7198" s="13">
        <f t="shared" si="112"/>
        <v>1.38</v>
      </c>
    </row>
    <row r="7199" spans="1:4" x14ac:dyDescent="0.25">
      <c r="A7199" s="15">
        <f>Sheet2!A7199</f>
        <v>0</v>
      </c>
      <c r="B7199" s="8">
        <v>1.82</v>
      </c>
      <c r="C7199" s="9">
        <v>0</v>
      </c>
      <c r="D7199" s="13">
        <f t="shared" si="112"/>
        <v>1.82</v>
      </c>
    </row>
    <row r="7200" spans="1:4" x14ac:dyDescent="0.25">
      <c r="A7200" s="15">
        <f>Sheet2!A7200</f>
        <v>0</v>
      </c>
      <c r="B7200" s="8">
        <v>2.73</v>
      </c>
      <c r="C7200" s="9">
        <v>0</v>
      </c>
      <c r="D7200" s="13">
        <f t="shared" si="112"/>
        <v>2.73</v>
      </c>
    </row>
    <row r="7201" spans="1:4" x14ac:dyDescent="0.25">
      <c r="A7201" s="15">
        <f>Sheet2!A7201</f>
        <v>0</v>
      </c>
      <c r="B7201" s="8">
        <v>2</v>
      </c>
      <c r="C7201" s="9">
        <v>0</v>
      </c>
      <c r="D7201" s="13">
        <f t="shared" si="112"/>
        <v>2</v>
      </c>
    </row>
    <row r="7202" spans="1:4" x14ac:dyDescent="0.25">
      <c r="A7202" s="15">
        <f>Sheet2!A7202</f>
        <v>0</v>
      </c>
      <c r="B7202" s="8">
        <v>1.25</v>
      </c>
      <c r="C7202" s="9">
        <v>0</v>
      </c>
      <c r="D7202" s="13">
        <f t="shared" si="112"/>
        <v>1.25</v>
      </c>
    </row>
    <row r="7203" spans="1:4" x14ac:dyDescent="0.25">
      <c r="A7203" s="15">
        <f>Sheet2!A7203</f>
        <v>0</v>
      </c>
      <c r="B7203" s="8">
        <v>1</v>
      </c>
      <c r="C7203" s="9">
        <v>0</v>
      </c>
      <c r="D7203" s="13">
        <f t="shared" si="112"/>
        <v>1</v>
      </c>
    </row>
    <row r="7204" spans="1:4" x14ac:dyDescent="0.25">
      <c r="A7204" s="15">
        <f>Sheet2!A7204</f>
        <v>0</v>
      </c>
      <c r="B7204" s="8">
        <v>0.95</v>
      </c>
      <c r="C7204" s="9">
        <v>0</v>
      </c>
      <c r="D7204" s="13">
        <f t="shared" si="112"/>
        <v>0.95</v>
      </c>
    </row>
    <row r="7205" spans="1:4" x14ac:dyDescent="0.25">
      <c r="A7205" s="15">
        <f>Sheet2!A7205</f>
        <v>0</v>
      </c>
      <c r="B7205" s="8">
        <v>0.94</v>
      </c>
      <c r="C7205" s="9">
        <v>0</v>
      </c>
      <c r="D7205" s="13">
        <f t="shared" si="112"/>
        <v>0.94</v>
      </c>
    </row>
    <row r="7206" spans="1:4" x14ac:dyDescent="0.25">
      <c r="A7206" s="15">
        <f>Sheet2!A7206</f>
        <v>0</v>
      </c>
      <c r="B7206" s="8">
        <v>1.58</v>
      </c>
      <c r="C7206" s="9">
        <v>0</v>
      </c>
      <c r="D7206" s="13">
        <f t="shared" si="112"/>
        <v>1.58</v>
      </c>
    </row>
    <row r="7207" spans="1:4" x14ac:dyDescent="0.25">
      <c r="A7207" s="15">
        <f>Sheet2!A7207</f>
        <v>0</v>
      </c>
      <c r="B7207" s="8">
        <v>1.1000000000000001</v>
      </c>
      <c r="C7207" s="9">
        <v>0</v>
      </c>
      <c r="D7207" s="13">
        <f t="shared" si="112"/>
        <v>1.1000000000000001</v>
      </c>
    </row>
    <row r="7208" spans="1:4" x14ac:dyDescent="0.25">
      <c r="A7208" s="15">
        <f>Sheet2!A7208</f>
        <v>0</v>
      </c>
      <c r="B7208" s="8">
        <v>0.56000000000000005</v>
      </c>
      <c r="C7208" s="9">
        <v>0</v>
      </c>
      <c r="D7208" s="13">
        <f t="shared" si="112"/>
        <v>0.56000000000000005</v>
      </c>
    </row>
    <row r="7209" spans="1:4" x14ac:dyDescent="0.25">
      <c r="A7209" s="15">
        <f>Sheet2!A7209</f>
        <v>0</v>
      </c>
      <c r="B7209" s="8">
        <v>0</v>
      </c>
      <c r="C7209" s="9">
        <v>0.42</v>
      </c>
      <c r="D7209" s="13">
        <f t="shared" si="112"/>
        <v>0.42</v>
      </c>
    </row>
    <row r="7210" spans="1:4" x14ac:dyDescent="0.25">
      <c r="A7210" s="15">
        <f>Sheet2!A7210</f>
        <v>0</v>
      </c>
      <c r="B7210" s="8">
        <v>0.36</v>
      </c>
      <c r="C7210" s="9">
        <v>0</v>
      </c>
      <c r="D7210" s="13">
        <f t="shared" si="112"/>
        <v>0.36</v>
      </c>
    </row>
    <row r="7211" spans="1:4" x14ac:dyDescent="0.25">
      <c r="A7211" s="15">
        <f>Sheet2!A7211</f>
        <v>0</v>
      </c>
      <c r="B7211" s="8">
        <v>0.76</v>
      </c>
      <c r="C7211" s="9">
        <v>0</v>
      </c>
      <c r="D7211" s="13">
        <f t="shared" si="112"/>
        <v>0.76</v>
      </c>
    </row>
    <row r="7212" spans="1:4" x14ac:dyDescent="0.25">
      <c r="A7212" s="15">
        <f>Sheet2!A7212</f>
        <v>0</v>
      </c>
      <c r="B7212" s="8">
        <v>2.92</v>
      </c>
      <c r="C7212" s="9">
        <v>0</v>
      </c>
      <c r="D7212" s="13">
        <f t="shared" si="112"/>
        <v>2.92</v>
      </c>
    </row>
    <row r="7213" spans="1:4" x14ac:dyDescent="0.25">
      <c r="A7213" s="15">
        <f>Sheet2!A7213</f>
        <v>0</v>
      </c>
      <c r="B7213" s="8">
        <v>4.5599999999999996</v>
      </c>
      <c r="C7213" s="9">
        <v>0</v>
      </c>
      <c r="D7213" s="13">
        <f t="shared" si="112"/>
        <v>4.5599999999999996</v>
      </c>
    </row>
    <row r="7214" spans="1:4" x14ac:dyDescent="0.25">
      <c r="A7214" s="15">
        <f>Sheet2!A7214</f>
        <v>0</v>
      </c>
      <c r="B7214" s="8">
        <v>0</v>
      </c>
      <c r="C7214" s="9">
        <v>0.41</v>
      </c>
      <c r="D7214" s="13">
        <f t="shared" si="112"/>
        <v>0.41</v>
      </c>
    </row>
    <row r="7215" spans="1:4" x14ac:dyDescent="0.25">
      <c r="A7215" s="15">
        <f>Sheet2!A7215</f>
        <v>0</v>
      </c>
      <c r="B7215" s="8">
        <v>0</v>
      </c>
      <c r="C7215" s="9">
        <v>1.25</v>
      </c>
      <c r="D7215" s="13">
        <f t="shared" si="112"/>
        <v>1.25</v>
      </c>
    </row>
    <row r="7216" spans="1:4" x14ac:dyDescent="0.25">
      <c r="A7216" s="15">
        <f>Sheet2!A7216</f>
        <v>0</v>
      </c>
      <c r="B7216" s="8">
        <v>0</v>
      </c>
      <c r="C7216" s="9">
        <v>0.45</v>
      </c>
      <c r="D7216" s="13">
        <f t="shared" si="112"/>
        <v>0.45</v>
      </c>
    </row>
    <row r="7217" spans="1:4" x14ac:dyDescent="0.25">
      <c r="A7217" s="15">
        <f>Sheet2!A7217</f>
        <v>0</v>
      </c>
      <c r="B7217" s="8">
        <v>3.17</v>
      </c>
      <c r="C7217" s="9">
        <v>0</v>
      </c>
      <c r="D7217" s="13">
        <f t="shared" si="112"/>
        <v>3.17</v>
      </c>
    </row>
    <row r="7218" spans="1:4" x14ac:dyDescent="0.25">
      <c r="A7218" s="15">
        <f>Sheet2!A7218</f>
        <v>0</v>
      </c>
      <c r="B7218" s="8">
        <v>0</v>
      </c>
      <c r="C7218" s="9">
        <v>0.79</v>
      </c>
      <c r="D7218" s="13">
        <f t="shared" si="112"/>
        <v>0.79</v>
      </c>
    </row>
    <row r="7219" spans="1:4" x14ac:dyDescent="0.25">
      <c r="A7219" s="15">
        <f>Sheet2!A7219</f>
        <v>0</v>
      </c>
      <c r="B7219" s="8">
        <v>0</v>
      </c>
      <c r="C7219" s="9">
        <v>1.71</v>
      </c>
      <c r="D7219" s="13">
        <f t="shared" si="112"/>
        <v>1.71</v>
      </c>
    </row>
    <row r="7220" spans="1:4" x14ac:dyDescent="0.25">
      <c r="A7220" s="15">
        <f>Sheet2!A7220</f>
        <v>0</v>
      </c>
      <c r="B7220" s="8">
        <v>0</v>
      </c>
      <c r="C7220" s="9">
        <v>0.85</v>
      </c>
      <c r="D7220" s="13">
        <f t="shared" si="112"/>
        <v>0.85</v>
      </c>
    </row>
    <row r="7221" spans="1:4" x14ac:dyDescent="0.25">
      <c r="A7221" s="15">
        <f>Sheet2!A7221</f>
        <v>0</v>
      </c>
      <c r="B7221" s="8">
        <v>6.06</v>
      </c>
      <c r="C7221" s="9">
        <v>0</v>
      </c>
      <c r="D7221" s="13">
        <f t="shared" si="112"/>
        <v>6.06</v>
      </c>
    </row>
    <row r="7222" spans="1:4" x14ac:dyDescent="0.25">
      <c r="A7222" s="15">
        <f>Sheet2!A7222</f>
        <v>0</v>
      </c>
      <c r="B7222" s="8">
        <v>0</v>
      </c>
      <c r="C7222" s="9">
        <v>0.71</v>
      </c>
      <c r="D7222" s="13">
        <f t="shared" si="112"/>
        <v>0.71</v>
      </c>
    </row>
    <row r="7223" spans="1:4" x14ac:dyDescent="0.25">
      <c r="A7223" s="15">
        <f>Sheet2!A7223</f>
        <v>0</v>
      </c>
      <c r="B7223" s="8">
        <v>0</v>
      </c>
      <c r="C7223" s="9">
        <v>0.52</v>
      </c>
      <c r="D7223" s="13">
        <f t="shared" si="112"/>
        <v>0.52</v>
      </c>
    </row>
    <row r="7224" spans="1:4" x14ac:dyDescent="0.25">
      <c r="A7224" s="15">
        <f>Sheet2!A7224</f>
        <v>0</v>
      </c>
      <c r="B7224" s="8">
        <v>4.5199999999999996</v>
      </c>
      <c r="C7224" s="9">
        <v>0</v>
      </c>
      <c r="D7224" s="13">
        <f t="shared" si="112"/>
        <v>4.5199999999999996</v>
      </c>
    </row>
    <row r="7225" spans="1:4" x14ac:dyDescent="0.25">
      <c r="A7225" s="15">
        <f>Sheet2!A7225</f>
        <v>0</v>
      </c>
      <c r="B7225" s="8">
        <v>3.84</v>
      </c>
      <c r="C7225" s="9">
        <v>0</v>
      </c>
      <c r="D7225" s="13">
        <f t="shared" si="112"/>
        <v>3.84</v>
      </c>
    </row>
    <row r="7226" spans="1:4" x14ac:dyDescent="0.25">
      <c r="A7226" s="15">
        <f>Sheet2!A7226</f>
        <v>0</v>
      </c>
      <c r="B7226" s="8">
        <v>3.61</v>
      </c>
      <c r="C7226" s="9">
        <v>0</v>
      </c>
      <c r="D7226" s="13">
        <f t="shared" si="112"/>
        <v>3.61</v>
      </c>
    </row>
    <row r="7227" spans="1:4" x14ac:dyDescent="0.25">
      <c r="A7227" s="15">
        <f>Sheet2!A7227</f>
        <v>0</v>
      </c>
      <c r="B7227" s="8">
        <v>3.48</v>
      </c>
      <c r="C7227" s="9">
        <v>0</v>
      </c>
      <c r="D7227" s="13">
        <f t="shared" si="112"/>
        <v>3.48</v>
      </c>
    </row>
    <row r="7228" spans="1:4" x14ac:dyDescent="0.25">
      <c r="A7228" s="15">
        <f>Sheet2!A7228</f>
        <v>0</v>
      </c>
      <c r="B7228" s="8">
        <v>3.44</v>
      </c>
      <c r="C7228" s="9">
        <v>0</v>
      </c>
      <c r="D7228" s="13">
        <f t="shared" si="112"/>
        <v>3.44</v>
      </c>
    </row>
    <row r="7229" spans="1:4" x14ac:dyDescent="0.25">
      <c r="A7229" s="15">
        <f>Sheet2!A7229</f>
        <v>0</v>
      </c>
      <c r="B7229" s="8">
        <v>3.3</v>
      </c>
      <c r="C7229" s="9">
        <v>0</v>
      </c>
      <c r="D7229" s="13">
        <f t="shared" si="112"/>
        <v>3.3</v>
      </c>
    </row>
    <row r="7230" spans="1:4" x14ac:dyDescent="0.25">
      <c r="A7230" s="15">
        <f>Sheet2!A7230</f>
        <v>0</v>
      </c>
      <c r="B7230" s="8">
        <v>3.36</v>
      </c>
      <c r="C7230" s="9">
        <v>0</v>
      </c>
      <c r="D7230" s="13">
        <f t="shared" si="112"/>
        <v>3.36</v>
      </c>
    </row>
    <row r="7231" spans="1:4" x14ac:dyDescent="0.25">
      <c r="A7231" s="15">
        <f>Sheet2!A7231</f>
        <v>0</v>
      </c>
      <c r="B7231" s="8">
        <v>3.92</v>
      </c>
      <c r="C7231" s="9">
        <v>0</v>
      </c>
      <c r="D7231" s="13">
        <f t="shared" si="112"/>
        <v>3.92</v>
      </c>
    </row>
    <row r="7232" spans="1:4" x14ac:dyDescent="0.25">
      <c r="A7232" s="15">
        <f>Sheet2!A7232</f>
        <v>0</v>
      </c>
      <c r="B7232" s="8">
        <v>3.46</v>
      </c>
      <c r="C7232" s="9">
        <v>0</v>
      </c>
      <c r="D7232" s="13">
        <f t="shared" si="112"/>
        <v>3.46</v>
      </c>
    </row>
    <row r="7233" spans="1:4" x14ac:dyDescent="0.25">
      <c r="A7233" s="15">
        <f>Sheet2!A7233</f>
        <v>0</v>
      </c>
      <c r="B7233" s="8">
        <v>3.53</v>
      </c>
      <c r="C7233" s="9">
        <v>0</v>
      </c>
      <c r="D7233" s="13">
        <f t="shared" si="112"/>
        <v>3.53</v>
      </c>
    </row>
    <row r="7234" spans="1:4" x14ac:dyDescent="0.25">
      <c r="A7234" s="15">
        <f>Sheet2!A7234</f>
        <v>0</v>
      </c>
      <c r="B7234" s="8">
        <v>0</v>
      </c>
      <c r="C7234" s="9">
        <v>0.42</v>
      </c>
      <c r="D7234" s="13">
        <f t="shared" si="112"/>
        <v>0.42</v>
      </c>
    </row>
    <row r="7235" spans="1:4" x14ac:dyDescent="0.25">
      <c r="A7235" s="15">
        <f>Sheet2!A7235</f>
        <v>0</v>
      </c>
      <c r="B7235" s="8">
        <v>0</v>
      </c>
      <c r="C7235" s="9">
        <v>0.66</v>
      </c>
      <c r="D7235" s="13">
        <f t="shared" ref="D7235:D7298" si="113">B7235+C7235</f>
        <v>0.66</v>
      </c>
    </row>
    <row r="7236" spans="1:4" x14ac:dyDescent="0.25">
      <c r="A7236" s="15">
        <f>Sheet2!A7236</f>
        <v>0</v>
      </c>
      <c r="B7236" s="8">
        <v>0</v>
      </c>
      <c r="C7236" s="9">
        <v>0.37</v>
      </c>
      <c r="D7236" s="13">
        <f t="shared" si="113"/>
        <v>0.37</v>
      </c>
    </row>
    <row r="7237" spans="1:4" x14ac:dyDescent="0.25">
      <c r="A7237" s="15">
        <f>Sheet2!A7237</f>
        <v>0</v>
      </c>
      <c r="B7237" s="8">
        <v>2.44</v>
      </c>
      <c r="C7237" s="9">
        <v>0</v>
      </c>
      <c r="D7237" s="13">
        <f t="shared" si="113"/>
        <v>2.44</v>
      </c>
    </row>
    <row r="7238" spans="1:4" x14ac:dyDescent="0.25">
      <c r="A7238" s="15">
        <f>Sheet2!A7238</f>
        <v>0</v>
      </c>
      <c r="B7238" s="8">
        <v>0.89</v>
      </c>
      <c r="C7238" s="9">
        <v>0</v>
      </c>
      <c r="D7238" s="13">
        <f t="shared" si="113"/>
        <v>0.89</v>
      </c>
    </row>
    <row r="7239" spans="1:4" x14ac:dyDescent="0.25">
      <c r="A7239" s="15">
        <f>Sheet2!A7239</f>
        <v>0</v>
      </c>
      <c r="B7239" s="8">
        <v>0</v>
      </c>
      <c r="C7239" s="9">
        <v>0.76</v>
      </c>
      <c r="D7239" s="13">
        <f t="shared" si="113"/>
        <v>0.76</v>
      </c>
    </row>
    <row r="7240" spans="1:4" x14ac:dyDescent="0.25">
      <c r="A7240" s="15">
        <f>Sheet2!A7240</f>
        <v>0</v>
      </c>
      <c r="B7240" s="8">
        <v>0</v>
      </c>
      <c r="C7240" s="9">
        <v>0.65</v>
      </c>
      <c r="D7240" s="13">
        <f t="shared" si="113"/>
        <v>0.65</v>
      </c>
    </row>
    <row r="7241" spans="1:4" x14ac:dyDescent="0.25">
      <c r="A7241" s="15">
        <f>Sheet2!A7241</f>
        <v>0</v>
      </c>
      <c r="B7241" s="8">
        <v>4.04</v>
      </c>
      <c r="C7241" s="9">
        <v>0</v>
      </c>
      <c r="D7241" s="13">
        <f t="shared" si="113"/>
        <v>4.04</v>
      </c>
    </row>
    <row r="7242" spans="1:4" x14ac:dyDescent="0.25">
      <c r="A7242" s="15">
        <f>Sheet2!A7242</f>
        <v>0</v>
      </c>
      <c r="B7242" s="8">
        <v>3.9</v>
      </c>
      <c r="C7242" s="9">
        <v>0</v>
      </c>
      <c r="D7242" s="13">
        <f t="shared" si="113"/>
        <v>3.9</v>
      </c>
    </row>
    <row r="7243" spans="1:4" x14ac:dyDescent="0.25">
      <c r="A7243" s="15">
        <f>Sheet2!A7243</f>
        <v>0</v>
      </c>
      <c r="B7243" s="8">
        <v>5.73</v>
      </c>
      <c r="C7243" s="9">
        <v>0</v>
      </c>
      <c r="D7243" s="13">
        <f t="shared" si="113"/>
        <v>5.73</v>
      </c>
    </row>
    <row r="7244" spans="1:4" x14ac:dyDescent="0.25">
      <c r="A7244" s="15">
        <f>Sheet2!A7244</f>
        <v>0</v>
      </c>
      <c r="B7244" s="8">
        <v>1.52</v>
      </c>
      <c r="C7244" s="9">
        <v>0</v>
      </c>
      <c r="D7244" s="13">
        <f t="shared" si="113"/>
        <v>1.52</v>
      </c>
    </row>
    <row r="7245" spans="1:4" x14ac:dyDescent="0.25">
      <c r="A7245" s="15">
        <f>Sheet2!A7245</f>
        <v>0</v>
      </c>
      <c r="B7245" s="8">
        <v>1.52</v>
      </c>
      <c r="C7245" s="9">
        <v>0</v>
      </c>
      <c r="D7245" s="13">
        <f t="shared" si="113"/>
        <v>1.52</v>
      </c>
    </row>
    <row r="7246" spans="1:4" x14ac:dyDescent="0.25">
      <c r="A7246" s="15">
        <f>Sheet2!A7246</f>
        <v>0</v>
      </c>
      <c r="B7246" s="8">
        <v>3.07</v>
      </c>
      <c r="C7246" s="9">
        <v>0</v>
      </c>
      <c r="D7246" s="13">
        <f t="shared" si="113"/>
        <v>3.07</v>
      </c>
    </row>
    <row r="7247" spans="1:4" x14ac:dyDescent="0.25">
      <c r="A7247" s="15">
        <f>Sheet2!A7247</f>
        <v>0</v>
      </c>
      <c r="B7247" s="8">
        <v>5.8</v>
      </c>
      <c r="C7247" s="9">
        <v>0</v>
      </c>
      <c r="D7247" s="13">
        <f t="shared" si="113"/>
        <v>5.8</v>
      </c>
    </row>
    <row r="7248" spans="1:4" x14ac:dyDescent="0.25">
      <c r="A7248" s="15">
        <f>Sheet2!A7248</f>
        <v>0</v>
      </c>
      <c r="B7248" s="8">
        <v>4.78</v>
      </c>
      <c r="C7248" s="9">
        <v>0</v>
      </c>
      <c r="D7248" s="13">
        <f t="shared" si="113"/>
        <v>4.78</v>
      </c>
    </row>
    <row r="7249" spans="1:4" x14ac:dyDescent="0.25">
      <c r="A7249" s="15">
        <f>Sheet2!A7249</f>
        <v>0</v>
      </c>
      <c r="B7249" s="8">
        <v>3.96</v>
      </c>
      <c r="C7249" s="9">
        <v>0</v>
      </c>
      <c r="D7249" s="13">
        <f t="shared" si="113"/>
        <v>3.96</v>
      </c>
    </row>
    <row r="7250" spans="1:4" x14ac:dyDescent="0.25">
      <c r="A7250" s="15">
        <f>Sheet2!A7250</f>
        <v>0</v>
      </c>
      <c r="B7250" s="8">
        <v>3.49</v>
      </c>
      <c r="C7250" s="9">
        <v>0</v>
      </c>
      <c r="D7250" s="13">
        <f t="shared" si="113"/>
        <v>3.49</v>
      </c>
    </row>
    <row r="7251" spans="1:4" x14ac:dyDescent="0.25">
      <c r="A7251" s="15">
        <f>Sheet2!A7251</f>
        <v>0</v>
      </c>
      <c r="B7251" s="8">
        <v>3.51</v>
      </c>
      <c r="C7251" s="9">
        <v>0</v>
      </c>
      <c r="D7251" s="13">
        <f t="shared" si="113"/>
        <v>3.51</v>
      </c>
    </row>
    <row r="7252" spans="1:4" x14ac:dyDescent="0.25">
      <c r="A7252" s="15">
        <f>Sheet2!A7252</f>
        <v>0</v>
      </c>
      <c r="B7252" s="8">
        <v>3.43</v>
      </c>
      <c r="C7252" s="9">
        <v>0</v>
      </c>
      <c r="D7252" s="13">
        <f t="shared" si="113"/>
        <v>3.43</v>
      </c>
    </row>
    <row r="7253" spans="1:4" x14ac:dyDescent="0.25">
      <c r="A7253" s="15">
        <f>Sheet2!A7253</f>
        <v>0</v>
      </c>
      <c r="B7253" s="8">
        <v>3.3</v>
      </c>
      <c r="C7253" s="9">
        <v>0</v>
      </c>
      <c r="D7253" s="13">
        <f t="shared" si="113"/>
        <v>3.3</v>
      </c>
    </row>
    <row r="7254" spans="1:4" x14ac:dyDescent="0.25">
      <c r="A7254" s="15">
        <f>Sheet2!A7254</f>
        <v>0</v>
      </c>
      <c r="B7254" s="8">
        <v>3.17</v>
      </c>
      <c r="C7254" s="9">
        <v>0</v>
      </c>
      <c r="D7254" s="13">
        <f t="shared" si="113"/>
        <v>3.17</v>
      </c>
    </row>
    <row r="7255" spans="1:4" x14ac:dyDescent="0.25">
      <c r="A7255" s="15">
        <f>Sheet2!A7255</f>
        <v>0</v>
      </c>
      <c r="B7255" s="8">
        <v>3.15</v>
      </c>
      <c r="C7255" s="9">
        <v>0</v>
      </c>
      <c r="D7255" s="13">
        <f t="shared" si="113"/>
        <v>3.15</v>
      </c>
    </row>
    <row r="7256" spans="1:4" x14ac:dyDescent="0.25">
      <c r="A7256" s="15">
        <f>Sheet2!A7256</f>
        <v>0</v>
      </c>
      <c r="B7256" s="8">
        <v>1.28</v>
      </c>
      <c r="C7256" s="9">
        <v>0</v>
      </c>
      <c r="D7256" s="13">
        <f t="shared" si="113"/>
        <v>1.28</v>
      </c>
    </row>
    <row r="7257" spans="1:4" x14ac:dyDescent="0.25">
      <c r="A7257" s="15">
        <f>Sheet2!A7257</f>
        <v>0</v>
      </c>
      <c r="B7257" s="8">
        <v>1.28</v>
      </c>
      <c r="C7257" s="9">
        <v>0</v>
      </c>
      <c r="D7257" s="13">
        <f t="shared" si="113"/>
        <v>1.28</v>
      </c>
    </row>
    <row r="7258" spans="1:4" x14ac:dyDescent="0.25">
      <c r="A7258" s="15">
        <f>Sheet2!A7258</f>
        <v>0</v>
      </c>
      <c r="B7258" s="8">
        <v>1.34</v>
      </c>
      <c r="C7258" s="9">
        <v>0</v>
      </c>
      <c r="D7258" s="13">
        <f t="shared" si="113"/>
        <v>1.34</v>
      </c>
    </row>
    <row r="7259" spans="1:4" x14ac:dyDescent="0.25">
      <c r="A7259" s="15">
        <f>Sheet2!A7259</f>
        <v>0</v>
      </c>
      <c r="B7259" s="8">
        <v>4.32</v>
      </c>
      <c r="C7259" s="9">
        <v>0</v>
      </c>
      <c r="D7259" s="13">
        <f t="shared" si="113"/>
        <v>4.32</v>
      </c>
    </row>
    <row r="7260" spans="1:4" x14ac:dyDescent="0.25">
      <c r="A7260" s="15">
        <f>Sheet2!A7260</f>
        <v>0</v>
      </c>
      <c r="B7260" s="8">
        <v>3</v>
      </c>
      <c r="C7260" s="9">
        <v>0</v>
      </c>
      <c r="D7260" s="13">
        <f t="shared" si="113"/>
        <v>3</v>
      </c>
    </row>
    <row r="7261" spans="1:4" x14ac:dyDescent="0.25">
      <c r="A7261" s="15">
        <f>Sheet2!A7261</f>
        <v>0</v>
      </c>
      <c r="B7261" s="8">
        <v>2.36</v>
      </c>
      <c r="C7261" s="9">
        <v>0</v>
      </c>
      <c r="D7261" s="13">
        <f t="shared" si="113"/>
        <v>2.36</v>
      </c>
    </row>
    <row r="7262" spans="1:4" x14ac:dyDescent="0.25">
      <c r="A7262" s="15">
        <f>Sheet2!A7262</f>
        <v>0</v>
      </c>
      <c r="B7262" s="8">
        <v>0</v>
      </c>
      <c r="C7262" s="9">
        <v>0.38</v>
      </c>
      <c r="D7262" s="13">
        <f t="shared" si="113"/>
        <v>0.38</v>
      </c>
    </row>
    <row r="7263" spans="1:4" x14ac:dyDescent="0.25">
      <c r="A7263" s="15">
        <f>Sheet2!A7263</f>
        <v>0</v>
      </c>
      <c r="B7263" s="8">
        <v>0</v>
      </c>
      <c r="C7263" s="9">
        <v>0.76</v>
      </c>
      <c r="D7263" s="13">
        <f t="shared" si="113"/>
        <v>0.76</v>
      </c>
    </row>
    <row r="7264" spans="1:4" x14ac:dyDescent="0.25">
      <c r="A7264" s="15">
        <f>Sheet2!A7264</f>
        <v>0</v>
      </c>
      <c r="B7264" s="8">
        <v>0</v>
      </c>
      <c r="C7264" s="9">
        <v>0.65</v>
      </c>
      <c r="D7264" s="13">
        <f t="shared" si="113"/>
        <v>0.65</v>
      </c>
    </row>
    <row r="7265" spans="1:4" x14ac:dyDescent="0.25">
      <c r="A7265" s="15">
        <f>Sheet2!A7265</f>
        <v>0</v>
      </c>
      <c r="B7265" s="8">
        <v>4.04</v>
      </c>
      <c r="C7265" s="9">
        <v>0</v>
      </c>
      <c r="D7265" s="13">
        <f t="shared" si="113"/>
        <v>4.04</v>
      </c>
    </row>
    <row r="7266" spans="1:4" x14ac:dyDescent="0.25">
      <c r="A7266" s="15">
        <f>Sheet2!A7266</f>
        <v>0</v>
      </c>
      <c r="B7266" s="8">
        <v>0</v>
      </c>
      <c r="C7266" s="9">
        <v>1.1000000000000001</v>
      </c>
      <c r="D7266" s="13">
        <f t="shared" si="113"/>
        <v>1.1000000000000001</v>
      </c>
    </row>
    <row r="7267" spans="1:4" x14ac:dyDescent="0.25">
      <c r="A7267" s="15">
        <f>Sheet2!A7267</f>
        <v>0</v>
      </c>
      <c r="B7267" s="8">
        <v>0</v>
      </c>
      <c r="C7267" s="9">
        <v>1.6</v>
      </c>
      <c r="D7267" s="13">
        <f t="shared" si="113"/>
        <v>1.6</v>
      </c>
    </row>
    <row r="7268" spans="1:4" x14ac:dyDescent="0.25">
      <c r="A7268" s="15">
        <f>Sheet2!A7268</f>
        <v>0</v>
      </c>
      <c r="B7268" s="8">
        <v>0</v>
      </c>
      <c r="C7268" s="9">
        <v>0.68</v>
      </c>
      <c r="D7268" s="13">
        <f t="shared" si="113"/>
        <v>0.68</v>
      </c>
    </row>
    <row r="7269" spans="1:4" x14ac:dyDescent="0.25">
      <c r="A7269" s="15">
        <f>Sheet2!A7269</f>
        <v>0</v>
      </c>
      <c r="B7269" s="8">
        <v>2.82</v>
      </c>
      <c r="C7269" s="9">
        <v>0</v>
      </c>
      <c r="D7269" s="13">
        <f t="shared" si="113"/>
        <v>2.82</v>
      </c>
    </row>
    <row r="7270" spans="1:4" x14ac:dyDescent="0.25">
      <c r="A7270" s="15">
        <f>Sheet2!A7270</f>
        <v>0</v>
      </c>
      <c r="B7270" s="8">
        <v>2.4900000000000002</v>
      </c>
      <c r="C7270" s="9">
        <v>0</v>
      </c>
      <c r="D7270" s="13">
        <f t="shared" si="113"/>
        <v>2.4900000000000002</v>
      </c>
    </row>
    <row r="7271" spans="1:4" x14ac:dyDescent="0.25">
      <c r="A7271" s="15">
        <f>Sheet2!A7271</f>
        <v>0</v>
      </c>
      <c r="B7271" s="8">
        <v>2.34</v>
      </c>
      <c r="C7271" s="9">
        <v>0</v>
      </c>
      <c r="D7271" s="13">
        <f t="shared" si="113"/>
        <v>2.34</v>
      </c>
    </row>
    <row r="7272" spans="1:4" x14ac:dyDescent="0.25">
      <c r="A7272" s="15">
        <f>Sheet2!A7272</f>
        <v>0</v>
      </c>
      <c r="B7272" s="8">
        <v>2.58</v>
      </c>
      <c r="C7272" s="9">
        <v>0</v>
      </c>
      <c r="D7272" s="13">
        <f t="shared" si="113"/>
        <v>2.58</v>
      </c>
    </row>
    <row r="7273" spans="1:4" x14ac:dyDescent="0.25">
      <c r="A7273" s="15">
        <f>Sheet2!A7273</f>
        <v>0</v>
      </c>
      <c r="B7273" s="8">
        <v>2.15</v>
      </c>
      <c r="C7273" s="9">
        <v>0</v>
      </c>
      <c r="D7273" s="13">
        <f t="shared" si="113"/>
        <v>2.15</v>
      </c>
    </row>
    <row r="7274" spans="1:4" x14ac:dyDescent="0.25">
      <c r="A7274" s="15">
        <f>Sheet2!A7274</f>
        <v>0</v>
      </c>
      <c r="B7274" s="8">
        <v>2.11</v>
      </c>
      <c r="C7274" s="9">
        <v>0</v>
      </c>
      <c r="D7274" s="13">
        <f t="shared" si="113"/>
        <v>2.11</v>
      </c>
    </row>
    <row r="7275" spans="1:4" x14ac:dyDescent="0.25">
      <c r="A7275" s="15">
        <f>Sheet2!A7275</f>
        <v>0</v>
      </c>
      <c r="B7275" s="8">
        <v>2.1800000000000002</v>
      </c>
      <c r="C7275" s="9">
        <v>0</v>
      </c>
      <c r="D7275" s="13">
        <f t="shared" si="113"/>
        <v>2.1800000000000002</v>
      </c>
    </row>
    <row r="7276" spans="1:4" x14ac:dyDescent="0.25">
      <c r="A7276" s="15">
        <f>Sheet2!A7276</f>
        <v>0</v>
      </c>
      <c r="B7276" s="8">
        <v>1.95</v>
      </c>
      <c r="C7276" s="9">
        <v>0</v>
      </c>
      <c r="D7276" s="13">
        <f t="shared" si="113"/>
        <v>1.95</v>
      </c>
    </row>
    <row r="7277" spans="1:4" x14ac:dyDescent="0.25">
      <c r="A7277" s="15">
        <f>Sheet2!A7277</f>
        <v>0</v>
      </c>
      <c r="B7277" s="8">
        <v>2.0699999999999998</v>
      </c>
      <c r="C7277" s="9">
        <v>0</v>
      </c>
      <c r="D7277" s="13">
        <f t="shared" si="113"/>
        <v>2.0699999999999998</v>
      </c>
    </row>
    <row r="7278" spans="1:4" x14ac:dyDescent="0.25">
      <c r="A7278" s="15">
        <f>Sheet2!A7278</f>
        <v>0</v>
      </c>
      <c r="B7278" s="8">
        <v>2.4700000000000002</v>
      </c>
      <c r="C7278" s="9">
        <v>0</v>
      </c>
      <c r="D7278" s="13">
        <f t="shared" si="113"/>
        <v>2.4700000000000002</v>
      </c>
    </row>
    <row r="7279" spans="1:4" x14ac:dyDescent="0.25">
      <c r="A7279" s="15">
        <f>Sheet2!A7279</f>
        <v>0</v>
      </c>
      <c r="B7279" s="8">
        <v>3.53</v>
      </c>
      <c r="C7279" s="9">
        <v>0</v>
      </c>
      <c r="D7279" s="13">
        <f t="shared" si="113"/>
        <v>3.53</v>
      </c>
    </row>
    <row r="7280" spans="1:4" x14ac:dyDescent="0.25">
      <c r="A7280" s="15">
        <f>Sheet2!A7280</f>
        <v>0</v>
      </c>
      <c r="B7280" s="8">
        <v>0</v>
      </c>
      <c r="C7280" s="9">
        <v>0.34</v>
      </c>
      <c r="D7280" s="13">
        <f t="shared" si="113"/>
        <v>0.34</v>
      </c>
    </row>
    <row r="7281" spans="1:4" x14ac:dyDescent="0.25">
      <c r="A7281" s="15">
        <f>Sheet2!A7281</f>
        <v>0</v>
      </c>
      <c r="B7281" s="8">
        <v>0</v>
      </c>
      <c r="C7281" s="9">
        <v>0.6</v>
      </c>
      <c r="D7281" s="13">
        <f t="shared" si="113"/>
        <v>0.6</v>
      </c>
    </row>
    <row r="7282" spans="1:4" x14ac:dyDescent="0.25">
      <c r="A7282" s="15">
        <f>Sheet2!A7282</f>
        <v>0</v>
      </c>
      <c r="B7282" s="8">
        <v>2.74</v>
      </c>
      <c r="C7282" s="9">
        <v>0</v>
      </c>
      <c r="D7282" s="13">
        <f t="shared" si="113"/>
        <v>2.74</v>
      </c>
    </row>
    <row r="7283" spans="1:4" x14ac:dyDescent="0.25">
      <c r="A7283" s="15">
        <f>Sheet2!A7283</f>
        <v>0</v>
      </c>
      <c r="B7283" s="8">
        <v>3.55</v>
      </c>
      <c r="C7283" s="9">
        <v>0</v>
      </c>
      <c r="D7283" s="13">
        <f t="shared" si="113"/>
        <v>3.55</v>
      </c>
    </row>
    <row r="7284" spans="1:4" x14ac:dyDescent="0.25">
      <c r="A7284" s="15">
        <f>Sheet2!A7284</f>
        <v>0</v>
      </c>
      <c r="B7284" s="8">
        <v>0</v>
      </c>
      <c r="C7284" s="9">
        <v>0.36</v>
      </c>
      <c r="D7284" s="13">
        <f t="shared" si="113"/>
        <v>0.36</v>
      </c>
    </row>
    <row r="7285" spans="1:4" x14ac:dyDescent="0.25">
      <c r="A7285" s="15">
        <f>Sheet2!A7285</f>
        <v>0</v>
      </c>
      <c r="B7285" s="8">
        <v>0</v>
      </c>
      <c r="C7285" s="9">
        <v>0.93</v>
      </c>
      <c r="D7285" s="13">
        <f t="shared" si="113"/>
        <v>0.93</v>
      </c>
    </row>
    <row r="7286" spans="1:4" x14ac:dyDescent="0.25">
      <c r="A7286" s="15">
        <f>Sheet2!A7286</f>
        <v>0</v>
      </c>
      <c r="B7286" s="8">
        <v>0</v>
      </c>
      <c r="C7286" s="9">
        <v>0.33</v>
      </c>
      <c r="D7286" s="13">
        <f t="shared" si="113"/>
        <v>0.33</v>
      </c>
    </row>
    <row r="7287" spans="1:4" x14ac:dyDescent="0.25">
      <c r="A7287" s="15">
        <f>Sheet2!A7287</f>
        <v>0</v>
      </c>
      <c r="B7287" s="8">
        <v>3.71</v>
      </c>
      <c r="C7287" s="9">
        <v>0</v>
      </c>
      <c r="D7287" s="13">
        <f t="shared" si="113"/>
        <v>3.71</v>
      </c>
    </row>
    <row r="7288" spans="1:4" x14ac:dyDescent="0.25">
      <c r="A7288" s="15">
        <f>Sheet2!A7288</f>
        <v>0</v>
      </c>
      <c r="B7288" s="8">
        <v>0</v>
      </c>
      <c r="C7288" s="9">
        <v>0.82</v>
      </c>
      <c r="D7288" s="13">
        <f t="shared" si="113"/>
        <v>0.82</v>
      </c>
    </row>
    <row r="7289" spans="1:4" x14ac:dyDescent="0.25">
      <c r="A7289" s="15">
        <f>Sheet2!A7289</f>
        <v>0</v>
      </c>
      <c r="B7289" s="8">
        <v>0</v>
      </c>
      <c r="C7289" s="9">
        <v>1.28</v>
      </c>
      <c r="D7289" s="13">
        <f t="shared" si="113"/>
        <v>1.28</v>
      </c>
    </row>
    <row r="7290" spans="1:4" x14ac:dyDescent="0.25">
      <c r="A7290" s="15">
        <f>Sheet2!A7290</f>
        <v>0</v>
      </c>
      <c r="B7290" s="8">
        <v>0</v>
      </c>
      <c r="C7290" s="9">
        <v>0.3</v>
      </c>
      <c r="D7290" s="13">
        <f t="shared" si="113"/>
        <v>0.3</v>
      </c>
    </row>
    <row r="7291" spans="1:4" x14ac:dyDescent="0.25">
      <c r="A7291" s="15">
        <f>Sheet2!A7291</f>
        <v>0</v>
      </c>
      <c r="B7291" s="8">
        <v>3.03</v>
      </c>
      <c r="C7291" s="9">
        <v>0</v>
      </c>
      <c r="D7291" s="13">
        <f t="shared" si="113"/>
        <v>3.03</v>
      </c>
    </row>
    <row r="7292" spans="1:4" x14ac:dyDescent="0.25">
      <c r="A7292" s="15">
        <f>Sheet2!A7292</f>
        <v>0</v>
      </c>
      <c r="B7292" s="8">
        <v>3.48</v>
      </c>
      <c r="C7292" s="9">
        <v>0</v>
      </c>
      <c r="D7292" s="13">
        <f t="shared" si="113"/>
        <v>3.48</v>
      </c>
    </row>
    <row r="7293" spans="1:4" x14ac:dyDescent="0.25">
      <c r="A7293" s="15">
        <f>Sheet2!A7293</f>
        <v>0</v>
      </c>
      <c r="B7293" s="8">
        <v>3.19</v>
      </c>
      <c r="C7293" s="9">
        <v>0</v>
      </c>
      <c r="D7293" s="13">
        <f t="shared" si="113"/>
        <v>3.19</v>
      </c>
    </row>
    <row r="7294" spans="1:4" x14ac:dyDescent="0.25">
      <c r="A7294" s="15">
        <f>Sheet2!A7294</f>
        <v>0</v>
      </c>
      <c r="B7294" s="8">
        <v>2.67</v>
      </c>
      <c r="C7294" s="9">
        <v>0</v>
      </c>
      <c r="D7294" s="13">
        <f t="shared" si="113"/>
        <v>2.67</v>
      </c>
    </row>
    <row r="7295" spans="1:4" x14ac:dyDescent="0.25">
      <c r="A7295" s="15">
        <f>Sheet2!A7295</f>
        <v>0</v>
      </c>
      <c r="B7295" s="8">
        <v>2.7</v>
      </c>
      <c r="C7295" s="9">
        <v>0</v>
      </c>
      <c r="D7295" s="13">
        <f t="shared" si="113"/>
        <v>2.7</v>
      </c>
    </row>
    <row r="7296" spans="1:4" x14ac:dyDescent="0.25">
      <c r="A7296" s="15">
        <f>Sheet2!A7296</f>
        <v>0</v>
      </c>
      <c r="B7296" s="8">
        <v>3.97</v>
      </c>
      <c r="C7296" s="9">
        <v>0</v>
      </c>
      <c r="D7296" s="13">
        <f t="shared" si="113"/>
        <v>3.97</v>
      </c>
    </row>
    <row r="7297" spans="1:4" x14ac:dyDescent="0.25">
      <c r="A7297" s="15">
        <f>Sheet2!A7297</f>
        <v>0</v>
      </c>
      <c r="B7297" s="8">
        <v>3.48</v>
      </c>
      <c r="C7297" s="9">
        <v>0</v>
      </c>
      <c r="D7297" s="13">
        <f t="shared" si="113"/>
        <v>3.48</v>
      </c>
    </row>
    <row r="7298" spans="1:4" x14ac:dyDescent="0.25">
      <c r="A7298" s="15">
        <f>Sheet2!A7298</f>
        <v>0</v>
      </c>
      <c r="B7298" s="8">
        <v>3.41</v>
      </c>
      <c r="C7298" s="9">
        <v>0</v>
      </c>
      <c r="D7298" s="13">
        <f t="shared" si="113"/>
        <v>3.41</v>
      </c>
    </row>
    <row r="7299" spans="1:4" x14ac:dyDescent="0.25">
      <c r="A7299" s="15">
        <f>Sheet2!A7299</f>
        <v>0</v>
      </c>
      <c r="B7299" s="8">
        <v>4.29</v>
      </c>
      <c r="C7299" s="9">
        <v>0</v>
      </c>
      <c r="D7299" s="13">
        <f t="shared" ref="D7299:D7362" si="114">B7299+C7299</f>
        <v>4.29</v>
      </c>
    </row>
    <row r="7300" spans="1:4" x14ac:dyDescent="0.25">
      <c r="A7300" s="15">
        <f>Sheet2!A7300</f>
        <v>0</v>
      </c>
      <c r="B7300" s="8">
        <v>4.95</v>
      </c>
      <c r="C7300" s="9">
        <v>0</v>
      </c>
      <c r="D7300" s="13">
        <f t="shared" si="114"/>
        <v>4.95</v>
      </c>
    </row>
    <row r="7301" spans="1:4" x14ac:dyDescent="0.25">
      <c r="A7301" s="15">
        <f>Sheet2!A7301</f>
        <v>0</v>
      </c>
      <c r="B7301" s="8">
        <v>4.92</v>
      </c>
      <c r="C7301" s="9">
        <v>0</v>
      </c>
      <c r="D7301" s="13">
        <f t="shared" si="114"/>
        <v>4.92</v>
      </c>
    </row>
    <row r="7302" spans="1:4" x14ac:dyDescent="0.25">
      <c r="A7302" s="15">
        <f>Sheet2!A7302</f>
        <v>0</v>
      </c>
      <c r="B7302" s="8">
        <v>2.73</v>
      </c>
      <c r="C7302" s="9">
        <v>0</v>
      </c>
      <c r="D7302" s="13">
        <f t="shared" si="114"/>
        <v>2.73</v>
      </c>
    </row>
    <row r="7303" spans="1:4" x14ac:dyDescent="0.25">
      <c r="A7303" s="15">
        <f>Sheet2!A7303</f>
        <v>0</v>
      </c>
      <c r="B7303" s="8">
        <v>2.7</v>
      </c>
      <c r="C7303" s="9">
        <v>0</v>
      </c>
      <c r="D7303" s="13">
        <f t="shared" si="114"/>
        <v>2.7</v>
      </c>
    </row>
    <row r="7304" spans="1:4" x14ac:dyDescent="0.25">
      <c r="A7304" s="15">
        <f>Sheet2!A7304</f>
        <v>0</v>
      </c>
      <c r="B7304" s="8">
        <v>2.75</v>
      </c>
      <c r="C7304" s="9">
        <v>0</v>
      </c>
      <c r="D7304" s="13">
        <f t="shared" si="114"/>
        <v>2.75</v>
      </c>
    </row>
    <row r="7305" spans="1:4" x14ac:dyDescent="0.25">
      <c r="A7305" s="15">
        <f>Sheet2!A7305</f>
        <v>0</v>
      </c>
      <c r="B7305" s="8">
        <v>2.72</v>
      </c>
      <c r="C7305" s="9">
        <v>0</v>
      </c>
      <c r="D7305" s="13">
        <f t="shared" si="114"/>
        <v>2.72</v>
      </c>
    </row>
    <row r="7306" spans="1:4" x14ac:dyDescent="0.25">
      <c r="A7306" s="15">
        <f>Sheet2!A7306</f>
        <v>0</v>
      </c>
      <c r="B7306" s="8">
        <v>0</v>
      </c>
      <c r="C7306" s="9">
        <v>1.1399999999999999</v>
      </c>
      <c r="D7306" s="13">
        <f t="shared" si="114"/>
        <v>1.1399999999999999</v>
      </c>
    </row>
    <row r="7307" spans="1:4" x14ac:dyDescent="0.25">
      <c r="A7307" s="15">
        <f>Sheet2!A7307</f>
        <v>0</v>
      </c>
      <c r="B7307" s="8">
        <v>0</v>
      </c>
      <c r="C7307" s="9">
        <v>0.76</v>
      </c>
      <c r="D7307" s="13">
        <f t="shared" si="114"/>
        <v>0.76</v>
      </c>
    </row>
    <row r="7308" spans="1:4" x14ac:dyDescent="0.25">
      <c r="A7308" s="15">
        <f>Sheet2!A7308</f>
        <v>0</v>
      </c>
      <c r="B7308" s="8">
        <v>0</v>
      </c>
      <c r="C7308" s="9">
        <v>0.28999999999999998</v>
      </c>
      <c r="D7308" s="13">
        <f t="shared" si="114"/>
        <v>0.28999999999999998</v>
      </c>
    </row>
    <row r="7309" spans="1:4" x14ac:dyDescent="0.25">
      <c r="A7309" s="15">
        <f>Sheet2!A7309</f>
        <v>0</v>
      </c>
      <c r="B7309" s="8">
        <v>4.34</v>
      </c>
      <c r="C7309" s="9">
        <v>0</v>
      </c>
      <c r="D7309" s="13">
        <f t="shared" si="114"/>
        <v>4.34</v>
      </c>
    </row>
    <row r="7310" spans="1:4" x14ac:dyDescent="0.25">
      <c r="A7310" s="15">
        <f>Sheet2!A7310</f>
        <v>0</v>
      </c>
      <c r="B7310" s="8">
        <v>4.4000000000000004</v>
      </c>
      <c r="C7310" s="9">
        <v>0</v>
      </c>
      <c r="D7310" s="13">
        <f t="shared" si="114"/>
        <v>4.4000000000000004</v>
      </c>
    </row>
    <row r="7311" spans="1:4" x14ac:dyDescent="0.25">
      <c r="A7311" s="15">
        <f>Sheet2!A7311</f>
        <v>0</v>
      </c>
      <c r="B7311" s="8">
        <v>4.1500000000000004</v>
      </c>
      <c r="C7311" s="9">
        <v>0</v>
      </c>
      <c r="D7311" s="13">
        <f t="shared" si="114"/>
        <v>4.1500000000000004</v>
      </c>
    </row>
    <row r="7312" spans="1:4" x14ac:dyDescent="0.25">
      <c r="A7312" s="15">
        <f>Sheet2!A7312</f>
        <v>0</v>
      </c>
      <c r="B7312" s="8">
        <v>0</v>
      </c>
      <c r="C7312" s="9">
        <v>0.92</v>
      </c>
      <c r="D7312" s="13">
        <f t="shared" si="114"/>
        <v>0.92</v>
      </c>
    </row>
    <row r="7313" spans="1:4" x14ac:dyDescent="0.25">
      <c r="A7313" s="15">
        <f>Sheet2!A7313</f>
        <v>0</v>
      </c>
      <c r="B7313" s="8">
        <v>0</v>
      </c>
      <c r="C7313" s="9">
        <v>1.1299999999999999</v>
      </c>
      <c r="D7313" s="13">
        <f t="shared" si="114"/>
        <v>1.1299999999999999</v>
      </c>
    </row>
    <row r="7314" spans="1:4" x14ac:dyDescent="0.25">
      <c r="A7314" s="15">
        <f>Sheet2!A7314</f>
        <v>0</v>
      </c>
      <c r="B7314" s="8">
        <v>0</v>
      </c>
      <c r="C7314" s="9">
        <v>0.38</v>
      </c>
      <c r="D7314" s="13">
        <f t="shared" si="114"/>
        <v>0.38</v>
      </c>
    </row>
    <row r="7315" spans="1:4" x14ac:dyDescent="0.25">
      <c r="A7315" s="15">
        <f>Sheet2!A7315</f>
        <v>0</v>
      </c>
      <c r="B7315" s="8">
        <v>4.3600000000000003</v>
      </c>
      <c r="C7315" s="9">
        <v>0</v>
      </c>
      <c r="D7315" s="13">
        <f t="shared" si="114"/>
        <v>4.3600000000000003</v>
      </c>
    </row>
    <row r="7316" spans="1:4" x14ac:dyDescent="0.25">
      <c r="A7316" s="15">
        <f>Sheet2!A7316</f>
        <v>0</v>
      </c>
      <c r="B7316" s="8">
        <v>3.28</v>
      </c>
      <c r="C7316" s="9">
        <v>0</v>
      </c>
      <c r="D7316" s="13">
        <f t="shared" si="114"/>
        <v>3.28</v>
      </c>
    </row>
    <row r="7317" spans="1:4" x14ac:dyDescent="0.25">
      <c r="A7317" s="15">
        <f>Sheet2!A7317</f>
        <v>0</v>
      </c>
      <c r="B7317" s="8">
        <v>2</v>
      </c>
      <c r="C7317" s="9">
        <v>0</v>
      </c>
      <c r="D7317" s="13">
        <f t="shared" si="114"/>
        <v>2</v>
      </c>
    </row>
    <row r="7318" spans="1:4" x14ac:dyDescent="0.25">
      <c r="A7318" s="15">
        <f>Sheet2!A7318</f>
        <v>0</v>
      </c>
      <c r="B7318" s="8">
        <v>2.02</v>
      </c>
      <c r="C7318" s="9">
        <v>0</v>
      </c>
      <c r="D7318" s="13">
        <f t="shared" si="114"/>
        <v>2.02</v>
      </c>
    </row>
    <row r="7319" spans="1:4" x14ac:dyDescent="0.25">
      <c r="A7319" s="15">
        <f>Sheet2!A7319</f>
        <v>0</v>
      </c>
      <c r="B7319" s="8">
        <v>1.22</v>
      </c>
      <c r="C7319" s="9">
        <v>0</v>
      </c>
      <c r="D7319" s="13">
        <f t="shared" si="114"/>
        <v>1.22</v>
      </c>
    </row>
    <row r="7320" spans="1:4" x14ac:dyDescent="0.25">
      <c r="A7320" s="15">
        <f>Sheet2!A7320</f>
        <v>0</v>
      </c>
      <c r="B7320" s="8">
        <v>1.1599999999999999</v>
      </c>
      <c r="C7320" s="9">
        <v>0</v>
      </c>
      <c r="D7320" s="13">
        <f t="shared" si="114"/>
        <v>1.1599999999999999</v>
      </c>
    </row>
    <row r="7321" spans="1:4" x14ac:dyDescent="0.25">
      <c r="A7321" s="15">
        <f>Sheet2!A7321</f>
        <v>0</v>
      </c>
      <c r="B7321" s="8">
        <v>0.96</v>
      </c>
      <c r="C7321" s="9">
        <v>0</v>
      </c>
      <c r="D7321" s="13">
        <f t="shared" si="114"/>
        <v>0.96</v>
      </c>
    </row>
    <row r="7322" spans="1:4" x14ac:dyDescent="0.25">
      <c r="A7322" s="15">
        <f>Sheet2!A7322</f>
        <v>0</v>
      </c>
      <c r="B7322" s="8">
        <v>1.06</v>
      </c>
      <c r="C7322" s="9">
        <v>0</v>
      </c>
      <c r="D7322" s="13">
        <f t="shared" si="114"/>
        <v>1.06</v>
      </c>
    </row>
    <row r="7323" spans="1:4" x14ac:dyDescent="0.25">
      <c r="A7323" s="15">
        <f>Sheet2!A7323</f>
        <v>0</v>
      </c>
      <c r="B7323" s="8">
        <v>0.96</v>
      </c>
      <c r="C7323" s="9">
        <v>0</v>
      </c>
      <c r="D7323" s="13">
        <f t="shared" si="114"/>
        <v>0.96</v>
      </c>
    </row>
    <row r="7324" spans="1:4" x14ac:dyDescent="0.25">
      <c r="A7324" s="15">
        <f>Sheet2!A7324</f>
        <v>0</v>
      </c>
      <c r="B7324" s="8">
        <v>0.79</v>
      </c>
      <c r="C7324" s="9">
        <v>0</v>
      </c>
      <c r="D7324" s="13">
        <f t="shared" si="114"/>
        <v>0.79</v>
      </c>
    </row>
    <row r="7325" spans="1:4" x14ac:dyDescent="0.25">
      <c r="A7325" s="15">
        <f>Sheet2!A7325</f>
        <v>0</v>
      </c>
      <c r="B7325" s="8">
        <v>0.91</v>
      </c>
      <c r="C7325" s="9">
        <v>0</v>
      </c>
      <c r="D7325" s="13">
        <f t="shared" si="114"/>
        <v>0.91</v>
      </c>
    </row>
    <row r="7326" spans="1:4" x14ac:dyDescent="0.25">
      <c r="A7326" s="15">
        <f>Sheet2!A7326</f>
        <v>0</v>
      </c>
      <c r="B7326" s="8">
        <v>0.92</v>
      </c>
      <c r="C7326" s="9">
        <v>0</v>
      </c>
      <c r="D7326" s="13">
        <f t="shared" si="114"/>
        <v>0.92</v>
      </c>
    </row>
    <row r="7327" spans="1:4" x14ac:dyDescent="0.25">
      <c r="A7327" s="15">
        <f>Sheet2!A7327</f>
        <v>0</v>
      </c>
      <c r="B7327" s="8">
        <v>0.53</v>
      </c>
      <c r="C7327" s="9">
        <v>0</v>
      </c>
      <c r="D7327" s="13">
        <f t="shared" si="114"/>
        <v>0.53</v>
      </c>
    </row>
    <row r="7328" spans="1:4" x14ac:dyDescent="0.25">
      <c r="A7328" s="15">
        <f>Sheet2!A7328</f>
        <v>0</v>
      </c>
      <c r="B7328" s="8">
        <v>0.61</v>
      </c>
      <c r="C7328" s="9">
        <v>0</v>
      </c>
      <c r="D7328" s="13">
        <f t="shared" si="114"/>
        <v>0.61</v>
      </c>
    </row>
    <row r="7329" spans="1:4" x14ac:dyDescent="0.25">
      <c r="A7329" s="15">
        <f>Sheet2!A7329</f>
        <v>0</v>
      </c>
      <c r="B7329" s="8">
        <v>0.56000000000000005</v>
      </c>
      <c r="C7329" s="9">
        <v>0</v>
      </c>
      <c r="D7329" s="13">
        <f t="shared" si="114"/>
        <v>0.56000000000000005</v>
      </c>
    </row>
    <row r="7330" spans="1:4" x14ac:dyDescent="0.25">
      <c r="A7330" s="15">
        <f>Sheet2!A7330</f>
        <v>0</v>
      </c>
      <c r="B7330" s="8">
        <v>0</v>
      </c>
      <c r="C7330" s="9">
        <v>0.51</v>
      </c>
      <c r="D7330" s="13">
        <f t="shared" si="114"/>
        <v>0.51</v>
      </c>
    </row>
    <row r="7331" spans="1:4" x14ac:dyDescent="0.25">
      <c r="A7331" s="15">
        <f>Sheet2!A7331</f>
        <v>0</v>
      </c>
      <c r="B7331" s="8">
        <v>0</v>
      </c>
      <c r="C7331" s="9">
        <v>0.84</v>
      </c>
      <c r="D7331" s="13">
        <f t="shared" si="114"/>
        <v>0.84</v>
      </c>
    </row>
    <row r="7332" spans="1:4" x14ac:dyDescent="0.25">
      <c r="A7332" s="15">
        <f>Sheet2!A7332</f>
        <v>0</v>
      </c>
      <c r="B7332" s="8">
        <v>0</v>
      </c>
      <c r="C7332" s="9">
        <v>0.26</v>
      </c>
      <c r="D7332" s="13">
        <f t="shared" si="114"/>
        <v>0.26</v>
      </c>
    </row>
    <row r="7333" spans="1:4" x14ac:dyDescent="0.25">
      <c r="A7333" s="15">
        <f>Sheet2!A7333</f>
        <v>0</v>
      </c>
      <c r="B7333" s="8">
        <v>0.98</v>
      </c>
      <c r="C7333" s="9">
        <v>0</v>
      </c>
      <c r="D7333" s="13">
        <f t="shared" si="114"/>
        <v>0.98</v>
      </c>
    </row>
    <row r="7334" spans="1:4" x14ac:dyDescent="0.25">
      <c r="A7334" s="15">
        <f>Sheet2!A7334</f>
        <v>0</v>
      </c>
      <c r="B7334" s="8">
        <v>0</v>
      </c>
      <c r="C7334" s="9">
        <v>0.71</v>
      </c>
      <c r="D7334" s="13">
        <f t="shared" si="114"/>
        <v>0.71</v>
      </c>
    </row>
    <row r="7335" spans="1:4" x14ac:dyDescent="0.25">
      <c r="A7335" s="15">
        <f>Sheet2!A7335</f>
        <v>0</v>
      </c>
      <c r="B7335" s="8">
        <v>0</v>
      </c>
      <c r="C7335" s="9">
        <v>1.06</v>
      </c>
      <c r="D7335" s="13">
        <f t="shared" si="114"/>
        <v>1.06</v>
      </c>
    </row>
    <row r="7336" spans="1:4" x14ac:dyDescent="0.25">
      <c r="A7336" s="15">
        <f>Sheet2!A7336</f>
        <v>0</v>
      </c>
      <c r="B7336" s="8">
        <v>0</v>
      </c>
      <c r="C7336" s="9">
        <v>0.39</v>
      </c>
      <c r="D7336" s="13">
        <f t="shared" si="114"/>
        <v>0.39</v>
      </c>
    </row>
    <row r="7337" spans="1:4" x14ac:dyDescent="0.25">
      <c r="A7337" s="15">
        <f>Sheet2!A7337</f>
        <v>0</v>
      </c>
      <c r="B7337" s="8">
        <v>1.81</v>
      </c>
      <c r="C7337" s="9">
        <v>0</v>
      </c>
      <c r="D7337" s="13">
        <f t="shared" si="114"/>
        <v>1.81</v>
      </c>
    </row>
    <row r="7338" spans="1:4" x14ac:dyDescent="0.25">
      <c r="A7338" s="15">
        <f>Sheet2!A7338</f>
        <v>0</v>
      </c>
      <c r="B7338" s="8">
        <v>0</v>
      </c>
      <c r="C7338" s="9">
        <v>1.01</v>
      </c>
      <c r="D7338" s="13">
        <f t="shared" si="114"/>
        <v>1.01</v>
      </c>
    </row>
    <row r="7339" spans="1:4" x14ac:dyDescent="0.25">
      <c r="A7339" s="15">
        <f>Sheet2!A7339</f>
        <v>0</v>
      </c>
      <c r="B7339" s="8">
        <v>0</v>
      </c>
      <c r="C7339" s="9">
        <v>1.31</v>
      </c>
      <c r="D7339" s="13">
        <f t="shared" si="114"/>
        <v>1.31</v>
      </c>
    </row>
    <row r="7340" spans="1:4" x14ac:dyDescent="0.25">
      <c r="A7340" s="15">
        <f>Sheet2!A7340</f>
        <v>0</v>
      </c>
      <c r="B7340" s="8">
        <v>0</v>
      </c>
      <c r="C7340" s="9">
        <v>0.34</v>
      </c>
      <c r="D7340" s="13">
        <f t="shared" si="114"/>
        <v>0.34</v>
      </c>
    </row>
    <row r="7341" spans="1:4" x14ac:dyDescent="0.25">
      <c r="A7341" s="15">
        <f>Sheet2!A7341</f>
        <v>0</v>
      </c>
      <c r="B7341" s="8">
        <v>1.45</v>
      </c>
      <c r="C7341" s="9">
        <v>0</v>
      </c>
      <c r="D7341" s="13">
        <f t="shared" si="114"/>
        <v>1.45</v>
      </c>
    </row>
    <row r="7342" spans="1:4" x14ac:dyDescent="0.25">
      <c r="A7342" s="15">
        <f>Sheet2!A7342</f>
        <v>0</v>
      </c>
      <c r="B7342" s="8">
        <v>1.1399999999999999</v>
      </c>
      <c r="C7342" s="9">
        <v>0</v>
      </c>
      <c r="D7342" s="13">
        <f t="shared" si="114"/>
        <v>1.1399999999999999</v>
      </c>
    </row>
    <row r="7343" spans="1:4" x14ac:dyDescent="0.25">
      <c r="A7343" s="15">
        <f>Sheet2!A7343</f>
        <v>0</v>
      </c>
      <c r="B7343" s="8">
        <v>1.3</v>
      </c>
      <c r="C7343" s="9">
        <v>0</v>
      </c>
      <c r="D7343" s="13">
        <f t="shared" si="114"/>
        <v>1.3</v>
      </c>
    </row>
    <row r="7344" spans="1:4" x14ac:dyDescent="0.25">
      <c r="A7344" s="15">
        <f>Sheet2!A7344</f>
        <v>0</v>
      </c>
      <c r="B7344" s="8">
        <v>0.91</v>
      </c>
      <c r="C7344" s="9">
        <v>0</v>
      </c>
      <c r="D7344" s="13">
        <f t="shared" si="114"/>
        <v>0.91</v>
      </c>
    </row>
    <row r="7345" spans="1:4" x14ac:dyDescent="0.25">
      <c r="A7345" s="15">
        <f>Sheet2!A7345</f>
        <v>0</v>
      </c>
      <c r="B7345" s="8">
        <v>0.84</v>
      </c>
      <c r="C7345" s="9">
        <v>0</v>
      </c>
      <c r="D7345" s="13">
        <f t="shared" si="114"/>
        <v>0.84</v>
      </c>
    </row>
    <row r="7346" spans="1:4" x14ac:dyDescent="0.25">
      <c r="A7346" s="15">
        <f>Sheet2!A7346</f>
        <v>0</v>
      </c>
      <c r="B7346" s="8">
        <v>0.87</v>
      </c>
      <c r="C7346" s="9">
        <v>0</v>
      </c>
      <c r="D7346" s="13">
        <f t="shared" si="114"/>
        <v>0.87</v>
      </c>
    </row>
    <row r="7347" spans="1:4" x14ac:dyDescent="0.25">
      <c r="A7347" s="15">
        <f>Sheet2!A7347</f>
        <v>0</v>
      </c>
      <c r="B7347" s="8">
        <v>0.77</v>
      </c>
      <c r="C7347" s="9">
        <v>0</v>
      </c>
      <c r="D7347" s="13">
        <f t="shared" si="114"/>
        <v>0.77</v>
      </c>
    </row>
    <row r="7348" spans="1:4" x14ac:dyDescent="0.25">
      <c r="A7348" s="15">
        <f>Sheet2!A7348</f>
        <v>0</v>
      </c>
      <c r="B7348" s="8">
        <v>0.82</v>
      </c>
      <c r="C7348" s="9">
        <v>0</v>
      </c>
      <c r="D7348" s="13">
        <f t="shared" si="114"/>
        <v>0.82</v>
      </c>
    </row>
    <row r="7349" spans="1:4" x14ac:dyDescent="0.25">
      <c r="A7349" s="15">
        <f>Sheet2!A7349</f>
        <v>0</v>
      </c>
      <c r="B7349" s="8">
        <v>0.9</v>
      </c>
      <c r="C7349" s="9">
        <v>0</v>
      </c>
      <c r="D7349" s="13">
        <f t="shared" si="114"/>
        <v>0.9</v>
      </c>
    </row>
    <row r="7350" spans="1:4" x14ac:dyDescent="0.25">
      <c r="A7350" s="15">
        <f>Sheet2!A7350</f>
        <v>0</v>
      </c>
      <c r="B7350" s="8">
        <v>2.13</v>
      </c>
      <c r="C7350" s="9">
        <v>0</v>
      </c>
      <c r="D7350" s="13">
        <f t="shared" si="114"/>
        <v>2.13</v>
      </c>
    </row>
    <row r="7351" spans="1:4" x14ac:dyDescent="0.25">
      <c r="A7351" s="15">
        <f>Sheet2!A7351</f>
        <v>0</v>
      </c>
      <c r="B7351" s="8">
        <v>1.1200000000000001</v>
      </c>
      <c r="C7351" s="9">
        <v>0</v>
      </c>
      <c r="D7351" s="13">
        <f t="shared" si="114"/>
        <v>1.1200000000000001</v>
      </c>
    </row>
    <row r="7352" spans="1:4" x14ac:dyDescent="0.25">
      <c r="A7352" s="15">
        <f>Sheet2!A7352</f>
        <v>0</v>
      </c>
      <c r="B7352" s="8">
        <v>0.8</v>
      </c>
      <c r="C7352" s="9">
        <v>0</v>
      </c>
      <c r="D7352" s="13">
        <f t="shared" si="114"/>
        <v>0.8</v>
      </c>
    </row>
    <row r="7353" spans="1:4" x14ac:dyDescent="0.25">
      <c r="A7353" s="15">
        <f>Sheet2!A7353</f>
        <v>0</v>
      </c>
      <c r="B7353" s="8">
        <v>0.73</v>
      </c>
      <c r="C7353" s="9">
        <v>0</v>
      </c>
      <c r="D7353" s="13">
        <f t="shared" si="114"/>
        <v>0.73</v>
      </c>
    </row>
    <row r="7354" spans="1:4" x14ac:dyDescent="0.25">
      <c r="A7354" s="15">
        <f>Sheet2!A7354</f>
        <v>0</v>
      </c>
      <c r="B7354" s="8">
        <v>0.74</v>
      </c>
      <c r="C7354" s="9">
        <v>0</v>
      </c>
      <c r="D7354" s="13">
        <f t="shared" si="114"/>
        <v>0.74</v>
      </c>
    </row>
    <row r="7355" spans="1:4" x14ac:dyDescent="0.25">
      <c r="A7355" s="15">
        <f>Sheet2!A7355</f>
        <v>0</v>
      </c>
      <c r="B7355" s="8">
        <v>1.17</v>
      </c>
      <c r="C7355" s="9">
        <v>0</v>
      </c>
      <c r="D7355" s="13">
        <f t="shared" si="114"/>
        <v>1.17</v>
      </c>
    </row>
    <row r="7356" spans="1:4" x14ac:dyDescent="0.25">
      <c r="A7356" s="15">
        <f>Sheet2!A7356</f>
        <v>0</v>
      </c>
      <c r="B7356" s="8">
        <v>0.95</v>
      </c>
      <c r="C7356" s="9">
        <v>0</v>
      </c>
      <c r="D7356" s="13">
        <f t="shared" si="114"/>
        <v>0.95</v>
      </c>
    </row>
    <row r="7357" spans="1:4" x14ac:dyDescent="0.25">
      <c r="A7357" s="15">
        <f>Sheet2!A7357</f>
        <v>0</v>
      </c>
      <c r="B7357" s="8">
        <v>0.74</v>
      </c>
      <c r="C7357" s="9">
        <v>0</v>
      </c>
      <c r="D7357" s="13">
        <f t="shared" si="114"/>
        <v>0.74</v>
      </c>
    </row>
    <row r="7358" spans="1:4" x14ac:dyDescent="0.25">
      <c r="A7358" s="15">
        <f>Sheet2!A7358</f>
        <v>0</v>
      </c>
      <c r="B7358" s="8">
        <v>0.67</v>
      </c>
      <c r="C7358" s="9">
        <v>0</v>
      </c>
      <c r="D7358" s="13">
        <f t="shared" si="114"/>
        <v>0.67</v>
      </c>
    </row>
    <row r="7359" spans="1:4" x14ac:dyDescent="0.25">
      <c r="A7359" s="15">
        <f>Sheet2!A7359</f>
        <v>0</v>
      </c>
      <c r="B7359" s="8">
        <v>0.83</v>
      </c>
      <c r="C7359" s="9">
        <v>0</v>
      </c>
      <c r="D7359" s="13">
        <f t="shared" si="114"/>
        <v>0.83</v>
      </c>
    </row>
    <row r="7360" spans="1:4" x14ac:dyDescent="0.25">
      <c r="A7360" s="15">
        <f>Sheet2!A7360</f>
        <v>0</v>
      </c>
      <c r="B7360" s="8">
        <v>1.22</v>
      </c>
      <c r="C7360" s="9">
        <v>0</v>
      </c>
      <c r="D7360" s="13">
        <f t="shared" si="114"/>
        <v>1.22</v>
      </c>
    </row>
    <row r="7361" spans="1:4" x14ac:dyDescent="0.25">
      <c r="A7361" s="15">
        <f>Sheet2!A7361</f>
        <v>0</v>
      </c>
      <c r="B7361" s="8">
        <v>1.56</v>
      </c>
      <c r="C7361" s="9">
        <v>0</v>
      </c>
      <c r="D7361" s="13">
        <f t="shared" si="114"/>
        <v>1.56</v>
      </c>
    </row>
    <row r="7362" spans="1:4" x14ac:dyDescent="0.25">
      <c r="A7362" s="15">
        <f>Sheet2!A7362</f>
        <v>0</v>
      </c>
      <c r="B7362" s="8">
        <v>1.28</v>
      </c>
      <c r="C7362" s="9">
        <v>0</v>
      </c>
      <c r="D7362" s="13">
        <f t="shared" si="114"/>
        <v>1.28</v>
      </c>
    </row>
    <row r="7363" spans="1:4" x14ac:dyDescent="0.25">
      <c r="A7363" s="15">
        <f>Sheet2!A7363</f>
        <v>0</v>
      </c>
      <c r="B7363" s="8">
        <v>1.18</v>
      </c>
      <c r="C7363" s="9">
        <v>0</v>
      </c>
      <c r="D7363" s="13">
        <f t="shared" ref="D7363:D7426" si="115">B7363+C7363</f>
        <v>1.18</v>
      </c>
    </row>
    <row r="7364" spans="1:4" x14ac:dyDescent="0.25">
      <c r="A7364" s="15">
        <f>Sheet2!A7364</f>
        <v>0</v>
      </c>
      <c r="B7364" s="8">
        <v>1.1499999999999999</v>
      </c>
      <c r="C7364" s="9">
        <v>0</v>
      </c>
      <c r="D7364" s="13">
        <f t="shared" si="115"/>
        <v>1.1499999999999999</v>
      </c>
    </row>
    <row r="7365" spans="1:4" x14ac:dyDescent="0.25">
      <c r="A7365" s="15">
        <f>Sheet2!A7365</f>
        <v>0</v>
      </c>
      <c r="B7365" s="8">
        <v>1.33</v>
      </c>
      <c r="C7365" s="9">
        <v>0</v>
      </c>
      <c r="D7365" s="13">
        <f t="shared" si="115"/>
        <v>1.33</v>
      </c>
    </row>
    <row r="7366" spans="1:4" x14ac:dyDescent="0.25">
      <c r="A7366" s="15">
        <f>Sheet2!A7366</f>
        <v>0</v>
      </c>
      <c r="B7366" s="8">
        <v>1.35</v>
      </c>
      <c r="C7366" s="9">
        <v>0</v>
      </c>
      <c r="D7366" s="13">
        <f t="shared" si="115"/>
        <v>1.35</v>
      </c>
    </row>
    <row r="7367" spans="1:4" x14ac:dyDescent="0.25">
      <c r="A7367" s="15">
        <f>Sheet2!A7367</f>
        <v>0</v>
      </c>
      <c r="B7367" s="8">
        <v>1.31</v>
      </c>
      <c r="C7367" s="9">
        <v>0</v>
      </c>
      <c r="D7367" s="13">
        <f t="shared" si="115"/>
        <v>1.31</v>
      </c>
    </row>
    <row r="7368" spans="1:4" x14ac:dyDescent="0.25">
      <c r="A7368" s="15">
        <f>Sheet2!A7368</f>
        <v>0</v>
      </c>
      <c r="B7368" s="8">
        <v>0.92</v>
      </c>
      <c r="C7368" s="9">
        <v>0</v>
      </c>
      <c r="D7368" s="13">
        <f t="shared" si="115"/>
        <v>0.92</v>
      </c>
    </row>
    <row r="7369" spans="1:4" x14ac:dyDescent="0.25">
      <c r="A7369" s="15">
        <f>Sheet2!A7369</f>
        <v>0</v>
      </c>
      <c r="B7369" s="8">
        <v>0.92</v>
      </c>
      <c r="C7369" s="9">
        <v>0</v>
      </c>
      <c r="D7369" s="13">
        <f t="shared" si="115"/>
        <v>0.92</v>
      </c>
    </row>
    <row r="7370" spans="1:4" x14ac:dyDescent="0.25">
      <c r="A7370" s="15">
        <f>Sheet2!A7370</f>
        <v>0</v>
      </c>
      <c r="B7370" s="8">
        <v>0.85</v>
      </c>
      <c r="C7370" s="9">
        <v>0</v>
      </c>
      <c r="D7370" s="13">
        <f t="shared" si="115"/>
        <v>0.85</v>
      </c>
    </row>
    <row r="7371" spans="1:4" x14ac:dyDescent="0.25">
      <c r="A7371" s="15">
        <f>Sheet2!A7371</f>
        <v>0</v>
      </c>
      <c r="B7371" s="8">
        <v>0.88</v>
      </c>
      <c r="C7371" s="9">
        <v>0</v>
      </c>
      <c r="D7371" s="13">
        <f t="shared" si="115"/>
        <v>0.88</v>
      </c>
    </row>
    <row r="7372" spans="1:4" x14ac:dyDescent="0.25">
      <c r="A7372" s="15">
        <f>Sheet2!A7372</f>
        <v>0</v>
      </c>
      <c r="B7372" s="8">
        <v>0.99</v>
      </c>
      <c r="C7372" s="9">
        <v>0</v>
      </c>
      <c r="D7372" s="13">
        <f t="shared" si="115"/>
        <v>0.99</v>
      </c>
    </row>
    <row r="7373" spans="1:4" x14ac:dyDescent="0.25">
      <c r="A7373" s="15">
        <f>Sheet2!A7373</f>
        <v>0</v>
      </c>
      <c r="B7373" s="8">
        <v>0.85</v>
      </c>
      <c r="C7373" s="9">
        <v>0</v>
      </c>
      <c r="D7373" s="13">
        <f t="shared" si="115"/>
        <v>0.85</v>
      </c>
    </row>
    <row r="7374" spans="1:4" x14ac:dyDescent="0.25">
      <c r="A7374" s="15">
        <f>Sheet2!A7374</f>
        <v>0</v>
      </c>
      <c r="B7374" s="8">
        <v>0.84</v>
      </c>
      <c r="C7374" s="9">
        <v>0</v>
      </c>
      <c r="D7374" s="13">
        <f t="shared" si="115"/>
        <v>0.84</v>
      </c>
    </row>
    <row r="7375" spans="1:4" x14ac:dyDescent="0.25">
      <c r="A7375" s="15">
        <f>Sheet2!A7375</f>
        <v>0</v>
      </c>
      <c r="B7375" s="8">
        <v>0.84</v>
      </c>
      <c r="C7375" s="9">
        <v>0</v>
      </c>
      <c r="D7375" s="13">
        <f t="shared" si="115"/>
        <v>0.84</v>
      </c>
    </row>
    <row r="7376" spans="1:4" x14ac:dyDescent="0.25">
      <c r="A7376" s="15">
        <f>Sheet2!A7376</f>
        <v>0</v>
      </c>
      <c r="B7376" s="8">
        <v>1.1599999999999999</v>
      </c>
      <c r="C7376" s="9">
        <v>0</v>
      </c>
      <c r="D7376" s="13">
        <f t="shared" si="115"/>
        <v>1.1599999999999999</v>
      </c>
    </row>
    <row r="7377" spans="1:4" x14ac:dyDescent="0.25">
      <c r="A7377" s="15">
        <f>Sheet2!A7377</f>
        <v>0</v>
      </c>
      <c r="B7377" s="8">
        <v>1.1499999999999999</v>
      </c>
      <c r="C7377" s="9">
        <v>0</v>
      </c>
      <c r="D7377" s="13">
        <f t="shared" si="115"/>
        <v>1.1499999999999999</v>
      </c>
    </row>
    <row r="7378" spans="1:4" x14ac:dyDescent="0.25">
      <c r="A7378" s="15">
        <f>Sheet2!A7378</f>
        <v>0</v>
      </c>
      <c r="B7378" s="8">
        <v>0.97</v>
      </c>
      <c r="C7378" s="9">
        <v>0</v>
      </c>
      <c r="D7378" s="13">
        <f t="shared" si="115"/>
        <v>0.97</v>
      </c>
    </row>
    <row r="7379" spans="1:4" x14ac:dyDescent="0.25">
      <c r="A7379" s="15">
        <f>Sheet2!A7379</f>
        <v>0</v>
      </c>
      <c r="B7379" s="8">
        <v>0.94</v>
      </c>
      <c r="C7379" s="9">
        <v>0</v>
      </c>
      <c r="D7379" s="13">
        <f t="shared" si="115"/>
        <v>0.94</v>
      </c>
    </row>
    <row r="7380" spans="1:4" x14ac:dyDescent="0.25">
      <c r="A7380" s="15">
        <f>Sheet2!A7380</f>
        <v>0</v>
      </c>
      <c r="B7380" s="8">
        <v>2.52</v>
      </c>
      <c r="C7380" s="9">
        <v>0</v>
      </c>
      <c r="D7380" s="13">
        <f t="shared" si="115"/>
        <v>2.52</v>
      </c>
    </row>
    <row r="7381" spans="1:4" x14ac:dyDescent="0.25">
      <c r="A7381" s="15">
        <f>Sheet2!A7381</f>
        <v>0</v>
      </c>
      <c r="B7381" s="8">
        <v>3.56</v>
      </c>
      <c r="C7381" s="9">
        <v>0</v>
      </c>
      <c r="D7381" s="13">
        <f t="shared" si="115"/>
        <v>3.56</v>
      </c>
    </row>
    <row r="7382" spans="1:4" x14ac:dyDescent="0.25">
      <c r="A7382" s="15">
        <f>Sheet2!A7382</f>
        <v>0</v>
      </c>
      <c r="B7382" s="8">
        <v>1.31</v>
      </c>
      <c r="C7382" s="9">
        <v>0</v>
      </c>
      <c r="D7382" s="13">
        <f t="shared" si="115"/>
        <v>1.31</v>
      </c>
    </row>
    <row r="7383" spans="1:4" x14ac:dyDescent="0.25">
      <c r="A7383" s="15">
        <f>Sheet2!A7383</f>
        <v>0</v>
      </c>
      <c r="B7383" s="8">
        <v>1.98</v>
      </c>
      <c r="C7383" s="9">
        <v>0</v>
      </c>
      <c r="D7383" s="13">
        <f t="shared" si="115"/>
        <v>1.98</v>
      </c>
    </row>
    <row r="7384" spans="1:4" x14ac:dyDescent="0.25">
      <c r="A7384" s="15">
        <f>Sheet2!A7384</f>
        <v>0</v>
      </c>
      <c r="B7384" s="8">
        <v>3.81</v>
      </c>
      <c r="C7384" s="9">
        <v>0</v>
      </c>
      <c r="D7384" s="13">
        <f t="shared" si="115"/>
        <v>3.81</v>
      </c>
    </row>
    <row r="7385" spans="1:4" x14ac:dyDescent="0.25">
      <c r="A7385" s="15">
        <f>Sheet2!A7385</f>
        <v>0</v>
      </c>
      <c r="B7385" s="8">
        <v>2.95</v>
      </c>
      <c r="C7385" s="9">
        <v>0</v>
      </c>
      <c r="D7385" s="13">
        <f t="shared" si="115"/>
        <v>2.95</v>
      </c>
    </row>
    <row r="7386" spans="1:4" x14ac:dyDescent="0.25">
      <c r="A7386" s="15">
        <f>Sheet2!A7386</f>
        <v>0</v>
      </c>
      <c r="B7386" s="8">
        <v>2.67</v>
      </c>
      <c r="C7386" s="9">
        <v>0</v>
      </c>
      <c r="D7386" s="13">
        <f t="shared" si="115"/>
        <v>2.67</v>
      </c>
    </row>
    <row r="7387" spans="1:4" x14ac:dyDescent="0.25">
      <c r="A7387" s="15">
        <f>Sheet2!A7387</f>
        <v>0</v>
      </c>
      <c r="B7387" s="8">
        <v>1.94</v>
      </c>
      <c r="C7387" s="9">
        <v>0</v>
      </c>
      <c r="D7387" s="13">
        <f t="shared" si="115"/>
        <v>1.94</v>
      </c>
    </row>
    <row r="7388" spans="1:4" x14ac:dyDescent="0.25">
      <c r="A7388" s="15">
        <f>Sheet2!A7388</f>
        <v>0</v>
      </c>
      <c r="B7388" s="8">
        <v>1.5</v>
      </c>
      <c r="C7388" s="9">
        <v>0</v>
      </c>
      <c r="D7388" s="13">
        <f t="shared" si="115"/>
        <v>1.5</v>
      </c>
    </row>
    <row r="7389" spans="1:4" x14ac:dyDescent="0.25">
      <c r="A7389" s="15">
        <f>Sheet2!A7389</f>
        <v>0</v>
      </c>
      <c r="B7389" s="8">
        <v>1.62</v>
      </c>
      <c r="C7389" s="9">
        <v>0</v>
      </c>
      <c r="D7389" s="13">
        <f t="shared" si="115"/>
        <v>1.62</v>
      </c>
    </row>
    <row r="7390" spans="1:4" x14ac:dyDescent="0.25">
      <c r="A7390" s="15">
        <f>Sheet2!A7390</f>
        <v>0</v>
      </c>
      <c r="B7390" s="8">
        <v>1.39</v>
      </c>
      <c r="C7390" s="9">
        <v>0</v>
      </c>
      <c r="D7390" s="13">
        <f t="shared" si="115"/>
        <v>1.39</v>
      </c>
    </row>
    <row r="7391" spans="1:4" x14ac:dyDescent="0.25">
      <c r="A7391" s="15">
        <f>Sheet2!A7391</f>
        <v>0</v>
      </c>
      <c r="B7391" s="8">
        <v>1.8</v>
      </c>
      <c r="C7391" s="9">
        <v>0</v>
      </c>
      <c r="D7391" s="13">
        <f t="shared" si="115"/>
        <v>1.8</v>
      </c>
    </row>
    <row r="7392" spans="1:4" x14ac:dyDescent="0.25">
      <c r="A7392" s="15">
        <f>Sheet2!A7392</f>
        <v>0</v>
      </c>
      <c r="B7392" s="8">
        <v>1.58</v>
      </c>
      <c r="C7392" s="9">
        <v>0</v>
      </c>
      <c r="D7392" s="13">
        <f t="shared" si="115"/>
        <v>1.58</v>
      </c>
    </row>
    <row r="7393" spans="1:4" x14ac:dyDescent="0.25">
      <c r="A7393" s="15">
        <f>Sheet2!A7393</f>
        <v>0</v>
      </c>
      <c r="B7393" s="8">
        <v>0.77</v>
      </c>
      <c r="C7393" s="9">
        <v>0</v>
      </c>
      <c r="D7393" s="13">
        <f t="shared" si="115"/>
        <v>0.77</v>
      </c>
    </row>
    <row r="7394" spans="1:4" x14ac:dyDescent="0.25">
      <c r="A7394" s="15">
        <f>Sheet2!A7394</f>
        <v>0</v>
      </c>
      <c r="B7394" s="8">
        <v>0.73</v>
      </c>
      <c r="C7394" s="9">
        <v>0</v>
      </c>
      <c r="D7394" s="13">
        <f t="shared" si="115"/>
        <v>0.73</v>
      </c>
    </row>
    <row r="7395" spans="1:4" x14ac:dyDescent="0.25">
      <c r="A7395" s="15">
        <f>Sheet2!A7395</f>
        <v>0</v>
      </c>
      <c r="B7395" s="8">
        <v>0.91</v>
      </c>
      <c r="C7395" s="9">
        <v>0</v>
      </c>
      <c r="D7395" s="13">
        <f t="shared" si="115"/>
        <v>0.91</v>
      </c>
    </row>
    <row r="7396" spans="1:4" x14ac:dyDescent="0.25">
      <c r="A7396" s="15">
        <f>Sheet2!A7396</f>
        <v>0</v>
      </c>
      <c r="B7396" s="8">
        <v>0.82</v>
      </c>
      <c r="C7396" s="9">
        <v>0</v>
      </c>
      <c r="D7396" s="13">
        <f t="shared" si="115"/>
        <v>0.82</v>
      </c>
    </row>
    <row r="7397" spans="1:4" x14ac:dyDescent="0.25">
      <c r="A7397" s="15">
        <f>Sheet2!A7397</f>
        <v>0</v>
      </c>
      <c r="B7397" s="8">
        <v>1.05</v>
      </c>
      <c r="C7397" s="9">
        <v>0</v>
      </c>
      <c r="D7397" s="13">
        <f t="shared" si="115"/>
        <v>1.05</v>
      </c>
    </row>
    <row r="7398" spans="1:4" x14ac:dyDescent="0.25">
      <c r="A7398" s="15">
        <f>Sheet2!A7398</f>
        <v>0</v>
      </c>
      <c r="B7398" s="8">
        <v>0.72</v>
      </c>
      <c r="C7398" s="9">
        <v>0</v>
      </c>
      <c r="D7398" s="13">
        <f t="shared" si="115"/>
        <v>0.72</v>
      </c>
    </row>
    <row r="7399" spans="1:4" x14ac:dyDescent="0.25">
      <c r="A7399" s="15">
        <f>Sheet2!A7399</f>
        <v>0</v>
      </c>
      <c r="B7399" s="8">
        <v>0.52</v>
      </c>
      <c r="C7399" s="9">
        <v>0</v>
      </c>
      <c r="D7399" s="13">
        <f t="shared" si="115"/>
        <v>0.52</v>
      </c>
    </row>
    <row r="7400" spans="1:4" x14ac:dyDescent="0.25">
      <c r="A7400" s="15">
        <f>Sheet2!A7400</f>
        <v>0</v>
      </c>
      <c r="B7400" s="8">
        <v>0.6</v>
      </c>
      <c r="C7400" s="9">
        <v>0</v>
      </c>
      <c r="D7400" s="13">
        <f t="shared" si="115"/>
        <v>0.6</v>
      </c>
    </row>
    <row r="7401" spans="1:4" x14ac:dyDescent="0.25">
      <c r="A7401" s="15">
        <f>Sheet2!A7401</f>
        <v>0</v>
      </c>
      <c r="B7401" s="8">
        <v>0.52</v>
      </c>
      <c r="C7401" s="9">
        <v>0</v>
      </c>
      <c r="D7401" s="13">
        <f t="shared" si="115"/>
        <v>0.52</v>
      </c>
    </row>
    <row r="7402" spans="1:4" x14ac:dyDescent="0.25">
      <c r="A7402" s="15">
        <f>Sheet2!A7402</f>
        <v>0</v>
      </c>
      <c r="B7402" s="8">
        <v>0.56999999999999995</v>
      </c>
      <c r="C7402" s="9">
        <v>0</v>
      </c>
      <c r="D7402" s="13">
        <f t="shared" si="115"/>
        <v>0.56999999999999995</v>
      </c>
    </row>
    <row r="7403" spans="1:4" x14ac:dyDescent="0.25">
      <c r="A7403" s="15">
        <f>Sheet2!A7403</f>
        <v>0</v>
      </c>
      <c r="B7403" s="8">
        <v>0.67</v>
      </c>
      <c r="C7403" s="9">
        <v>0</v>
      </c>
      <c r="D7403" s="13">
        <f t="shared" si="115"/>
        <v>0.67</v>
      </c>
    </row>
    <row r="7404" spans="1:4" x14ac:dyDescent="0.25">
      <c r="A7404" s="15">
        <f>Sheet2!A7404</f>
        <v>0</v>
      </c>
      <c r="B7404" s="8">
        <v>0.81</v>
      </c>
      <c r="C7404" s="9">
        <v>0</v>
      </c>
      <c r="D7404" s="13">
        <f t="shared" si="115"/>
        <v>0.81</v>
      </c>
    </row>
    <row r="7405" spans="1:4" x14ac:dyDescent="0.25">
      <c r="A7405" s="15">
        <f>Sheet2!A7405</f>
        <v>0</v>
      </c>
      <c r="B7405" s="8">
        <v>0.79</v>
      </c>
      <c r="C7405" s="9">
        <v>0</v>
      </c>
      <c r="D7405" s="13">
        <f t="shared" si="115"/>
        <v>0.79</v>
      </c>
    </row>
    <row r="7406" spans="1:4" x14ac:dyDescent="0.25">
      <c r="A7406" s="15">
        <f>Sheet2!A7406</f>
        <v>0</v>
      </c>
      <c r="B7406" s="8">
        <v>0.89</v>
      </c>
      <c r="C7406" s="9">
        <v>0</v>
      </c>
      <c r="D7406" s="13">
        <f t="shared" si="115"/>
        <v>0.89</v>
      </c>
    </row>
    <row r="7407" spans="1:4" x14ac:dyDescent="0.25">
      <c r="A7407" s="15">
        <f>Sheet2!A7407</f>
        <v>0</v>
      </c>
      <c r="B7407" s="8">
        <v>0.95</v>
      </c>
      <c r="C7407" s="9">
        <v>0</v>
      </c>
      <c r="D7407" s="13">
        <f t="shared" si="115"/>
        <v>0.95</v>
      </c>
    </row>
    <row r="7408" spans="1:4" x14ac:dyDescent="0.25">
      <c r="A7408" s="15">
        <f>Sheet2!A7408</f>
        <v>0</v>
      </c>
      <c r="B7408" s="8">
        <v>1.1200000000000001</v>
      </c>
      <c r="C7408" s="9">
        <v>0</v>
      </c>
      <c r="D7408" s="13">
        <f t="shared" si="115"/>
        <v>1.1200000000000001</v>
      </c>
    </row>
    <row r="7409" spans="1:4" x14ac:dyDescent="0.25">
      <c r="A7409" s="15">
        <f>Sheet2!A7409</f>
        <v>0</v>
      </c>
      <c r="B7409" s="8">
        <v>1.78</v>
      </c>
      <c r="C7409" s="9">
        <v>0</v>
      </c>
      <c r="D7409" s="13">
        <f t="shared" si="115"/>
        <v>1.78</v>
      </c>
    </row>
    <row r="7410" spans="1:4" x14ac:dyDescent="0.25">
      <c r="A7410" s="15">
        <f>Sheet2!A7410</f>
        <v>0</v>
      </c>
      <c r="B7410" s="8">
        <v>1.74</v>
      </c>
      <c r="C7410" s="9">
        <v>0</v>
      </c>
      <c r="D7410" s="13">
        <f t="shared" si="115"/>
        <v>1.74</v>
      </c>
    </row>
    <row r="7411" spans="1:4" x14ac:dyDescent="0.25">
      <c r="A7411" s="15">
        <f>Sheet2!A7411</f>
        <v>0</v>
      </c>
      <c r="B7411" s="8">
        <v>1.97</v>
      </c>
      <c r="C7411" s="9">
        <v>0</v>
      </c>
      <c r="D7411" s="13">
        <f t="shared" si="115"/>
        <v>1.97</v>
      </c>
    </row>
    <row r="7412" spans="1:4" x14ac:dyDescent="0.25">
      <c r="A7412" s="15">
        <f>Sheet2!A7412</f>
        <v>0</v>
      </c>
      <c r="B7412" s="8">
        <v>1.6</v>
      </c>
      <c r="C7412" s="9">
        <v>0</v>
      </c>
      <c r="D7412" s="13">
        <f t="shared" si="115"/>
        <v>1.6</v>
      </c>
    </row>
    <row r="7413" spans="1:4" x14ac:dyDescent="0.25">
      <c r="A7413" s="15">
        <f>Sheet2!A7413</f>
        <v>0</v>
      </c>
      <c r="B7413" s="8">
        <v>1.54</v>
      </c>
      <c r="C7413" s="9">
        <v>0</v>
      </c>
      <c r="D7413" s="13">
        <f t="shared" si="115"/>
        <v>1.54</v>
      </c>
    </row>
    <row r="7414" spans="1:4" x14ac:dyDescent="0.25">
      <c r="A7414" s="15">
        <f>Sheet2!A7414</f>
        <v>0</v>
      </c>
      <c r="B7414" s="8">
        <v>1.5</v>
      </c>
      <c r="C7414" s="9">
        <v>0</v>
      </c>
      <c r="D7414" s="13">
        <f t="shared" si="115"/>
        <v>1.5</v>
      </c>
    </row>
    <row r="7415" spans="1:4" x14ac:dyDescent="0.25">
      <c r="A7415" s="15">
        <f>Sheet2!A7415</f>
        <v>0</v>
      </c>
      <c r="B7415" s="8">
        <v>1.39</v>
      </c>
      <c r="C7415" s="9">
        <v>0</v>
      </c>
      <c r="D7415" s="13">
        <f t="shared" si="115"/>
        <v>1.39</v>
      </c>
    </row>
    <row r="7416" spans="1:4" x14ac:dyDescent="0.25">
      <c r="A7416" s="15">
        <f>Sheet2!A7416</f>
        <v>0</v>
      </c>
      <c r="B7416" s="8">
        <v>1.1299999999999999</v>
      </c>
      <c r="C7416" s="9">
        <v>0</v>
      </c>
      <c r="D7416" s="13">
        <f t="shared" si="115"/>
        <v>1.1299999999999999</v>
      </c>
    </row>
    <row r="7417" spans="1:4" x14ac:dyDescent="0.25">
      <c r="A7417" s="15">
        <f>Sheet2!A7417</f>
        <v>0</v>
      </c>
      <c r="B7417" s="8">
        <v>0.94</v>
      </c>
      <c r="C7417" s="9">
        <v>0</v>
      </c>
      <c r="D7417" s="13">
        <f t="shared" si="115"/>
        <v>0.94</v>
      </c>
    </row>
    <row r="7418" spans="1:4" x14ac:dyDescent="0.25">
      <c r="A7418" s="15">
        <f>Sheet2!A7418</f>
        <v>0</v>
      </c>
      <c r="B7418" s="8">
        <v>1</v>
      </c>
      <c r="C7418" s="9">
        <v>0</v>
      </c>
      <c r="D7418" s="13">
        <f t="shared" si="115"/>
        <v>1</v>
      </c>
    </row>
    <row r="7419" spans="1:4" x14ac:dyDescent="0.25">
      <c r="A7419" s="15">
        <f>Sheet2!A7419</f>
        <v>0</v>
      </c>
      <c r="B7419" s="8">
        <v>0.83</v>
      </c>
      <c r="C7419" s="9">
        <v>0</v>
      </c>
      <c r="D7419" s="13">
        <f t="shared" si="115"/>
        <v>0.83</v>
      </c>
    </row>
    <row r="7420" spans="1:4" x14ac:dyDescent="0.25">
      <c r="A7420" s="15">
        <f>Sheet2!A7420</f>
        <v>0</v>
      </c>
      <c r="B7420" s="8">
        <v>0.78</v>
      </c>
      <c r="C7420" s="9">
        <v>0</v>
      </c>
      <c r="D7420" s="13">
        <f t="shared" si="115"/>
        <v>0.78</v>
      </c>
    </row>
    <row r="7421" spans="1:4" x14ac:dyDescent="0.25">
      <c r="A7421" s="15">
        <f>Sheet2!A7421</f>
        <v>0</v>
      </c>
      <c r="B7421" s="8">
        <v>0.85</v>
      </c>
      <c r="C7421" s="9">
        <v>0</v>
      </c>
      <c r="D7421" s="13">
        <f t="shared" si="115"/>
        <v>0.85</v>
      </c>
    </row>
    <row r="7422" spans="1:4" x14ac:dyDescent="0.25">
      <c r="A7422" s="15">
        <f>Sheet2!A7422</f>
        <v>0</v>
      </c>
      <c r="B7422" s="8">
        <v>0.57999999999999996</v>
      </c>
      <c r="C7422" s="9">
        <v>0</v>
      </c>
      <c r="D7422" s="13">
        <f t="shared" si="115"/>
        <v>0.57999999999999996</v>
      </c>
    </row>
    <row r="7423" spans="1:4" x14ac:dyDescent="0.25">
      <c r="A7423" s="15">
        <f>Sheet2!A7423</f>
        <v>0</v>
      </c>
      <c r="B7423" s="8">
        <v>0.67</v>
      </c>
      <c r="C7423" s="9">
        <v>0</v>
      </c>
      <c r="D7423" s="13">
        <f t="shared" si="115"/>
        <v>0.67</v>
      </c>
    </row>
    <row r="7424" spans="1:4" x14ac:dyDescent="0.25">
      <c r="A7424" s="15">
        <f>Sheet2!A7424</f>
        <v>0</v>
      </c>
      <c r="B7424" s="8">
        <v>0.55000000000000004</v>
      </c>
      <c r="C7424" s="9">
        <v>0</v>
      </c>
      <c r="D7424" s="13">
        <f t="shared" si="115"/>
        <v>0.55000000000000004</v>
      </c>
    </row>
    <row r="7425" spans="1:4" x14ac:dyDescent="0.25">
      <c r="A7425" s="15">
        <f>Sheet2!A7425</f>
        <v>0</v>
      </c>
      <c r="B7425" s="8">
        <v>0.61</v>
      </c>
      <c r="C7425" s="9">
        <v>0</v>
      </c>
      <c r="D7425" s="13">
        <f t="shared" si="115"/>
        <v>0.61</v>
      </c>
    </row>
    <row r="7426" spans="1:4" x14ac:dyDescent="0.25">
      <c r="A7426" s="15">
        <f>Sheet2!A7426</f>
        <v>0</v>
      </c>
      <c r="B7426" s="8">
        <v>0.5</v>
      </c>
      <c r="C7426" s="9">
        <v>0</v>
      </c>
      <c r="D7426" s="13">
        <f t="shared" si="115"/>
        <v>0.5</v>
      </c>
    </row>
    <row r="7427" spans="1:4" x14ac:dyDescent="0.25">
      <c r="A7427" s="15">
        <f>Sheet2!A7427</f>
        <v>0</v>
      </c>
      <c r="B7427" s="8">
        <v>0.6</v>
      </c>
      <c r="C7427" s="9">
        <v>0</v>
      </c>
      <c r="D7427" s="13">
        <f t="shared" ref="D7427:D7490" si="116">B7427+C7427</f>
        <v>0.6</v>
      </c>
    </row>
    <row r="7428" spans="1:4" x14ac:dyDescent="0.25">
      <c r="A7428" s="15">
        <f>Sheet2!A7428</f>
        <v>0</v>
      </c>
      <c r="B7428" s="8">
        <v>0.51</v>
      </c>
      <c r="C7428" s="9">
        <v>0</v>
      </c>
      <c r="D7428" s="13">
        <f t="shared" si="116"/>
        <v>0.51</v>
      </c>
    </row>
    <row r="7429" spans="1:4" x14ac:dyDescent="0.25">
      <c r="A7429" s="15">
        <f>Sheet2!A7429</f>
        <v>0</v>
      </c>
      <c r="B7429" s="8">
        <v>0.98</v>
      </c>
      <c r="C7429" s="9">
        <v>0</v>
      </c>
      <c r="D7429" s="13">
        <f t="shared" si="116"/>
        <v>0.98</v>
      </c>
    </row>
    <row r="7430" spans="1:4" x14ac:dyDescent="0.25">
      <c r="A7430" s="15">
        <f>Sheet2!A7430</f>
        <v>0</v>
      </c>
      <c r="B7430" s="8">
        <v>1.6</v>
      </c>
      <c r="C7430" s="9">
        <v>0</v>
      </c>
      <c r="D7430" s="13">
        <f t="shared" si="116"/>
        <v>1.6</v>
      </c>
    </row>
    <row r="7431" spans="1:4" x14ac:dyDescent="0.25">
      <c r="A7431" s="15">
        <f>Sheet2!A7431</f>
        <v>0</v>
      </c>
      <c r="B7431" s="8">
        <v>2.77</v>
      </c>
      <c r="C7431" s="9">
        <v>0</v>
      </c>
      <c r="D7431" s="13">
        <f t="shared" si="116"/>
        <v>2.77</v>
      </c>
    </row>
    <row r="7432" spans="1:4" x14ac:dyDescent="0.25">
      <c r="A7432" s="15">
        <f>Sheet2!A7432</f>
        <v>0</v>
      </c>
      <c r="B7432" s="8">
        <v>2.08</v>
      </c>
      <c r="C7432" s="9">
        <v>0</v>
      </c>
      <c r="D7432" s="13">
        <f t="shared" si="116"/>
        <v>2.08</v>
      </c>
    </row>
    <row r="7433" spans="1:4" x14ac:dyDescent="0.25">
      <c r="A7433" s="15">
        <f>Sheet2!A7433</f>
        <v>0</v>
      </c>
      <c r="B7433" s="8">
        <v>2.0699999999999998</v>
      </c>
      <c r="C7433" s="9">
        <v>0</v>
      </c>
      <c r="D7433" s="13">
        <f t="shared" si="116"/>
        <v>2.0699999999999998</v>
      </c>
    </row>
    <row r="7434" spans="1:4" x14ac:dyDescent="0.25">
      <c r="A7434" s="15">
        <f>Sheet2!A7434</f>
        <v>0</v>
      </c>
      <c r="B7434" s="8">
        <v>1.6</v>
      </c>
      <c r="C7434" s="9">
        <v>0</v>
      </c>
      <c r="D7434" s="13">
        <f t="shared" si="116"/>
        <v>1.6</v>
      </c>
    </row>
    <row r="7435" spans="1:4" x14ac:dyDescent="0.25">
      <c r="A7435" s="15">
        <f>Sheet2!A7435</f>
        <v>0</v>
      </c>
      <c r="B7435" s="8">
        <v>1.73</v>
      </c>
      <c r="C7435" s="9">
        <v>0</v>
      </c>
      <c r="D7435" s="13">
        <f t="shared" si="116"/>
        <v>1.73</v>
      </c>
    </row>
    <row r="7436" spans="1:4" x14ac:dyDescent="0.25">
      <c r="A7436" s="15">
        <f>Sheet2!A7436</f>
        <v>0</v>
      </c>
      <c r="B7436" s="8">
        <v>1.74</v>
      </c>
      <c r="C7436" s="9">
        <v>0</v>
      </c>
      <c r="D7436" s="13">
        <f t="shared" si="116"/>
        <v>1.74</v>
      </c>
    </row>
    <row r="7437" spans="1:4" x14ac:dyDescent="0.25">
      <c r="A7437" s="15">
        <f>Sheet2!A7437</f>
        <v>0</v>
      </c>
      <c r="B7437" s="8">
        <v>1.38</v>
      </c>
      <c r="C7437" s="9">
        <v>0</v>
      </c>
      <c r="D7437" s="13">
        <f t="shared" si="116"/>
        <v>1.38</v>
      </c>
    </row>
    <row r="7438" spans="1:4" x14ac:dyDescent="0.25">
      <c r="A7438" s="15">
        <f>Sheet2!A7438</f>
        <v>0</v>
      </c>
      <c r="B7438" s="8">
        <v>1.57</v>
      </c>
      <c r="C7438" s="9">
        <v>0</v>
      </c>
      <c r="D7438" s="13">
        <f t="shared" si="116"/>
        <v>1.57</v>
      </c>
    </row>
    <row r="7439" spans="1:4" x14ac:dyDescent="0.25">
      <c r="A7439" s="15">
        <f>Sheet2!A7439</f>
        <v>0</v>
      </c>
      <c r="B7439" s="8">
        <v>1.53</v>
      </c>
      <c r="C7439" s="9">
        <v>0</v>
      </c>
      <c r="D7439" s="13">
        <f t="shared" si="116"/>
        <v>1.53</v>
      </c>
    </row>
    <row r="7440" spans="1:4" x14ac:dyDescent="0.25">
      <c r="A7440" s="15">
        <f>Sheet2!A7440</f>
        <v>0</v>
      </c>
      <c r="B7440" s="8">
        <v>1.03</v>
      </c>
      <c r="C7440" s="9">
        <v>0</v>
      </c>
      <c r="D7440" s="13">
        <f t="shared" si="116"/>
        <v>1.03</v>
      </c>
    </row>
    <row r="7441" spans="1:4" x14ac:dyDescent="0.25">
      <c r="A7441" s="15">
        <f>Sheet2!A7441</f>
        <v>0</v>
      </c>
      <c r="B7441" s="8">
        <v>0.82</v>
      </c>
      <c r="C7441" s="9">
        <v>0</v>
      </c>
      <c r="D7441" s="13">
        <f t="shared" si="116"/>
        <v>0.82</v>
      </c>
    </row>
    <row r="7442" spans="1:4" x14ac:dyDescent="0.25">
      <c r="A7442" s="15">
        <f>Sheet2!A7442</f>
        <v>0</v>
      </c>
      <c r="B7442" s="8">
        <v>0.83</v>
      </c>
      <c r="C7442" s="9">
        <v>0</v>
      </c>
      <c r="D7442" s="13">
        <f t="shared" si="116"/>
        <v>0.83</v>
      </c>
    </row>
    <row r="7443" spans="1:4" x14ac:dyDescent="0.25">
      <c r="A7443" s="15">
        <f>Sheet2!A7443</f>
        <v>0</v>
      </c>
      <c r="B7443" s="8">
        <v>0.78</v>
      </c>
      <c r="C7443" s="9">
        <v>0</v>
      </c>
      <c r="D7443" s="13">
        <f t="shared" si="116"/>
        <v>0.78</v>
      </c>
    </row>
    <row r="7444" spans="1:4" x14ac:dyDescent="0.25">
      <c r="A7444" s="15">
        <f>Sheet2!A7444</f>
        <v>0</v>
      </c>
      <c r="B7444" s="8">
        <v>0.72</v>
      </c>
      <c r="C7444" s="9">
        <v>0</v>
      </c>
      <c r="D7444" s="13">
        <f t="shared" si="116"/>
        <v>0.72</v>
      </c>
    </row>
    <row r="7445" spans="1:4" x14ac:dyDescent="0.25">
      <c r="A7445" s="15">
        <f>Sheet2!A7445</f>
        <v>0</v>
      </c>
      <c r="B7445" s="8">
        <v>0.75</v>
      </c>
      <c r="C7445" s="9">
        <v>0</v>
      </c>
      <c r="D7445" s="13">
        <f t="shared" si="116"/>
        <v>0.75</v>
      </c>
    </row>
    <row r="7446" spans="1:4" x14ac:dyDescent="0.25">
      <c r="A7446" s="15">
        <f>Sheet2!A7446</f>
        <v>0</v>
      </c>
      <c r="B7446" s="8">
        <v>0.63</v>
      </c>
      <c r="C7446" s="9">
        <v>0</v>
      </c>
      <c r="D7446" s="13">
        <f t="shared" si="116"/>
        <v>0.63</v>
      </c>
    </row>
    <row r="7447" spans="1:4" x14ac:dyDescent="0.25">
      <c r="A7447" s="15">
        <f>Sheet2!A7447</f>
        <v>0</v>
      </c>
      <c r="B7447" s="8">
        <v>0.63</v>
      </c>
      <c r="C7447" s="9">
        <v>0</v>
      </c>
      <c r="D7447" s="13">
        <f t="shared" si="116"/>
        <v>0.63</v>
      </c>
    </row>
    <row r="7448" spans="1:4" x14ac:dyDescent="0.25">
      <c r="A7448" s="15">
        <f>Sheet2!A7448</f>
        <v>0</v>
      </c>
      <c r="B7448" s="8">
        <v>0.54</v>
      </c>
      <c r="C7448" s="9">
        <v>0</v>
      </c>
      <c r="D7448" s="13">
        <f t="shared" si="116"/>
        <v>0.54</v>
      </c>
    </row>
    <row r="7449" spans="1:4" x14ac:dyDescent="0.25">
      <c r="A7449" s="15">
        <f>Sheet2!A7449</f>
        <v>0</v>
      </c>
      <c r="B7449" s="8">
        <v>0.64</v>
      </c>
      <c r="C7449" s="9">
        <v>0</v>
      </c>
      <c r="D7449" s="13">
        <f t="shared" si="116"/>
        <v>0.64</v>
      </c>
    </row>
    <row r="7450" spans="1:4" x14ac:dyDescent="0.25">
      <c r="A7450" s="15">
        <f>Sheet2!A7450</f>
        <v>0</v>
      </c>
      <c r="B7450" s="8">
        <v>0.67</v>
      </c>
      <c r="C7450" s="9">
        <v>0</v>
      </c>
      <c r="D7450" s="13">
        <f t="shared" si="116"/>
        <v>0.67</v>
      </c>
    </row>
    <row r="7451" spans="1:4" x14ac:dyDescent="0.25">
      <c r="A7451" s="15">
        <f>Sheet2!A7451</f>
        <v>0</v>
      </c>
      <c r="B7451" s="8">
        <v>0</v>
      </c>
      <c r="C7451" s="9">
        <v>0.32</v>
      </c>
      <c r="D7451" s="13">
        <f t="shared" si="116"/>
        <v>0.32</v>
      </c>
    </row>
    <row r="7452" spans="1:4" x14ac:dyDescent="0.25">
      <c r="A7452" s="15">
        <f>Sheet2!A7452</f>
        <v>0</v>
      </c>
      <c r="B7452" s="8">
        <v>0.54</v>
      </c>
      <c r="C7452" s="9">
        <v>0</v>
      </c>
      <c r="D7452" s="13">
        <f t="shared" si="116"/>
        <v>0.54</v>
      </c>
    </row>
    <row r="7453" spans="1:4" x14ac:dyDescent="0.25">
      <c r="A7453" s="15">
        <f>Sheet2!A7453</f>
        <v>0</v>
      </c>
      <c r="B7453" s="8">
        <v>0.88</v>
      </c>
      <c r="C7453" s="9">
        <v>0</v>
      </c>
      <c r="D7453" s="13">
        <f t="shared" si="116"/>
        <v>0.88</v>
      </c>
    </row>
    <row r="7454" spans="1:4" x14ac:dyDescent="0.25">
      <c r="A7454" s="15">
        <f>Sheet2!A7454</f>
        <v>0</v>
      </c>
      <c r="B7454" s="8">
        <v>1.23</v>
      </c>
      <c r="C7454" s="9">
        <v>0</v>
      </c>
      <c r="D7454" s="13">
        <f t="shared" si="116"/>
        <v>1.23</v>
      </c>
    </row>
    <row r="7455" spans="1:4" x14ac:dyDescent="0.25">
      <c r="A7455" s="15">
        <f>Sheet2!A7455</f>
        <v>0</v>
      </c>
      <c r="B7455" s="8">
        <v>1.08</v>
      </c>
      <c r="C7455" s="9">
        <v>0</v>
      </c>
      <c r="D7455" s="13">
        <f t="shared" si="116"/>
        <v>1.08</v>
      </c>
    </row>
    <row r="7456" spans="1:4" x14ac:dyDescent="0.25">
      <c r="A7456" s="15">
        <f>Sheet2!A7456</f>
        <v>0</v>
      </c>
      <c r="B7456" s="8">
        <v>2.12</v>
      </c>
      <c r="C7456" s="9">
        <v>0</v>
      </c>
      <c r="D7456" s="13">
        <f t="shared" si="116"/>
        <v>2.12</v>
      </c>
    </row>
    <row r="7457" spans="1:4" x14ac:dyDescent="0.25">
      <c r="A7457" s="15">
        <f>Sheet2!A7457</f>
        <v>0</v>
      </c>
      <c r="B7457" s="8">
        <v>2.54</v>
      </c>
      <c r="C7457" s="9">
        <v>0</v>
      </c>
      <c r="D7457" s="13">
        <f t="shared" si="116"/>
        <v>2.54</v>
      </c>
    </row>
    <row r="7458" spans="1:4" x14ac:dyDescent="0.25">
      <c r="A7458" s="15">
        <f>Sheet2!A7458</f>
        <v>0</v>
      </c>
      <c r="B7458" s="8">
        <v>2.06</v>
      </c>
      <c r="C7458" s="9">
        <v>0</v>
      </c>
      <c r="D7458" s="13">
        <f t="shared" si="116"/>
        <v>2.06</v>
      </c>
    </row>
    <row r="7459" spans="1:4" x14ac:dyDescent="0.25">
      <c r="A7459" s="15">
        <f>Sheet2!A7459</f>
        <v>0</v>
      </c>
      <c r="B7459" s="8">
        <v>1.95</v>
      </c>
      <c r="C7459" s="9">
        <v>0</v>
      </c>
      <c r="D7459" s="13">
        <f t="shared" si="116"/>
        <v>1.95</v>
      </c>
    </row>
    <row r="7460" spans="1:4" x14ac:dyDescent="0.25">
      <c r="A7460" s="15">
        <f>Sheet2!A7460</f>
        <v>0</v>
      </c>
      <c r="B7460" s="8">
        <v>1.86</v>
      </c>
      <c r="C7460" s="9">
        <v>0</v>
      </c>
      <c r="D7460" s="13">
        <f t="shared" si="116"/>
        <v>1.86</v>
      </c>
    </row>
    <row r="7461" spans="1:4" x14ac:dyDescent="0.25">
      <c r="A7461" s="15">
        <f>Sheet2!A7461</f>
        <v>0</v>
      </c>
      <c r="B7461" s="8">
        <v>2.02</v>
      </c>
      <c r="C7461" s="9">
        <v>0</v>
      </c>
      <c r="D7461" s="13">
        <f t="shared" si="116"/>
        <v>2.02</v>
      </c>
    </row>
    <row r="7462" spans="1:4" x14ac:dyDescent="0.25">
      <c r="A7462" s="15">
        <f>Sheet2!A7462</f>
        <v>0</v>
      </c>
      <c r="B7462" s="8">
        <v>1.83</v>
      </c>
      <c r="C7462" s="9">
        <v>0</v>
      </c>
      <c r="D7462" s="13">
        <f t="shared" si="116"/>
        <v>1.83</v>
      </c>
    </row>
    <row r="7463" spans="1:4" x14ac:dyDescent="0.25">
      <c r="A7463" s="15">
        <f>Sheet2!A7463</f>
        <v>0</v>
      </c>
      <c r="B7463" s="8">
        <v>1.27</v>
      </c>
      <c r="C7463" s="9">
        <v>0</v>
      </c>
      <c r="D7463" s="13">
        <f t="shared" si="116"/>
        <v>1.27</v>
      </c>
    </row>
    <row r="7464" spans="1:4" x14ac:dyDescent="0.25">
      <c r="A7464" s="15">
        <f>Sheet2!A7464</f>
        <v>0</v>
      </c>
      <c r="B7464" s="8">
        <v>2.4900000000000002</v>
      </c>
      <c r="C7464" s="9">
        <v>0</v>
      </c>
      <c r="D7464" s="13">
        <f t="shared" si="116"/>
        <v>2.4900000000000002</v>
      </c>
    </row>
    <row r="7465" spans="1:4" x14ac:dyDescent="0.25">
      <c r="A7465" s="15">
        <f>Sheet2!A7465</f>
        <v>0</v>
      </c>
      <c r="B7465" s="8">
        <v>1.29</v>
      </c>
      <c r="C7465" s="9">
        <v>0</v>
      </c>
      <c r="D7465" s="13">
        <f t="shared" si="116"/>
        <v>1.29</v>
      </c>
    </row>
    <row r="7466" spans="1:4" x14ac:dyDescent="0.25">
      <c r="A7466" s="15">
        <f>Sheet2!A7466</f>
        <v>0</v>
      </c>
      <c r="B7466" s="8">
        <v>1.1399999999999999</v>
      </c>
      <c r="C7466" s="9">
        <v>0</v>
      </c>
      <c r="D7466" s="13">
        <f t="shared" si="116"/>
        <v>1.1399999999999999</v>
      </c>
    </row>
    <row r="7467" spans="1:4" x14ac:dyDescent="0.25">
      <c r="A7467" s="15">
        <f>Sheet2!A7467</f>
        <v>0</v>
      </c>
      <c r="B7467" s="8">
        <v>0.9</v>
      </c>
      <c r="C7467" s="9">
        <v>0</v>
      </c>
      <c r="D7467" s="13">
        <f t="shared" si="116"/>
        <v>0.9</v>
      </c>
    </row>
    <row r="7468" spans="1:4" x14ac:dyDescent="0.25">
      <c r="A7468" s="15">
        <f>Sheet2!A7468</f>
        <v>0</v>
      </c>
      <c r="B7468" s="8">
        <v>1.02</v>
      </c>
      <c r="C7468" s="9">
        <v>0</v>
      </c>
      <c r="D7468" s="13">
        <f t="shared" si="116"/>
        <v>1.02</v>
      </c>
    </row>
    <row r="7469" spans="1:4" x14ac:dyDescent="0.25">
      <c r="A7469" s="15">
        <f>Sheet2!A7469</f>
        <v>0</v>
      </c>
      <c r="B7469" s="8">
        <v>0.99</v>
      </c>
      <c r="C7469" s="9">
        <v>0</v>
      </c>
      <c r="D7469" s="13">
        <f t="shared" si="116"/>
        <v>0.99</v>
      </c>
    </row>
    <row r="7470" spans="1:4" x14ac:dyDescent="0.25">
      <c r="A7470" s="15">
        <f>Sheet2!A7470</f>
        <v>0</v>
      </c>
      <c r="B7470" s="8">
        <v>1.32</v>
      </c>
      <c r="C7470" s="9">
        <v>0</v>
      </c>
      <c r="D7470" s="13">
        <f t="shared" si="116"/>
        <v>1.32</v>
      </c>
    </row>
    <row r="7471" spans="1:4" x14ac:dyDescent="0.25">
      <c r="A7471" s="15">
        <f>Sheet2!A7471</f>
        <v>0</v>
      </c>
      <c r="B7471" s="8">
        <v>0.99</v>
      </c>
      <c r="C7471" s="9">
        <v>0</v>
      </c>
      <c r="D7471" s="13">
        <f t="shared" si="116"/>
        <v>0.99</v>
      </c>
    </row>
    <row r="7472" spans="1:4" x14ac:dyDescent="0.25">
      <c r="A7472" s="15">
        <f>Sheet2!A7472</f>
        <v>0</v>
      </c>
      <c r="B7472" s="8">
        <v>0.77</v>
      </c>
      <c r="C7472" s="9">
        <v>0</v>
      </c>
      <c r="D7472" s="13">
        <f t="shared" si="116"/>
        <v>0.77</v>
      </c>
    </row>
    <row r="7473" spans="1:4" x14ac:dyDescent="0.25">
      <c r="A7473" s="15">
        <f>Sheet2!A7473</f>
        <v>0</v>
      </c>
      <c r="B7473" s="8">
        <v>1.07</v>
      </c>
      <c r="C7473" s="9">
        <v>0</v>
      </c>
      <c r="D7473" s="13">
        <f t="shared" si="116"/>
        <v>1.07</v>
      </c>
    </row>
    <row r="7474" spans="1:4" x14ac:dyDescent="0.25">
      <c r="A7474" s="15">
        <f>Sheet2!A7474</f>
        <v>0</v>
      </c>
      <c r="B7474" s="8">
        <v>1.25</v>
      </c>
      <c r="C7474" s="9">
        <v>0</v>
      </c>
      <c r="D7474" s="13">
        <f t="shared" si="116"/>
        <v>1.25</v>
      </c>
    </row>
    <row r="7475" spans="1:4" x14ac:dyDescent="0.25">
      <c r="A7475" s="15">
        <f>Sheet2!A7475</f>
        <v>0</v>
      </c>
      <c r="B7475" s="8">
        <v>1.93</v>
      </c>
      <c r="C7475" s="9">
        <v>0</v>
      </c>
      <c r="D7475" s="13">
        <f t="shared" si="116"/>
        <v>1.93</v>
      </c>
    </row>
    <row r="7476" spans="1:4" x14ac:dyDescent="0.25">
      <c r="A7476" s="15">
        <f>Sheet2!A7476</f>
        <v>0</v>
      </c>
      <c r="B7476" s="8">
        <v>1.0900000000000001</v>
      </c>
      <c r="C7476" s="9">
        <v>0</v>
      </c>
      <c r="D7476" s="13">
        <f t="shared" si="116"/>
        <v>1.0900000000000001</v>
      </c>
    </row>
    <row r="7477" spans="1:4" x14ac:dyDescent="0.25">
      <c r="A7477" s="15">
        <f>Sheet2!A7477</f>
        <v>0</v>
      </c>
      <c r="B7477" s="8">
        <v>1.1299999999999999</v>
      </c>
      <c r="C7477" s="9">
        <v>0</v>
      </c>
      <c r="D7477" s="13">
        <f t="shared" si="116"/>
        <v>1.1299999999999999</v>
      </c>
    </row>
    <row r="7478" spans="1:4" x14ac:dyDescent="0.25">
      <c r="A7478" s="15">
        <f>Sheet2!A7478</f>
        <v>0</v>
      </c>
      <c r="B7478" s="8">
        <v>0.96</v>
      </c>
      <c r="C7478" s="9">
        <v>0</v>
      </c>
      <c r="D7478" s="13">
        <f t="shared" si="116"/>
        <v>0.96</v>
      </c>
    </row>
    <row r="7479" spans="1:4" x14ac:dyDescent="0.25">
      <c r="A7479" s="15">
        <f>Sheet2!A7479</f>
        <v>0</v>
      </c>
      <c r="B7479" s="8">
        <v>1.24</v>
      </c>
      <c r="C7479" s="9">
        <v>0</v>
      </c>
      <c r="D7479" s="13">
        <f t="shared" si="116"/>
        <v>1.24</v>
      </c>
    </row>
    <row r="7480" spans="1:4" x14ac:dyDescent="0.25">
      <c r="A7480" s="15">
        <f>Sheet2!A7480</f>
        <v>0</v>
      </c>
      <c r="B7480" s="8">
        <v>1.29</v>
      </c>
      <c r="C7480" s="9">
        <v>0</v>
      </c>
      <c r="D7480" s="13">
        <f t="shared" si="116"/>
        <v>1.29</v>
      </c>
    </row>
    <row r="7481" spans="1:4" x14ac:dyDescent="0.25">
      <c r="A7481" s="15">
        <f>Sheet2!A7481</f>
        <v>0</v>
      </c>
      <c r="B7481" s="8">
        <v>1.77</v>
      </c>
      <c r="C7481" s="9">
        <v>0</v>
      </c>
      <c r="D7481" s="13">
        <f t="shared" si="116"/>
        <v>1.77</v>
      </c>
    </row>
    <row r="7482" spans="1:4" x14ac:dyDescent="0.25">
      <c r="A7482" s="15">
        <f>Sheet2!A7482</f>
        <v>0</v>
      </c>
      <c r="B7482" s="8">
        <v>3.33</v>
      </c>
      <c r="C7482" s="9">
        <v>0</v>
      </c>
      <c r="D7482" s="13">
        <f t="shared" si="116"/>
        <v>3.33</v>
      </c>
    </row>
    <row r="7483" spans="1:4" x14ac:dyDescent="0.25">
      <c r="A7483" s="15">
        <f>Sheet2!A7483</f>
        <v>0</v>
      </c>
      <c r="B7483" s="8">
        <v>2.65</v>
      </c>
      <c r="C7483" s="9">
        <v>0</v>
      </c>
      <c r="D7483" s="13">
        <f t="shared" si="116"/>
        <v>2.65</v>
      </c>
    </row>
    <row r="7484" spans="1:4" x14ac:dyDescent="0.25">
      <c r="A7484" s="15">
        <f>Sheet2!A7484</f>
        <v>0</v>
      </c>
      <c r="B7484" s="8">
        <v>1.29</v>
      </c>
      <c r="C7484" s="9">
        <v>0</v>
      </c>
      <c r="D7484" s="13">
        <f t="shared" si="116"/>
        <v>1.29</v>
      </c>
    </row>
    <row r="7485" spans="1:4" x14ac:dyDescent="0.25">
      <c r="A7485" s="15">
        <f>Sheet2!A7485</f>
        <v>0</v>
      </c>
      <c r="B7485" s="8">
        <v>1.21</v>
      </c>
      <c r="C7485" s="9">
        <v>0</v>
      </c>
      <c r="D7485" s="13">
        <f t="shared" si="116"/>
        <v>1.21</v>
      </c>
    </row>
    <row r="7486" spans="1:4" x14ac:dyDescent="0.25">
      <c r="A7486" s="15">
        <f>Sheet2!A7486</f>
        <v>0</v>
      </c>
      <c r="B7486" s="8">
        <v>1.46</v>
      </c>
      <c r="C7486" s="9">
        <v>0</v>
      </c>
      <c r="D7486" s="13">
        <f t="shared" si="116"/>
        <v>1.46</v>
      </c>
    </row>
    <row r="7487" spans="1:4" x14ac:dyDescent="0.25">
      <c r="A7487" s="15">
        <f>Sheet2!A7487</f>
        <v>0</v>
      </c>
      <c r="B7487" s="8">
        <v>1.39</v>
      </c>
      <c r="C7487" s="9">
        <v>0</v>
      </c>
      <c r="D7487" s="13">
        <f t="shared" si="116"/>
        <v>1.39</v>
      </c>
    </row>
    <row r="7488" spans="1:4" x14ac:dyDescent="0.25">
      <c r="A7488" s="15">
        <f>Sheet2!A7488</f>
        <v>0</v>
      </c>
      <c r="B7488" s="8">
        <v>1.29</v>
      </c>
      <c r="C7488" s="9">
        <v>0</v>
      </c>
      <c r="D7488" s="13">
        <f t="shared" si="116"/>
        <v>1.29</v>
      </c>
    </row>
    <row r="7489" spans="1:4" x14ac:dyDescent="0.25">
      <c r="A7489" s="15">
        <f>Sheet2!A7489</f>
        <v>0</v>
      </c>
      <c r="B7489" s="8">
        <v>1.01</v>
      </c>
      <c r="C7489" s="9">
        <v>0</v>
      </c>
      <c r="D7489" s="13">
        <f t="shared" si="116"/>
        <v>1.01</v>
      </c>
    </row>
    <row r="7490" spans="1:4" x14ac:dyDescent="0.25">
      <c r="A7490" s="15">
        <f>Sheet2!A7490</f>
        <v>0</v>
      </c>
      <c r="B7490" s="8">
        <v>1.1200000000000001</v>
      </c>
      <c r="C7490" s="9">
        <v>0</v>
      </c>
      <c r="D7490" s="13">
        <f t="shared" si="116"/>
        <v>1.1200000000000001</v>
      </c>
    </row>
    <row r="7491" spans="1:4" x14ac:dyDescent="0.25">
      <c r="A7491" s="15">
        <f>Sheet2!A7491</f>
        <v>0</v>
      </c>
      <c r="B7491" s="8">
        <v>0.84</v>
      </c>
      <c r="C7491" s="9">
        <v>0</v>
      </c>
      <c r="D7491" s="13">
        <f t="shared" ref="D7491:D7554" si="117">B7491+C7491</f>
        <v>0.84</v>
      </c>
    </row>
    <row r="7492" spans="1:4" x14ac:dyDescent="0.25">
      <c r="A7492" s="15">
        <f>Sheet2!A7492</f>
        <v>0</v>
      </c>
      <c r="B7492" s="8">
        <v>0.91</v>
      </c>
      <c r="C7492" s="9">
        <v>0</v>
      </c>
      <c r="D7492" s="13">
        <f t="shared" si="117"/>
        <v>0.91</v>
      </c>
    </row>
    <row r="7493" spans="1:4" x14ac:dyDescent="0.25">
      <c r="A7493" s="15">
        <f>Sheet2!A7493</f>
        <v>0</v>
      </c>
      <c r="B7493" s="8">
        <v>0.8</v>
      </c>
      <c r="C7493" s="9">
        <v>0</v>
      </c>
      <c r="D7493" s="13">
        <f t="shared" si="117"/>
        <v>0.8</v>
      </c>
    </row>
    <row r="7494" spans="1:4" x14ac:dyDescent="0.25">
      <c r="A7494" s="15">
        <f>Sheet2!A7494</f>
        <v>0</v>
      </c>
      <c r="B7494" s="8">
        <v>0.83</v>
      </c>
      <c r="C7494" s="9">
        <v>0</v>
      </c>
      <c r="D7494" s="13">
        <f t="shared" si="117"/>
        <v>0.83</v>
      </c>
    </row>
    <row r="7495" spans="1:4" x14ac:dyDescent="0.25">
      <c r="A7495" s="15">
        <f>Sheet2!A7495</f>
        <v>0</v>
      </c>
      <c r="B7495" s="8">
        <v>0.77</v>
      </c>
      <c r="C7495" s="9">
        <v>0</v>
      </c>
      <c r="D7495" s="13">
        <f t="shared" si="117"/>
        <v>0.77</v>
      </c>
    </row>
    <row r="7496" spans="1:4" x14ac:dyDescent="0.25">
      <c r="A7496" s="15">
        <f>Sheet2!A7496</f>
        <v>0</v>
      </c>
      <c r="B7496" s="8">
        <v>0.83</v>
      </c>
      <c r="C7496" s="9">
        <v>0</v>
      </c>
      <c r="D7496" s="13">
        <f t="shared" si="117"/>
        <v>0.83</v>
      </c>
    </row>
    <row r="7497" spans="1:4" x14ac:dyDescent="0.25">
      <c r="A7497" s="15">
        <f>Sheet2!A7497</f>
        <v>0</v>
      </c>
      <c r="B7497" s="8">
        <v>0.84</v>
      </c>
      <c r="C7497" s="9">
        <v>0</v>
      </c>
      <c r="D7497" s="13">
        <f t="shared" si="117"/>
        <v>0.84</v>
      </c>
    </row>
    <row r="7498" spans="1:4" x14ac:dyDescent="0.25">
      <c r="A7498" s="15">
        <f>Sheet2!A7498</f>
        <v>0</v>
      </c>
      <c r="B7498" s="8">
        <v>1.1000000000000001</v>
      </c>
      <c r="C7498" s="9">
        <v>0</v>
      </c>
      <c r="D7498" s="13">
        <f t="shared" si="117"/>
        <v>1.1000000000000001</v>
      </c>
    </row>
    <row r="7499" spans="1:4" x14ac:dyDescent="0.25">
      <c r="A7499" s="15">
        <f>Sheet2!A7499</f>
        <v>0</v>
      </c>
      <c r="B7499" s="8">
        <v>1.04</v>
      </c>
      <c r="C7499" s="9">
        <v>0</v>
      </c>
      <c r="D7499" s="13">
        <f t="shared" si="117"/>
        <v>1.04</v>
      </c>
    </row>
    <row r="7500" spans="1:4" x14ac:dyDescent="0.25">
      <c r="A7500" s="15">
        <f>Sheet2!A7500</f>
        <v>0</v>
      </c>
      <c r="B7500" s="8">
        <v>1.05</v>
      </c>
      <c r="C7500" s="9">
        <v>0</v>
      </c>
      <c r="D7500" s="13">
        <f t="shared" si="117"/>
        <v>1.05</v>
      </c>
    </row>
    <row r="7501" spans="1:4" x14ac:dyDescent="0.25">
      <c r="A7501" s="15">
        <f>Sheet2!A7501</f>
        <v>0</v>
      </c>
      <c r="B7501" s="8">
        <v>1.1499999999999999</v>
      </c>
      <c r="C7501" s="9">
        <v>0</v>
      </c>
      <c r="D7501" s="13">
        <f t="shared" si="117"/>
        <v>1.1499999999999999</v>
      </c>
    </row>
    <row r="7502" spans="1:4" x14ac:dyDescent="0.25">
      <c r="A7502" s="15">
        <f>Sheet2!A7502</f>
        <v>0</v>
      </c>
      <c r="B7502" s="8">
        <v>1.06</v>
      </c>
      <c r="C7502" s="9">
        <v>0</v>
      </c>
      <c r="D7502" s="13">
        <f t="shared" si="117"/>
        <v>1.06</v>
      </c>
    </row>
    <row r="7503" spans="1:4" x14ac:dyDescent="0.25">
      <c r="A7503" s="15">
        <f>Sheet2!A7503</f>
        <v>0</v>
      </c>
      <c r="B7503" s="8">
        <v>1.01</v>
      </c>
      <c r="C7503" s="9">
        <v>0</v>
      </c>
      <c r="D7503" s="13">
        <f t="shared" si="117"/>
        <v>1.01</v>
      </c>
    </row>
    <row r="7504" spans="1:4" x14ac:dyDescent="0.25">
      <c r="A7504" s="15">
        <f>Sheet2!A7504</f>
        <v>0</v>
      </c>
      <c r="B7504" s="8">
        <v>1.44</v>
      </c>
      <c r="C7504" s="9">
        <v>0</v>
      </c>
      <c r="D7504" s="13">
        <f t="shared" si="117"/>
        <v>1.44</v>
      </c>
    </row>
    <row r="7505" spans="1:4" x14ac:dyDescent="0.25">
      <c r="A7505" s="15">
        <f>Sheet2!A7505</f>
        <v>0</v>
      </c>
      <c r="B7505" s="8">
        <v>2.36</v>
      </c>
      <c r="C7505" s="9">
        <v>0</v>
      </c>
      <c r="D7505" s="13">
        <f t="shared" si="117"/>
        <v>2.36</v>
      </c>
    </row>
    <row r="7506" spans="1:4" x14ac:dyDescent="0.25">
      <c r="A7506" s="15">
        <f>Sheet2!A7506</f>
        <v>0</v>
      </c>
      <c r="B7506" s="8">
        <v>2.94</v>
      </c>
      <c r="C7506" s="9">
        <v>0</v>
      </c>
      <c r="D7506" s="13">
        <f t="shared" si="117"/>
        <v>2.94</v>
      </c>
    </row>
    <row r="7507" spans="1:4" x14ac:dyDescent="0.25">
      <c r="A7507" s="15">
        <f>Sheet2!A7507</f>
        <v>0</v>
      </c>
      <c r="B7507" s="8">
        <v>1.74</v>
      </c>
      <c r="C7507" s="9">
        <v>0</v>
      </c>
      <c r="D7507" s="13">
        <f t="shared" si="117"/>
        <v>1.74</v>
      </c>
    </row>
    <row r="7508" spans="1:4" x14ac:dyDescent="0.25">
      <c r="A7508" s="15">
        <f>Sheet2!A7508</f>
        <v>0</v>
      </c>
      <c r="B7508" s="8">
        <v>1.62</v>
      </c>
      <c r="C7508" s="9">
        <v>0</v>
      </c>
      <c r="D7508" s="13">
        <f t="shared" si="117"/>
        <v>1.62</v>
      </c>
    </row>
    <row r="7509" spans="1:4" x14ac:dyDescent="0.25">
      <c r="A7509" s="15">
        <f>Sheet2!A7509</f>
        <v>0</v>
      </c>
      <c r="B7509" s="8">
        <v>1.59</v>
      </c>
      <c r="C7509" s="9">
        <v>0</v>
      </c>
      <c r="D7509" s="13">
        <f t="shared" si="117"/>
        <v>1.59</v>
      </c>
    </row>
    <row r="7510" spans="1:4" x14ac:dyDescent="0.25">
      <c r="A7510" s="15">
        <f>Sheet2!A7510</f>
        <v>0</v>
      </c>
      <c r="B7510" s="8">
        <v>1.49</v>
      </c>
      <c r="C7510" s="9">
        <v>0</v>
      </c>
      <c r="D7510" s="13">
        <f t="shared" si="117"/>
        <v>1.49</v>
      </c>
    </row>
    <row r="7511" spans="1:4" x14ac:dyDescent="0.25">
      <c r="A7511" s="15">
        <f>Sheet2!A7511</f>
        <v>0</v>
      </c>
      <c r="B7511" s="8">
        <v>1.42</v>
      </c>
      <c r="C7511" s="9">
        <v>0</v>
      </c>
      <c r="D7511" s="13">
        <f t="shared" si="117"/>
        <v>1.42</v>
      </c>
    </row>
    <row r="7512" spans="1:4" x14ac:dyDescent="0.25">
      <c r="A7512" s="15">
        <f>Sheet2!A7512</f>
        <v>0</v>
      </c>
      <c r="B7512" s="8">
        <v>1.04</v>
      </c>
      <c r="C7512" s="9">
        <v>0</v>
      </c>
      <c r="D7512" s="13">
        <f t="shared" si="117"/>
        <v>1.04</v>
      </c>
    </row>
    <row r="7513" spans="1:4" x14ac:dyDescent="0.25">
      <c r="A7513" s="15">
        <f>Sheet2!A7513</f>
        <v>0</v>
      </c>
      <c r="B7513" s="8">
        <v>0.88</v>
      </c>
      <c r="C7513" s="9">
        <v>0</v>
      </c>
      <c r="D7513" s="13">
        <f t="shared" si="117"/>
        <v>0.88</v>
      </c>
    </row>
    <row r="7514" spans="1:4" x14ac:dyDescent="0.25">
      <c r="A7514" s="15">
        <f>Sheet2!A7514</f>
        <v>0</v>
      </c>
      <c r="B7514" s="8">
        <v>0.86</v>
      </c>
      <c r="C7514" s="9">
        <v>0</v>
      </c>
      <c r="D7514" s="13">
        <f t="shared" si="117"/>
        <v>0.86</v>
      </c>
    </row>
    <row r="7515" spans="1:4" x14ac:dyDescent="0.25">
      <c r="A7515" s="15">
        <f>Sheet2!A7515</f>
        <v>0</v>
      </c>
      <c r="B7515" s="8">
        <v>0.84</v>
      </c>
      <c r="C7515" s="9">
        <v>0</v>
      </c>
      <c r="D7515" s="13">
        <f t="shared" si="117"/>
        <v>0.84</v>
      </c>
    </row>
    <row r="7516" spans="1:4" x14ac:dyDescent="0.25">
      <c r="A7516" s="15">
        <f>Sheet2!A7516</f>
        <v>0</v>
      </c>
      <c r="B7516" s="8">
        <v>0.84</v>
      </c>
      <c r="C7516" s="9">
        <v>0</v>
      </c>
      <c r="D7516" s="13">
        <f t="shared" si="117"/>
        <v>0.84</v>
      </c>
    </row>
    <row r="7517" spans="1:4" x14ac:dyDescent="0.25">
      <c r="A7517" s="15">
        <f>Sheet2!A7517</f>
        <v>0</v>
      </c>
      <c r="B7517" s="8">
        <v>0.8</v>
      </c>
      <c r="C7517" s="9">
        <v>0</v>
      </c>
      <c r="D7517" s="13">
        <f t="shared" si="117"/>
        <v>0.8</v>
      </c>
    </row>
    <row r="7518" spans="1:4" x14ac:dyDescent="0.25">
      <c r="A7518" s="15">
        <f>Sheet2!A7518</f>
        <v>0</v>
      </c>
      <c r="B7518" s="8">
        <v>0.77</v>
      </c>
      <c r="C7518" s="9">
        <v>0</v>
      </c>
      <c r="D7518" s="13">
        <f t="shared" si="117"/>
        <v>0.77</v>
      </c>
    </row>
    <row r="7519" spans="1:4" x14ac:dyDescent="0.25">
      <c r="A7519" s="15">
        <f>Sheet2!A7519</f>
        <v>0</v>
      </c>
      <c r="B7519" s="8">
        <v>0.82</v>
      </c>
      <c r="C7519" s="9">
        <v>0</v>
      </c>
      <c r="D7519" s="13">
        <f t="shared" si="117"/>
        <v>0.82</v>
      </c>
    </row>
    <row r="7520" spans="1:4" x14ac:dyDescent="0.25">
      <c r="A7520" s="15">
        <f>Sheet2!A7520</f>
        <v>0</v>
      </c>
      <c r="B7520" s="8">
        <v>0.72</v>
      </c>
      <c r="C7520" s="9">
        <v>0</v>
      </c>
      <c r="D7520" s="13">
        <f t="shared" si="117"/>
        <v>0.72</v>
      </c>
    </row>
    <row r="7521" spans="1:4" x14ac:dyDescent="0.25">
      <c r="A7521" s="15">
        <f>Sheet2!A7521</f>
        <v>0</v>
      </c>
      <c r="B7521" s="8">
        <v>0.92</v>
      </c>
      <c r="C7521" s="9">
        <v>0</v>
      </c>
      <c r="D7521" s="13">
        <f t="shared" si="117"/>
        <v>0.92</v>
      </c>
    </row>
    <row r="7522" spans="1:4" x14ac:dyDescent="0.25">
      <c r="A7522" s="15">
        <f>Sheet2!A7522</f>
        <v>0</v>
      </c>
      <c r="B7522" s="8">
        <v>0.81</v>
      </c>
      <c r="C7522" s="9">
        <v>0</v>
      </c>
      <c r="D7522" s="13">
        <f t="shared" si="117"/>
        <v>0.81</v>
      </c>
    </row>
    <row r="7523" spans="1:4" x14ac:dyDescent="0.25">
      <c r="A7523" s="15">
        <f>Sheet2!A7523</f>
        <v>0</v>
      </c>
      <c r="B7523" s="8">
        <v>1.1399999999999999</v>
      </c>
      <c r="C7523" s="9">
        <v>0</v>
      </c>
      <c r="D7523" s="13">
        <f t="shared" si="117"/>
        <v>1.1399999999999999</v>
      </c>
    </row>
    <row r="7524" spans="1:4" x14ac:dyDescent="0.25">
      <c r="A7524" s="15">
        <f>Sheet2!A7524</f>
        <v>0</v>
      </c>
      <c r="B7524" s="8">
        <v>1.04</v>
      </c>
      <c r="C7524" s="9">
        <v>0</v>
      </c>
      <c r="D7524" s="13">
        <f t="shared" si="117"/>
        <v>1.04</v>
      </c>
    </row>
    <row r="7525" spans="1:4" x14ac:dyDescent="0.25">
      <c r="A7525" s="15">
        <f>Sheet2!A7525</f>
        <v>0</v>
      </c>
      <c r="B7525" s="8">
        <v>1.1100000000000001</v>
      </c>
      <c r="C7525" s="9">
        <v>0</v>
      </c>
      <c r="D7525" s="13">
        <f t="shared" si="117"/>
        <v>1.1100000000000001</v>
      </c>
    </row>
    <row r="7526" spans="1:4" x14ac:dyDescent="0.25">
      <c r="A7526" s="15">
        <f>Sheet2!A7526</f>
        <v>0</v>
      </c>
      <c r="B7526" s="8">
        <v>1</v>
      </c>
      <c r="C7526" s="9">
        <v>0</v>
      </c>
      <c r="D7526" s="13">
        <f t="shared" si="117"/>
        <v>1</v>
      </c>
    </row>
    <row r="7527" spans="1:4" x14ac:dyDescent="0.25">
      <c r="A7527" s="15">
        <f>Sheet2!A7527</f>
        <v>0</v>
      </c>
      <c r="B7527" s="8">
        <v>1</v>
      </c>
      <c r="C7527" s="9">
        <v>0</v>
      </c>
      <c r="D7527" s="13">
        <f t="shared" si="117"/>
        <v>1</v>
      </c>
    </row>
    <row r="7528" spans="1:4" x14ac:dyDescent="0.25">
      <c r="A7528" s="15">
        <f>Sheet2!A7528</f>
        <v>0</v>
      </c>
      <c r="B7528" s="8">
        <v>1.37</v>
      </c>
      <c r="C7528" s="9">
        <v>0</v>
      </c>
      <c r="D7528" s="13">
        <f t="shared" si="117"/>
        <v>1.37</v>
      </c>
    </row>
    <row r="7529" spans="1:4" x14ac:dyDescent="0.25">
      <c r="A7529" s="15">
        <f>Sheet2!A7529</f>
        <v>0</v>
      </c>
      <c r="B7529" s="8">
        <v>1.19</v>
      </c>
      <c r="C7529" s="9">
        <v>0</v>
      </c>
      <c r="D7529" s="13">
        <f t="shared" si="117"/>
        <v>1.19</v>
      </c>
    </row>
    <row r="7530" spans="1:4" x14ac:dyDescent="0.25">
      <c r="A7530" s="15">
        <f>Sheet2!A7530</f>
        <v>0</v>
      </c>
      <c r="B7530" s="8">
        <v>1.1499999999999999</v>
      </c>
      <c r="C7530" s="9">
        <v>0</v>
      </c>
      <c r="D7530" s="13">
        <f t="shared" si="117"/>
        <v>1.1499999999999999</v>
      </c>
    </row>
    <row r="7531" spans="1:4" x14ac:dyDescent="0.25">
      <c r="A7531" s="15">
        <f>Sheet2!A7531</f>
        <v>0</v>
      </c>
      <c r="B7531" s="8">
        <v>1.0900000000000001</v>
      </c>
      <c r="C7531" s="9">
        <v>0</v>
      </c>
      <c r="D7531" s="13">
        <f t="shared" si="117"/>
        <v>1.0900000000000001</v>
      </c>
    </row>
    <row r="7532" spans="1:4" x14ac:dyDescent="0.25">
      <c r="A7532" s="15">
        <f>Sheet2!A7532</f>
        <v>0</v>
      </c>
      <c r="B7532" s="8">
        <v>1.44</v>
      </c>
      <c r="C7532" s="9">
        <v>0</v>
      </c>
      <c r="D7532" s="13">
        <f t="shared" si="117"/>
        <v>1.44</v>
      </c>
    </row>
    <row r="7533" spans="1:4" x14ac:dyDescent="0.25">
      <c r="A7533" s="15">
        <f>Sheet2!A7533</f>
        <v>0</v>
      </c>
      <c r="B7533" s="8">
        <v>1.51</v>
      </c>
      <c r="C7533" s="9">
        <v>0</v>
      </c>
      <c r="D7533" s="13">
        <f t="shared" si="117"/>
        <v>1.51</v>
      </c>
    </row>
    <row r="7534" spans="1:4" x14ac:dyDescent="0.25">
      <c r="A7534" s="15">
        <f>Sheet2!A7534</f>
        <v>0</v>
      </c>
      <c r="B7534" s="8">
        <v>1.32</v>
      </c>
      <c r="C7534" s="9">
        <v>0</v>
      </c>
      <c r="D7534" s="13">
        <f t="shared" si="117"/>
        <v>1.32</v>
      </c>
    </row>
    <row r="7535" spans="1:4" x14ac:dyDescent="0.25">
      <c r="A7535" s="15">
        <f>Sheet2!A7535</f>
        <v>0</v>
      </c>
      <c r="B7535" s="8">
        <v>0.91</v>
      </c>
      <c r="C7535" s="9">
        <v>0</v>
      </c>
      <c r="D7535" s="13">
        <f t="shared" si="117"/>
        <v>0.91</v>
      </c>
    </row>
    <row r="7536" spans="1:4" x14ac:dyDescent="0.25">
      <c r="A7536" s="15">
        <f>Sheet2!A7536</f>
        <v>0</v>
      </c>
      <c r="B7536" s="8">
        <v>0.68</v>
      </c>
      <c r="C7536" s="9">
        <v>0</v>
      </c>
      <c r="D7536" s="13">
        <f t="shared" si="117"/>
        <v>0.68</v>
      </c>
    </row>
    <row r="7537" spans="1:4" x14ac:dyDescent="0.25">
      <c r="A7537" s="15">
        <f>Sheet2!A7537</f>
        <v>0</v>
      </c>
      <c r="B7537" s="8">
        <v>0.59</v>
      </c>
      <c r="C7537" s="9">
        <v>0</v>
      </c>
      <c r="D7537" s="13">
        <f t="shared" si="117"/>
        <v>0.59</v>
      </c>
    </row>
    <row r="7538" spans="1:4" x14ac:dyDescent="0.25">
      <c r="A7538" s="15">
        <f>Sheet2!A7538</f>
        <v>0</v>
      </c>
      <c r="B7538" s="8">
        <v>0.64</v>
      </c>
      <c r="C7538" s="9">
        <v>0</v>
      </c>
      <c r="D7538" s="13">
        <f t="shared" si="117"/>
        <v>0.64</v>
      </c>
    </row>
    <row r="7539" spans="1:4" x14ac:dyDescent="0.25">
      <c r="A7539" s="15">
        <f>Sheet2!A7539</f>
        <v>0</v>
      </c>
      <c r="B7539" s="8">
        <v>0.64</v>
      </c>
      <c r="C7539" s="9">
        <v>0</v>
      </c>
      <c r="D7539" s="13">
        <f t="shared" si="117"/>
        <v>0.64</v>
      </c>
    </row>
    <row r="7540" spans="1:4" x14ac:dyDescent="0.25">
      <c r="A7540" s="15">
        <f>Sheet2!A7540</f>
        <v>0</v>
      </c>
      <c r="B7540" s="8">
        <v>0.59</v>
      </c>
      <c r="C7540" s="9">
        <v>0</v>
      </c>
      <c r="D7540" s="13">
        <f t="shared" si="117"/>
        <v>0.59</v>
      </c>
    </row>
    <row r="7541" spans="1:4" x14ac:dyDescent="0.25">
      <c r="A7541" s="15">
        <f>Sheet2!A7541</f>
        <v>0</v>
      </c>
      <c r="B7541" s="8">
        <v>0.66</v>
      </c>
      <c r="C7541" s="9">
        <v>0</v>
      </c>
      <c r="D7541" s="13">
        <f t="shared" si="117"/>
        <v>0.66</v>
      </c>
    </row>
    <row r="7542" spans="1:4" x14ac:dyDescent="0.25">
      <c r="A7542" s="15">
        <f>Sheet2!A7542</f>
        <v>0</v>
      </c>
      <c r="B7542" s="8">
        <v>0.56000000000000005</v>
      </c>
      <c r="C7542" s="9">
        <v>0</v>
      </c>
      <c r="D7542" s="13">
        <f t="shared" si="117"/>
        <v>0.56000000000000005</v>
      </c>
    </row>
    <row r="7543" spans="1:4" x14ac:dyDescent="0.25">
      <c r="A7543" s="15">
        <f>Sheet2!A7543</f>
        <v>0</v>
      </c>
      <c r="B7543" s="8">
        <v>0.74</v>
      </c>
      <c r="C7543" s="9">
        <v>0</v>
      </c>
      <c r="D7543" s="13">
        <f t="shared" si="117"/>
        <v>0.74</v>
      </c>
    </row>
    <row r="7544" spans="1:4" x14ac:dyDescent="0.25">
      <c r="A7544" s="15">
        <f>Sheet2!A7544</f>
        <v>0</v>
      </c>
      <c r="B7544" s="8">
        <v>0.57999999999999996</v>
      </c>
      <c r="C7544" s="9">
        <v>0</v>
      </c>
      <c r="D7544" s="13">
        <f t="shared" si="117"/>
        <v>0.57999999999999996</v>
      </c>
    </row>
    <row r="7545" spans="1:4" x14ac:dyDescent="0.25">
      <c r="A7545" s="15">
        <f>Sheet2!A7545</f>
        <v>0</v>
      </c>
      <c r="B7545" s="8">
        <v>0.79</v>
      </c>
      <c r="C7545" s="9">
        <v>0</v>
      </c>
      <c r="D7545" s="13">
        <f t="shared" si="117"/>
        <v>0.79</v>
      </c>
    </row>
    <row r="7546" spans="1:4" x14ac:dyDescent="0.25">
      <c r="A7546" s="15">
        <f>Sheet2!A7546</f>
        <v>0</v>
      </c>
      <c r="B7546" s="8">
        <v>0.76</v>
      </c>
      <c r="C7546" s="9">
        <v>0</v>
      </c>
      <c r="D7546" s="13">
        <f t="shared" si="117"/>
        <v>0.76</v>
      </c>
    </row>
    <row r="7547" spans="1:4" x14ac:dyDescent="0.25">
      <c r="A7547" s="15">
        <f>Sheet2!A7547</f>
        <v>0</v>
      </c>
      <c r="B7547" s="8">
        <v>0.63</v>
      </c>
      <c r="C7547" s="9">
        <v>0</v>
      </c>
      <c r="D7547" s="13">
        <f t="shared" si="117"/>
        <v>0.63</v>
      </c>
    </row>
    <row r="7548" spans="1:4" x14ac:dyDescent="0.25">
      <c r="A7548" s="15">
        <f>Sheet2!A7548</f>
        <v>0</v>
      </c>
      <c r="B7548" s="8">
        <v>0.55000000000000004</v>
      </c>
      <c r="C7548" s="9">
        <v>0</v>
      </c>
      <c r="D7548" s="13">
        <f t="shared" si="117"/>
        <v>0.55000000000000004</v>
      </c>
    </row>
    <row r="7549" spans="1:4" x14ac:dyDescent="0.25">
      <c r="A7549" s="15">
        <f>Sheet2!A7549</f>
        <v>0</v>
      </c>
      <c r="B7549" s="8">
        <v>4.1399999999999997</v>
      </c>
      <c r="C7549" s="9">
        <v>0</v>
      </c>
      <c r="D7549" s="13">
        <f t="shared" si="117"/>
        <v>4.1399999999999997</v>
      </c>
    </row>
    <row r="7550" spans="1:4" x14ac:dyDescent="0.25">
      <c r="A7550" s="15">
        <f>Sheet2!A7550</f>
        <v>0</v>
      </c>
      <c r="B7550" s="8">
        <v>1.58</v>
      </c>
      <c r="C7550" s="9">
        <v>0</v>
      </c>
      <c r="D7550" s="13">
        <f t="shared" si="117"/>
        <v>1.58</v>
      </c>
    </row>
    <row r="7551" spans="1:4" x14ac:dyDescent="0.25">
      <c r="A7551" s="15">
        <f>Sheet2!A7551</f>
        <v>0</v>
      </c>
      <c r="B7551" s="8">
        <v>0.94</v>
      </c>
      <c r="C7551" s="9">
        <v>0</v>
      </c>
      <c r="D7551" s="13">
        <f t="shared" si="117"/>
        <v>0.94</v>
      </c>
    </row>
    <row r="7552" spans="1:4" x14ac:dyDescent="0.25">
      <c r="A7552" s="15">
        <f>Sheet2!A7552</f>
        <v>0</v>
      </c>
      <c r="B7552" s="8">
        <v>1.21</v>
      </c>
      <c r="C7552" s="9">
        <v>0</v>
      </c>
      <c r="D7552" s="13">
        <f t="shared" si="117"/>
        <v>1.21</v>
      </c>
    </row>
    <row r="7553" spans="1:4" x14ac:dyDescent="0.25">
      <c r="A7553" s="15">
        <f>Sheet2!A7553</f>
        <v>0</v>
      </c>
      <c r="B7553" s="8">
        <v>1.89</v>
      </c>
      <c r="C7553" s="9">
        <v>0</v>
      </c>
      <c r="D7553" s="13">
        <f t="shared" si="117"/>
        <v>1.89</v>
      </c>
    </row>
    <row r="7554" spans="1:4" x14ac:dyDescent="0.25">
      <c r="A7554" s="15">
        <f>Sheet2!A7554</f>
        <v>0</v>
      </c>
      <c r="B7554" s="8">
        <v>3.14</v>
      </c>
      <c r="C7554" s="9">
        <v>0</v>
      </c>
      <c r="D7554" s="13">
        <f t="shared" si="117"/>
        <v>3.14</v>
      </c>
    </row>
    <row r="7555" spans="1:4" x14ac:dyDescent="0.25">
      <c r="A7555" s="15">
        <f>Sheet2!A7555</f>
        <v>0</v>
      </c>
      <c r="B7555" s="8">
        <v>2.54</v>
      </c>
      <c r="C7555" s="9">
        <v>0</v>
      </c>
      <c r="D7555" s="13">
        <f t="shared" ref="D7555:D7618" si="118">B7555+C7555</f>
        <v>2.54</v>
      </c>
    </row>
    <row r="7556" spans="1:4" x14ac:dyDescent="0.25">
      <c r="A7556" s="15">
        <f>Sheet2!A7556</f>
        <v>0</v>
      </c>
      <c r="B7556" s="8">
        <v>1.41</v>
      </c>
      <c r="C7556" s="9">
        <v>0</v>
      </c>
      <c r="D7556" s="13">
        <f t="shared" si="118"/>
        <v>1.41</v>
      </c>
    </row>
    <row r="7557" spans="1:4" x14ac:dyDescent="0.25">
      <c r="A7557" s="15">
        <f>Sheet2!A7557</f>
        <v>0</v>
      </c>
      <c r="B7557" s="8">
        <v>1.38</v>
      </c>
      <c r="C7557" s="9">
        <v>0</v>
      </c>
      <c r="D7557" s="13">
        <f t="shared" si="118"/>
        <v>1.38</v>
      </c>
    </row>
    <row r="7558" spans="1:4" x14ac:dyDescent="0.25">
      <c r="A7558" s="15">
        <f>Sheet2!A7558</f>
        <v>0</v>
      </c>
      <c r="B7558" s="8">
        <v>1.69</v>
      </c>
      <c r="C7558" s="9">
        <v>0</v>
      </c>
      <c r="D7558" s="13">
        <f t="shared" si="118"/>
        <v>1.69</v>
      </c>
    </row>
    <row r="7559" spans="1:4" x14ac:dyDescent="0.25">
      <c r="A7559" s="15">
        <f>Sheet2!A7559</f>
        <v>0</v>
      </c>
      <c r="B7559" s="8">
        <v>1.01</v>
      </c>
      <c r="C7559" s="9">
        <v>0</v>
      </c>
      <c r="D7559" s="13">
        <f t="shared" si="118"/>
        <v>1.01</v>
      </c>
    </row>
    <row r="7560" spans="1:4" x14ac:dyDescent="0.25">
      <c r="A7560" s="15">
        <f>Sheet2!A7560</f>
        <v>0</v>
      </c>
      <c r="B7560" s="8">
        <v>0.65</v>
      </c>
      <c r="C7560" s="9">
        <v>0</v>
      </c>
      <c r="D7560" s="13">
        <f t="shared" si="118"/>
        <v>0.65</v>
      </c>
    </row>
    <row r="7561" spans="1:4" x14ac:dyDescent="0.25">
      <c r="A7561" s="15">
        <f>Sheet2!A7561</f>
        <v>0</v>
      </c>
      <c r="B7561" s="8">
        <v>0.93</v>
      </c>
      <c r="C7561" s="9">
        <v>0</v>
      </c>
      <c r="D7561" s="13">
        <f t="shared" si="118"/>
        <v>0.93</v>
      </c>
    </row>
    <row r="7562" spans="1:4" x14ac:dyDescent="0.25">
      <c r="A7562" s="15">
        <f>Sheet2!A7562</f>
        <v>0</v>
      </c>
      <c r="B7562" s="8">
        <v>0.66</v>
      </c>
      <c r="C7562" s="9">
        <v>0</v>
      </c>
      <c r="D7562" s="13">
        <f t="shared" si="118"/>
        <v>0.66</v>
      </c>
    </row>
    <row r="7563" spans="1:4" x14ac:dyDescent="0.25">
      <c r="A7563" s="15">
        <f>Sheet2!A7563</f>
        <v>0</v>
      </c>
      <c r="B7563" s="8">
        <v>0.6</v>
      </c>
      <c r="C7563" s="9">
        <v>0</v>
      </c>
      <c r="D7563" s="13">
        <f t="shared" si="118"/>
        <v>0.6</v>
      </c>
    </row>
    <row r="7564" spans="1:4" x14ac:dyDescent="0.25">
      <c r="A7564" s="15">
        <f>Sheet2!A7564</f>
        <v>0</v>
      </c>
      <c r="B7564" s="8">
        <v>0.85</v>
      </c>
      <c r="C7564" s="9">
        <v>0</v>
      </c>
      <c r="D7564" s="13">
        <f t="shared" si="118"/>
        <v>0.85</v>
      </c>
    </row>
    <row r="7565" spans="1:4" x14ac:dyDescent="0.25">
      <c r="A7565" s="15">
        <f>Sheet2!A7565</f>
        <v>0</v>
      </c>
      <c r="B7565" s="8">
        <v>0.87</v>
      </c>
      <c r="C7565" s="9">
        <v>0</v>
      </c>
      <c r="D7565" s="13">
        <f t="shared" si="118"/>
        <v>0.87</v>
      </c>
    </row>
    <row r="7566" spans="1:4" x14ac:dyDescent="0.25">
      <c r="A7566" s="15">
        <f>Sheet2!A7566</f>
        <v>0</v>
      </c>
      <c r="B7566" s="8">
        <v>0.83</v>
      </c>
      <c r="C7566" s="9">
        <v>0</v>
      </c>
      <c r="D7566" s="13">
        <f t="shared" si="118"/>
        <v>0.83</v>
      </c>
    </row>
    <row r="7567" spans="1:4" x14ac:dyDescent="0.25">
      <c r="A7567" s="15">
        <f>Sheet2!A7567</f>
        <v>0</v>
      </c>
      <c r="B7567" s="8">
        <v>0.85</v>
      </c>
      <c r="C7567" s="9">
        <v>0</v>
      </c>
      <c r="D7567" s="13">
        <f t="shared" si="118"/>
        <v>0.85</v>
      </c>
    </row>
    <row r="7568" spans="1:4" x14ac:dyDescent="0.25">
      <c r="A7568" s="15">
        <f>Sheet2!A7568</f>
        <v>0</v>
      </c>
      <c r="B7568" s="8">
        <v>0.7</v>
      </c>
      <c r="C7568" s="9">
        <v>0</v>
      </c>
      <c r="D7568" s="13">
        <f t="shared" si="118"/>
        <v>0.7</v>
      </c>
    </row>
    <row r="7569" spans="1:4" x14ac:dyDescent="0.25">
      <c r="A7569" s="15">
        <f>Sheet2!A7569</f>
        <v>0</v>
      </c>
      <c r="B7569" s="8">
        <v>0.7</v>
      </c>
      <c r="C7569" s="9">
        <v>0</v>
      </c>
      <c r="D7569" s="13">
        <f t="shared" si="118"/>
        <v>0.7</v>
      </c>
    </row>
    <row r="7570" spans="1:4" x14ac:dyDescent="0.25">
      <c r="A7570" s="15">
        <f>Sheet2!A7570</f>
        <v>0</v>
      </c>
      <c r="B7570" s="8">
        <v>0.81</v>
      </c>
      <c r="C7570" s="9">
        <v>0</v>
      </c>
      <c r="D7570" s="13">
        <f t="shared" si="118"/>
        <v>0.81</v>
      </c>
    </row>
    <row r="7571" spans="1:4" x14ac:dyDescent="0.25">
      <c r="A7571" s="15">
        <f>Sheet2!A7571</f>
        <v>0</v>
      </c>
      <c r="B7571" s="8">
        <v>0.65</v>
      </c>
      <c r="C7571" s="9">
        <v>0</v>
      </c>
      <c r="D7571" s="13">
        <f t="shared" si="118"/>
        <v>0.65</v>
      </c>
    </row>
    <row r="7572" spans="1:4" x14ac:dyDescent="0.25">
      <c r="A7572" s="15">
        <f>Sheet2!A7572</f>
        <v>0</v>
      </c>
      <c r="B7572" s="8">
        <v>0.61</v>
      </c>
      <c r="C7572" s="9">
        <v>0</v>
      </c>
      <c r="D7572" s="13">
        <f t="shared" si="118"/>
        <v>0.61</v>
      </c>
    </row>
    <row r="7573" spans="1:4" x14ac:dyDescent="0.25">
      <c r="A7573" s="15">
        <f>Sheet2!A7573</f>
        <v>0</v>
      </c>
      <c r="B7573" s="8">
        <v>0.61</v>
      </c>
      <c r="C7573" s="9">
        <v>0</v>
      </c>
      <c r="D7573" s="13">
        <f t="shared" si="118"/>
        <v>0.61</v>
      </c>
    </row>
    <row r="7574" spans="1:4" x14ac:dyDescent="0.25">
      <c r="A7574" s="15">
        <f>Sheet2!A7574</f>
        <v>0</v>
      </c>
      <c r="B7574" s="8">
        <v>1.1000000000000001</v>
      </c>
      <c r="C7574" s="9">
        <v>0</v>
      </c>
      <c r="D7574" s="13">
        <f t="shared" si="118"/>
        <v>1.1000000000000001</v>
      </c>
    </row>
    <row r="7575" spans="1:4" x14ac:dyDescent="0.25">
      <c r="A7575" s="15">
        <f>Sheet2!A7575</f>
        <v>0</v>
      </c>
      <c r="B7575" s="8">
        <v>1.07</v>
      </c>
      <c r="C7575" s="9">
        <v>0</v>
      </c>
      <c r="D7575" s="13">
        <f t="shared" si="118"/>
        <v>1.07</v>
      </c>
    </row>
    <row r="7576" spans="1:4" x14ac:dyDescent="0.25">
      <c r="A7576" s="15">
        <f>Sheet2!A7576</f>
        <v>0</v>
      </c>
      <c r="B7576" s="8">
        <v>1.9</v>
      </c>
      <c r="C7576" s="9">
        <v>0</v>
      </c>
      <c r="D7576" s="13">
        <f t="shared" si="118"/>
        <v>1.9</v>
      </c>
    </row>
    <row r="7577" spans="1:4" x14ac:dyDescent="0.25">
      <c r="A7577" s="15">
        <f>Sheet2!A7577</f>
        <v>0</v>
      </c>
      <c r="B7577" s="8">
        <v>1.51</v>
      </c>
      <c r="C7577" s="9">
        <v>0</v>
      </c>
      <c r="D7577" s="13">
        <f t="shared" si="118"/>
        <v>1.51</v>
      </c>
    </row>
    <row r="7578" spans="1:4" x14ac:dyDescent="0.25">
      <c r="A7578" s="15">
        <f>Sheet2!A7578</f>
        <v>0</v>
      </c>
      <c r="B7578" s="8">
        <v>1.71</v>
      </c>
      <c r="C7578" s="9">
        <v>0</v>
      </c>
      <c r="D7578" s="13">
        <f t="shared" si="118"/>
        <v>1.71</v>
      </c>
    </row>
    <row r="7579" spans="1:4" x14ac:dyDescent="0.25">
      <c r="A7579" s="15">
        <f>Sheet2!A7579</f>
        <v>0</v>
      </c>
      <c r="B7579" s="8">
        <v>1.22</v>
      </c>
      <c r="C7579" s="9">
        <v>0</v>
      </c>
      <c r="D7579" s="13">
        <f t="shared" si="118"/>
        <v>1.22</v>
      </c>
    </row>
    <row r="7580" spans="1:4" x14ac:dyDescent="0.25">
      <c r="A7580" s="15">
        <f>Sheet2!A7580</f>
        <v>0</v>
      </c>
      <c r="B7580" s="8">
        <v>1.56</v>
      </c>
      <c r="C7580" s="9">
        <v>0</v>
      </c>
      <c r="D7580" s="13">
        <f t="shared" si="118"/>
        <v>1.56</v>
      </c>
    </row>
    <row r="7581" spans="1:4" x14ac:dyDescent="0.25">
      <c r="A7581" s="15">
        <f>Sheet2!A7581</f>
        <v>0</v>
      </c>
      <c r="B7581" s="8">
        <v>1.1299999999999999</v>
      </c>
      <c r="C7581" s="9">
        <v>0</v>
      </c>
      <c r="D7581" s="13">
        <f t="shared" si="118"/>
        <v>1.1299999999999999</v>
      </c>
    </row>
    <row r="7582" spans="1:4" x14ac:dyDescent="0.25">
      <c r="A7582" s="15">
        <f>Sheet2!A7582</f>
        <v>0</v>
      </c>
      <c r="B7582" s="8">
        <v>1.25</v>
      </c>
      <c r="C7582" s="9">
        <v>0</v>
      </c>
      <c r="D7582" s="13">
        <f t="shared" si="118"/>
        <v>1.25</v>
      </c>
    </row>
    <row r="7583" spans="1:4" x14ac:dyDescent="0.25">
      <c r="A7583" s="15">
        <f>Sheet2!A7583</f>
        <v>0</v>
      </c>
      <c r="B7583" s="8">
        <v>1.35</v>
      </c>
      <c r="C7583" s="9">
        <v>0</v>
      </c>
      <c r="D7583" s="13">
        <f t="shared" si="118"/>
        <v>1.35</v>
      </c>
    </row>
    <row r="7584" spans="1:4" x14ac:dyDescent="0.25">
      <c r="A7584" s="15">
        <f>Sheet2!A7584</f>
        <v>0</v>
      </c>
      <c r="B7584" s="8">
        <v>1.02</v>
      </c>
      <c r="C7584" s="9">
        <v>0</v>
      </c>
      <c r="D7584" s="13">
        <f t="shared" si="118"/>
        <v>1.02</v>
      </c>
    </row>
    <row r="7585" spans="1:4" x14ac:dyDescent="0.25">
      <c r="A7585" s="15">
        <f>Sheet2!A7585</f>
        <v>0</v>
      </c>
      <c r="B7585" s="8">
        <v>0.91</v>
      </c>
      <c r="C7585" s="9">
        <v>0</v>
      </c>
      <c r="D7585" s="13">
        <f t="shared" si="118"/>
        <v>0.91</v>
      </c>
    </row>
    <row r="7586" spans="1:4" x14ac:dyDescent="0.25">
      <c r="A7586" s="15">
        <f>Sheet2!A7586</f>
        <v>0</v>
      </c>
      <c r="B7586" s="8">
        <v>0.56999999999999995</v>
      </c>
      <c r="C7586" s="9">
        <v>0</v>
      </c>
      <c r="D7586" s="13">
        <f t="shared" si="118"/>
        <v>0.56999999999999995</v>
      </c>
    </row>
    <row r="7587" spans="1:4" x14ac:dyDescent="0.25">
      <c r="A7587" s="15">
        <f>Sheet2!A7587</f>
        <v>0</v>
      </c>
      <c r="B7587" s="8">
        <v>0.63</v>
      </c>
      <c r="C7587" s="9">
        <v>0</v>
      </c>
      <c r="D7587" s="13">
        <f t="shared" si="118"/>
        <v>0.63</v>
      </c>
    </row>
    <row r="7588" spans="1:4" x14ac:dyDescent="0.25">
      <c r="A7588" s="15">
        <f>Sheet2!A7588</f>
        <v>0</v>
      </c>
      <c r="B7588" s="8">
        <v>0.52</v>
      </c>
      <c r="C7588" s="9">
        <v>0</v>
      </c>
      <c r="D7588" s="13">
        <f t="shared" si="118"/>
        <v>0.52</v>
      </c>
    </row>
    <row r="7589" spans="1:4" x14ac:dyDescent="0.25">
      <c r="A7589" s="15">
        <f>Sheet2!A7589</f>
        <v>0</v>
      </c>
      <c r="B7589" s="8">
        <v>0.66</v>
      </c>
      <c r="C7589" s="9">
        <v>0</v>
      </c>
      <c r="D7589" s="13">
        <f t="shared" si="118"/>
        <v>0.66</v>
      </c>
    </row>
    <row r="7590" spans="1:4" x14ac:dyDescent="0.25">
      <c r="A7590" s="15">
        <f>Sheet2!A7590</f>
        <v>0</v>
      </c>
      <c r="B7590" s="8">
        <v>0.6</v>
      </c>
      <c r="C7590" s="9">
        <v>0</v>
      </c>
      <c r="D7590" s="13">
        <f t="shared" si="118"/>
        <v>0.6</v>
      </c>
    </row>
    <row r="7591" spans="1:4" x14ac:dyDescent="0.25">
      <c r="A7591" s="15">
        <f>Sheet2!A7591</f>
        <v>0</v>
      </c>
      <c r="B7591" s="8">
        <v>0.56000000000000005</v>
      </c>
      <c r="C7591" s="9">
        <v>0</v>
      </c>
      <c r="D7591" s="13">
        <f t="shared" si="118"/>
        <v>0.56000000000000005</v>
      </c>
    </row>
    <row r="7592" spans="1:4" x14ac:dyDescent="0.25">
      <c r="A7592" s="15">
        <f>Sheet2!A7592</f>
        <v>0</v>
      </c>
      <c r="B7592" s="8">
        <v>0.59</v>
      </c>
      <c r="C7592" s="9">
        <v>0</v>
      </c>
      <c r="D7592" s="13">
        <f t="shared" si="118"/>
        <v>0.59</v>
      </c>
    </row>
    <row r="7593" spans="1:4" x14ac:dyDescent="0.25">
      <c r="A7593" s="15">
        <f>Sheet2!A7593</f>
        <v>0</v>
      </c>
      <c r="B7593" s="8">
        <v>0.61</v>
      </c>
      <c r="C7593" s="9">
        <v>0</v>
      </c>
      <c r="D7593" s="13">
        <f t="shared" si="118"/>
        <v>0.61</v>
      </c>
    </row>
    <row r="7594" spans="1:4" x14ac:dyDescent="0.25">
      <c r="A7594" s="15">
        <f>Sheet2!A7594</f>
        <v>0</v>
      </c>
      <c r="B7594" s="8">
        <v>0.6</v>
      </c>
      <c r="C7594" s="9">
        <v>0</v>
      </c>
      <c r="D7594" s="13">
        <f t="shared" si="118"/>
        <v>0.6</v>
      </c>
    </row>
    <row r="7595" spans="1:4" x14ac:dyDescent="0.25">
      <c r="A7595" s="15">
        <f>Sheet2!A7595</f>
        <v>0</v>
      </c>
      <c r="B7595" s="8">
        <v>0.59</v>
      </c>
      <c r="C7595" s="9">
        <v>0</v>
      </c>
      <c r="D7595" s="13">
        <f t="shared" si="118"/>
        <v>0.59</v>
      </c>
    </row>
    <row r="7596" spans="1:4" x14ac:dyDescent="0.25">
      <c r="A7596" s="15">
        <f>Sheet2!A7596</f>
        <v>0</v>
      </c>
      <c r="B7596" s="8">
        <v>0.55000000000000004</v>
      </c>
      <c r="C7596" s="9">
        <v>0</v>
      </c>
      <c r="D7596" s="13">
        <f t="shared" si="118"/>
        <v>0.55000000000000004</v>
      </c>
    </row>
    <row r="7597" spans="1:4" x14ac:dyDescent="0.25">
      <c r="A7597" s="15">
        <f>Sheet2!A7597</f>
        <v>0</v>
      </c>
      <c r="B7597" s="8">
        <v>0.61</v>
      </c>
      <c r="C7597" s="9">
        <v>0</v>
      </c>
      <c r="D7597" s="13">
        <f t="shared" si="118"/>
        <v>0.61</v>
      </c>
    </row>
    <row r="7598" spans="1:4" x14ac:dyDescent="0.25">
      <c r="A7598" s="15">
        <f>Sheet2!A7598</f>
        <v>0</v>
      </c>
      <c r="B7598" s="8">
        <v>0.69</v>
      </c>
      <c r="C7598" s="9">
        <v>0</v>
      </c>
      <c r="D7598" s="13">
        <f t="shared" si="118"/>
        <v>0.69</v>
      </c>
    </row>
    <row r="7599" spans="1:4" x14ac:dyDescent="0.25">
      <c r="A7599" s="15">
        <f>Sheet2!A7599</f>
        <v>0</v>
      </c>
      <c r="B7599" s="8">
        <v>2.46</v>
      </c>
      <c r="C7599" s="9">
        <v>0</v>
      </c>
      <c r="D7599" s="13">
        <f t="shared" si="118"/>
        <v>2.46</v>
      </c>
    </row>
    <row r="7600" spans="1:4" x14ac:dyDescent="0.25">
      <c r="A7600" s="15">
        <f>Sheet2!A7600</f>
        <v>0</v>
      </c>
      <c r="B7600" s="8">
        <v>0</v>
      </c>
      <c r="C7600" s="9">
        <v>0.68</v>
      </c>
      <c r="D7600" s="13">
        <f t="shared" si="118"/>
        <v>0.68</v>
      </c>
    </row>
    <row r="7601" spans="1:4" x14ac:dyDescent="0.25">
      <c r="A7601" s="15">
        <f>Sheet2!A7601</f>
        <v>0</v>
      </c>
      <c r="B7601" s="8">
        <v>1.59</v>
      </c>
      <c r="C7601" s="9">
        <v>0</v>
      </c>
      <c r="D7601" s="13">
        <f t="shared" si="118"/>
        <v>1.59</v>
      </c>
    </row>
    <row r="7602" spans="1:4" x14ac:dyDescent="0.25">
      <c r="A7602" s="15">
        <f>Sheet2!A7602</f>
        <v>0</v>
      </c>
      <c r="B7602" s="8">
        <v>1.38</v>
      </c>
      <c r="C7602" s="9">
        <v>0</v>
      </c>
      <c r="D7602" s="13">
        <f t="shared" si="118"/>
        <v>1.38</v>
      </c>
    </row>
    <row r="7603" spans="1:4" x14ac:dyDescent="0.25">
      <c r="A7603" s="15">
        <f>Sheet2!A7603</f>
        <v>0</v>
      </c>
      <c r="B7603" s="8">
        <v>1.8</v>
      </c>
      <c r="C7603" s="9">
        <v>0</v>
      </c>
      <c r="D7603" s="13">
        <f t="shared" si="118"/>
        <v>1.8</v>
      </c>
    </row>
    <row r="7604" spans="1:4" x14ac:dyDescent="0.25">
      <c r="A7604" s="15">
        <f>Sheet2!A7604</f>
        <v>0</v>
      </c>
      <c r="B7604" s="8">
        <v>1.05</v>
      </c>
      <c r="C7604" s="9">
        <v>0</v>
      </c>
      <c r="D7604" s="13">
        <f t="shared" si="118"/>
        <v>1.05</v>
      </c>
    </row>
    <row r="7605" spans="1:4" x14ac:dyDescent="0.25">
      <c r="A7605" s="15">
        <f>Sheet2!A7605</f>
        <v>0</v>
      </c>
      <c r="B7605" s="8">
        <v>1.05</v>
      </c>
      <c r="C7605" s="9">
        <v>0</v>
      </c>
      <c r="D7605" s="13">
        <f t="shared" si="118"/>
        <v>1.05</v>
      </c>
    </row>
    <row r="7606" spans="1:4" x14ac:dyDescent="0.25">
      <c r="A7606" s="15">
        <f>Sheet2!A7606</f>
        <v>0</v>
      </c>
      <c r="B7606" s="8">
        <v>1.18</v>
      </c>
      <c r="C7606" s="9">
        <v>0</v>
      </c>
      <c r="D7606" s="13">
        <f t="shared" si="118"/>
        <v>1.18</v>
      </c>
    </row>
    <row r="7607" spans="1:4" x14ac:dyDescent="0.25">
      <c r="A7607" s="15">
        <f>Sheet2!A7607</f>
        <v>0</v>
      </c>
      <c r="B7607" s="8">
        <v>1</v>
      </c>
      <c r="C7607" s="9">
        <v>0</v>
      </c>
      <c r="D7607" s="13">
        <f t="shared" si="118"/>
        <v>1</v>
      </c>
    </row>
    <row r="7608" spans="1:4" x14ac:dyDescent="0.25">
      <c r="A7608" s="15">
        <f>Sheet2!A7608</f>
        <v>0</v>
      </c>
      <c r="B7608" s="8">
        <v>0.66</v>
      </c>
      <c r="C7608" s="9">
        <v>0</v>
      </c>
      <c r="D7608" s="13">
        <f t="shared" si="118"/>
        <v>0.66</v>
      </c>
    </row>
    <row r="7609" spans="1:4" x14ac:dyDescent="0.25">
      <c r="A7609" s="15">
        <f>Sheet2!A7609</f>
        <v>0</v>
      </c>
      <c r="B7609" s="8">
        <v>0.51</v>
      </c>
      <c r="C7609" s="9">
        <v>0</v>
      </c>
      <c r="D7609" s="13">
        <f t="shared" si="118"/>
        <v>0.51</v>
      </c>
    </row>
    <row r="7610" spans="1:4" x14ac:dyDescent="0.25">
      <c r="A7610" s="15">
        <f>Sheet2!A7610</f>
        <v>0</v>
      </c>
      <c r="B7610" s="8">
        <v>0.42</v>
      </c>
      <c r="C7610" s="9">
        <v>0</v>
      </c>
      <c r="D7610" s="13">
        <f t="shared" si="118"/>
        <v>0.42</v>
      </c>
    </row>
    <row r="7611" spans="1:4" x14ac:dyDescent="0.25">
      <c r="A7611" s="15">
        <f>Sheet2!A7611</f>
        <v>0</v>
      </c>
      <c r="B7611" s="8">
        <v>0.7</v>
      </c>
      <c r="C7611" s="9">
        <v>0</v>
      </c>
      <c r="D7611" s="13">
        <f t="shared" si="118"/>
        <v>0.7</v>
      </c>
    </row>
    <row r="7612" spans="1:4" x14ac:dyDescent="0.25">
      <c r="A7612" s="15">
        <f>Sheet2!A7612</f>
        <v>0</v>
      </c>
      <c r="B7612" s="8">
        <v>0.64</v>
      </c>
      <c r="C7612" s="9">
        <v>0</v>
      </c>
      <c r="D7612" s="13">
        <f t="shared" si="118"/>
        <v>0.64</v>
      </c>
    </row>
    <row r="7613" spans="1:4" x14ac:dyDescent="0.25">
      <c r="A7613" s="15">
        <f>Sheet2!A7613</f>
        <v>0</v>
      </c>
      <c r="B7613" s="8">
        <v>0.63</v>
      </c>
      <c r="C7613" s="9">
        <v>0</v>
      </c>
      <c r="D7613" s="13">
        <f t="shared" si="118"/>
        <v>0.63</v>
      </c>
    </row>
    <row r="7614" spans="1:4" x14ac:dyDescent="0.25">
      <c r="A7614" s="15">
        <f>Sheet2!A7614</f>
        <v>0</v>
      </c>
      <c r="B7614" s="8">
        <v>0.6</v>
      </c>
      <c r="C7614" s="9">
        <v>0</v>
      </c>
      <c r="D7614" s="13">
        <f t="shared" si="118"/>
        <v>0.6</v>
      </c>
    </row>
    <row r="7615" spans="1:4" x14ac:dyDescent="0.25">
      <c r="A7615" s="15">
        <f>Sheet2!A7615</f>
        <v>0</v>
      </c>
      <c r="B7615" s="8">
        <v>0.43</v>
      </c>
      <c r="C7615" s="9">
        <v>0</v>
      </c>
      <c r="D7615" s="13">
        <f t="shared" si="118"/>
        <v>0.43</v>
      </c>
    </row>
    <row r="7616" spans="1:4" x14ac:dyDescent="0.25">
      <c r="A7616" s="15">
        <f>Sheet2!A7616</f>
        <v>0</v>
      </c>
      <c r="B7616" s="8">
        <v>0.48</v>
      </c>
      <c r="C7616" s="9">
        <v>0</v>
      </c>
      <c r="D7616" s="13">
        <f t="shared" si="118"/>
        <v>0.48</v>
      </c>
    </row>
    <row r="7617" spans="1:4" x14ac:dyDescent="0.25">
      <c r="A7617" s="15">
        <f>Sheet2!A7617</f>
        <v>0</v>
      </c>
      <c r="B7617" s="8">
        <v>0.48</v>
      </c>
      <c r="C7617" s="9">
        <v>0</v>
      </c>
      <c r="D7617" s="13">
        <f t="shared" si="118"/>
        <v>0.48</v>
      </c>
    </row>
    <row r="7618" spans="1:4" x14ac:dyDescent="0.25">
      <c r="A7618" s="15">
        <f>Sheet2!A7618</f>
        <v>0</v>
      </c>
      <c r="B7618" s="8">
        <v>0.45</v>
      </c>
      <c r="C7618" s="9">
        <v>0</v>
      </c>
      <c r="D7618" s="13">
        <f t="shared" si="118"/>
        <v>0.45</v>
      </c>
    </row>
    <row r="7619" spans="1:4" x14ac:dyDescent="0.25">
      <c r="A7619" s="15">
        <f>Sheet2!A7619</f>
        <v>0</v>
      </c>
      <c r="B7619" s="8">
        <v>0.59</v>
      </c>
      <c r="C7619" s="9">
        <v>0</v>
      </c>
      <c r="D7619" s="13">
        <f t="shared" ref="D7619:D7682" si="119">B7619+C7619</f>
        <v>0.59</v>
      </c>
    </row>
    <row r="7620" spans="1:4" x14ac:dyDescent="0.25">
      <c r="A7620" s="15">
        <f>Sheet2!A7620</f>
        <v>0</v>
      </c>
      <c r="B7620" s="8">
        <v>0.5</v>
      </c>
      <c r="C7620" s="9">
        <v>0</v>
      </c>
      <c r="D7620" s="13">
        <f t="shared" si="119"/>
        <v>0.5</v>
      </c>
    </row>
    <row r="7621" spans="1:4" x14ac:dyDescent="0.25">
      <c r="A7621" s="15">
        <f>Sheet2!A7621</f>
        <v>0</v>
      </c>
      <c r="B7621" s="8">
        <v>0.81</v>
      </c>
      <c r="C7621" s="9">
        <v>0</v>
      </c>
      <c r="D7621" s="13">
        <f t="shared" si="119"/>
        <v>0.81</v>
      </c>
    </row>
    <row r="7622" spans="1:4" x14ac:dyDescent="0.25">
      <c r="A7622" s="15">
        <f>Sheet2!A7622</f>
        <v>0</v>
      </c>
      <c r="B7622" s="8">
        <v>1.19</v>
      </c>
      <c r="C7622" s="9">
        <v>0</v>
      </c>
      <c r="D7622" s="13">
        <f t="shared" si="119"/>
        <v>1.19</v>
      </c>
    </row>
    <row r="7623" spans="1:4" x14ac:dyDescent="0.25">
      <c r="A7623" s="15">
        <f>Sheet2!A7623</f>
        <v>0</v>
      </c>
      <c r="B7623" s="8">
        <v>2.04</v>
      </c>
      <c r="C7623" s="9">
        <v>0</v>
      </c>
      <c r="D7623" s="13">
        <f t="shared" si="119"/>
        <v>2.04</v>
      </c>
    </row>
    <row r="7624" spans="1:4" x14ac:dyDescent="0.25">
      <c r="A7624" s="15">
        <f>Sheet2!A7624</f>
        <v>0</v>
      </c>
      <c r="B7624" s="8">
        <v>0</v>
      </c>
      <c r="C7624" s="9">
        <v>0.4</v>
      </c>
      <c r="D7624" s="13">
        <f t="shared" si="119"/>
        <v>0.4</v>
      </c>
    </row>
    <row r="7625" spans="1:4" x14ac:dyDescent="0.25">
      <c r="A7625" s="15">
        <f>Sheet2!A7625</f>
        <v>0</v>
      </c>
      <c r="B7625" s="8">
        <v>0</v>
      </c>
      <c r="C7625" s="9">
        <v>0.76</v>
      </c>
      <c r="D7625" s="13">
        <f t="shared" si="119"/>
        <v>0.76</v>
      </c>
    </row>
    <row r="7626" spans="1:4" x14ac:dyDescent="0.25">
      <c r="A7626" s="15">
        <f>Sheet2!A7626</f>
        <v>0</v>
      </c>
      <c r="B7626" s="8">
        <v>0</v>
      </c>
      <c r="C7626" s="9">
        <v>0.79</v>
      </c>
      <c r="D7626" s="13">
        <f t="shared" si="119"/>
        <v>0.79</v>
      </c>
    </row>
    <row r="7627" spans="1:4" x14ac:dyDescent="0.25">
      <c r="A7627" s="15">
        <f>Sheet2!A7627</f>
        <v>0</v>
      </c>
      <c r="B7627" s="8">
        <v>0</v>
      </c>
      <c r="C7627" s="9">
        <v>0.96</v>
      </c>
      <c r="D7627" s="13">
        <f t="shared" si="119"/>
        <v>0.96</v>
      </c>
    </row>
    <row r="7628" spans="1:4" x14ac:dyDescent="0.25">
      <c r="A7628" s="15">
        <f>Sheet2!A7628</f>
        <v>0</v>
      </c>
      <c r="B7628" s="8">
        <v>0</v>
      </c>
      <c r="C7628" s="9">
        <v>0.2</v>
      </c>
      <c r="D7628" s="13">
        <f t="shared" si="119"/>
        <v>0.2</v>
      </c>
    </row>
    <row r="7629" spans="1:4" x14ac:dyDescent="0.25">
      <c r="A7629" s="15">
        <f>Sheet2!A7629</f>
        <v>0</v>
      </c>
      <c r="B7629" s="8">
        <v>1.18</v>
      </c>
      <c r="C7629" s="9">
        <v>0</v>
      </c>
      <c r="D7629" s="13">
        <f t="shared" si="119"/>
        <v>1.18</v>
      </c>
    </row>
    <row r="7630" spans="1:4" x14ac:dyDescent="0.25">
      <c r="A7630" s="15">
        <f>Sheet2!A7630</f>
        <v>0</v>
      </c>
      <c r="B7630" s="8">
        <v>1.1000000000000001</v>
      </c>
      <c r="C7630" s="9">
        <v>0</v>
      </c>
      <c r="D7630" s="13">
        <f t="shared" si="119"/>
        <v>1.1000000000000001</v>
      </c>
    </row>
    <row r="7631" spans="1:4" x14ac:dyDescent="0.25">
      <c r="A7631" s="15">
        <f>Sheet2!A7631</f>
        <v>0</v>
      </c>
      <c r="B7631" s="8">
        <v>1.37</v>
      </c>
      <c r="C7631" s="9">
        <v>0</v>
      </c>
      <c r="D7631" s="13">
        <f t="shared" si="119"/>
        <v>1.37</v>
      </c>
    </row>
    <row r="7632" spans="1:4" x14ac:dyDescent="0.25">
      <c r="A7632" s="15">
        <f>Sheet2!A7632</f>
        <v>0</v>
      </c>
      <c r="B7632" s="8">
        <v>1.26</v>
      </c>
      <c r="C7632" s="9">
        <v>0</v>
      </c>
      <c r="D7632" s="13">
        <f t="shared" si="119"/>
        <v>1.26</v>
      </c>
    </row>
    <row r="7633" spans="1:4" x14ac:dyDescent="0.25">
      <c r="A7633" s="15">
        <f>Sheet2!A7633</f>
        <v>0</v>
      </c>
      <c r="B7633" s="8">
        <v>0.84</v>
      </c>
      <c r="C7633" s="9">
        <v>0</v>
      </c>
      <c r="D7633" s="13">
        <f t="shared" si="119"/>
        <v>0.84</v>
      </c>
    </row>
    <row r="7634" spans="1:4" x14ac:dyDescent="0.25">
      <c r="A7634" s="15">
        <f>Sheet2!A7634</f>
        <v>0</v>
      </c>
      <c r="B7634" s="8">
        <v>0.56999999999999995</v>
      </c>
      <c r="C7634" s="9">
        <v>0</v>
      </c>
      <c r="D7634" s="13">
        <f t="shared" si="119"/>
        <v>0.56999999999999995</v>
      </c>
    </row>
    <row r="7635" spans="1:4" x14ac:dyDescent="0.25">
      <c r="A7635" s="15">
        <f>Sheet2!A7635</f>
        <v>0</v>
      </c>
      <c r="B7635" s="8">
        <v>0.44</v>
      </c>
      <c r="C7635" s="9">
        <v>0</v>
      </c>
      <c r="D7635" s="13">
        <f t="shared" si="119"/>
        <v>0.44</v>
      </c>
    </row>
    <row r="7636" spans="1:4" x14ac:dyDescent="0.25">
      <c r="A7636" s="15">
        <f>Sheet2!A7636</f>
        <v>0</v>
      </c>
      <c r="B7636" s="8">
        <v>0.75</v>
      </c>
      <c r="C7636" s="9">
        <v>0</v>
      </c>
      <c r="D7636" s="13">
        <f t="shared" si="119"/>
        <v>0.75</v>
      </c>
    </row>
    <row r="7637" spans="1:4" x14ac:dyDescent="0.25">
      <c r="A7637" s="15">
        <f>Sheet2!A7637</f>
        <v>0</v>
      </c>
      <c r="B7637" s="8">
        <v>0.73</v>
      </c>
      <c r="C7637" s="9">
        <v>0</v>
      </c>
      <c r="D7637" s="13">
        <f t="shared" si="119"/>
        <v>0.73</v>
      </c>
    </row>
    <row r="7638" spans="1:4" x14ac:dyDescent="0.25">
      <c r="A7638" s="15">
        <f>Sheet2!A7638</f>
        <v>0</v>
      </c>
      <c r="B7638" s="8">
        <v>0.79</v>
      </c>
      <c r="C7638" s="9">
        <v>0</v>
      </c>
      <c r="D7638" s="13">
        <f t="shared" si="119"/>
        <v>0.79</v>
      </c>
    </row>
    <row r="7639" spans="1:4" x14ac:dyDescent="0.25">
      <c r="A7639" s="15">
        <f>Sheet2!A7639</f>
        <v>0</v>
      </c>
      <c r="B7639" s="8">
        <v>0.45</v>
      </c>
      <c r="C7639" s="9">
        <v>0</v>
      </c>
      <c r="D7639" s="13">
        <f t="shared" si="119"/>
        <v>0.45</v>
      </c>
    </row>
    <row r="7640" spans="1:4" x14ac:dyDescent="0.25">
      <c r="A7640" s="15">
        <f>Sheet2!A7640</f>
        <v>0</v>
      </c>
      <c r="B7640" s="8">
        <v>0.57999999999999996</v>
      </c>
      <c r="C7640" s="9">
        <v>0</v>
      </c>
      <c r="D7640" s="13">
        <f t="shared" si="119"/>
        <v>0.57999999999999996</v>
      </c>
    </row>
    <row r="7641" spans="1:4" x14ac:dyDescent="0.25">
      <c r="A7641" s="15">
        <f>Sheet2!A7641</f>
        <v>0</v>
      </c>
      <c r="B7641" s="8">
        <v>1.05</v>
      </c>
      <c r="C7641" s="9">
        <v>0</v>
      </c>
      <c r="D7641" s="13">
        <f t="shared" si="119"/>
        <v>1.05</v>
      </c>
    </row>
    <row r="7642" spans="1:4" x14ac:dyDescent="0.25">
      <c r="A7642" s="15">
        <f>Sheet2!A7642</f>
        <v>0</v>
      </c>
      <c r="B7642" s="8">
        <v>0</v>
      </c>
      <c r="C7642" s="9">
        <v>0.33</v>
      </c>
      <c r="D7642" s="13">
        <f t="shared" si="119"/>
        <v>0.33</v>
      </c>
    </row>
    <row r="7643" spans="1:4" x14ac:dyDescent="0.25">
      <c r="A7643" s="15">
        <f>Sheet2!A7643</f>
        <v>0</v>
      </c>
      <c r="B7643" s="8">
        <v>0</v>
      </c>
      <c r="C7643" s="9">
        <v>0.66</v>
      </c>
      <c r="D7643" s="13">
        <f t="shared" si="119"/>
        <v>0.66</v>
      </c>
    </row>
    <row r="7644" spans="1:4" x14ac:dyDescent="0.25">
      <c r="A7644" s="15">
        <f>Sheet2!A7644</f>
        <v>0</v>
      </c>
      <c r="B7644" s="8">
        <v>0</v>
      </c>
      <c r="C7644" s="9">
        <v>0.36</v>
      </c>
      <c r="D7644" s="13">
        <f t="shared" si="119"/>
        <v>0.36</v>
      </c>
    </row>
    <row r="7645" spans="1:4" x14ac:dyDescent="0.25">
      <c r="A7645" s="15">
        <f>Sheet2!A7645</f>
        <v>0</v>
      </c>
      <c r="B7645" s="8">
        <v>1.05</v>
      </c>
      <c r="C7645" s="9">
        <v>0</v>
      </c>
      <c r="D7645" s="13">
        <f t="shared" si="119"/>
        <v>1.05</v>
      </c>
    </row>
    <row r="7646" spans="1:4" x14ac:dyDescent="0.25">
      <c r="A7646" s="15">
        <f>Sheet2!A7646</f>
        <v>0</v>
      </c>
      <c r="B7646" s="8">
        <v>0.25</v>
      </c>
      <c r="C7646" s="9">
        <v>0</v>
      </c>
      <c r="D7646" s="13">
        <f t="shared" si="119"/>
        <v>0.25</v>
      </c>
    </row>
    <row r="7647" spans="1:4" x14ac:dyDescent="0.25">
      <c r="A7647" s="15">
        <f>Sheet2!A7647</f>
        <v>0</v>
      </c>
      <c r="B7647" s="8">
        <v>0</v>
      </c>
      <c r="C7647" s="9">
        <v>0.45</v>
      </c>
      <c r="D7647" s="13">
        <f t="shared" si="119"/>
        <v>0.45</v>
      </c>
    </row>
    <row r="7648" spans="1:4" x14ac:dyDescent="0.25">
      <c r="A7648" s="15">
        <f>Sheet2!A7648</f>
        <v>0</v>
      </c>
      <c r="B7648" s="8">
        <v>0</v>
      </c>
      <c r="C7648" s="9">
        <v>0.41</v>
      </c>
      <c r="D7648" s="13">
        <f t="shared" si="119"/>
        <v>0.41</v>
      </c>
    </row>
    <row r="7649" spans="1:4" x14ac:dyDescent="0.25">
      <c r="A7649" s="15">
        <f>Sheet2!A7649</f>
        <v>0</v>
      </c>
      <c r="B7649" s="8">
        <v>1.1299999999999999</v>
      </c>
      <c r="C7649" s="9">
        <v>0</v>
      </c>
      <c r="D7649" s="13">
        <f t="shared" si="119"/>
        <v>1.1299999999999999</v>
      </c>
    </row>
    <row r="7650" spans="1:4" x14ac:dyDescent="0.25">
      <c r="A7650" s="15">
        <f>Sheet2!A7650</f>
        <v>0</v>
      </c>
      <c r="B7650" s="8">
        <v>0.99</v>
      </c>
      <c r="C7650" s="9">
        <v>0</v>
      </c>
      <c r="D7650" s="13">
        <f t="shared" si="119"/>
        <v>0.99</v>
      </c>
    </row>
    <row r="7651" spans="1:4" x14ac:dyDescent="0.25">
      <c r="A7651" s="15">
        <f>Sheet2!A7651</f>
        <v>0</v>
      </c>
      <c r="B7651" s="8">
        <v>1.08</v>
      </c>
      <c r="C7651" s="9">
        <v>0</v>
      </c>
      <c r="D7651" s="13">
        <f t="shared" si="119"/>
        <v>1.08</v>
      </c>
    </row>
    <row r="7652" spans="1:4" x14ac:dyDescent="0.25">
      <c r="A7652" s="15">
        <f>Sheet2!A7652</f>
        <v>0</v>
      </c>
      <c r="B7652" s="8">
        <v>1.03</v>
      </c>
      <c r="C7652" s="9">
        <v>0</v>
      </c>
      <c r="D7652" s="13">
        <f t="shared" si="119"/>
        <v>1.03</v>
      </c>
    </row>
    <row r="7653" spans="1:4" x14ac:dyDescent="0.25">
      <c r="A7653" s="15">
        <f>Sheet2!A7653</f>
        <v>0</v>
      </c>
      <c r="B7653" s="8">
        <v>0.96</v>
      </c>
      <c r="C7653" s="9">
        <v>0</v>
      </c>
      <c r="D7653" s="13">
        <f t="shared" si="119"/>
        <v>0.96</v>
      </c>
    </row>
    <row r="7654" spans="1:4" x14ac:dyDescent="0.25">
      <c r="A7654" s="15">
        <f>Sheet2!A7654</f>
        <v>0</v>
      </c>
      <c r="B7654" s="8">
        <v>0.98</v>
      </c>
      <c r="C7654" s="9">
        <v>0</v>
      </c>
      <c r="D7654" s="13">
        <f t="shared" si="119"/>
        <v>0.98</v>
      </c>
    </row>
    <row r="7655" spans="1:4" x14ac:dyDescent="0.25">
      <c r="A7655" s="15">
        <f>Sheet2!A7655</f>
        <v>0</v>
      </c>
      <c r="B7655" s="8">
        <v>0.86</v>
      </c>
      <c r="C7655" s="9">
        <v>0</v>
      </c>
      <c r="D7655" s="13">
        <f t="shared" si="119"/>
        <v>0.86</v>
      </c>
    </row>
    <row r="7656" spans="1:4" x14ac:dyDescent="0.25">
      <c r="A7656" s="15">
        <f>Sheet2!A7656</f>
        <v>0</v>
      </c>
      <c r="B7656" s="8">
        <v>0.71</v>
      </c>
      <c r="C7656" s="9">
        <v>0</v>
      </c>
      <c r="D7656" s="13">
        <f t="shared" si="119"/>
        <v>0.71</v>
      </c>
    </row>
    <row r="7657" spans="1:4" x14ac:dyDescent="0.25">
      <c r="A7657" s="15">
        <f>Sheet2!A7657</f>
        <v>0</v>
      </c>
      <c r="B7657" s="8">
        <v>0.5</v>
      </c>
      <c r="C7657" s="9">
        <v>0</v>
      </c>
      <c r="D7657" s="13">
        <f t="shared" si="119"/>
        <v>0.5</v>
      </c>
    </row>
    <row r="7658" spans="1:4" x14ac:dyDescent="0.25">
      <c r="A7658" s="15">
        <f>Sheet2!A7658</f>
        <v>0</v>
      </c>
      <c r="B7658" s="8">
        <v>0.48</v>
      </c>
      <c r="C7658" s="9">
        <v>0</v>
      </c>
      <c r="D7658" s="13">
        <f t="shared" si="119"/>
        <v>0.48</v>
      </c>
    </row>
    <row r="7659" spans="1:4" x14ac:dyDescent="0.25">
      <c r="A7659" s="15">
        <f>Sheet2!A7659</f>
        <v>0</v>
      </c>
      <c r="B7659" s="8">
        <v>0.38</v>
      </c>
      <c r="C7659" s="9">
        <v>0</v>
      </c>
      <c r="D7659" s="13">
        <f t="shared" si="119"/>
        <v>0.38</v>
      </c>
    </row>
    <row r="7660" spans="1:4" x14ac:dyDescent="0.25">
      <c r="A7660" s="15">
        <f>Sheet2!A7660</f>
        <v>0</v>
      </c>
      <c r="B7660" s="8">
        <v>0.48</v>
      </c>
      <c r="C7660" s="9">
        <v>0</v>
      </c>
      <c r="D7660" s="13">
        <f t="shared" si="119"/>
        <v>0.48</v>
      </c>
    </row>
    <row r="7661" spans="1:4" x14ac:dyDescent="0.25">
      <c r="A7661" s="15">
        <f>Sheet2!A7661</f>
        <v>0</v>
      </c>
      <c r="B7661" s="8">
        <v>0.39</v>
      </c>
      <c r="C7661" s="9">
        <v>0</v>
      </c>
      <c r="D7661" s="13">
        <f t="shared" si="119"/>
        <v>0.39</v>
      </c>
    </row>
    <row r="7662" spans="1:4" x14ac:dyDescent="0.25">
      <c r="A7662" s="15">
        <f>Sheet2!A7662</f>
        <v>0</v>
      </c>
      <c r="B7662" s="8">
        <v>0.49</v>
      </c>
      <c r="C7662" s="9">
        <v>0</v>
      </c>
      <c r="D7662" s="13">
        <f t="shared" si="119"/>
        <v>0.49</v>
      </c>
    </row>
    <row r="7663" spans="1:4" x14ac:dyDescent="0.25">
      <c r="A7663" s="15">
        <f>Sheet2!A7663</f>
        <v>0</v>
      </c>
      <c r="B7663" s="8">
        <v>0.31</v>
      </c>
      <c r="C7663" s="9">
        <v>0</v>
      </c>
      <c r="D7663" s="13">
        <f t="shared" si="119"/>
        <v>0.31</v>
      </c>
    </row>
    <row r="7664" spans="1:4" x14ac:dyDescent="0.25">
      <c r="A7664" s="15">
        <f>Sheet2!A7664</f>
        <v>0</v>
      </c>
      <c r="B7664" s="8">
        <v>0.43</v>
      </c>
      <c r="C7664" s="9">
        <v>0</v>
      </c>
      <c r="D7664" s="13">
        <f t="shared" si="119"/>
        <v>0.43</v>
      </c>
    </row>
    <row r="7665" spans="1:4" x14ac:dyDescent="0.25">
      <c r="A7665" s="15">
        <f>Sheet2!A7665</f>
        <v>0</v>
      </c>
      <c r="B7665" s="8">
        <v>0.47</v>
      </c>
      <c r="C7665" s="9">
        <v>0</v>
      </c>
      <c r="D7665" s="13">
        <f t="shared" si="119"/>
        <v>0.47</v>
      </c>
    </row>
    <row r="7666" spans="1:4" x14ac:dyDescent="0.25">
      <c r="A7666" s="15">
        <f>Sheet2!A7666</f>
        <v>0</v>
      </c>
      <c r="B7666" s="8">
        <v>0.82</v>
      </c>
      <c r="C7666" s="9">
        <v>0</v>
      </c>
      <c r="D7666" s="13">
        <f t="shared" si="119"/>
        <v>0.82</v>
      </c>
    </row>
    <row r="7667" spans="1:4" x14ac:dyDescent="0.25">
      <c r="A7667" s="15">
        <f>Sheet2!A7667</f>
        <v>0</v>
      </c>
      <c r="B7667" s="8">
        <v>0.55000000000000004</v>
      </c>
      <c r="C7667" s="9">
        <v>0</v>
      </c>
      <c r="D7667" s="13">
        <f t="shared" si="119"/>
        <v>0.55000000000000004</v>
      </c>
    </row>
    <row r="7668" spans="1:4" x14ac:dyDescent="0.25">
      <c r="A7668" s="15">
        <f>Sheet2!A7668</f>
        <v>0</v>
      </c>
      <c r="B7668" s="8">
        <v>0.97</v>
      </c>
      <c r="C7668" s="9">
        <v>0</v>
      </c>
      <c r="D7668" s="13">
        <f t="shared" si="119"/>
        <v>0.97</v>
      </c>
    </row>
    <row r="7669" spans="1:4" x14ac:dyDescent="0.25">
      <c r="A7669" s="15">
        <f>Sheet2!A7669</f>
        <v>0</v>
      </c>
      <c r="B7669" s="8">
        <v>1.1499999999999999</v>
      </c>
      <c r="C7669" s="9">
        <v>0</v>
      </c>
      <c r="D7669" s="13">
        <f t="shared" si="119"/>
        <v>1.1499999999999999</v>
      </c>
    </row>
    <row r="7670" spans="1:4" x14ac:dyDescent="0.25">
      <c r="A7670" s="15">
        <f>Sheet2!A7670</f>
        <v>0</v>
      </c>
      <c r="B7670" s="8">
        <v>1.07</v>
      </c>
      <c r="C7670" s="9">
        <v>0</v>
      </c>
      <c r="D7670" s="13">
        <f t="shared" si="119"/>
        <v>1.07</v>
      </c>
    </row>
    <row r="7671" spans="1:4" x14ac:dyDescent="0.25">
      <c r="A7671" s="15">
        <f>Sheet2!A7671</f>
        <v>0</v>
      </c>
      <c r="B7671" s="8">
        <v>0.97</v>
      </c>
      <c r="C7671" s="9">
        <v>0</v>
      </c>
      <c r="D7671" s="13">
        <f t="shared" si="119"/>
        <v>0.97</v>
      </c>
    </row>
    <row r="7672" spans="1:4" x14ac:dyDescent="0.25">
      <c r="A7672" s="15">
        <f>Sheet2!A7672</f>
        <v>0</v>
      </c>
      <c r="B7672" s="8">
        <v>1.71</v>
      </c>
      <c r="C7672" s="9">
        <v>0</v>
      </c>
      <c r="D7672" s="13">
        <f t="shared" si="119"/>
        <v>1.71</v>
      </c>
    </row>
    <row r="7673" spans="1:4" x14ac:dyDescent="0.25">
      <c r="A7673" s="15">
        <f>Sheet2!A7673</f>
        <v>0</v>
      </c>
      <c r="B7673" s="8">
        <v>1.46</v>
      </c>
      <c r="C7673" s="9">
        <v>0</v>
      </c>
      <c r="D7673" s="13">
        <f t="shared" si="119"/>
        <v>1.46</v>
      </c>
    </row>
    <row r="7674" spans="1:4" x14ac:dyDescent="0.25">
      <c r="A7674" s="15">
        <f>Sheet2!A7674</f>
        <v>0</v>
      </c>
      <c r="B7674" s="8">
        <v>1.1599999999999999</v>
      </c>
      <c r="C7674" s="9">
        <v>0</v>
      </c>
      <c r="D7674" s="13">
        <f t="shared" si="119"/>
        <v>1.1599999999999999</v>
      </c>
    </row>
    <row r="7675" spans="1:4" x14ac:dyDescent="0.25">
      <c r="A7675" s="15">
        <f>Sheet2!A7675</f>
        <v>0</v>
      </c>
      <c r="B7675" s="8">
        <v>1.28</v>
      </c>
      <c r="C7675" s="9">
        <v>0</v>
      </c>
      <c r="D7675" s="13">
        <f t="shared" si="119"/>
        <v>1.28</v>
      </c>
    </row>
    <row r="7676" spans="1:4" x14ac:dyDescent="0.25">
      <c r="A7676" s="15">
        <f>Sheet2!A7676</f>
        <v>0</v>
      </c>
      <c r="B7676" s="8">
        <v>1.18</v>
      </c>
      <c r="C7676" s="9">
        <v>0</v>
      </c>
      <c r="D7676" s="13">
        <f t="shared" si="119"/>
        <v>1.18</v>
      </c>
    </row>
    <row r="7677" spans="1:4" x14ac:dyDescent="0.25">
      <c r="A7677" s="15">
        <f>Sheet2!A7677</f>
        <v>0</v>
      </c>
      <c r="B7677" s="8">
        <v>0.94</v>
      </c>
      <c r="C7677" s="9">
        <v>0</v>
      </c>
      <c r="D7677" s="13">
        <f t="shared" si="119"/>
        <v>0.94</v>
      </c>
    </row>
    <row r="7678" spans="1:4" x14ac:dyDescent="0.25">
      <c r="A7678" s="15">
        <f>Sheet2!A7678</f>
        <v>0</v>
      </c>
      <c r="B7678" s="8">
        <v>1.77</v>
      </c>
      <c r="C7678" s="9">
        <v>0</v>
      </c>
      <c r="D7678" s="13">
        <f t="shared" si="119"/>
        <v>1.77</v>
      </c>
    </row>
    <row r="7679" spans="1:4" x14ac:dyDescent="0.25">
      <c r="A7679" s="15">
        <f>Sheet2!A7679</f>
        <v>0</v>
      </c>
      <c r="B7679" s="8">
        <v>2.17</v>
      </c>
      <c r="C7679" s="9">
        <v>0</v>
      </c>
      <c r="D7679" s="13">
        <f t="shared" si="119"/>
        <v>2.17</v>
      </c>
    </row>
    <row r="7680" spans="1:4" x14ac:dyDescent="0.25">
      <c r="A7680" s="15">
        <f>Sheet2!A7680</f>
        <v>0</v>
      </c>
      <c r="B7680" s="8">
        <v>1.38</v>
      </c>
      <c r="C7680" s="9">
        <v>0</v>
      </c>
      <c r="D7680" s="13">
        <f t="shared" si="119"/>
        <v>1.38</v>
      </c>
    </row>
    <row r="7681" spans="1:4" x14ac:dyDescent="0.25">
      <c r="A7681" s="15">
        <f>Sheet2!A7681</f>
        <v>0</v>
      </c>
      <c r="B7681" s="8">
        <v>1.01</v>
      </c>
      <c r="C7681" s="9">
        <v>0</v>
      </c>
      <c r="D7681" s="13">
        <f t="shared" si="119"/>
        <v>1.01</v>
      </c>
    </row>
    <row r="7682" spans="1:4" x14ac:dyDescent="0.25">
      <c r="A7682" s="15">
        <f>Sheet2!A7682</f>
        <v>0</v>
      </c>
      <c r="B7682" s="8">
        <v>0.41</v>
      </c>
      <c r="C7682" s="9">
        <v>0</v>
      </c>
      <c r="D7682" s="13">
        <f t="shared" si="119"/>
        <v>0.41</v>
      </c>
    </row>
    <row r="7683" spans="1:4" x14ac:dyDescent="0.25">
      <c r="A7683" s="15">
        <f>Sheet2!A7683</f>
        <v>0</v>
      </c>
      <c r="B7683" s="8">
        <v>0.64</v>
      </c>
      <c r="C7683" s="9">
        <v>0</v>
      </c>
      <c r="D7683" s="13">
        <f t="shared" ref="D7683:D7746" si="120">B7683+C7683</f>
        <v>0.64</v>
      </c>
    </row>
    <row r="7684" spans="1:4" x14ac:dyDescent="0.25">
      <c r="A7684" s="15">
        <f>Sheet2!A7684</f>
        <v>0</v>
      </c>
      <c r="B7684" s="8">
        <v>0.39</v>
      </c>
      <c r="C7684" s="9">
        <v>0</v>
      </c>
      <c r="D7684" s="13">
        <f t="shared" si="120"/>
        <v>0.39</v>
      </c>
    </row>
    <row r="7685" spans="1:4" x14ac:dyDescent="0.25">
      <c r="A7685" s="15">
        <f>Sheet2!A7685</f>
        <v>0</v>
      </c>
      <c r="B7685" s="8">
        <v>0.8</v>
      </c>
      <c r="C7685" s="9">
        <v>0</v>
      </c>
      <c r="D7685" s="13">
        <f t="shared" si="120"/>
        <v>0.8</v>
      </c>
    </row>
    <row r="7686" spans="1:4" x14ac:dyDescent="0.25">
      <c r="A7686" s="15">
        <f>Sheet2!A7686</f>
        <v>0</v>
      </c>
      <c r="B7686" s="8">
        <v>0.36</v>
      </c>
      <c r="C7686" s="9">
        <v>0</v>
      </c>
      <c r="D7686" s="13">
        <f t="shared" si="120"/>
        <v>0.36</v>
      </c>
    </row>
    <row r="7687" spans="1:4" x14ac:dyDescent="0.25">
      <c r="A7687" s="15">
        <f>Sheet2!A7687</f>
        <v>0</v>
      </c>
      <c r="B7687" s="8">
        <v>0.97</v>
      </c>
      <c r="C7687" s="9">
        <v>0</v>
      </c>
      <c r="D7687" s="13">
        <f t="shared" si="120"/>
        <v>0.97</v>
      </c>
    </row>
    <row r="7688" spans="1:4" x14ac:dyDescent="0.25">
      <c r="A7688" s="15">
        <f>Sheet2!A7688</f>
        <v>0</v>
      </c>
      <c r="B7688" s="8">
        <v>0.45</v>
      </c>
      <c r="C7688" s="9">
        <v>0</v>
      </c>
      <c r="D7688" s="13">
        <f t="shared" si="120"/>
        <v>0.45</v>
      </c>
    </row>
    <row r="7689" spans="1:4" x14ac:dyDescent="0.25">
      <c r="A7689" s="15">
        <f>Sheet2!A7689</f>
        <v>0</v>
      </c>
      <c r="B7689" s="8">
        <v>0.96</v>
      </c>
      <c r="C7689" s="9">
        <v>0</v>
      </c>
      <c r="D7689" s="13">
        <f t="shared" si="120"/>
        <v>0.96</v>
      </c>
    </row>
    <row r="7690" spans="1:4" x14ac:dyDescent="0.25">
      <c r="A7690" s="15">
        <f>Sheet2!A7690</f>
        <v>0</v>
      </c>
      <c r="B7690" s="8">
        <v>0.65</v>
      </c>
      <c r="C7690" s="9">
        <v>0</v>
      </c>
      <c r="D7690" s="13">
        <f t="shared" si="120"/>
        <v>0.65</v>
      </c>
    </row>
    <row r="7691" spans="1:4" x14ac:dyDescent="0.25">
      <c r="A7691" s="15">
        <f>Sheet2!A7691</f>
        <v>0</v>
      </c>
      <c r="B7691" s="8">
        <v>0</v>
      </c>
      <c r="C7691" s="9">
        <v>0.67</v>
      </c>
      <c r="D7691" s="13">
        <f t="shared" si="120"/>
        <v>0.67</v>
      </c>
    </row>
    <row r="7692" spans="1:4" x14ac:dyDescent="0.25">
      <c r="A7692" s="15">
        <f>Sheet2!A7692</f>
        <v>0</v>
      </c>
      <c r="B7692" s="8">
        <v>0</v>
      </c>
      <c r="C7692" s="9">
        <v>0.75</v>
      </c>
      <c r="D7692" s="13">
        <f t="shared" si="120"/>
        <v>0.75</v>
      </c>
    </row>
    <row r="7693" spans="1:4" x14ac:dyDescent="0.25">
      <c r="A7693" s="15">
        <f>Sheet2!A7693</f>
        <v>0</v>
      </c>
      <c r="B7693" s="8">
        <v>0</v>
      </c>
      <c r="C7693" s="9">
        <v>0.74</v>
      </c>
      <c r="D7693" s="13">
        <f t="shared" si="120"/>
        <v>0.74</v>
      </c>
    </row>
    <row r="7694" spans="1:4" x14ac:dyDescent="0.25">
      <c r="A7694" s="15">
        <f>Sheet2!A7694</f>
        <v>0</v>
      </c>
      <c r="B7694" s="8">
        <v>0</v>
      </c>
      <c r="C7694" s="9">
        <v>0.69</v>
      </c>
      <c r="D7694" s="13">
        <f t="shared" si="120"/>
        <v>0.69</v>
      </c>
    </row>
    <row r="7695" spans="1:4" x14ac:dyDescent="0.25">
      <c r="A7695" s="15">
        <f>Sheet2!A7695</f>
        <v>0</v>
      </c>
      <c r="B7695" s="8">
        <v>0</v>
      </c>
      <c r="C7695" s="9">
        <v>0.32</v>
      </c>
      <c r="D7695" s="13">
        <f t="shared" si="120"/>
        <v>0.32</v>
      </c>
    </row>
    <row r="7696" spans="1:4" x14ac:dyDescent="0.25">
      <c r="A7696" s="15">
        <f>Sheet2!A7696</f>
        <v>0</v>
      </c>
      <c r="B7696" s="8">
        <v>0.88</v>
      </c>
      <c r="C7696" s="9">
        <v>0</v>
      </c>
      <c r="D7696" s="13">
        <f t="shared" si="120"/>
        <v>0.88</v>
      </c>
    </row>
    <row r="7697" spans="1:4" x14ac:dyDescent="0.25">
      <c r="A7697" s="15">
        <f>Sheet2!A7697</f>
        <v>0</v>
      </c>
      <c r="B7697" s="8">
        <v>1.24</v>
      </c>
      <c r="C7697" s="9">
        <v>0</v>
      </c>
      <c r="D7697" s="13">
        <f t="shared" si="120"/>
        <v>1.24</v>
      </c>
    </row>
    <row r="7698" spans="1:4" x14ac:dyDescent="0.25">
      <c r="A7698" s="15">
        <f>Sheet2!A7698</f>
        <v>0</v>
      </c>
      <c r="B7698" s="8">
        <v>0.9</v>
      </c>
      <c r="C7698" s="9">
        <v>0</v>
      </c>
      <c r="D7698" s="13">
        <f t="shared" si="120"/>
        <v>0.9</v>
      </c>
    </row>
    <row r="7699" spans="1:4" x14ac:dyDescent="0.25">
      <c r="A7699" s="15">
        <f>Sheet2!A7699</f>
        <v>0</v>
      </c>
      <c r="B7699" s="8">
        <v>0.99</v>
      </c>
      <c r="C7699" s="9">
        <v>0</v>
      </c>
      <c r="D7699" s="13">
        <f t="shared" si="120"/>
        <v>0.99</v>
      </c>
    </row>
    <row r="7700" spans="1:4" x14ac:dyDescent="0.25">
      <c r="A7700" s="15">
        <f>Sheet2!A7700</f>
        <v>0</v>
      </c>
      <c r="B7700" s="8">
        <v>0.88</v>
      </c>
      <c r="C7700" s="9">
        <v>0</v>
      </c>
      <c r="D7700" s="13">
        <f t="shared" si="120"/>
        <v>0.88</v>
      </c>
    </row>
    <row r="7701" spans="1:4" x14ac:dyDescent="0.25">
      <c r="A7701" s="15">
        <f>Sheet2!A7701</f>
        <v>0</v>
      </c>
      <c r="B7701" s="8">
        <v>0.96</v>
      </c>
      <c r="C7701" s="9">
        <v>0</v>
      </c>
      <c r="D7701" s="13">
        <f t="shared" si="120"/>
        <v>0.96</v>
      </c>
    </row>
    <row r="7702" spans="1:4" x14ac:dyDescent="0.25">
      <c r="A7702" s="15">
        <f>Sheet2!A7702</f>
        <v>0</v>
      </c>
      <c r="B7702" s="8">
        <v>0.83</v>
      </c>
      <c r="C7702" s="9">
        <v>0</v>
      </c>
      <c r="D7702" s="13">
        <f t="shared" si="120"/>
        <v>0.83</v>
      </c>
    </row>
    <row r="7703" spans="1:4" x14ac:dyDescent="0.25">
      <c r="A7703" s="15">
        <f>Sheet2!A7703</f>
        <v>0</v>
      </c>
      <c r="B7703" s="8">
        <v>0.74</v>
      </c>
      <c r="C7703" s="9">
        <v>0</v>
      </c>
      <c r="D7703" s="13">
        <f t="shared" si="120"/>
        <v>0.74</v>
      </c>
    </row>
    <row r="7704" spans="1:4" x14ac:dyDescent="0.25">
      <c r="A7704" s="15">
        <f>Sheet2!A7704</f>
        <v>0</v>
      </c>
      <c r="B7704" s="8">
        <v>0.52</v>
      </c>
      <c r="C7704" s="9">
        <v>0</v>
      </c>
      <c r="D7704" s="13">
        <f t="shared" si="120"/>
        <v>0.52</v>
      </c>
    </row>
    <row r="7705" spans="1:4" x14ac:dyDescent="0.25">
      <c r="A7705" s="15">
        <f>Sheet2!A7705</f>
        <v>0</v>
      </c>
      <c r="B7705" s="8">
        <v>0.47</v>
      </c>
      <c r="C7705" s="9">
        <v>0</v>
      </c>
      <c r="D7705" s="13">
        <f t="shared" si="120"/>
        <v>0.47</v>
      </c>
    </row>
    <row r="7706" spans="1:4" x14ac:dyDescent="0.25">
      <c r="A7706" s="15">
        <f>Sheet2!A7706</f>
        <v>0</v>
      </c>
      <c r="B7706" s="8">
        <v>0.34</v>
      </c>
      <c r="C7706" s="9">
        <v>0</v>
      </c>
      <c r="D7706" s="13">
        <f t="shared" si="120"/>
        <v>0.34</v>
      </c>
    </row>
    <row r="7707" spans="1:4" x14ac:dyDescent="0.25">
      <c r="A7707" s="15">
        <f>Sheet2!A7707</f>
        <v>0</v>
      </c>
      <c r="B7707" s="8">
        <v>0.48</v>
      </c>
      <c r="C7707" s="9">
        <v>0</v>
      </c>
      <c r="D7707" s="13">
        <f t="shared" si="120"/>
        <v>0.48</v>
      </c>
    </row>
    <row r="7708" spans="1:4" x14ac:dyDescent="0.25">
      <c r="A7708" s="15">
        <f>Sheet2!A7708</f>
        <v>0</v>
      </c>
      <c r="B7708" s="8">
        <v>0.4</v>
      </c>
      <c r="C7708" s="9">
        <v>0</v>
      </c>
      <c r="D7708" s="13">
        <f t="shared" si="120"/>
        <v>0.4</v>
      </c>
    </row>
    <row r="7709" spans="1:4" x14ac:dyDescent="0.25">
      <c r="A7709" s="15">
        <f>Sheet2!A7709</f>
        <v>0</v>
      </c>
      <c r="B7709" s="8">
        <v>0.48</v>
      </c>
      <c r="C7709" s="9">
        <v>0</v>
      </c>
      <c r="D7709" s="13">
        <f t="shared" si="120"/>
        <v>0.48</v>
      </c>
    </row>
    <row r="7710" spans="1:4" x14ac:dyDescent="0.25">
      <c r="A7710" s="15">
        <f>Sheet2!A7710</f>
        <v>0</v>
      </c>
      <c r="B7710" s="8">
        <v>0.34</v>
      </c>
      <c r="C7710" s="9">
        <v>0</v>
      </c>
      <c r="D7710" s="13">
        <f t="shared" si="120"/>
        <v>0.34</v>
      </c>
    </row>
    <row r="7711" spans="1:4" x14ac:dyDescent="0.25">
      <c r="A7711" s="15">
        <f>Sheet2!A7711</f>
        <v>0</v>
      </c>
      <c r="B7711" s="8">
        <v>0.51</v>
      </c>
      <c r="C7711" s="9">
        <v>0</v>
      </c>
      <c r="D7711" s="13">
        <f t="shared" si="120"/>
        <v>0.51</v>
      </c>
    </row>
    <row r="7712" spans="1:4" x14ac:dyDescent="0.25">
      <c r="A7712" s="15">
        <f>Sheet2!A7712</f>
        <v>0</v>
      </c>
      <c r="B7712" s="8">
        <v>0.35</v>
      </c>
      <c r="C7712" s="9">
        <v>0</v>
      </c>
      <c r="D7712" s="13">
        <f t="shared" si="120"/>
        <v>0.35</v>
      </c>
    </row>
    <row r="7713" spans="1:4" x14ac:dyDescent="0.25">
      <c r="A7713" s="15">
        <f>Sheet2!A7713</f>
        <v>0</v>
      </c>
      <c r="B7713" s="8">
        <v>0.52</v>
      </c>
      <c r="C7713" s="9">
        <v>0</v>
      </c>
      <c r="D7713" s="13">
        <f t="shared" si="120"/>
        <v>0.52</v>
      </c>
    </row>
    <row r="7714" spans="1:4" x14ac:dyDescent="0.25">
      <c r="A7714" s="15">
        <f>Sheet2!A7714</f>
        <v>0</v>
      </c>
      <c r="B7714" s="8">
        <v>0.55000000000000004</v>
      </c>
      <c r="C7714" s="9">
        <v>0</v>
      </c>
      <c r="D7714" s="13">
        <f t="shared" si="120"/>
        <v>0.55000000000000004</v>
      </c>
    </row>
    <row r="7715" spans="1:4" x14ac:dyDescent="0.25">
      <c r="A7715" s="15">
        <f>Sheet2!A7715</f>
        <v>0</v>
      </c>
      <c r="B7715" s="8">
        <v>0.55000000000000004</v>
      </c>
      <c r="C7715" s="9">
        <v>0</v>
      </c>
      <c r="D7715" s="13">
        <f t="shared" si="120"/>
        <v>0.55000000000000004</v>
      </c>
    </row>
    <row r="7716" spans="1:4" x14ac:dyDescent="0.25">
      <c r="A7716" s="15">
        <f>Sheet2!A7716</f>
        <v>0</v>
      </c>
      <c r="B7716" s="8">
        <v>0.66</v>
      </c>
      <c r="C7716" s="9">
        <v>0</v>
      </c>
      <c r="D7716" s="13">
        <f t="shared" si="120"/>
        <v>0.66</v>
      </c>
    </row>
    <row r="7717" spans="1:4" x14ac:dyDescent="0.25">
      <c r="A7717" s="15">
        <f>Sheet2!A7717</f>
        <v>0</v>
      </c>
      <c r="B7717" s="8">
        <v>2.04</v>
      </c>
      <c r="C7717" s="9">
        <v>0</v>
      </c>
      <c r="D7717" s="13">
        <f t="shared" si="120"/>
        <v>2.04</v>
      </c>
    </row>
    <row r="7718" spans="1:4" x14ac:dyDescent="0.25">
      <c r="A7718" s="15">
        <f>Sheet2!A7718</f>
        <v>0</v>
      </c>
      <c r="B7718" s="8">
        <v>1.47</v>
      </c>
      <c r="C7718" s="9">
        <v>0</v>
      </c>
      <c r="D7718" s="13">
        <f t="shared" si="120"/>
        <v>1.47</v>
      </c>
    </row>
    <row r="7719" spans="1:4" x14ac:dyDescent="0.25">
      <c r="A7719" s="15">
        <f>Sheet2!A7719</f>
        <v>0</v>
      </c>
      <c r="B7719" s="8">
        <v>0.93</v>
      </c>
      <c r="C7719" s="9">
        <v>0</v>
      </c>
      <c r="D7719" s="13">
        <f t="shared" si="120"/>
        <v>0.93</v>
      </c>
    </row>
    <row r="7720" spans="1:4" x14ac:dyDescent="0.25">
      <c r="A7720" s="15">
        <f>Sheet2!A7720</f>
        <v>0</v>
      </c>
      <c r="B7720" s="8">
        <v>1.52</v>
      </c>
      <c r="C7720" s="9">
        <v>0</v>
      </c>
      <c r="D7720" s="13">
        <f t="shared" si="120"/>
        <v>1.52</v>
      </c>
    </row>
    <row r="7721" spans="1:4" x14ac:dyDescent="0.25">
      <c r="A7721" s="15">
        <f>Sheet2!A7721</f>
        <v>0</v>
      </c>
      <c r="B7721" s="8">
        <v>0.78</v>
      </c>
      <c r="C7721" s="9">
        <v>0</v>
      </c>
      <c r="D7721" s="13">
        <f t="shared" si="120"/>
        <v>0.78</v>
      </c>
    </row>
    <row r="7722" spans="1:4" x14ac:dyDescent="0.25">
      <c r="A7722" s="15">
        <f>Sheet2!A7722</f>
        <v>0</v>
      </c>
      <c r="B7722" s="8">
        <v>1.02</v>
      </c>
      <c r="C7722" s="9">
        <v>0</v>
      </c>
      <c r="D7722" s="13">
        <f t="shared" si="120"/>
        <v>1.02</v>
      </c>
    </row>
    <row r="7723" spans="1:4" x14ac:dyDescent="0.25">
      <c r="A7723" s="15">
        <f>Sheet2!A7723</f>
        <v>0</v>
      </c>
      <c r="B7723" s="8">
        <v>0.72</v>
      </c>
      <c r="C7723" s="9">
        <v>0</v>
      </c>
      <c r="D7723" s="13">
        <f t="shared" si="120"/>
        <v>0.72</v>
      </c>
    </row>
    <row r="7724" spans="1:4" x14ac:dyDescent="0.25">
      <c r="A7724" s="15">
        <f>Sheet2!A7724</f>
        <v>0</v>
      </c>
      <c r="B7724" s="8">
        <v>1.03</v>
      </c>
      <c r="C7724" s="9">
        <v>0</v>
      </c>
      <c r="D7724" s="13">
        <f t="shared" si="120"/>
        <v>1.03</v>
      </c>
    </row>
    <row r="7725" spans="1:4" x14ac:dyDescent="0.25">
      <c r="A7725" s="15">
        <f>Sheet2!A7725</f>
        <v>0</v>
      </c>
      <c r="B7725" s="8">
        <v>1.05</v>
      </c>
      <c r="C7725" s="9">
        <v>0</v>
      </c>
      <c r="D7725" s="13">
        <f t="shared" si="120"/>
        <v>1.05</v>
      </c>
    </row>
    <row r="7726" spans="1:4" x14ac:dyDescent="0.25">
      <c r="A7726" s="15">
        <f>Sheet2!A7726</f>
        <v>0</v>
      </c>
      <c r="B7726" s="8">
        <v>0.84</v>
      </c>
      <c r="C7726" s="9">
        <v>0</v>
      </c>
      <c r="D7726" s="13">
        <f t="shared" si="120"/>
        <v>0.84</v>
      </c>
    </row>
    <row r="7727" spans="1:4" x14ac:dyDescent="0.25">
      <c r="A7727" s="15">
        <f>Sheet2!A7727</f>
        <v>0</v>
      </c>
      <c r="B7727" s="8">
        <v>0.6</v>
      </c>
      <c r="C7727" s="9">
        <v>0</v>
      </c>
      <c r="D7727" s="13">
        <f t="shared" si="120"/>
        <v>0.6</v>
      </c>
    </row>
    <row r="7728" spans="1:4" x14ac:dyDescent="0.25">
      <c r="A7728" s="15">
        <f>Sheet2!A7728</f>
        <v>0</v>
      </c>
      <c r="B7728" s="8">
        <v>0.43</v>
      </c>
      <c r="C7728" s="9">
        <v>0</v>
      </c>
      <c r="D7728" s="13">
        <f t="shared" si="120"/>
        <v>0.43</v>
      </c>
    </row>
    <row r="7729" spans="1:4" x14ac:dyDescent="0.25">
      <c r="A7729" s="15">
        <f>Sheet2!A7729</f>
        <v>0</v>
      </c>
      <c r="B7729" s="8">
        <v>0.37</v>
      </c>
      <c r="C7729" s="9">
        <v>0</v>
      </c>
      <c r="D7729" s="13">
        <f t="shared" si="120"/>
        <v>0.37</v>
      </c>
    </row>
    <row r="7730" spans="1:4" x14ac:dyDescent="0.25">
      <c r="A7730" s="15">
        <f>Sheet2!A7730</f>
        <v>0</v>
      </c>
      <c r="B7730" s="8">
        <v>0.43</v>
      </c>
      <c r="C7730" s="9">
        <v>0</v>
      </c>
      <c r="D7730" s="13">
        <f t="shared" si="120"/>
        <v>0.43</v>
      </c>
    </row>
    <row r="7731" spans="1:4" x14ac:dyDescent="0.25">
      <c r="A7731" s="15">
        <f>Sheet2!A7731</f>
        <v>0</v>
      </c>
      <c r="B7731" s="8">
        <v>0.36</v>
      </c>
      <c r="C7731" s="9">
        <v>0</v>
      </c>
      <c r="D7731" s="13">
        <f t="shared" si="120"/>
        <v>0.36</v>
      </c>
    </row>
    <row r="7732" spans="1:4" x14ac:dyDescent="0.25">
      <c r="A7732" s="15">
        <f>Sheet2!A7732</f>
        <v>0</v>
      </c>
      <c r="B7732" s="8">
        <v>0.43</v>
      </c>
      <c r="C7732" s="9">
        <v>0</v>
      </c>
      <c r="D7732" s="13">
        <f t="shared" si="120"/>
        <v>0.43</v>
      </c>
    </row>
    <row r="7733" spans="1:4" x14ac:dyDescent="0.25">
      <c r="A7733" s="15">
        <f>Sheet2!A7733</f>
        <v>0</v>
      </c>
      <c r="B7733" s="8">
        <v>0.41</v>
      </c>
      <c r="C7733" s="9">
        <v>0</v>
      </c>
      <c r="D7733" s="13">
        <f t="shared" si="120"/>
        <v>0.41</v>
      </c>
    </row>
    <row r="7734" spans="1:4" x14ac:dyDescent="0.25">
      <c r="A7734" s="15">
        <f>Sheet2!A7734</f>
        <v>0</v>
      </c>
      <c r="B7734" s="8">
        <v>0.49</v>
      </c>
      <c r="C7734" s="9">
        <v>0</v>
      </c>
      <c r="D7734" s="13">
        <f t="shared" si="120"/>
        <v>0.49</v>
      </c>
    </row>
    <row r="7735" spans="1:4" x14ac:dyDescent="0.25">
      <c r="A7735" s="15">
        <f>Sheet2!A7735</f>
        <v>0</v>
      </c>
      <c r="B7735" s="8">
        <v>0.36</v>
      </c>
      <c r="C7735" s="9">
        <v>0</v>
      </c>
      <c r="D7735" s="13">
        <f t="shared" si="120"/>
        <v>0.36</v>
      </c>
    </row>
    <row r="7736" spans="1:4" x14ac:dyDescent="0.25">
      <c r="A7736" s="15">
        <f>Sheet2!A7736</f>
        <v>0</v>
      </c>
      <c r="B7736" s="8">
        <v>0.41</v>
      </c>
      <c r="C7736" s="9">
        <v>0</v>
      </c>
      <c r="D7736" s="13">
        <f t="shared" si="120"/>
        <v>0.41</v>
      </c>
    </row>
    <row r="7737" spans="1:4" x14ac:dyDescent="0.25">
      <c r="A7737" s="15">
        <f>Sheet2!A7737</f>
        <v>0</v>
      </c>
      <c r="B7737" s="8">
        <v>0.36</v>
      </c>
      <c r="C7737" s="9">
        <v>0</v>
      </c>
      <c r="D7737" s="13">
        <f t="shared" si="120"/>
        <v>0.36</v>
      </c>
    </row>
    <row r="7738" spans="1:4" x14ac:dyDescent="0.25">
      <c r="A7738" s="15">
        <f>Sheet2!A7738</f>
        <v>0</v>
      </c>
      <c r="B7738" s="8">
        <v>0.42</v>
      </c>
      <c r="C7738" s="9">
        <v>0</v>
      </c>
      <c r="D7738" s="13">
        <f t="shared" si="120"/>
        <v>0.42</v>
      </c>
    </row>
    <row r="7739" spans="1:4" x14ac:dyDescent="0.25">
      <c r="A7739" s="15">
        <f>Sheet2!A7739</f>
        <v>0</v>
      </c>
      <c r="B7739" s="8">
        <v>0.35</v>
      </c>
      <c r="C7739" s="9">
        <v>0</v>
      </c>
      <c r="D7739" s="13">
        <f t="shared" si="120"/>
        <v>0.35</v>
      </c>
    </row>
    <row r="7740" spans="1:4" x14ac:dyDescent="0.25">
      <c r="A7740" s="15">
        <f>Sheet2!A7740</f>
        <v>0</v>
      </c>
      <c r="B7740" s="8">
        <v>0.44</v>
      </c>
      <c r="C7740" s="9">
        <v>0</v>
      </c>
      <c r="D7740" s="13">
        <f t="shared" si="120"/>
        <v>0.44</v>
      </c>
    </row>
    <row r="7741" spans="1:4" x14ac:dyDescent="0.25">
      <c r="A7741" s="15">
        <f>Sheet2!A7741</f>
        <v>0</v>
      </c>
      <c r="B7741" s="8">
        <v>0.49</v>
      </c>
      <c r="C7741" s="9">
        <v>0</v>
      </c>
      <c r="D7741" s="13">
        <f t="shared" si="120"/>
        <v>0.49</v>
      </c>
    </row>
    <row r="7742" spans="1:4" x14ac:dyDescent="0.25">
      <c r="A7742" s="15">
        <f>Sheet2!A7742</f>
        <v>0</v>
      </c>
      <c r="B7742" s="8">
        <v>1.78</v>
      </c>
      <c r="C7742" s="9">
        <v>0</v>
      </c>
      <c r="D7742" s="13">
        <f t="shared" si="120"/>
        <v>1.78</v>
      </c>
    </row>
    <row r="7743" spans="1:4" x14ac:dyDescent="0.25">
      <c r="A7743" s="15">
        <f>Sheet2!A7743</f>
        <v>0</v>
      </c>
      <c r="B7743" s="8">
        <v>1.0900000000000001</v>
      </c>
      <c r="C7743" s="9">
        <v>0</v>
      </c>
      <c r="D7743" s="13">
        <f t="shared" si="120"/>
        <v>1.0900000000000001</v>
      </c>
    </row>
    <row r="7744" spans="1:4" x14ac:dyDescent="0.25">
      <c r="A7744" s="15">
        <f>Sheet2!A7744</f>
        <v>0</v>
      </c>
      <c r="B7744" s="8">
        <v>1.19</v>
      </c>
      <c r="C7744" s="9">
        <v>0</v>
      </c>
      <c r="D7744" s="13">
        <f t="shared" si="120"/>
        <v>1.19</v>
      </c>
    </row>
    <row r="7745" spans="1:4" x14ac:dyDescent="0.25">
      <c r="A7745" s="15">
        <f>Sheet2!A7745</f>
        <v>0</v>
      </c>
      <c r="B7745" s="8">
        <v>2.2000000000000002</v>
      </c>
      <c r="C7745" s="9">
        <v>0</v>
      </c>
      <c r="D7745" s="13">
        <f t="shared" si="120"/>
        <v>2.2000000000000002</v>
      </c>
    </row>
    <row r="7746" spans="1:4" x14ac:dyDescent="0.25">
      <c r="A7746" s="15">
        <f>Sheet2!A7746</f>
        <v>0</v>
      </c>
      <c r="B7746" s="8">
        <v>2.17</v>
      </c>
      <c r="C7746" s="9">
        <v>0</v>
      </c>
      <c r="D7746" s="13">
        <f t="shared" si="120"/>
        <v>2.17</v>
      </c>
    </row>
    <row r="7747" spans="1:4" x14ac:dyDescent="0.25">
      <c r="A7747" s="15">
        <f>Sheet2!A7747</f>
        <v>0</v>
      </c>
      <c r="B7747" s="8">
        <v>1.45</v>
      </c>
      <c r="C7747" s="9">
        <v>0</v>
      </c>
      <c r="D7747" s="13">
        <f t="shared" ref="D7747:D7810" si="121">B7747+C7747</f>
        <v>1.45</v>
      </c>
    </row>
    <row r="7748" spans="1:4" x14ac:dyDescent="0.25">
      <c r="A7748" s="15">
        <f>Sheet2!A7748</f>
        <v>0</v>
      </c>
      <c r="B7748" s="8">
        <v>0.93</v>
      </c>
      <c r="C7748" s="9">
        <v>0</v>
      </c>
      <c r="D7748" s="13">
        <f t="shared" si="121"/>
        <v>0.93</v>
      </c>
    </row>
    <row r="7749" spans="1:4" x14ac:dyDescent="0.25">
      <c r="A7749" s="15">
        <f>Sheet2!A7749</f>
        <v>0</v>
      </c>
      <c r="B7749" s="8">
        <v>1.35</v>
      </c>
      <c r="C7749" s="9">
        <v>0</v>
      </c>
      <c r="D7749" s="13">
        <f t="shared" si="121"/>
        <v>1.35</v>
      </c>
    </row>
    <row r="7750" spans="1:4" x14ac:dyDescent="0.25">
      <c r="A7750" s="15">
        <f>Sheet2!A7750</f>
        <v>0</v>
      </c>
      <c r="B7750" s="8">
        <v>1.33</v>
      </c>
      <c r="C7750" s="9">
        <v>0</v>
      </c>
      <c r="D7750" s="13">
        <f t="shared" si="121"/>
        <v>1.33</v>
      </c>
    </row>
    <row r="7751" spans="1:4" x14ac:dyDescent="0.25">
      <c r="A7751" s="15">
        <f>Sheet2!A7751</f>
        <v>0</v>
      </c>
      <c r="B7751" s="8">
        <v>0.73</v>
      </c>
      <c r="C7751" s="9">
        <v>0</v>
      </c>
      <c r="D7751" s="13">
        <f t="shared" si="121"/>
        <v>0.73</v>
      </c>
    </row>
    <row r="7752" spans="1:4" x14ac:dyDescent="0.25">
      <c r="A7752" s="15">
        <f>Sheet2!A7752</f>
        <v>0</v>
      </c>
      <c r="B7752" s="8">
        <v>0.77</v>
      </c>
      <c r="C7752" s="9">
        <v>0</v>
      </c>
      <c r="D7752" s="13">
        <f t="shared" si="121"/>
        <v>0.77</v>
      </c>
    </row>
    <row r="7753" spans="1:4" x14ac:dyDescent="0.25">
      <c r="A7753" s="15">
        <f>Sheet2!A7753</f>
        <v>0</v>
      </c>
      <c r="B7753" s="8">
        <v>0.39</v>
      </c>
      <c r="C7753" s="9">
        <v>0</v>
      </c>
      <c r="D7753" s="13">
        <f t="shared" si="121"/>
        <v>0.39</v>
      </c>
    </row>
    <row r="7754" spans="1:4" x14ac:dyDescent="0.25">
      <c r="A7754" s="15">
        <f>Sheet2!A7754</f>
        <v>0</v>
      </c>
      <c r="B7754" s="8">
        <v>0.44</v>
      </c>
      <c r="C7754" s="9">
        <v>0</v>
      </c>
      <c r="D7754" s="13">
        <f t="shared" si="121"/>
        <v>0.44</v>
      </c>
    </row>
    <row r="7755" spans="1:4" x14ac:dyDescent="0.25">
      <c r="A7755" s="15">
        <f>Sheet2!A7755</f>
        <v>0</v>
      </c>
      <c r="B7755" s="8">
        <v>0.28999999999999998</v>
      </c>
      <c r="C7755" s="9">
        <v>0</v>
      </c>
      <c r="D7755" s="13">
        <f t="shared" si="121"/>
        <v>0.28999999999999998</v>
      </c>
    </row>
    <row r="7756" spans="1:4" x14ac:dyDescent="0.25">
      <c r="A7756" s="15">
        <f>Sheet2!A7756</f>
        <v>0</v>
      </c>
      <c r="B7756" s="8">
        <v>0.43</v>
      </c>
      <c r="C7756" s="9">
        <v>0</v>
      </c>
      <c r="D7756" s="13">
        <f t="shared" si="121"/>
        <v>0.43</v>
      </c>
    </row>
    <row r="7757" spans="1:4" x14ac:dyDescent="0.25">
      <c r="A7757" s="15">
        <f>Sheet2!A7757</f>
        <v>0</v>
      </c>
      <c r="B7757" s="8">
        <v>0.31</v>
      </c>
      <c r="C7757" s="9">
        <v>0</v>
      </c>
      <c r="D7757" s="13">
        <f t="shared" si="121"/>
        <v>0.31</v>
      </c>
    </row>
    <row r="7758" spans="1:4" x14ac:dyDescent="0.25">
      <c r="A7758" s="15">
        <f>Sheet2!A7758</f>
        <v>0</v>
      </c>
      <c r="B7758" s="8">
        <v>0.66</v>
      </c>
      <c r="C7758" s="9">
        <v>0</v>
      </c>
      <c r="D7758" s="13">
        <f t="shared" si="121"/>
        <v>0.66</v>
      </c>
    </row>
    <row r="7759" spans="1:4" x14ac:dyDescent="0.25">
      <c r="A7759" s="15">
        <f>Sheet2!A7759</f>
        <v>0</v>
      </c>
      <c r="B7759" s="8">
        <v>0.55000000000000004</v>
      </c>
      <c r="C7759" s="9">
        <v>0</v>
      </c>
      <c r="D7759" s="13">
        <f t="shared" si="121"/>
        <v>0.55000000000000004</v>
      </c>
    </row>
    <row r="7760" spans="1:4" x14ac:dyDescent="0.25">
      <c r="A7760" s="15">
        <f>Sheet2!A7760</f>
        <v>0</v>
      </c>
      <c r="B7760" s="8">
        <v>0</v>
      </c>
      <c r="C7760" s="9">
        <v>0.33</v>
      </c>
      <c r="D7760" s="13">
        <f t="shared" si="121"/>
        <v>0.33</v>
      </c>
    </row>
    <row r="7761" spans="1:4" x14ac:dyDescent="0.25">
      <c r="A7761" s="15">
        <f>Sheet2!A7761</f>
        <v>0</v>
      </c>
      <c r="B7761" s="8">
        <v>0.4</v>
      </c>
      <c r="C7761" s="9">
        <v>0</v>
      </c>
      <c r="D7761" s="13">
        <f t="shared" si="121"/>
        <v>0.4</v>
      </c>
    </row>
    <row r="7762" spans="1:4" x14ac:dyDescent="0.25">
      <c r="A7762" s="15">
        <f>Sheet2!A7762</f>
        <v>0</v>
      </c>
      <c r="B7762" s="8">
        <v>0.39</v>
      </c>
      <c r="C7762" s="9">
        <v>0</v>
      </c>
      <c r="D7762" s="13">
        <f t="shared" si="121"/>
        <v>0.39</v>
      </c>
    </row>
    <row r="7763" spans="1:4" x14ac:dyDescent="0.25">
      <c r="A7763" s="15">
        <f>Sheet2!A7763</f>
        <v>0</v>
      </c>
      <c r="B7763" s="8">
        <v>0.45</v>
      </c>
      <c r="C7763" s="9">
        <v>0</v>
      </c>
      <c r="D7763" s="13">
        <f t="shared" si="121"/>
        <v>0.45</v>
      </c>
    </row>
    <row r="7764" spans="1:4" x14ac:dyDescent="0.25">
      <c r="A7764" s="15">
        <f>Sheet2!A7764</f>
        <v>0</v>
      </c>
      <c r="B7764" s="8">
        <v>0.56000000000000005</v>
      </c>
      <c r="C7764" s="9">
        <v>0</v>
      </c>
      <c r="D7764" s="13">
        <f t="shared" si="121"/>
        <v>0.56000000000000005</v>
      </c>
    </row>
    <row r="7765" spans="1:4" x14ac:dyDescent="0.25">
      <c r="A7765" s="15">
        <f>Sheet2!A7765</f>
        <v>0</v>
      </c>
      <c r="B7765" s="8">
        <v>0.44</v>
      </c>
      <c r="C7765" s="9">
        <v>0</v>
      </c>
      <c r="D7765" s="13">
        <f t="shared" si="121"/>
        <v>0.44</v>
      </c>
    </row>
    <row r="7766" spans="1:4" x14ac:dyDescent="0.25">
      <c r="A7766" s="15">
        <f>Sheet2!A7766</f>
        <v>0</v>
      </c>
      <c r="B7766" s="8">
        <v>0.31</v>
      </c>
      <c r="C7766" s="9">
        <v>0</v>
      </c>
      <c r="D7766" s="13">
        <f t="shared" si="121"/>
        <v>0.31</v>
      </c>
    </row>
    <row r="7767" spans="1:4" x14ac:dyDescent="0.25">
      <c r="A7767" s="15">
        <f>Sheet2!A7767</f>
        <v>0</v>
      </c>
      <c r="B7767" s="8">
        <v>1.86</v>
      </c>
      <c r="C7767" s="9">
        <v>0</v>
      </c>
      <c r="D7767" s="13">
        <f t="shared" si="121"/>
        <v>1.86</v>
      </c>
    </row>
    <row r="7768" spans="1:4" x14ac:dyDescent="0.25">
      <c r="A7768" s="15">
        <f>Sheet2!A7768</f>
        <v>0</v>
      </c>
      <c r="B7768" s="8">
        <v>1.46</v>
      </c>
      <c r="C7768" s="9">
        <v>0</v>
      </c>
      <c r="D7768" s="13">
        <f t="shared" si="121"/>
        <v>1.46</v>
      </c>
    </row>
    <row r="7769" spans="1:4" x14ac:dyDescent="0.25">
      <c r="A7769" s="15">
        <f>Sheet2!A7769</f>
        <v>0</v>
      </c>
      <c r="B7769" s="8">
        <v>1.61</v>
      </c>
      <c r="C7769" s="9">
        <v>0</v>
      </c>
      <c r="D7769" s="13">
        <f t="shared" si="121"/>
        <v>1.61</v>
      </c>
    </row>
    <row r="7770" spans="1:4" x14ac:dyDescent="0.25">
      <c r="A7770" s="15">
        <f>Sheet2!A7770</f>
        <v>0</v>
      </c>
      <c r="B7770" s="8">
        <v>1.37</v>
      </c>
      <c r="C7770" s="9">
        <v>0</v>
      </c>
      <c r="D7770" s="13">
        <f t="shared" si="121"/>
        <v>1.37</v>
      </c>
    </row>
    <row r="7771" spans="1:4" x14ac:dyDescent="0.25">
      <c r="A7771" s="15">
        <f>Sheet2!A7771</f>
        <v>0</v>
      </c>
      <c r="B7771" s="8">
        <v>1.07</v>
      </c>
      <c r="C7771" s="9">
        <v>0</v>
      </c>
      <c r="D7771" s="13">
        <f t="shared" si="121"/>
        <v>1.07</v>
      </c>
    </row>
    <row r="7772" spans="1:4" x14ac:dyDescent="0.25">
      <c r="A7772" s="15">
        <f>Sheet2!A7772</f>
        <v>0</v>
      </c>
      <c r="B7772" s="8">
        <v>0.97</v>
      </c>
      <c r="C7772" s="9">
        <v>0</v>
      </c>
      <c r="D7772" s="13">
        <f t="shared" si="121"/>
        <v>0.97</v>
      </c>
    </row>
    <row r="7773" spans="1:4" x14ac:dyDescent="0.25">
      <c r="A7773" s="15">
        <f>Sheet2!A7773</f>
        <v>0</v>
      </c>
      <c r="B7773" s="8">
        <v>1.01</v>
      </c>
      <c r="C7773" s="9">
        <v>0</v>
      </c>
      <c r="D7773" s="13">
        <f t="shared" si="121"/>
        <v>1.01</v>
      </c>
    </row>
    <row r="7774" spans="1:4" x14ac:dyDescent="0.25">
      <c r="A7774" s="15">
        <f>Sheet2!A7774</f>
        <v>0</v>
      </c>
      <c r="B7774" s="8">
        <v>1.29</v>
      </c>
      <c r="C7774" s="9">
        <v>0</v>
      </c>
      <c r="D7774" s="13">
        <f t="shared" si="121"/>
        <v>1.29</v>
      </c>
    </row>
    <row r="7775" spans="1:4" x14ac:dyDescent="0.25">
      <c r="A7775" s="15">
        <f>Sheet2!A7775</f>
        <v>0</v>
      </c>
      <c r="B7775" s="8">
        <v>1.41</v>
      </c>
      <c r="C7775" s="9">
        <v>0</v>
      </c>
      <c r="D7775" s="13">
        <f t="shared" si="121"/>
        <v>1.41</v>
      </c>
    </row>
    <row r="7776" spans="1:4" x14ac:dyDescent="0.25">
      <c r="A7776" s="15">
        <f>Sheet2!A7776</f>
        <v>0</v>
      </c>
      <c r="B7776" s="8">
        <v>0.98</v>
      </c>
      <c r="C7776" s="9">
        <v>0</v>
      </c>
      <c r="D7776" s="13">
        <f t="shared" si="121"/>
        <v>0.98</v>
      </c>
    </row>
    <row r="7777" spans="1:4" x14ac:dyDescent="0.25">
      <c r="A7777" s="15">
        <f>Sheet2!A7777</f>
        <v>0</v>
      </c>
      <c r="B7777" s="8">
        <v>0.68</v>
      </c>
      <c r="C7777" s="9">
        <v>0</v>
      </c>
      <c r="D7777" s="13">
        <f t="shared" si="121"/>
        <v>0.68</v>
      </c>
    </row>
    <row r="7778" spans="1:4" x14ac:dyDescent="0.25">
      <c r="A7778" s="15">
        <f>Sheet2!A7778</f>
        <v>0</v>
      </c>
      <c r="B7778" s="8">
        <v>0.44</v>
      </c>
      <c r="C7778" s="9">
        <v>0</v>
      </c>
      <c r="D7778" s="13">
        <f t="shared" si="121"/>
        <v>0.44</v>
      </c>
    </row>
    <row r="7779" spans="1:4" x14ac:dyDescent="0.25">
      <c r="A7779" s="15">
        <f>Sheet2!A7779</f>
        <v>0</v>
      </c>
      <c r="B7779" s="8">
        <v>0.47</v>
      </c>
      <c r="C7779" s="9">
        <v>0</v>
      </c>
      <c r="D7779" s="13">
        <f t="shared" si="121"/>
        <v>0.47</v>
      </c>
    </row>
    <row r="7780" spans="1:4" x14ac:dyDescent="0.25">
      <c r="A7780" s="15">
        <f>Sheet2!A7780</f>
        <v>0</v>
      </c>
      <c r="B7780" s="8">
        <v>0.64</v>
      </c>
      <c r="C7780" s="9">
        <v>0</v>
      </c>
      <c r="D7780" s="13">
        <f t="shared" si="121"/>
        <v>0.64</v>
      </c>
    </row>
    <row r="7781" spans="1:4" x14ac:dyDescent="0.25">
      <c r="A7781" s="15">
        <f>Sheet2!A7781</f>
        <v>0</v>
      </c>
      <c r="B7781" s="8">
        <v>1.19</v>
      </c>
      <c r="C7781" s="9">
        <v>0</v>
      </c>
      <c r="D7781" s="13">
        <f t="shared" si="121"/>
        <v>1.19</v>
      </c>
    </row>
    <row r="7782" spans="1:4" x14ac:dyDescent="0.25">
      <c r="A7782" s="15">
        <f>Sheet2!A7782</f>
        <v>0</v>
      </c>
      <c r="B7782" s="8">
        <v>1.08</v>
      </c>
      <c r="C7782" s="9">
        <v>0</v>
      </c>
      <c r="D7782" s="13">
        <f t="shared" si="121"/>
        <v>1.08</v>
      </c>
    </row>
    <row r="7783" spans="1:4" x14ac:dyDescent="0.25">
      <c r="A7783" s="15">
        <f>Sheet2!A7783</f>
        <v>0</v>
      </c>
      <c r="B7783" s="8">
        <v>0.74</v>
      </c>
      <c r="C7783" s="9">
        <v>0</v>
      </c>
      <c r="D7783" s="13">
        <f t="shared" si="121"/>
        <v>0.74</v>
      </c>
    </row>
    <row r="7784" spans="1:4" x14ac:dyDescent="0.25">
      <c r="A7784" s="15">
        <f>Sheet2!A7784</f>
        <v>0</v>
      </c>
      <c r="B7784" s="8">
        <v>0.65</v>
      </c>
      <c r="C7784" s="9">
        <v>0</v>
      </c>
      <c r="D7784" s="13">
        <f t="shared" si="121"/>
        <v>0.65</v>
      </c>
    </row>
    <row r="7785" spans="1:4" x14ac:dyDescent="0.25">
      <c r="A7785" s="15">
        <f>Sheet2!A7785</f>
        <v>0</v>
      </c>
      <c r="B7785" s="8">
        <v>0.52</v>
      </c>
      <c r="C7785" s="9">
        <v>0</v>
      </c>
      <c r="D7785" s="13">
        <f t="shared" si="121"/>
        <v>0.52</v>
      </c>
    </row>
    <row r="7786" spans="1:4" x14ac:dyDescent="0.25">
      <c r="A7786" s="15">
        <f>Sheet2!A7786</f>
        <v>0</v>
      </c>
      <c r="B7786" s="8">
        <v>0.53</v>
      </c>
      <c r="C7786" s="9">
        <v>0</v>
      </c>
      <c r="D7786" s="13">
        <f t="shared" si="121"/>
        <v>0.53</v>
      </c>
    </row>
    <row r="7787" spans="1:4" x14ac:dyDescent="0.25">
      <c r="A7787" s="15">
        <f>Sheet2!A7787</f>
        <v>0</v>
      </c>
      <c r="B7787" s="8">
        <v>0.4</v>
      </c>
      <c r="C7787" s="9">
        <v>0</v>
      </c>
      <c r="D7787" s="13">
        <f t="shared" si="121"/>
        <v>0.4</v>
      </c>
    </row>
    <row r="7788" spans="1:4" x14ac:dyDescent="0.25">
      <c r="A7788" s="15">
        <f>Sheet2!A7788</f>
        <v>0</v>
      </c>
      <c r="B7788" s="8">
        <v>0.36</v>
      </c>
      <c r="C7788" s="9">
        <v>0</v>
      </c>
      <c r="D7788" s="13">
        <f t="shared" si="121"/>
        <v>0.36</v>
      </c>
    </row>
    <row r="7789" spans="1:4" x14ac:dyDescent="0.25">
      <c r="A7789" s="15">
        <f>Sheet2!A7789</f>
        <v>0</v>
      </c>
      <c r="B7789" s="8">
        <v>0.83</v>
      </c>
      <c r="C7789" s="9">
        <v>0</v>
      </c>
      <c r="D7789" s="13">
        <f t="shared" si="121"/>
        <v>0.83</v>
      </c>
    </row>
    <row r="7790" spans="1:4" x14ac:dyDescent="0.25">
      <c r="A7790" s="15">
        <f>Sheet2!A7790</f>
        <v>0</v>
      </c>
      <c r="B7790" s="8">
        <v>0.46</v>
      </c>
      <c r="C7790" s="9">
        <v>0</v>
      </c>
      <c r="D7790" s="13">
        <f t="shared" si="121"/>
        <v>0.46</v>
      </c>
    </row>
    <row r="7791" spans="1:4" x14ac:dyDescent="0.25">
      <c r="A7791" s="15">
        <f>Sheet2!A7791</f>
        <v>0</v>
      </c>
      <c r="B7791" s="8">
        <v>0.65</v>
      </c>
      <c r="C7791" s="9">
        <v>0</v>
      </c>
      <c r="D7791" s="13">
        <f t="shared" si="121"/>
        <v>0.65</v>
      </c>
    </row>
    <row r="7792" spans="1:4" x14ac:dyDescent="0.25">
      <c r="A7792" s="15">
        <f>Sheet2!A7792</f>
        <v>0</v>
      </c>
      <c r="B7792" s="8">
        <v>1.4</v>
      </c>
      <c r="C7792" s="9">
        <v>0</v>
      </c>
      <c r="D7792" s="13">
        <f t="shared" si="121"/>
        <v>1.4</v>
      </c>
    </row>
    <row r="7793" spans="1:4" x14ac:dyDescent="0.25">
      <c r="A7793" s="15">
        <f>Sheet2!A7793</f>
        <v>0</v>
      </c>
      <c r="B7793" s="8">
        <v>1</v>
      </c>
      <c r="C7793" s="9">
        <v>0</v>
      </c>
      <c r="D7793" s="13">
        <f t="shared" si="121"/>
        <v>1</v>
      </c>
    </row>
    <row r="7794" spans="1:4" x14ac:dyDescent="0.25">
      <c r="A7794" s="15">
        <f>Sheet2!A7794</f>
        <v>0</v>
      </c>
      <c r="B7794" s="8">
        <v>1.18</v>
      </c>
      <c r="C7794" s="9">
        <v>0</v>
      </c>
      <c r="D7794" s="13">
        <f t="shared" si="121"/>
        <v>1.18</v>
      </c>
    </row>
    <row r="7795" spans="1:4" x14ac:dyDescent="0.25">
      <c r="A7795" s="15">
        <f>Sheet2!A7795</f>
        <v>0</v>
      </c>
      <c r="B7795" s="8">
        <v>1.6</v>
      </c>
      <c r="C7795" s="9">
        <v>0</v>
      </c>
      <c r="D7795" s="13">
        <f t="shared" si="121"/>
        <v>1.6</v>
      </c>
    </row>
    <row r="7796" spans="1:4" x14ac:dyDescent="0.25">
      <c r="A7796" s="15">
        <f>Sheet2!A7796</f>
        <v>0</v>
      </c>
      <c r="B7796" s="8">
        <v>1.4</v>
      </c>
      <c r="C7796" s="9">
        <v>0</v>
      </c>
      <c r="D7796" s="13">
        <f t="shared" si="121"/>
        <v>1.4</v>
      </c>
    </row>
    <row r="7797" spans="1:4" x14ac:dyDescent="0.25">
      <c r="A7797" s="15">
        <f>Sheet2!A7797</f>
        <v>0</v>
      </c>
      <c r="B7797" s="8">
        <v>0.93</v>
      </c>
      <c r="C7797" s="9">
        <v>0</v>
      </c>
      <c r="D7797" s="13">
        <f t="shared" si="121"/>
        <v>0.93</v>
      </c>
    </row>
    <row r="7798" spans="1:4" x14ac:dyDescent="0.25">
      <c r="A7798" s="15">
        <f>Sheet2!A7798</f>
        <v>0</v>
      </c>
      <c r="B7798" s="8">
        <v>1.05</v>
      </c>
      <c r="C7798" s="9">
        <v>0</v>
      </c>
      <c r="D7798" s="13">
        <f t="shared" si="121"/>
        <v>1.05</v>
      </c>
    </row>
    <row r="7799" spans="1:4" x14ac:dyDescent="0.25">
      <c r="A7799" s="15">
        <f>Sheet2!A7799</f>
        <v>0</v>
      </c>
      <c r="B7799" s="8">
        <v>1.34</v>
      </c>
      <c r="C7799" s="9">
        <v>0</v>
      </c>
      <c r="D7799" s="13">
        <f t="shared" si="121"/>
        <v>1.34</v>
      </c>
    </row>
    <row r="7800" spans="1:4" x14ac:dyDescent="0.25">
      <c r="A7800" s="15">
        <f>Sheet2!A7800</f>
        <v>0</v>
      </c>
      <c r="B7800" s="8">
        <v>0.99</v>
      </c>
      <c r="C7800" s="9">
        <v>0</v>
      </c>
      <c r="D7800" s="13">
        <f t="shared" si="121"/>
        <v>0.99</v>
      </c>
    </row>
    <row r="7801" spans="1:4" x14ac:dyDescent="0.25">
      <c r="A7801" s="15">
        <f>Sheet2!A7801</f>
        <v>0</v>
      </c>
      <c r="B7801" s="8">
        <v>0.9</v>
      </c>
      <c r="C7801" s="9">
        <v>0</v>
      </c>
      <c r="D7801" s="13">
        <f t="shared" si="121"/>
        <v>0.9</v>
      </c>
    </row>
    <row r="7802" spans="1:4" x14ac:dyDescent="0.25">
      <c r="A7802" s="15">
        <f>Sheet2!A7802</f>
        <v>0</v>
      </c>
      <c r="B7802" s="8">
        <v>0.59</v>
      </c>
      <c r="C7802" s="9">
        <v>0</v>
      </c>
      <c r="D7802" s="13">
        <f t="shared" si="121"/>
        <v>0.59</v>
      </c>
    </row>
    <row r="7803" spans="1:4" x14ac:dyDescent="0.25">
      <c r="A7803" s="15">
        <f>Sheet2!A7803</f>
        <v>0</v>
      </c>
      <c r="B7803" s="8">
        <v>0.52</v>
      </c>
      <c r="C7803" s="9">
        <v>0</v>
      </c>
      <c r="D7803" s="13">
        <f t="shared" si="121"/>
        <v>0.52</v>
      </c>
    </row>
    <row r="7804" spans="1:4" x14ac:dyDescent="0.25">
      <c r="A7804" s="15">
        <f>Sheet2!A7804</f>
        <v>0</v>
      </c>
      <c r="B7804" s="8">
        <v>0.7</v>
      </c>
      <c r="C7804" s="9">
        <v>0</v>
      </c>
      <c r="D7804" s="13">
        <f t="shared" si="121"/>
        <v>0.7</v>
      </c>
    </row>
    <row r="7805" spans="1:4" x14ac:dyDescent="0.25">
      <c r="A7805" s="15">
        <f>Sheet2!A7805</f>
        <v>0</v>
      </c>
      <c r="B7805" s="8">
        <v>0.38</v>
      </c>
      <c r="C7805" s="9">
        <v>0</v>
      </c>
      <c r="D7805" s="13">
        <f t="shared" si="121"/>
        <v>0.38</v>
      </c>
    </row>
    <row r="7806" spans="1:4" x14ac:dyDescent="0.25">
      <c r="A7806" s="15">
        <f>Sheet2!A7806</f>
        <v>0</v>
      </c>
      <c r="B7806" s="8">
        <v>0.56999999999999995</v>
      </c>
      <c r="C7806" s="9">
        <v>0</v>
      </c>
      <c r="D7806" s="13">
        <f t="shared" si="121"/>
        <v>0.56999999999999995</v>
      </c>
    </row>
    <row r="7807" spans="1:4" x14ac:dyDescent="0.25">
      <c r="A7807" s="15">
        <f>Sheet2!A7807</f>
        <v>0</v>
      </c>
      <c r="B7807" s="8">
        <v>0.34</v>
      </c>
      <c r="C7807" s="9">
        <v>0</v>
      </c>
      <c r="D7807" s="13">
        <f t="shared" si="121"/>
        <v>0.34</v>
      </c>
    </row>
    <row r="7808" spans="1:4" x14ac:dyDescent="0.25">
      <c r="A7808" s="15">
        <f>Sheet2!A7808</f>
        <v>0</v>
      </c>
      <c r="B7808" s="8">
        <v>0.85</v>
      </c>
      <c r="C7808" s="9">
        <v>0</v>
      </c>
      <c r="D7808" s="13">
        <f t="shared" si="121"/>
        <v>0.85</v>
      </c>
    </row>
    <row r="7809" spans="1:4" x14ac:dyDescent="0.25">
      <c r="A7809" s="15">
        <f>Sheet2!A7809</f>
        <v>0</v>
      </c>
      <c r="B7809" s="8">
        <v>0</v>
      </c>
      <c r="C7809" s="9">
        <v>0.33</v>
      </c>
      <c r="D7809" s="13">
        <f t="shared" si="121"/>
        <v>0.33</v>
      </c>
    </row>
    <row r="7810" spans="1:4" x14ac:dyDescent="0.25">
      <c r="A7810" s="15">
        <f>Sheet2!A7810</f>
        <v>0</v>
      </c>
      <c r="B7810" s="8">
        <v>0</v>
      </c>
      <c r="C7810" s="9">
        <v>0.28999999999999998</v>
      </c>
      <c r="D7810" s="13">
        <f t="shared" si="121"/>
        <v>0.28999999999999998</v>
      </c>
    </row>
    <row r="7811" spans="1:4" x14ac:dyDescent="0.25">
      <c r="A7811" s="15">
        <f>Sheet2!A7811</f>
        <v>0</v>
      </c>
      <c r="B7811" s="8">
        <v>0.72</v>
      </c>
      <c r="C7811" s="9">
        <v>0</v>
      </c>
      <c r="D7811" s="13">
        <f t="shared" ref="D7811:D7874" si="122">B7811+C7811</f>
        <v>0.72</v>
      </c>
    </row>
    <row r="7812" spans="1:4" x14ac:dyDescent="0.25">
      <c r="A7812" s="15">
        <f>Sheet2!A7812</f>
        <v>0</v>
      </c>
      <c r="B7812" s="8">
        <v>1.41</v>
      </c>
      <c r="C7812" s="9">
        <v>0</v>
      </c>
      <c r="D7812" s="13">
        <f t="shared" si="122"/>
        <v>1.41</v>
      </c>
    </row>
    <row r="7813" spans="1:4" x14ac:dyDescent="0.25">
      <c r="A7813" s="15">
        <f>Sheet2!A7813</f>
        <v>0</v>
      </c>
      <c r="B7813" s="8">
        <v>1.19</v>
      </c>
      <c r="C7813" s="9">
        <v>0</v>
      </c>
      <c r="D7813" s="13">
        <f t="shared" si="122"/>
        <v>1.19</v>
      </c>
    </row>
    <row r="7814" spans="1:4" x14ac:dyDescent="0.25">
      <c r="A7814" s="15">
        <f>Sheet2!A7814</f>
        <v>0</v>
      </c>
      <c r="B7814" s="8">
        <v>0.39</v>
      </c>
      <c r="C7814" s="9">
        <v>0</v>
      </c>
      <c r="D7814" s="13">
        <f t="shared" si="122"/>
        <v>0.39</v>
      </c>
    </row>
    <row r="7815" spans="1:4" x14ac:dyDescent="0.25">
      <c r="A7815" s="15">
        <f>Sheet2!A7815</f>
        <v>0</v>
      </c>
      <c r="B7815" s="8">
        <v>0.79</v>
      </c>
      <c r="C7815" s="9">
        <v>0</v>
      </c>
      <c r="D7815" s="13">
        <f t="shared" si="122"/>
        <v>0.79</v>
      </c>
    </row>
    <row r="7816" spans="1:4" x14ac:dyDescent="0.25">
      <c r="A7816" s="15">
        <f>Sheet2!A7816</f>
        <v>0</v>
      </c>
      <c r="B7816" s="8">
        <v>0</v>
      </c>
      <c r="C7816" s="9">
        <v>0.91</v>
      </c>
      <c r="D7816" s="13">
        <f t="shared" si="122"/>
        <v>0.91</v>
      </c>
    </row>
    <row r="7817" spans="1:4" x14ac:dyDescent="0.25">
      <c r="A7817" s="15">
        <f>Sheet2!A7817</f>
        <v>0</v>
      </c>
      <c r="B7817" s="8">
        <v>0</v>
      </c>
      <c r="C7817" s="9">
        <v>0.79</v>
      </c>
      <c r="D7817" s="13">
        <f t="shared" si="122"/>
        <v>0.79</v>
      </c>
    </row>
    <row r="7818" spans="1:4" x14ac:dyDescent="0.25">
      <c r="A7818" s="15">
        <f>Sheet2!A7818</f>
        <v>0</v>
      </c>
      <c r="B7818" s="8">
        <v>0</v>
      </c>
      <c r="C7818" s="9">
        <v>0.34</v>
      </c>
      <c r="D7818" s="13">
        <f t="shared" si="122"/>
        <v>0.34</v>
      </c>
    </row>
    <row r="7819" spans="1:4" x14ac:dyDescent="0.25">
      <c r="A7819" s="15">
        <f>Sheet2!A7819</f>
        <v>0</v>
      </c>
      <c r="B7819" s="8">
        <v>1.17</v>
      </c>
      <c r="C7819" s="9">
        <v>0</v>
      </c>
      <c r="D7819" s="13">
        <f t="shared" si="122"/>
        <v>1.17</v>
      </c>
    </row>
    <row r="7820" spans="1:4" x14ac:dyDescent="0.25">
      <c r="A7820" s="15">
        <f>Sheet2!A7820</f>
        <v>0</v>
      </c>
      <c r="B7820" s="8">
        <v>1.41</v>
      </c>
      <c r="C7820" s="9">
        <v>0</v>
      </c>
      <c r="D7820" s="13">
        <f t="shared" si="122"/>
        <v>1.41</v>
      </c>
    </row>
    <row r="7821" spans="1:4" x14ac:dyDescent="0.25">
      <c r="A7821" s="15">
        <f>Sheet2!A7821</f>
        <v>0</v>
      </c>
      <c r="B7821" s="8">
        <v>1.21</v>
      </c>
      <c r="C7821" s="9">
        <v>0</v>
      </c>
      <c r="D7821" s="13">
        <f t="shared" si="122"/>
        <v>1.21</v>
      </c>
    </row>
    <row r="7822" spans="1:4" x14ac:dyDescent="0.25">
      <c r="A7822" s="15">
        <f>Sheet2!A7822</f>
        <v>0</v>
      </c>
      <c r="B7822" s="8">
        <v>0.75</v>
      </c>
      <c r="C7822" s="9">
        <v>0</v>
      </c>
      <c r="D7822" s="13">
        <f t="shared" si="122"/>
        <v>0.75</v>
      </c>
    </row>
    <row r="7823" spans="1:4" x14ac:dyDescent="0.25">
      <c r="A7823" s="15">
        <f>Sheet2!A7823</f>
        <v>0</v>
      </c>
      <c r="B7823" s="8">
        <v>1.02</v>
      </c>
      <c r="C7823" s="9">
        <v>0</v>
      </c>
      <c r="D7823" s="13">
        <f t="shared" si="122"/>
        <v>1.02</v>
      </c>
    </row>
    <row r="7824" spans="1:4" x14ac:dyDescent="0.25">
      <c r="A7824" s="15">
        <f>Sheet2!A7824</f>
        <v>0</v>
      </c>
      <c r="B7824" s="8">
        <v>0.73</v>
      </c>
      <c r="C7824" s="9">
        <v>0</v>
      </c>
      <c r="D7824" s="13">
        <f t="shared" si="122"/>
        <v>0.73</v>
      </c>
    </row>
    <row r="7825" spans="1:4" x14ac:dyDescent="0.25">
      <c r="A7825" s="15">
        <f>Sheet2!A7825</f>
        <v>0</v>
      </c>
      <c r="B7825" s="8">
        <v>0.51</v>
      </c>
      <c r="C7825" s="9">
        <v>0</v>
      </c>
      <c r="D7825" s="13">
        <f t="shared" si="122"/>
        <v>0.51</v>
      </c>
    </row>
    <row r="7826" spans="1:4" x14ac:dyDescent="0.25">
      <c r="A7826" s="15">
        <f>Sheet2!A7826</f>
        <v>0</v>
      </c>
      <c r="B7826" s="8">
        <v>0.63</v>
      </c>
      <c r="C7826" s="9">
        <v>0</v>
      </c>
      <c r="D7826" s="13">
        <f t="shared" si="122"/>
        <v>0.63</v>
      </c>
    </row>
    <row r="7827" spans="1:4" x14ac:dyDescent="0.25">
      <c r="A7827" s="15">
        <f>Sheet2!A7827</f>
        <v>0</v>
      </c>
      <c r="B7827" s="8">
        <v>0.42</v>
      </c>
      <c r="C7827" s="9">
        <v>0</v>
      </c>
      <c r="D7827" s="13">
        <f t="shared" si="122"/>
        <v>0.42</v>
      </c>
    </row>
    <row r="7828" spans="1:4" x14ac:dyDescent="0.25">
      <c r="A7828" s="15">
        <f>Sheet2!A7828</f>
        <v>0</v>
      </c>
      <c r="B7828" s="8">
        <v>0.46</v>
      </c>
      <c r="C7828" s="9">
        <v>0</v>
      </c>
      <c r="D7828" s="13">
        <f t="shared" si="122"/>
        <v>0.46</v>
      </c>
    </row>
    <row r="7829" spans="1:4" x14ac:dyDescent="0.25">
      <c r="A7829" s="15">
        <f>Sheet2!A7829</f>
        <v>0</v>
      </c>
      <c r="B7829" s="8">
        <v>0.66</v>
      </c>
      <c r="C7829" s="9">
        <v>0</v>
      </c>
      <c r="D7829" s="13">
        <f t="shared" si="122"/>
        <v>0.66</v>
      </c>
    </row>
    <row r="7830" spans="1:4" x14ac:dyDescent="0.25">
      <c r="A7830" s="15">
        <f>Sheet2!A7830</f>
        <v>0</v>
      </c>
      <c r="B7830" s="8">
        <v>0.81</v>
      </c>
      <c r="C7830" s="9">
        <v>0</v>
      </c>
      <c r="D7830" s="13">
        <f t="shared" si="122"/>
        <v>0.81</v>
      </c>
    </row>
    <row r="7831" spans="1:4" x14ac:dyDescent="0.25">
      <c r="A7831" s="15">
        <f>Sheet2!A7831</f>
        <v>0</v>
      </c>
      <c r="B7831" s="8">
        <v>0.54</v>
      </c>
      <c r="C7831" s="9">
        <v>0</v>
      </c>
      <c r="D7831" s="13">
        <f t="shared" si="122"/>
        <v>0.54</v>
      </c>
    </row>
    <row r="7832" spans="1:4" x14ac:dyDescent="0.25">
      <c r="A7832" s="15">
        <f>Sheet2!A7832</f>
        <v>0</v>
      </c>
      <c r="B7832" s="8">
        <v>0.42</v>
      </c>
      <c r="C7832" s="9">
        <v>0</v>
      </c>
      <c r="D7832" s="13">
        <f t="shared" si="122"/>
        <v>0.42</v>
      </c>
    </row>
    <row r="7833" spans="1:4" x14ac:dyDescent="0.25">
      <c r="A7833" s="15">
        <f>Sheet2!A7833</f>
        <v>0</v>
      </c>
      <c r="B7833" s="8">
        <v>0.28999999999999998</v>
      </c>
      <c r="C7833" s="9">
        <v>0</v>
      </c>
      <c r="D7833" s="13">
        <f t="shared" si="122"/>
        <v>0.28999999999999998</v>
      </c>
    </row>
    <row r="7834" spans="1:4" x14ac:dyDescent="0.25">
      <c r="A7834" s="15">
        <f>Sheet2!A7834</f>
        <v>0</v>
      </c>
      <c r="B7834" s="8">
        <v>0.64</v>
      </c>
      <c r="C7834" s="9">
        <v>0</v>
      </c>
      <c r="D7834" s="13">
        <f t="shared" si="122"/>
        <v>0.64</v>
      </c>
    </row>
    <row r="7835" spans="1:4" x14ac:dyDescent="0.25">
      <c r="A7835" s="15">
        <f>Sheet2!A7835</f>
        <v>0</v>
      </c>
      <c r="B7835" s="8">
        <v>0.28999999999999998</v>
      </c>
      <c r="C7835" s="9">
        <v>0</v>
      </c>
      <c r="D7835" s="13">
        <f t="shared" si="122"/>
        <v>0.28999999999999998</v>
      </c>
    </row>
    <row r="7836" spans="1:4" x14ac:dyDescent="0.25">
      <c r="A7836" s="15">
        <f>Sheet2!A7836</f>
        <v>0</v>
      </c>
      <c r="B7836" s="8">
        <v>0</v>
      </c>
      <c r="C7836" s="9">
        <v>0.34</v>
      </c>
      <c r="D7836" s="13">
        <f t="shared" si="122"/>
        <v>0.34</v>
      </c>
    </row>
    <row r="7837" spans="1:4" x14ac:dyDescent="0.25">
      <c r="A7837" s="15">
        <f>Sheet2!A7837</f>
        <v>0</v>
      </c>
      <c r="B7837" s="8">
        <v>0</v>
      </c>
      <c r="C7837" s="9">
        <v>0.66</v>
      </c>
      <c r="D7837" s="13">
        <f t="shared" si="122"/>
        <v>0.66</v>
      </c>
    </row>
    <row r="7838" spans="1:4" x14ac:dyDescent="0.25">
      <c r="A7838" s="15">
        <f>Sheet2!A7838</f>
        <v>0</v>
      </c>
      <c r="B7838" s="8">
        <v>0.99</v>
      </c>
      <c r="C7838" s="9">
        <v>0</v>
      </c>
      <c r="D7838" s="13">
        <f t="shared" si="122"/>
        <v>0.99</v>
      </c>
    </row>
    <row r="7839" spans="1:4" x14ac:dyDescent="0.25">
      <c r="A7839" s="15">
        <f>Sheet2!A7839</f>
        <v>0</v>
      </c>
      <c r="B7839" s="8">
        <v>0.4</v>
      </c>
      <c r="C7839" s="9">
        <v>0</v>
      </c>
      <c r="D7839" s="13">
        <f t="shared" si="122"/>
        <v>0.4</v>
      </c>
    </row>
    <row r="7840" spans="1:4" x14ac:dyDescent="0.25">
      <c r="A7840" s="15">
        <f>Sheet2!A7840</f>
        <v>0</v>
      </c>
      <c r="B7840" s="8">
        <v>1.23</v>
      </c>
      <c r="C7840" s="9">
        <v>0</v>
      </c>
      <c r="D7840" s="13">
        <f t="shared" si="122"/>
        <v>1.23</v>
      </c>
    </row>
    <row r="7841" spans="1:4" x14ac:dyDescent="0.25">
      <c r="A7841" s="15">
        <f>Sheet2!A7841</f>
        <v>0</v>
      </c>
      <c r="B7841" s="8">
        <v>0.86</v>
      </c>
      <c r="C7841" s="9">
        <v>0</v>
      </c>
      <c r="D7841" s="13">
        <f t="shared" si="122"/>
        <v>0.86</v>
      </c>
    </row>
    <row r="7842" spans="1:4" x14ac:dyDescent="0.25">
      <c r="A7842" s="15">
        <f>Sheet2!A7842</f>
        <v>0</v>
      </c>
      <c r="B7842" s="8">
        <v>0</v>
      </c>
      <c r="C7842" s="9">
        <v>0.45</v>
      </c>
      <c r="D7842" s="13">
        <f t="shared" si="122"/>
        <v>0.45</v>
      </c>
    </row>
    <row r="7843" spans="1:4" x14ac:dyDescent="0.25">
      <c r="A7843" s="15">
        <f>Sheet2!A7843</f>
        <v>0</v>
      </c>
      <c r="B7843" s="8">
        <v>0</v>
      </c>
      <c r="C7843" s="9">
        <v>0.74</v>
      </c>
      <c r="D7843" s="13">
        <f t="shared" si="122"/>
        <v>0.74</v>
      </c>
    </row>
    <row r="7844" spans="1:4" x14ac:dyDescent="0.25">
      <c r="A7844" s="15">
        <f>Sheet2!A7844</f>
        <v>0</v>
      </c>
      <c r="B7844" s="8">
        <v>0</v>
      </c>
      <c r="C7844" s="9">
        <v>0.33</v>
      </c>
      <c r="D7844" s="13">
        <f t="shared" si="122"/>
        <v>0.33</v>
      </c>
    </row>
    <row r="7845" spans="1:4" x14ac:dyDescent="0.25">
      <c r="A7845" s="15">
        <f>Sheet2!A7845</f>
        <v>0</v>
      </c>
      <c r="B7845" s="8">
        <v>1.32</v>
      </c>
      <c r="C7845" s="9">
        <v>0</v>
      </c>
      <c r="D7845" s="13">
        <f t="shared" si="122"/>
        <v>1.32</v>
      </c>
    </row>
    <row r="7846" spans="1:4" x14ac:dyDescent="0.25">
      <c r="A7846" s="15">
        <f>Sheet2!A7846</f>
        <v>0</v>
      </c>
      <c r="B7846" s="8">
        <v>1.27</v>
      </c>
      <c r="C7846" s="9">
        <v>0</v>
      </c>
      <c r="D7846" s="13">
        <f t="shared" si="122"/>
        <v>1.27</v>
      </c>
    </row>
    <row r="7847" spans="1:4" x14ac:dyDescent="0.25">
      <c r="A7847" s="15">
        <f>Sheet2!A7847</f>
        <v>0</v>
      </c>
      <c r="B7847" s="8">
        <v>1.42</v>
      </c>
      <c r="C7847" s="9">
        <v>0</v>
      </c>
      <c r="D7847" s="13">
        <f t="shared" si="122"/>
        <v>1.42</v>
      </c>
    </row>
    <row r="7848" spans="1:4" x14ac:dyDescent="0.25">
      <c r="A7848" s="15">
        <f>Sheet2!A7848</f>
        <v>0</v>
      </c>
      <c r="B7848" s="8">
        <v>1.63</v>
      </c>
      <c r="C7848" s="9">
        <v>0</v>
      </c>
      <c r="D7848" s="13">
        <f t="shared" si="122"/>
        <v>1.63</v>
      </c>
    </row>
    <row r="7849" spans="1:4" x14ac:dyDescent="0.25">
      <c r="A7849" s="15">
        <f>Sheet2!A7849</f>
        <v>0</v>
      </c>
      <c r="B7849" s="8">
        <v>0.99</v>
      </c>
      <c r="C7849" s="9">
        <v>0</v>
      </c>
      <c r="D7849" s="13">
        <f t="shared" si="122"/>
        <v>0.99</v>
      </c>
    </row>
    <row r="7850" spans="1:4" x14ac:dyDescent="0.25">
      <c r="A7850" s="15">
        <f>Sheet2!A7850</f>
        <v>0</v>
      </c>
      <c r="B7850" s="8">
        <v>0.82</v>
      </c>
      <c r="C7850" s="9">
        <v>0</v>
      </c>
      <c r="D7850" s="13">
        <f t="shared" si="122"/>
        <v>0.82</v>
      </c>
    </row>
    <row r="7851" spans="1:4" x14ac:dyDescent="0.25">
      <c r="A7851" s="15">
        <f>Sheet2!A7851</f>
        <v>0</v>
      </c>
      <c r="B7851" s="8">
        <v>0.65</v>
      </c>
      <c r="C7851" s="9">
        <v>0</v>
      </c>
      <c r="D7851" s="13">
        <f t="shared" si="122"/>
        <v>0.65</v>
      </c>
    </row>
    <row r="7852" spans="1:4" x14ac:dyDescent="0.25">
      <c r="A7852" s="15">
        <f>Sheet2!A7852</f>
        <v>0</v>
      </c>
      <c r="B7852" s="8">
        <v>0.37</v>
      </c>
      <c r="C7852" s="9">
        <v>0</v>
      </c>
      <c r="D7852" s="13">
        <f t="shared" si="122"/>
        <v>0.37</v>
      </c>
    </row>
    <row r="7853" spans="1:4" x14ac:dyDescent="0.25">
      <c r="A7853" s="15">
        <f>Sheet2!A7853</f>
        <v>0</v>
      </c>
      <c r="B7853" s="8">
        <v>0.54</v>
      </c>
      <c r="C7853" s="9">
        <v>0</v>
      </c>
      <c r="D7853" s="13">
        <f t="shared" si="122"/>
        <v>0.54</v>
      </c>
    </row>
    <row r="7854" spans="1:4" x14ac:dyDescent="0.25">
      <c r="A7854" s="15">
        <f>Sheet2!A7854</f>
        <v>0</v>
      </c>
      <c r="B7854" s="8">
        <v>0.38</v>
      </c>
      <c r="C7854" s="9">
        <v>0</v>
      </c>
      <c r="D7854" s="13">
        <f t="shared" si="122"/>
        <v>0.38</v>
      </c>
    </row>
    <row r="7855" spans="1:4" x14ac:dyDescent="0.25">
      <c r="A7855" s="15">
        <f>Sheet2!A7855</f>
        <v>0</v>
      </c>
      <c r="B7855" s="8">
        <v>0.85</v>
      </c>
      <c r="C7855" s="9">
        <v>0</v>
      </c>
      <c r="D7855" s="13">
        <f t="shared" si="122"/>
        <v>0.85</v>
      </c>
    </row>
    <row r="7856" spans="1:4" x14ac:dyDescent="0.25">
      <c r="A7856" s="15">
        <f>Sheet2!A7856</f>
        <v>0</v>
      </c>
      <c r="B7856" s="8">
        <v>0</v>
      </c>
      <c r="C7856" s="9">
        <v>0.21</v>
      </c>
      <c r="D7856" s="13">
        <f t="shared" si="122"/>
        <v>0.21</v>
      </c>
    </row>
    <row r="7857" spans="1:4" x14ac:dyDescent="0.25">
      <c r="A7857" s="15">
        <f>Sheet2!A7857</f>
        <v>0</v>
      </c>
      <c r="B7857" s="8">
        <v>0</v>
      </c>
      <c r="C7857" s="9">
        <v>0.51</v>
      </c>
      <c r="D7857" s="13">
        <f t="shared" si="122"/>
        <v>0.51</v>
      </c>
    </row>
    <row r="7858" spans="1:4" x14ac:dyDescent="0.25">
      <c r="A7858" s="15">
        <f>Sheet2!A7858</f>
        <v>0</v>
      </c>
      <c r="B7858" s="8">
        <v>0</v>
      </c>
      <c r="C7858" s="9">
        <v>0.34</v>
      </c>
      <c r="D7858" s="13">
        <f t="shared" si="122"/>
        <v>0.34</v>
      </c>
    </row>
    <row r="7859" spans="1:4" x14ac:dyDescent="0.25">
      <c r="A7859" s="15">
        <f>Sheet2!A7859</f>
        <v>0</v>
      </c>
      <c r="B7859" s="8">
        <v>0.69</v>
      </c>
      <c r="C7859" s="9">
        <v>0</v>
      </c>
      <c r="D7859" s="13">
        <f t="shared" si="122"/>
        <v>0.69</v>
      </c>
    </row>
    <row r="7860" spans="1:4" x14ac:dyDescent="0.25">
      <c r="A7860" s="15">
        <f>Sheet2!A7860</f>
        <v>0</v>
      </c>
      <c r="B7860" s="8">
        <v>0</v>
      </c>
      <c r="C7860" s="9">
        <v>0.38</v>
      </c>
      <c r="D7860" s="13">
        <f t="shared" si="122"/>
        <v>0.38</v>
      </c>
    </row>
    <row r="7861" spans="1:4" x14ac:dyDescent="0.25">
      <c r="A7861" s="15">
        <f>Sheet2!A7861</f>
        <v>0</v>
      </c>
      <c r="B7861" s="8">
        <v>0</v>
      </c>
      <c r="C7861" s="9">
        <v>0.44</v>
      </c>
      <c r="D7861" s="13">
        <f t="shared" si="122"/>
        <v>0.44</v>
      </c>
    </row>
    <row r="7862" spans="1:4" x14ac:dyDescent="0.25">
      <c r="A7862" s="15">
        <f>Sheet2!A7862</f>
        <v>0</v>
      </c>
      <c r="B7862" s="8">
        <v>0</v>
      </c>
      <c r="C7862" s="9">
        <v>0.24</v>
      </c>
      <c r="D7862" s="13">
        <f t="shared" si="122"/>
        <v>0.24</v>
      </c>
    </row>
    <row r="7863" spans="1:4" x14ac:dyDescent="0.25">
      <c r="A7863" s="15">
        <f>Sheet2!A7863</f>
        <v>0</v>
      </c>
      <c r="B7863" s="8">
        <v>0.54</v>
      </c>
      <c r="C7863" s="9">
        <v>0</v>
      </c>
      <c r="D7863" s="13">
        <f t="shared" si="122"/>
        <v>0.54</v>
      </c>
    </row>
    <row r="7864" spans="1:4" x14ac:dyDescent="0.25">
      <c r="A7864" s="15">
        <f>Sheet2!A7864</f>
        <v>0</v>
      </c>
      <c r="B7864" s="8">
        <v>0</v>
      </c>
      <c r="C7864" s="9">
        <v>0.68</v>
      </c>
      <c r="D7864" s="13">
        <f t="shared" si="122"/>
        <v>0.68</v>
      </c>
    </row>
    <row r="7865" spans="1:4" x14ac:dyDescent="0.25">
      <c r="A7865" s="15">
        <f>Sheet2!A7865</f>
        <v>0</v>
      </c>
      <c r="B7865" s="8">
        <v>0</v>
      </c>
      <c r="C7865" s="9">
        <v>0.89</v>
      </c>
      <c r="D7865" s="13">
        <f t="shared" si="122"/>
        <v>0.89</v>
      </c>
    </row>
    <row r="7866" spans="1:4" x14ac:dyDescent="0.25">
      <c r="A7866" s="15">
        <f>Sheet2!A7866</f>
        <v>0</v>
      </c>
      <c r="B7866" s="8">
        <v>0</v>
      </c>
      <c r="C7866" s="9">
        <v>0.2</v>
      </c>
      <c r="D7866" s="13">
        <f t="shared" si="122"/>
        <v>0.2</v>
      </c>
    </row>
    <row r="7867" spans="1:4" x14ac:dyDescent="0.25">
      <c r="A7867" s="15">
        <f>Sheet2!A7867</f>
        <v>0</v>
      </c>
      <c r="B7867" s="8">
        <v>0.79</v>
      </c>
      <c r="C7867" s="9">
        <v>0</v>
      </c>
      <c r="D7867" s="13">
        <f t="shared" si="122"/>
        <v>0.79</v>
      </c>
    </row>
    <row r="7868" spans="1:4" x14ac:dyDescent="0.25">
      <c r="A7868" s="15">
        <f>Sheet2!A7868</f>
        <v>0</v>
      </c>
      <c r="B7868" s="8">
        <v>0</v>
      </c>
      <c r="C7868" s="9">
        <v>0.59</v>
      </c>
      <c r="D7868" s="13">
        <f t="shared" si="122"/>
        <v>0.59</v>
      </c>
    </row>
    <row r="7869" spans="1:4" x14ac:dyDescent="0.25">
      <c r="A7869" s="15">
        <f>Sheet2!A7869</f>
        <v>0</v>
      </c>
      <c r="B7869" s="8">
        <v>0</v>
      </c>
      <c r="C7869" s="9">
        <v>0.71</v>
      </c>
      <c r="D7869" s="13">
        <f t="shared" si="122"/>
        <v>0.71</v>
      </c>
    </row>
    <row r="7870" spans="1:4" x14ac:dyDescent="0.25">
      <c r="A7870" s="15">
        <f>Sheet2!A7870</f>
        <v>0</v>
      </c>
      <c r="B7870" s="8">
        <v>0.94</v>
      </c>
      <c r="C7870" s="9">
        <v>0</v>
      </c>
      <c r="D7870" s="13">
        <f t="shared" si="122"/>
        <v>0.94</v>
      </c>
    </row>
    <row r="7871" spans="1:4" x14ac:dyDescent="0.25">
      <c r="A7871" s="15">
        <f>Sheet2!A7871</f>
        <v>0</v>
      </c>
      <c r="B7871" s="8">
        <v>1.36</v>
      </c>
      <c r="C7871" s="9">
        <v>0</v>
      </c>
      <c r="D7871" s="13">
        <f t="shared" si="122"/>
        <v>1.36</v>
      </c>
    </row>
    <row r="7872" spans="1:4" x14ac:dyDescent="0.25">
      <c r="A7872" s="15">
        <f>Sheet2!A7872</f>
        <v>0</v>
      </c>
      <c r="B7872" s="8">
        <v>0.79</v>
      </c>
      <c r="C7872" s="9">
        <v>0</v>
      </c>
      <c r="D7872" s="13">
        <f t="shared" si="122"/>
        <v>0.79</v>
      </c>
    </row>
    <row r="7873" spans="1:4" x14ac:dyDescent="0.25">
      <c r="A7873" s="15">
        <f>Sheet2!A7873</f>
        <v>0</v>
      </c>
      <c r="B7873" s="8">
        <v>0.66</v>
      </c>
      <c r="C7873" s="9">
        <v>0</v>
      </c>
      <c r="D7873" s="13">
        <f t="shared" si="122"/>
        <v>0.66</v>
      </c>
    </row>
    <row r="7874" spans="1:4" x14ac:dyDescent="0.25">
      <c r="A7874" s="15">
        <f>Sheet2!A7874</f>
        <v>0</v>
      </c>
      <c r="B7874" s="8">
        <v>0.73</v>
      </c>
      <c r="C7874" s="9">
        <v>0</v>
      </c>
      <c r="D7874" s="13">
        <f t="shared" si="122"/>
        <v>0.73</v>
      </c>
    </row>
    <row r="7875" spans="1:4" x14ac:dyDescent="0.25">
      <c r="A7875" s="15">
        <f>Sheet2!A7875</f>
        <v>0</v>
      </c>
      <c r="B7875" s="8">
        <v>0.44</v>
      </c>
      <c r="C7875" s="9">
        <v>0</v>
      </c>
      <c r="D7875" s="13">
        <f t="shared" ref="D7875:D7938" si="123">B7875+C7875</f>
        <v>0.44</v>
      </c>
    </row>
    <row r="7876" spans="1:4" x14ac:dyDescent="0.25">
      <c r="A7876" s="15">
        <f>Sheet2!A7876</f>
        <v>0</v>
      </c>
      <c r="B7876" s="8">
        <v>0.62</v>
      </c>
      <c r="C7876" s="9">
        <v>0</v>
      </c>
      <c r="D7876" s="13">
        <f t="shared" si="123"/>
        <v>0.62</v>
      </c>
    </row>
    <row r="7877" spans="1:4" x14ac:dyDescent="0.25">
      <c r="A7877" s="15">
        <f>Sheet2!A7877</f>
        <v>0</v>
      </c>
      <c r="B7877" s="8">
        <v>0.37</v>
      </c>
      <c r="C7877" s="9">
        <v>0</v>
      </c>
      <c r="D7877" s="13">
        <f t="shared" si="123"/>
        <v>0.37</v>
      </c>
    </row>
    <row r="7878" spans="1:4" x14ac:dyDescent="0.25">
      <c r="A7878" s="15">
        <f>Sheet2!A7878</f>
        <v>0</v>
      </c>
      <c r="B7878" s="8">
        <v>0.41</v>
      </c>
      <c r="C7878" s="9">
        <v>0</v>
      </c>
      <c r="D7878" s="13">
        <f t="shared" si="123"/>
        <v>0.41</v>
      </c>
    </row>
    <row r="7879" spans="1:4" x14ac:dyDescent="0.25">
      <c r="A7879" s="15">
        <f>Sheet2!A7879</f>
        <v>0</v>
      </c>
      <c r="B7879" s="8">
        <v>1</v>
      </c>
      <c r="C7879" s="9">
        <v>0</v>
      </c>
      <c r="D7879" s="13">
        <f t="shared" si="123"/>
        <v>1</v>
      </c>
    </row>
    <row r="7880" spans="1:4" x14ac:dyDescent="0.25">
      <c r="A7880" s="15">
        <f>Sheet2!A7880</f>
        <v>0</v>
      </c>
      <c r="B7880" s="8">
        <v>0.35</v>
      </c>
      <c r="C7880" s="9">
        <v>0</v>
      </c>
      <c r="D7880" s="13">
        <f t="shared" si="123"/>
        <v>0.35</v>
      </c>
    </row>
    <row r="7881" spans="1:4" x14ac:dyDescent="0.25">
      <c r="A7881" s="15">
        <f>Sheet2!A7881</f>
        <v>0</v>
      </c>
      <c r="B7881" s="8">
        <v>0.59</v>
      </c>
      <c r="C7881" s="9">
        <v>0</v>
      </c>
      <c r="D7881" s="13">
        <f t="shared" si="123"/>
        <v>0.59</v>
      </c>
    </row>
    <row r="7882" spans="1:4" x14ac:dyDescent="0.25">
      <c r="A7882" s="15">
        <f>Sheet2!A7882</f>
        <v>0</v>
      </c>
      <c r="B7882" s="8">
        <v>0</v>
      </c>
      <c r="C7882" s="9">
        <v>0.49</v>
      </c>
      <c r="D7882" s="13">
        <f t="shared" si="123"/>
        <v>0.49</v>
      </c>
    </row>
    <row r="7883" spans="1:4" x14ac:dyDescent="0.25">
      <c r="A7883" s="15">
        <f>Sheet2!A7883</f>
        <v>0</v>
      </c>
      <c r="B7883" s="8">
        <v>0</v>
      </c>
      <c r="C7883" s="9">
        <v>0.69</v>
      </c>
      <c r="D7883" s="13">
        <f t="shared" si="123"/>
        <v>0.69</v>
      </c>
    </row>
    <row r="7884" spans="1:4" x14ac:dyDescent="0.25">
      <c r="A7884" s="15">
        <f>Sheet2!A7884</f>
        <v>0</v>
      </c>
      <c r="B7884" s="8">
        <v>0</v>
      </c>
      <c r="C7884" s="9">
        <v>0.27</v>
      </c>
      <c r="D7884" s="13">
        <f t="shared" si="123"/>
        <v>0.27</v>
      </c>
    </row>
    <row r="7885" spans="1:4" x14ac:dyDescent="0.25">
      <c r="A7885" s="15">
        <f>Sheet2!A7885</f>
        <v>0</v>
      </c>
      <c r="B7885" s="8">
        <v>0</v>
      </c>
      <c r="C7885" s="9">
        <v>0.42</v>
      </c>
      <c r="D7885" s="13">
        <f t="shared" si="123"/>
        <v>0.42</v>
      </c>
    </row>
    <row r="7886" spans="1:4" x14ac:dyDescent="0.25">
      <c r="A7886" s="15">
        <f>Sheet2!A7886</f>
        <v>0</v>
      </c>
      <c r="B7886" s="8">
        <v>0</v>
      </c>
      <c r="C7886" s="9">
        <v>0.86</v>
      </c>
      <c r="D7886" s="13">
        <f t="shared" si="123"/>
        <v>0.86</v>
      </c>
    </row>
    <row r="7887" spans="1:4" x14ac:dyDescent="0.25">
      <c r="A7887" s="15">
        <f>Sheet2!A7887</f>
        <v>0</v>
      </c>
      <c r="B7887" s="8">
        <v>0</v>
      </c>
      <c r="C7887" s="9">
        <v>0.69</v>
      </c>
      <c r="D7887" s="13">
        <f t="shared" si="123"/>
        <v>0.69</v>
      </c>
    </row>
    <row r="7888" spans="1:4" x14ac:dyDescent="0.25">
      <c r="A7888" s="15">
        <f>Sheet2!A7888</f>
        <v>0</v>
      </c>
      <c r="B7888" s="8">
        <v>0</v>
      </c>
      <c r="C7888" s="9">
        <v>0.54</v>
      </c>
      <c r="D7888" s="13">
        <f t="shared" si="123"/>
        <v>0.54</v>
      </c>
    </row>
    <row r="7889" spans="1:4" x14ac:dyDescent="0.25">
      <c r="A7889" s="15">
        <f>Sheet2!A7889</f>
        <v>0</v>
      </c>
      <c r="B7889" s="8">
        <v>1.07</v>
      </c>
      <c r="C7889" s="9">
        <v>0</v>
      </c>
      <c r="D7889" s="13">
        <f t="shared" si="123"/>
        <v>1.07</v>
      </c>
    </row>
    <row r="7890" spans="1:4" x14ac:dyDescent="0.25">
      <c r="A7890" s="15">
        <f>Sheet2!A7890</f>
        <v>0</v>
      </c>
      <c r="B7890" s="8">
        <v>0</v>
      </c>
      <c r="C7890" s="9">
        <v>0.44</v>
      </c>
      <c r="D7890" s="13">
        <f t="shared" si="123"/>
        <v>0.44</v>
      </c>
    </row>
    <row r="7891" spans="1:4" x14ac:dyDescent="0.25">
      <c r="A7891" s="15">
        <f>Sheet2!A7891</f>
        <v>0</v>
      </c>
      <c r="B7891" s="8">
        <v>0</v>
      </c>
      <c r="C7891" s="9">
        <v>0.85</v>
      </c>
      <c r="D7891" s="13">
        <f t="shared" si="123"/>
        <v>0.85</v>
      </c>
    </row>
    <row r="7892" spans="1:4" x14ac:dyDescent="0.25">
      <c r="A7892" s="15">
        <f>Sheet2!A7892</f>
        <v>0</v>
      </c>
      <c r="B7892" s="8">
        <v>0</v>
      </c>
      <c r="C7892" s="9">
        <v>0.8</v>
      </c>
      <c r="D7892" s="13">
        <f t="shared" si="123"/>
        <v>0.8</v>
      </c>
    </row>
    <row r="7893" spans="1:4" x14ac:dyDescent="0.25">
      <c r="A7893" s="15">
        <f>Sheet2!A7893</f>
        <v>0</v>
      </c>
      <c r="B7893" s="8">
        <v>0</v>
      </c>
      <c r="C7893" s="9">
        <v>0.97</v>
      </c>
      <c r="D7893" s="13">
        <f t="shared" si="123"/>
        <v>0.97</v>
      </c>
    </row>
    <row r="7894" spans="1:4" x14ac:dyDescent="0.25">
      <c r="A7894" s="15">
        <f>Sheet2!A7894</f>
        <v>0</v>
      </c>
      <c r="B7894" s="8">
        <v>0</v>
      </c>
      <c r="C7894" s="9">
        <v>0.22</v>
      </c>
      <c r="D7894" s="13">
        <f t="shared" si="123"/>
        <v>0.22</v>
      </c>
    </row>
    <row r="7895" spans="1:4" x14ac:dyDescent="0.25">
      <c r="A7895" s="15">
        <f>Sheet2!A7895</f>
        <v>0</v>
      </c>
      <c r="B7895" s="8">
        <v>1</v>
      </c>
      <c r="C7895" s="9">
        <v>0</v>
      </c>
      <c r="D7895" s="13">
        <f t="shared" si="123"/>
        <v>1</v>
      </c>
    </row>
    <row r="7896" spans="1:4" x14ac:dyDescent="0.25">
      <c r="A7896" s="15">
        <f>Sheet2!A7896</f>
        <v>0</v>
      </c>
      <c r="B7896" s="8">
        <v>0.51</v>
      </c>
      <c r="C7896" s="9">
        <v>0</v>
      </c>
      <c r="D7896" s="13">
        <f t="shared" si="123"/>
        <v>0.51</v>
      </c>
    </row>
    <row r="7897" spans="1:4" x14ac:dyDescent="0.25">
      <c r="A7897" s="15">
        <f>Sheet2!A7897</f>
        <v>0</v>
      </c>
      <c r="B7897" s="8">
        <v>0.63</v>
      </c>
      <c r="C7897" s="9">
        <v>0</v>
      </c>
      <c r="D7897" s="13">
        <f t="shared" si="123"/>
        <v>0.63</v>
      </c>
    </row>
    <row r="7898" spans="1:4" x14ac:dyDescent="0.25">
      <c r="A7898" s="15">
        <f>Sheet2!A7898</f>
        <v>0</v>
      </c>
      <c r="B7898" s="8">
        <v>0.42</v>
      </c>
      <c r="C7898" s="9">
        <v>0</v>
      </c>
      <c r="D7898" s="13">
        <f t="shared" si="123"/>
        <v>0.42</v>
      </c>
    </row>
    <row r="7899" spans="1:4" x14ac:dyDescent="0.25">
      <c r="A7899" s="15">
        <f>Sheet2!A7899</f>
        <v>0</v>
      </c>
      <c r="B7899" s="8">
        <v>0.8</v>
      </c>
      <c r="C7899" s="9">
        <v>0</v>
      </c>
      <c r="D7899" s="13">
        <f t="shared" si="123"/>
        <v>0.8</v>
      </c>
    </row>
    <row r="7900" spans="1:4" x14ac:dyDescent="0.25">
      <c r="A7900" s="15">
        <f>Sheet2!A7900</f>
        <v>0</v>
      </c>
      <c r="B7900" s="8">
        <v>0.28999999999999998</v>
      </c>
      <c r="C7900" s="9">
        <v>0</v>
      </c>
      <c r="D7900" s="13">
        <f t="shared" si="123"/>
        <v>0.28999999999999998</v>
      </c>
    </row>
    <row r="7901" spans="1:4" x14ac:dyDescent="0.25">
      <c r="A7901" s="15">
        <f>Sheet2!A7901</f>
        <v>0</v>
      </c>
      <c r="B7901" s="8">
        <v>0.93</v>
      </c>
      <c r="C7901" s="9">
        <v>0</v>
      </c>
      <c r="D7901" s="13">
        <f t="shared" si="123"/>
        <v>0.93</v>
      </c>
    </row>
    <row r="7902" spans="1:4" x14ac:dyDescent="0.25">
      <c r="A7902" s="15">
        <f>Sheet2!A7902</f>
        <v>0</v>
      </c>
      <c r="B7902" s="8">
        <v>0.3</v>
      </c>
      <c r="C7902" s="9">
        <v>0</v>
      </c>
      <c r="D7902" s="13">
        <f t="shared" si="123"/>
        <v>0.3</v>
      </c>
    </row>
    <row r="7903" spans="1:4" x14ac:dyDescent="0.25">
      <c r="A7903" s="15">
        <f>Sheet2!A7903</f>
        <v>0</v>
      </c>
      <c r="B7903" s="8">
        <v>0</v>
      </c>
      <c r="C7903" s="9">
        <v>0.28000000000000003</v>
      </c>
      <c r="D7903" s="13">
        <f t="shared" si="123"/>
        <v>0.28000000000000003</v>
      </c>
    </row>
    <row r="7904" spans="1:4" x14ac:dyDescent="0.25">
      <c r="A7904" s="15">
        <f>Sheet2!A7904</f>
        <v>0</v>
      </c>
      <c r="B7904" s="8">
        <v>0.42</v>
      </c>
      <c r="C7904" s="9">
        <v>0</v>
      </c>
      <c r="D7904" s="13">
        <f t="shared" si="123"/>
        <v>0.42</v>
      </c>
    </row>
    <row r="7905" spans="1:4" x14ac:dyDescent="0.25">
      <c r="A7905" s="15">
        <f>Sheet2!A7905</f>
        <v>0</v>
      </c>
      <c r="B7905" s="8">
        <v>0.31</v>
      </c>
      <c r="C7905" s="9">
        <v>0</v>
      </c>
      <c r="D7905" s="13">
        <f t="shared" si="123"/>
        <v>0.31</v>
      </c>
    </row>
    <row r="7906" spans="1:4" x14ac:dyDescent="0.25">
      <c r="A7906" s="15">
        <f>Sheet2!A7906</f>
        <v>0</v>
      </c>
      <c r="B7906" s="8">
        <v>0.3</v>
      </c>
      <c r="C7906" s="9">
        <v>0</v>
      </c>
      <c r="D7906" s="13">
        <f t="shared" si="123"/>
        <v>0.3</v>
      </c>
    </row>
    <row r="7907" spans="1:4" x14ac:dyDescent="0.25">
      <c r="A7907" s="15">
        <f>Sheet2!A7907</f>
        <v>0</v>
      </c>
      <c r="B7907" s="8">
        <v>0.59</v>
      </c>
      <c r="C7907" s="9">
        <v>0</v>
      </c>
      <c r="D7907" s="13">
        <f t="shared" si="123"/>
        <v>0.59</v>
      </c>
    </row>
    <row r="7908" spans="1:4" x14ac:dyDescent="0.25">
      <c r="A7908" s="15">
        <f>Sheet2!A7908</f>
        <v>0</v>
      </c>
      <c r="B7908" s="8">
        <v>0</v>
      </c>
      <c r="C7908" s="9">
        <v>0.2</v>
      </c>
      <c r="D7908" s="13">
        <f t="shared" si="123"/>
        <v>0.2</v>
      </c>
    </row>
    <row r="7909" spans="1:4" x14ac:dyDescent="0.25">
      <c r="A7909" s="15">
        <f>Sheet2!A7909</f>
        <v>0</v>
      </c>
      <c r="B7909" s="8">
        <v>0</v>
      </c>
      <c r="C7909" s="9">
        <v>0.62</v>
      </c>
      <c r="D7909" s="13">
        <f t="shared" si="123"/>
        <v>0.62</v>
      </c>
    </row>
    <row r="7910" spans="1:4" x14ac:dyDescent="0.25">
      <c r="A7910" s="15">
        <f>Sheet2!A7910</f>
        <v>0</v>
      </c>
      <c r="B7910" s="8">
        <v>0</v>
      </c>
      <c r="C7910" s="9">
        <v>0.23</v>
      </c>
      <c r="D7910" s="13">
        <f t="shared" si="123"/>
        <v>0.23</v>
      </c>
    </row>
    <row r="7911" spans="1:4" x14ac:dyDescent="0.25">
      <c r="A7911" s="15">
        <f>Sheet2!A7911</f>
        <v>0</v>
      </c>
      <c r="B7911" s="8">
        <v>0.63</v>
      </c>
      <c r="C7911" s="9">
        <v>0</v>
      </c>
      <c r="D7911" s="13">
        <f t="shared" si="123"/>
        <v>0.63</v>
      </c>
    </row>
    <row r="7912" spans="1:4" x14ac:dyDescent="0.25">
      <c r="A7912" s="15">
        <f>Sheet2!A7912</f>
        <v>0</v>
      </c>
      <c r="B7912" s="8">
        <v>0</v>
      </c>
      <c r="C7912" s="9">
        <v>0.66</v>
      </c>
      <c r="D7912" s="13">
        <f t="shared" si="123"/>
        <v>0.66</v>
      </c>
    </row>
    <row r="7913" spans="1:4" x14ac:dyDescent="0.25">
      <c r="A7913" s="15">
        <f>Sheet2!A7913</f>
        <v>0</v>
      </c>
      <c r="B7913" s="8">
        <v>0</v>
      </c>
      <c r="C7913" s="9">
        <v>0.92</v>
      </c>
      <c r="D7913" s="13">
        <f t="shared" si="123"/>
        <v>0.92</v>
      </c>
    </row>
    <row r="7914" spans="1:4" x14ac:dyDescent="0.25">
      <c r="A7914" s="15">
        <f>Sheet2!A7914</f>
        <v>0</v>
      </c>
      <c r="B7914" s="8">
        <v>0</v>
      </c>
      <c r="C7914" s="9">
        <v>0.37</v>
      </c>
      <c r="D7914" s="13">
        <f t="shared" si="123"/>
        <v>0.37</v>
      </c>
    </row>
    <row r="7915" spans="1:4" x14ac:dyDescent="0.25">
      <c r="A7915" s="15">
        <f>Sheet2!A7915</f>
        <v>0</v>
      </c>
      <c r="B7915" s="8">
        <v>0.93</v>
      </c>
      <c r="C7915" s="9">
        <v>0</v>
      </c>
      <c r="D7915" s="13">
        <f t="shared" si="123"/>
        <v>0.93</v>
      </c>
    </row>
    <row r="7916" spans="1:4" x14ac:dyDescent="0.25">
      <c r="A7916" s="15">
        <f>Sheet2!A7916</f>
        <v>0</v>
      </c>
      <c r="B7916" s="8">
        <v>0</v>
      </c>
      <c r="C7916" s="9">
        <v>0.57999999999999996</v>
      </c>
      <c r="D7916" s="13">
        <f t="shared" si="123"/>
        <v>0.57999999999999996</v>
      </c>
    </row>
    <row r="7917" spans="1:4" x14ac:dyDescent="0.25">
      <c r="A7917" s="15">
        <f>Sheet2!A7917</f>
        <v>0</v>
      </c>
      <c r="B7917" s="8">
        <v>0</v>
      </c>
      <c r="C7917" s="9">
        <v>0.89</v>
      </c>
      <c r="D7917" s="13">
        <f t="shared" si="123"/>
        <v>0.89</v>
      </c>
    </row>
    <row r="7918" spans="1:4" x14ac:dyDescent="0.25">
      <c r="A7918" s="15">
        <f>Sheet2!A7918</f>
        <v>0</v>
      </c>
      <c r="B7918" s="8">
        <v>0</v>
      </c>
      <c r="C7918" s="9">
        <v>0.28999999999999998</v>
      </c>
      <c r="D7918" s="13">
        <f t="shared" si="123"/>
        <v>0.28999999999999998</v>
      </c>
    </row>
    <row r="7919" spans="1:4" x14ac:dyDescent="0.25">
      <c r="A7919" s="15">
        <f>Sheet2!A7919</f>
        <v>0</v>
      </c>
      <c r="B7919" s="8">
        <v>0.79</v>
      </c>
      <c r="C7919" s="9">
        <v>0</v>
      </c>
      <c r="D7919" s="13">
        <f t="shared" si="123"/>
        <v>0.79</v>
      </c>
    </row>
    <row r="7920" spans="1:4" x14ac:dyDescent="0.25">
      <c r="A7920" s="15">
        <f>Sheet2!A7920</f>
        <v>0</v>
      </c>
      <c r="B7920" s="8">
        <v>0</v>
      </c>
      <c r="C7920" s="9">
        <v>0.31</v>
      </c>
      <c r="D7920" s="13">
        <f t="shared" si="123"/>
        <v>0.31</v>
      </c>
    </row>
    <row r="7921" spans="1:4" x14ac:dyDescent="0.25">
      <c r="A7921" s="15">
        <f>Sheet2!A7921</f>
        <v>0</v>
      </c>
      <c r="B7921" s="8">
        <v>0</v>
      </c>
      <c r="C7921" s="9">
        <v>0.38</v>
      </c>
      <c r="D7921" s="13">
        <f t="shared" si="123"/>
        <v>0.38</v>
      </c>
    </row>
    <row r="7922" spans="1:4" x14ac:dyDescent="0.25">
      <c r="A7922" s="15">
        <f>Sheet2!A7922</f>
        <v>0</v>
      </c>
      <c r="B7922" s="8">
        <v>0.3</v>
      </c>
      <c r="C7922" s="9">
        <v>0</v>
      </c>
      <c r="D7922" s="13">
        <f t="shared" si="123"/>
        <v>0.3</v>
      </c>
    </row>
    <row r="7923" spans="1:4" x14ac:dyDescent="0.25">
      <c r="A7923" s="15">
        <f>Sheet2!A7923</f>
        <v>0</v>
      </c>
      <c r="B7923" s="8">
        <v>0.6</v>
      </c>
      <c r="C7923" s="9">
        <v>0</v>
      </c>
      <c r="D7923" s="13">
        <f t="shared" si="123"/>
        <v>0.6</v>
      </c>
    </row>
    <row r="7924" spans="1:4" x14ac:dyDescent="0.25">
      <c r="A7924" s="15">
        <f>Sheet2!A7924</f>
        <v>0</v>
      </c>
      <c r="B7924" s="8">
        <v>0.15</v>
      </c>
      <c r="C7924" s="9">
        <v>0</v>
      </c>
      <c r="D7924" s="13">
        <f t="shared" si="123"/>
        <v>0.15</v>
      </c>
    </row>
    <row r="7925" spans="1:4" x14ac:dyDescent="0.25">
      <c r="A7925" s="15">
        <f>Sheet2!A7925</f>
        <v>0</v>
      </c>
      <c r="B7925" s="8">
        <v>0</v>
      </c>
      <c r="C7925" s="9">
        <v>0.36</v>
      </c>
      <c r="D7925" s="13">
        <f t="shared" si="123"/>
        <v>0.36</v>
      </c>
    </row>
    <row r="7926" spans="1:4" x14ac:dyDescent="0.25">
      <c r="A7926" s="15">
        <f>Sheet2!A7926</f>
        <v>0</v>
      </c>
      <c r="B7926" s="8">
        <v>0.47</v>
      </c>
      <c r="C7926" s="9">
        <v>0</v>
      </c>
      <c r="D7926" s="13">
        <f t="shared" si="123"/>
        <v>0.47</v>
      </c>
    </row>
    <row r="7927" spans="1:4" x14ac:dyDescent="0.25">
      <c r="A7927" s="15">
        <f>Sheet2!A7927</f>
        <v>0</v>
      </c>
      <c r="B7927" s="8">
        <v>0.35</v>
      </c>
      <c r="C7927" s="9">
        <v>0</v>
      </c>
      <c r="D7927" s="13">
        <f t="shared" si="123"/>
        <v>0.35</v>
      </c>
    </row>
    <row r="7928" spans="1:4" x14ac:dyDescent="0.25">
      <c r="A7928" s="15">
        <f>Sheet2!A7928</f>
        <v>0</v>
      </c>
      <c r="B7928" s="8">
        <v>0</v>
      </c>
      <c r="C7928" s="9">
        <v>0.21</v>
      </c>
      <c r="D7928" s="13">
        <f t="shared" si="123"/>
        <v>0.21</v>
      </c>
    </row>
    <row r="7929" spans="1:4" x14ac:dyDescent="0.25">
      <c r="A7929" s="15">
        <f>Sheet2!A7929</f>
        <v>0</v>
      </c>
      <c r="B7929" s="8">
        <v>0</v>
      </c>
      <c r="C7929" s="9">
        <v>0.44</v>
      </c>
      <c r="D7929" s="13">
        <f t="shared" si="123"/>
        <v>0.44</v>
      </c>
    </row>
    <row r="7930" spans="1:4" x14ac:dyDescent="0.25">
      <c r="A7930" s="15">
        <f>Sheet2!A7930</f>
        <v>0</v>
      </c>
      <c r="B7930" s="8">
        <v>0.46</v>
      </c>
      <c r="C7930" s="9">
        <v>0</v>
      </c>
      <c r="D7930" s="13">
        <f t="shared" si="123"/>
        <v>0.46</v>
      </c>
    </row>
    <row r="7931" spans="1:4" x14ac:dyDescent="0.25">
      <c r="A7931" s="15">
        <f>Sheet2!A7931</f>
        <v>0</v>
      </c>
      <c r="B7931" s="8">
        <v>0.4</v>
      </c>
      <c r="C7931" s="9">
        <v>0</v>
      </c>
      <c r="D7931" s="13">
        <f t="shared" si="123"/>
        <v>0.4</v>
      </c>
    </row>
    <row r="7932" spans="1:4" x14ac:dyDescent="0.25">
      <c r="A7932" s="15">
        <f>Sheet2!A7932</f>
        <v>0</v>
      </c>
      <c r="B7932" s="8">
        <v>0</v>
      </c>
      <c r="C7932" s="9">
        <v>0.23</v>
      </c>
      <c r="D7932" s="13">
        <f t="shared" si="123"/>
        <v>0.23</v>
      </c>
    </row>
    <row r="7933" spans="1:4" x14ac:dyDescent="0.25">
      <c r="A7933" s="15">
        <f>Sheet2!A7933</f>
        <v>0</v>
      </c>
      <c r="B7933" s="8">
        <v>0</v>
      </c>
      <c r="C7933" s="9">
        <v>0.44</v>
      </c>
      <c r="D7933" s="13">
        <f t="shared" si="123"/>
        <v>0.44</v>
      </c>
    </row>
    <row r="7934" spans="1:4" x14ac:dyDescent="0.25">
      <c r="A7934" s="15">
        <f>Sheet2!A7934</f>
        <v>0</v>
      </c>
      <c r="B7934" s="8">
        <v>0</v>
      </c>
      <c r="C7934" s="9">
        <v>0.63</v>
      </c>
      <c r="D7934" s="13">
        <f t="shared" si="123"/>
        <v>0.63</v>
      </c>
    </row>
    <row r="7935" spans="1:4" x14ac:dyDescent="0.25">
      <c r="A7935" s="15">
        <f>Sheet2!A7935</f>
        <v>0</v>
      </c>
      <c r="B7935" s="8">
        <v>0</v>
      </c>
      <c r="C7935" s="9">
        <v>0.84</v>
      </c>
      <c r="D7935" s="13">
        <f t="shared" si="123"/>
        <v>0.84</v>
      </c>
    </row>
    <row r="7936" spans="1:4" x14ac:dyDescent="0.25">
      <c r="A7936" s="15">
        <f>Sheet2!A7936</f>
        <v>0</v>
      </c>
      <c r="B7936" s="8">
        <v>0</v>
      </c>
      <c r="C7936" s="9">
        <v>0.49</v>
      </c>
      <c r="D7936" s="13">
        <f t="shared" si="123"/>
        <v>0.49</v>
      </c>
    </row>
    <row r="7937" spans="1:4" x14ac:dyDescent="0.25">
      <c r="A7937" s="15">
        <f>Sheet2!A7937</f>
        <v>0</v>
      </c>
      <c r="B7937" s="8">
        <v>1.89</v>
      </c>
      <c r="C7937" s="9">
        <v>0</v>
      </c>
      <c r="D7937" s="13">
        <f t="shared" si="123"/>
        <v>1.89</v>
      </c>
    </row>
    <row r="7938" spans="1:4" x14ac:dyDescent="0.25">
      <c r="A7938" s="15">
        <f>Sheet2!A7938</f>
        <v>0</v>
      </c>
      <c r="B7938" s="8">
        <v>0</v>
      </c>
      <c r="C7938" s="9">
        <v>0.74</v>
      </c>
      <c r="D7938" s="13">
        <f t="shared" si="123"/>
        <v>0.74</v>
      </c>
    </row>
    <row r="7939" spans="1:4" x14ac:dyDescent="0.25">
      <c r="A7939" s="15">
        <f>Sheet2!A7939</f>
        <v>0</v>
      </c>
      <c r="B7939" s="8">
        <v>0</v>
      </c>
      <c r="C7939" s="9">
        <v>0.71</v>
      </c>
      <c r="D7939" s="13">
        <f t="shared" ref="D7939:D8002" si="124">B7939+C7939</f>
        <v>0.71</v>
      </c>
    </row>
    <row r="7940" spans="1:4" x14ac:dyDescent="0.25">
      <c r="A7940" s="15">
        <f>Sheet2!A7940</f>
        <v>0</v>
      </c>
      <c r="B7940" s="8">
        <v>0</v>
      </c>
      <c r="C7940" s="9">
        <v>0.69</v>
      </c>
      <c r="D7940" s="13">
        <f t="shared" si="124"/>
        <v>0.69</v>
      </c>
    </row>
    <row r="7941" spans="1:4" x14ac:dyDescent="0.25">
      <c r="A7941" s="15">
        <f>Sheet2!A7941</f>
        <v>0</v>
      </c>
      <c r="B7941" s="8">
        <v>0</v>
      </c>
      <c r="C7941" s="9">
        <v>0.4</v>
      </c>
      <c r="D7941" s="13">
        <f t="shared" si="124"/>
        <v>0.4</v>
      </c>
    </row>
    <row r="7942" spans="1:4" x14ac:dyDescent="0.25">
      <c r="A7942" s="15">
        <f>Sheet2!A7942</f>
        <v>0</v>
      </c>
      <c r="B7942" s="8">
        <v>0.68</v>
      </c>
      <c r="C7942" s="9">
        <v>0</v>
      </c>
      <c r="D7942" s="13">
        <f t="shared" si="124"/>
        <v>0.68</v>
      </c>
    </row>
    <row r="7943" spans="1:4" x14ac:dyDescent="0.25">
      <c r="A7943" s="15">
        <f>Sheet2!A7943</f>
        <v>0</v>
      </c>
      <c r="B7943" s="8">
        <v>0.92</v>
      </c>
      <c r="C7943" s="9">
        <v>0</v>
      </c>
      <c r="D7943" s="13">
        <f t="shared" si="124"/>
        <v>0.92</v>
      </c>
    </row>
    <row r="7944" spans="1:4" x14ac:dyDescent="0.25">
      <c r="A7944" s="15">
        <f>Sheet2!A7944</f>
        <v>0</v>
      </c>
      <c r="B7944" s="8">
        <v>0.77</v>
      </c>
      <c r="C7944" s="9">
        <v>0</v>
      </c>
      <c r="D7944" s="13">
        <f t="shared" si="124"/>
        <v>0.77</v>
      </c>
    </row>
    <row r="7945" spans="1:4" x14ac:dyDescent="0.25">
      <c r="A7945" s="15">
        <f>Sheet2!A7945</f>
        <v>0</v>
      </c>
      <c r="B7945" s="8">
        <v>0.51</v>
      </c>
      <c r="C7945" s="9">
        <v>0</v>
      </c>
      <c r="D7945" s="13">
        <f t="shared" si="124"/>
        <v>0.51</v>
      </c>
    </row>
    <row r="7946" spans="1:4" x14ac:dyDescent="0.25">
      <c r="A7946" s="15">
        <f>Sheet2!A7946</f>
        <v>0</v>
      </c>
      <c r="B7946" s="8">
        <v>0.67</v>
      </c>
      <c r="C7946" s="9">
        <v>0</v>
      </c>
      <c r="D7946" s="13">
        <f t="shared" si="124"/>
        <v>0.67</v>
      </c>
    </row>
    <row r="7947" spans="1:4" x14ac:dyDescent="0.25">
      <c r="A7947" s="15">
        <f>Sheet2!A7947</f>
        <v>0</v>
      </c>
      <c r="B7947" s="8">
        <v>0.42</v>
      </c>
      <c r="C7947" s="9">
        <v>0</v>
      </c>
      <c r="D7947" s="13">
        <f t="shared" si="124"/>
        <v>0.42</v>
      </c>
    </row>
    <row r="7948" spans="1:4" x14ac:dyDescent="0.25">
      <c r="A7948" s="15">
        <f>Sheet2!A7948</f>
        <v>0</v>
      </c>
      <c r="B7948" s="8">
        <v>0.66</v>
      </c>
      <c r="C7948" s="9">
        <v>0</v>
      </c>
      <c r="D7948" s="13">
        <f t="shared" si="124"/>
        <v>0.66</v>
      </c>
    </row>
    <row r="7949" spans="1:4" x14ac:dyDescent="0.25">
      <c r="A7949" s="15">
        <f>Sheet2!A7949</f>
        <v>0</v>
      </c>
      <c r="B7949" s="8">
        <v>0.48</v>
      </c>
      <c r="C7949" s="9">
        <v>0</v>
      </c>
      <c r="D7949" s="13">
        <f t="shared" si="124"/>
        <v>0.48</v>
      </c>
    </row>
    <row r="7950" spans="1:4" x14ac:dyDescent="0.25">
      <c r="A7950" s="15">
        <f>Sheet2!A7950</f>
        <v>0</v>
      </c>
      <c r="B7950" s="8">
        <v>0.21</v>
      </c>
      <c r="C7950" s="9">
        <v>0</v>
      </c>
      <c r="D7950" s="13">
        <f t="shared" si="124"/>
        <v>0.21</v>
      </c>
    </row>
    <row r="7951" spans="1:4" x14ac:dyDescent="0.25">
      <c r="A7951" s="15">
        <f>Sheet2!A7951</f>
        <v>0</v>
      </c>
      <c r="B7951" s="8">
        <v>0</v>
      </c>
      <c r="C7951" s="9">
        <v>0.32</v>
      </c>
      <c r="D7951" s="13">
        <f t="shared" si="124"/>
        <v>0.32</v>
      </c>
    </row>
    <row r="7952" spans="1:4" x14ac:dyDescent="0.25">
      <c r="A7952" s="15">
        <f>Sheet2!A7952</f>
        <v>0</v>
      </c>
      <c r="B7952" s="8">
        <v>0.66</v>
      </c>
      <c r="C7952" s="9">
        <v>0</v>
      </c>
      <c r="D7952" s="13">
        <f t="shared" si="124"/>
        <v>0.66</v>
      </c>
    </row>
    <row r="7953" spans="1:4" x14ac:dyDescent="0.25">
      <c r="A7953" s="15">
        <f>Sheet2!A7953</f>
        <v>0</v>
      </c>
      <c r="B7953" s="8">
        <v>0.37</v>
      </c>
      <c r="C7953" s="9">
        <v>0</v>
      </c>
      <c r="D7953" s="13">
        <f t="shared" si="124"/>
        <v>0.37</v>
      </c>
    </row>
    <row r="7954" spans="1:4" x14ac:dyDescent="0.25">
      <c r="A7954" s="15">
        <f>Sheet2!A7954</f>
        <v>0</v>
      </c>
      <c r="B7954" s="8">
        <v>0.17</v>
      </c>
      <c r="C7954" s="9">
        <v>0</v>
      </c>
      <c r="D7954" s="13">
        <f t="shared" si="124"/>
        <v>0.17</v>
      </c>
    </row>
    <row r="7955" spans="1:4" x14ac:dyDescent="0.25">
      <c r="A7955" s="15">
        <f>Sheet2!A7955</f>
        <v>0</v>
      </c>
      <c r="B7955" s="8">
        <v>0</v>
      </c>
      <c r="C7955" s="9">
        <v>0.32</v>
      </c>
      <c r="D7955" s="13">
        <f t="shared" si="124"/>
        <v>0.32</v>
      </c>
    </row>
    <row r="7956" spans="1:4" x14ac:dyDescent="0.25">
      <c r="A7956" s="15">
        <f>Sheet2!A7956</f>
        <v>0</v>
      </c>
      <c r="B7956" s="8">
        <v>0.5</v>
      </c>
      <c r="C7956" s="9">
        <v>0</v>
      </c>
      <c r="D7956" s="13">
        <f t="shared" si="124"/>
        <v>0.5</v>
      </c>
    </row>
    <row r="7957" spans="1:4" x14ac:dyDescent="0.25">
      <c r="A7957" s="15">
        <f>Sheet2!A7957</f>
        <v>0</v>
      </c>
      <c r="B7957" s="8">
        <v>0.65</v>
      </c>
      <c r="C7957" s="9">
        <v>0</v>
      </c>
      <c r="D7957" s="13">
        <f t="shared" si="124"/>
        <v>0.65</v>
      </c>
    </row>
    <row r="7958" spans="1:4" x14ac:dyDescent="0.25">
      <c r="A7958" s="15">
        <f>Sheet2!A7958</f>
        <v>0</v>
      </c>
      <c r="B7958" s="8">
        <v>0.12</v>
      </c>
      <c r="C7958" s="9">
        <v>0</v>
      </c>
      <c r="D7958" s="13">
        <f t="shared" si="124"/>
        <v>0.12</v>
      </c>
    </row>
    <row r="7959" spans="1:4" x14ac:dyDescent="0.25">
      <c r="A7959" s="15">
        <f>Sheet2!A7959</f>
        <v>0</v>
      </c>
      <c r="B7959" s="8">
        <v>0.12</v>
      </c>
      <c r="C7959" s="9">
        <v>0</v>
      </c>
      <c r="D7959" s="13">
        <f t="shared" si="124"/>
        <v>0.12</v>
      </c>
    </row>
    <row r="7960" spans="1:4" x14ac:dyDescent="0.25">
      <c r="A7960" s="15">
        <f>Sheet2!A7960</f>
        <v>0</v>
      </c>
      <c r="B7960" s="8">
        <v>0.82</v>
      </c>
      <c r="C7960" s="9">
        <v>0</v>
      </c>
      <c r="D7960" s="13">
        <f t="shared" si="124"/>
        <v>0.82</v>
      </c>
    </row>
    <row r="7961" spans="1:4" x14ac:dyDescent="0.25">
      <c r="A7961" s="15">
        <f>Sheet2!A7961</f>
        <v>0</v>
      </c>
      <c r="B7961" s="8">
        <v>1.27</v>
      </c>
      <c r="C7961" s="9">
        <v>0</v>
      </c>
      <c r="D7961" s="13">
        <f t="shared" si="124"/>
        <v>1.27</v>
      </c>
    </row>
    <row r="7962" spans="1:4" x14ac:dyDescent="0.25">
      <c r="A7962" s="15">
        <f>Sheet2!A7962</f>
        <v>0</v>
      </c>
      <c r="B7962" s="8">
        <v>0</v>
      </c>
      <c r="C7962" s="9">
        <v>0.78</v>
      </c>
      <c r="D7962" s="13">
        <f t="shared" si="124"/>
        <v>0.78</v>
      </c>
    </row>
    <row r="7963" spans="1:4" x14ac:dyDescent="0.25">
      <c r="A7963" s="15">
        <f>Sheet2!A7963</f>
        <v>0</v>
      </c>
      <c r="B7963" s="8">
        <v>0</v>
      </c>
      <c r="C7963" s="9">
        <v>0.79</v>
      </c>
      <c r="D7963" s="13">
        <f t="shared" si="124"/>
        <v>0.79</v>
      </c>
    </row>
    <row r="7964" spans="1:4" x14ac:dyDescent="0.25">
      <c r="A7964" s="15">
        <f>Sheet2!A7964</f>
        <v>0</v>
      </c>
      <c r="B7964" s="8">
        <v>0</v>
      </c>
      <c r="C7964" s="9">
        <v>0.84</v>
      </c>
      <c r="D7964" s="13">
        <f t="shared" si="124"/>
        <v>0.84</v>
      </c>
    </row>
    <row r="7965" spans="1:4" x14ac:dyDescent="0.25">
      <c r="A7965" s="15">
        <f>Sheet2!A7965</f>
        <v>0</v>
      </c>
      <c r="B7965" s="8">
        <v>0</v>
      </c>
      <c r="C7965" s="9">
        <v>0.92</v>
      </c>
      <c r="D7965" s="13">
        <f t="shared" si="124"/>
        <v>0.92</v>
      </c>
    </row>
    <row r="7966" spans="1:4" x14ac:dyDescent="0.25">
      <c r="A7966" s="15">
        <f>Sheet2!A7966</f>
        <v>0</v>
      </c>
      <c r="B7966" s="8">
        <v>1.32</v>
      </c>
      <c r="C7966" s="9">
        <v>0</v>
      </c>
      <c r="D7966" s="13">
        <f t="shared" si="124"/>
        <v>1.32</v>
      </c>
    </row>
    <row r="7967" spans="1:4" x14ac:dyDescent="0.25">
      <c r="A7967" s="15">
        <f>Sheet2!A7967</f>
        <v>0</v>
      </c>
      <c r="B7967" s="8">
        <v>0.95</v>
      </c>
      <c r="C7967" s="9">
        <v>0</v>
      </c>
      <c r="D7967" s="13">
        <f t="shared" si="124"/>
        <v>0.95</v>
      </c>
    </row>
    <row r="7968" spans="1:4" x14ac:dyDescent="0.25">
      <c r="A7968" s="15">
        <f>Sheet2!A7968</f>
        <v>0</v>
      </c>
      <c r="B7968" s="8">
        <v>0.74</v>
      </c>
      <c r="C7968" s="9">
        <v>0</v>
      </c>
      <c r="D7968" s="13">
        <f t="shared" si="124"/>
        <v>0.74</v>
      </c>
    </row>
    <row r="7969" spans="1:4" x14ac:dyDescent="0.25">
      <c r="A7969" s="15">
        <f>Sheet2!A7969</f>
        <v>0</v>
      </c>
      <c r="B7969" s="8">
        <v>1.05</v>
      </c>
      <c r="C7969" s="9">
        <v>0</v>
      </c>
      <c r="D7969" s="13">
        <f t="shared" si="124"/>
        <v>1.05</v>
      </c>
    </row>
    <row r="7970" spans="1:4" x14ac:dyDescent="0.25">
      <c r="A7970" s="15">
        <f>Sheet2!A7970</f>
        <v>0</v>
      </c>
      <c r="B7970" s="8">
        <v>0.41</v>
      </c>
      <c r="C7970" s="9">
        <v>0</v>
      </c>
      <c r="D7970" s="13">
        <f t="shared" si="124"/>
        <v>0.41</v>
      </c>
    </row>
    <row r="7971" spans="1:4" x14ac:dyDescent="0.25">
      <c r="A7971" s="15">
        <f>Sheet2!A7971</f>
        <v>0</v>
      </c>
      <c r="B7971" s="8">
        <v>0.72</v>
      </c>
      <c r="C7971" s="9">
        <v>0</v>
      </c>
      <c r="D7971" s="13">
        <f t="shared" si="124"/>
        <v>0.72</v>
      </c>
    </row>
    <row r="7972" spans="1:4" x14ac:dyDescent="0.25">
      <c r="A7972" s="15">
        <f>Sheet2!A7972</f>
        <v>0</v>
      </c>
      <c r="B7972" s="8">
        <v>0.35</v>
      </c>
      <c r="C7972" s="9">
        <v>0</v>
      </c>
      <c r="D7972" s="13">
        <f t="shared" si="124"/>
        <v>0.35</v>
      </c>
    </row>
    <row r="7973" spans="1:4" x14ac:dyDescent="0.25">
      <c r="A7973" s="15">
        <f>Sheet2!A7973</f>
        <v>0</v>
      </c>
      <c r="B7973" s="8">
        <v>0.18</v>
      </c>
      <c r="C7973" s="9">
        <v>0</v>
      </c>
      <c r="D7973" s="13">
        <f t="shared" si="124"/>
        <v>0.18</v>
      </c>
    </row>
    <row r="7974" spans="1:4" x14ac:dyDescent="0.25">
      <c r="A7974" s="15">
        <f>Sheet2!A7974</f>
        <v>0</v>
      </c>
      <c r="B7974" s="8">
        <v>0.56000000000000005</v>
      </c>
      <c r="C7974" s="9">
        <v>0</v>
      </c>
      <c r="D7974" s="13">
        <f t="shared" si="124"/>
        <v>0.56000000000000005</v>
      </c>
    </row>
    <row r="7975" spans="1:4" x14ac:dyDescent="0.25">
      <c r="A7975" s="15">
        <f>Sheet2!A7975</f>
        <v>0</v>
      </c>
      <c r="B7975" s="8">
        <v>0.16</v>
      </c>
      <c r="C7975" s="9">
        <v>0</v>
      </c>
      <c r="D7975" s="13">
        <f t="shared" si="124"/>
        <v>0.16</v>
      </c>
    </row>
    <row r="7976" spans="1:4" x14ac:dyDescent="0.25">
      <c r="A7976" s="15">
        <f>Sheet2!A7976</f>
        <v>0</v>
      </c>
      <c r="B7976" s="8">
        <v>0</v>
      </c>
      <c r="C7976" s="9">
        <v>0.28000000000000003</v>
      </c>
      <c r="D7976" s="13">
        <f t="shared" si="124"/>
        <v>0.28000000000000003</v>
      </c>
    </row>
    <row r="7977" spans="1:4" x14ac:dyDescent="0.25">
      <c r="A7977" s="15">
        <f>Sheet2!A7977</f>
        <v>0</v>
      </c>
      <c r="B7977" s="8">
        <v>0</v>
      </c>
      <c r="C7977" s="9">
        <v>0.4</v>
      </c>
      <c r="D7977" s="13">
        <f t="shared" si="124"/>
        <v>0.4</v>
      </c>
    </row>
    <row r="7978" spans="1:4" x14ac:dyDescent="0.25">
      <c r="A7978" s="15">
        <f>Sheet2!A7978</f>
        <v>0</v>
      </c>
      <c r="B7978" s="8">
        <v>0.45</v>
      </c>
      <c r="C7978" s="9">
        <v>0</v>
      </c>
      <c r="D7978" s="13">
        <f t="shared" si="124"/>
        <v>0.45</v>
      </c>
    </row>
    <row r="7979" spans="1:4" x14ac:dyDescent="0.25">
      <c r="A7979" s="15">
        <f>Sheet2!A7979</f>
        <v>0</v>
      </c>
      <c r="B7979" s="8">
        <v>0</v>
      </c>
      <c r="C7979" s="9">
        <v>0.23</v>
      </c>
      <c r="D7979" s="13">
        <f t="shared" si="124"/>
        <v>0.23</v>
      </c>
    </row>
    <row r="7980" spans="1:4" x14ac:dyDescent="0.25">
      <c r="A7980" s="15">
        <f>Sheet2!A7980</f>
        <v>0</v>
      </c>
      <c r="B7980" s="8">
        <v>0</v>
      </c>
      <c r="C7980" s="9">
        <v>0.33</v>
      </c>
      <c r="D7980" s="13">
        <f t="shared" si="124"/>
        <v>0.33</v>
      </c>
    </row>
    <row r="7981" spans="1:4" x14ac:dyDescent="0.25">
      <c r="A7981" s="15">
        <f>Sheet2!A7981</f>
        <v>0</v>
      </c>
      <c r="B7981" s="8">
        <v>0</v>
      </c>
      <c r="C7981" s="9">
        <v>0.54</v>
      </c>
      <c r="D7981" s="13">
        <f t="shared" si="124"/>
        <v>0.54</v>
      </c>
    </row>
    <row r="7982" spans="1:4" x14ac:dyDescent="0.25">
      <c r="A7982" s="15">
        <f>Sheet2!A7982</f>
        <v>0</v>
      </c>
      <c r="B7982" s="8">
        <v>0.68</v>
      </c>
      <c r="C7982" s="9">
        <v>0</v>
      </c>
      <c r="D7982" s="13">
        <f t="shared" si="124"/>
        <v>0.68</v>
      </c>
    </row>
    <row r="7983" spans="1:4" x14ac:dyDescent="0.25">
      <c r="A7983" s="15">
        <f>Sheet2!A7983</f>
        <v>0</v>
      </c>
      <c r="B7983" s="8">
        <v>0.65</v>
      </c>
      <c r="C7983" s="9">
        <v>0</v>
      </c>
      <c r="D7983" s="13">
        <f t="shared" si="124"/>
        <v>0.65</v>
      </c>
    </row>
    <row r="7984" spans="1:4" x14ac:dyDescent="0.25">
      <c r="A7984" s="15">
        <f>Sheet2!A7984</f>
        <v>0</v>
      </c>
      <c r="B7984" s="8">
        <v>0</v>
      </c>
      <c r="C7984" s="9">
        <v>0.56999999999999995</v>
      </c>
      <c r="D7984" s="13">
        <f t="shared" si="124"/>
        <v>0.56999999999999995</v>
      </c>
    </row>
    <row r="7985" spans="1:4" x14ac:dyDescent="0.25">
      <c r="A7985" s="15">
        <f>Sheet2!A7985</f>
        <v>0</v>
      </c>
      <c r="B7985" s="8">
        <v>0</v>
      </c>
      <c r="C7985" s="9">
        <v>1.28</v>
      </c>
      <c r="D7985" s="13">
        <f t="shared" si="124"/>
        <v>1.28</v>
      </c>
    </row>
    <row r="7986" spans="1:4" x14ac:dyDescent="0.25">
      <c r="A7986" s="15">
        <f>Sheet2!A7986</f>
        <v>0</v>
      </c>
      <c r="B7986" s="8">
        <v>0</v>
      </c>
      <c r="C7986" s="9">
        <v>1.06</v>
      </c>
      <c r="D7986" s="13">
        <f t="shared" si="124"/>
        <v>1.06</v>
      </c>
    </row>
    <row r="7987" spans="1:4" x14ac:dyDescent="0.25">
      <c r="A7987" s="15">
        <f>Sheet2!A7987</f>
        <v>0</v>
      </c>
      <c r="B7987" s="8">
        <v>0</v>
      </c>
      <c r="C7987" s="9">
        <v>1.03</v>
      </c>
      <c r="D7987" s="13">
        <f t="shared" si="124"/>
        <v>1.03</v>
      </c>
    </row>
    <row r="7988" spans="1:4" x14ac:dyDescent="0.25">
      <c r="A7988" s="15">
        <f>Sheet2!A7988</f>
        <v>0</v>
      </c>
      <c r="B7988" s="8">
        <v>0</v>
      </c>
      <c r="C7988" s="9">
        <v>0.27</v>
      </c>
      <c r="D7988" s="13">
        <f t="shared" si="124"/>
        <v>0.27</v>
      </c>
    </row>
    <row r="7989" spans="1:4" x14ac:dyDescent="0.25">
      <c r="A7989" s="15">
        <f>Sheet2!A7989</f>
        <v>0</v>
      </c>
      <c r="B7989" s="8">
        <v>1.28</v>
      </c>
      <c r="C7989" s="9">
        <v>0</v>
      </c>
      <c r="D7989" s="13">
        <f t="shared" si="124"/>
        <v>1.28</v>
      </c>
    </row>
    <row r="7990" spans="1:4" x14ac:dyDescent="0.25">
      <c r="A7990" s="15">
        <f>Sheet2!A7990</f>
        <v>0</v>
      </c>
      <c r="B7990" s="8">
        <v>0</v>
      </c>
      <c r="C7990" s="9">
        <v>0.62</v>
      </c>
      <c r="D7990" s="13">
        <f t="shared" si="124"/>
        <v>0.62</v>
      </c>
    </row>
    <row r="7991" spans="1:4" x14ac:dyDescent="0.25">
      <c r="A7991" s="15">
        <f>Sheet2!A7991</f>
        <v>0</v>
      </c>
      <c r="B7991" s="8">
        <v>1.76</v>
      </c>
      <c r="C7991" s="9">
        <v>0</v>
      </c>
      <c r="D7991" s="13">
        <f t="shared" si="124"/>
        <v>1.76</v>
      </c>
    </row>
    <row r="7992" spans="1:4" x14ac:dyDescent="0.25">
      <c r="A7992" s="15">
        <f>Sheet2!A7992</f>
        <v>0</v>
      </c>
      <c r="B7992" s="8">
        <v>1.59</v>
      </c>
      <c r="C7992" s="9">
        <v>0</v>
      </c>
      <c r="D7992" s="13">
        <f t="shared" si="124"/>
        <v>1.59</v>
      </c>
    </row>
    <row r="7993" spans="1:4" x14ac:dyDescent="0.25">
      <c r="A7993" s="15">
        <f>Sheet2!A7993</f>
        <v>0</v>
      </c>
      <c r="B7993" s="8">
        <v>1.24</v>
      </c>
      <c r="C7993" s="9">
        <v>0</v>
      </c>
      <c r="D7993" s="13">
        <f t="shared" si="124"/>
        <v>1.24</v>
      </c>
    </row>
    <row r="7994" spans="1:4" x14ac:dyDescent="0.25">
      <c r="A7994" s="15">
        <f>Sheet2!A7994</f>
        <v>0</v>
      </c>
      <c r="B7994" s="8">
        <v>1.5</v>
      </c>
      <c r="C7994" s="9">
        <v>0</v>
      </c>
      <c r="D7994" s="13">
        <f t="shared" si="124"/>
        <v>1.5</v>
      </c>
    </row>
    <row r="7995" spans="1:4" x14ac:dyDescent="0.25">
      <c r="A7995" s="15">
        <f>Sheet2!A7995</f>
        <v>0</v>
      </c>
      <c r="B7995" s="8">
        <v>1.2</v>
      </c>
      <c r="C7995" s="9">
        <v>0</v>
      </c>
      <c r="D7995" s="13">
        <f t="shared" si="124"/>
        <v>1.2</v>
      </c>
    </row>
    <row r="7996" spans="1:4" x14ac:dyDescent="0.25">
      <c r="A7996" s="15">
        <f>Sheet2!A7996</f>
        <v>0</v>
      </c>
      <c r="B7996" s="8">
        <v>1.43</v>
      </c>
      <c r="C7996" s="9">
        <v>0</v>
      </c>
      <c r="D7996" s="13">
        <f t="shared" si="124"/>
        <v>1.43</v>
      </c>
    </row>
    <row r="7997" spans="1:4" x14ac:dyDescent="0.25">
      <c r="A7997" s="15">
        <f>Sheet2!A7997</f>
        <v>0</v>
      </c>
      <c r="B7997" s="8">
        <v>1.2</v>
      </c>
      <c r="C7997" s="9">
        <v>0</v>
      </c>
      <c r="D7997" s="13">
        <f t="shared" si="124"/>
        <v>1.2</v>
      </c>
    </row>
    <row r="7998" spans="1:4" x14ac:dyDescent="0.25">
      <c r="A7998" s="15">
        <f>Sheet2!A7998</f>
        <v>0</v>
      </c>
      <c r="B7998" s="8">
        <v>1.35</v>
      </c>
      <c r="C7998" s="9">
        <v>0</v>
      </c>
      <c r="D7998" s="13">
        <f t="shared" si="124"/>
        <v>1.35</v>
      </c>
    </row>
    <row r="7999" spans="1:4" x14ac:dyDescent="0.25">
      <c r="A7999" s="15">
        <f>Sheet2!A7999</f>
        <v>0</v>
      </c>
      <c r="B7999" s="8">
        <v>1.1499999999999999</v>
      </c>
      <c r="C7999" s="9">
        <v>0</v>
      </c>
      <c r="D7999" s="13">
        <f t="shared" si="124"/>
        <v>1.1499999999999999</v>
      </c>
    </row>
    <row r="8000" spans="1:4" x14ac:dyDescent="0.25">
      <c r="A8000" s="15">
        <f>Sheet2!A8000</f>
        <v>0</v>
      </c>
      <c r="B8000" s="8">
        <v>1.05</v>
      </c>
      <c r="C8000" s="9">
        <v>0</v>
      </c>
      <c r="D8000" s="13">
        <f t="shared" si="124"/>
        <v>1.05</v>
      </c>
    </row>
    <row r="8001" spans="1:4" x14ac:dyDescent="0.25">
      <c r="A8001" s="15">
        <f>Sheet2!A8001</f>
        <v>0</v>
      </c>
      <c r="B8001" s="8">
        <v>0.64</v>
      </c>
      <c r="C8001" s="9">
        <v>0</v>
      </c>
      <c r="D8001" s="13">
        <f t="shared" si="124"/>
        <v>0.64</v>
      </c>
    </row>
    <row r="8002" spans="1:4" x14ac:dyDescent="0.25">
      <c r="A8002" s="15">
        <f>Sheet2!A8002</f>
        <v>0</v>
      </c>
      <c r="B8002" s="8">
        <v>0</v>
      </c>
      <c r="C8002" s="9">
        <v>0.72</v>
      </c>
      <c r="D8002" s="13">
        <f t="shared" si="124"/>
        <v>0.72</v>
      </c>
    </row>
    <row r="8003" spans="1:4" x14ac:dyDescent="0.25">
      <c r="A8003" s="15">
        <f>Sheet2!A8003</f>
        <v>0</v>
      </c>
      <c r="B8003" s="8">
        <v>0</v>
      </c>
      <c r="C8003" s="9">
        <v>1.03</v>
      </c>
      <c r="D8003" s="13">
        <f t="shared" ref="D8003:D8066" si="125">B8003+C8003</f>
        <v>1.03</v>
      </c>
    </row>
    <row r="8004" spans="1:4" x14ac:dyDescent="0.25">
      <c r="A8004" s="15">
        <f>Sheet2!A8004</f>
        <v>0</v>
      </c>
      <c r="B8004" s="8">
        <v>0.97</v>
      </c>
      <c r="C8004" s="9">
        <v>0</v>
      </c>
      <c r="D8004" s="13">
        <f t="shared" si="125"/>
        <v>0.97</v>
      </c>
    </row>
    <row r="8005" spans="1:4" x14ac:dyDescent="0.25">
      <c r="A8005" s="15">
        <f>Sheet2!A8005</f>
        <v>0</v>
      </c>
      <c r="B8005" s="8">
        <v>0.82</v>
      </c>
      <c r="C8005" s="9">
        <v>0</v>
      </c>
      <c r="D8005" s="13">
        <f t="shared" si="125"/>
        <v>0.82</v>
      </c>
    </row>
    <row r="8006" spans="1:4" x14ac:dyDescent="0.25">
      <c r="A8006" s="15">
        <f>Sheet2!A8006</f>
        <v>0</v>
      </c>
      <c r="B8006" s="8">
        <v>0</v>
      </c>
      <c r="C8006" s="9">
        <v>0.43</v>
      </c>
      <c r="D8006" s="13">
        <f t="shared" si="125"/>
        <v>0.43</v>
      </c>
    </row>
    <row r="8007" spans="1:4" x14ac:dyDescent="0.25">
      <c r="A8007" s="15">
        <f>Sheet2!A8007</f>
        <v>0</v>
      </c>
      <c r="B8007" s="8">
        <v>0</v>
      </c>
      <c r="C8007" s="9">
        <v>1.1399999999999999</v>
      </c>
      <c r="D8007" s="13">
        <f t="shared" si="125"/>
        <v>1.1399999999999999</v>
      </c>
    </row>
    <row r="8008" spans="1:4" x14ac:dyDescent="0.25">
      <c r="A8008" s="15">
        <f>Sheet2!A8008</f>
        <v>0</v>
      </c>
      <c r="B8008" s="8">
        <v>0</v>
      </c>
      <c r="C8008" s="9">
        <v>1.34</v>
      </c>
      <c r="D8008" s="13">
        <f t="shared" si="125"/>
        <v>1.34</v>
      </c>
    </row>
    <row r="8009" spans="1:4" x14ac:dyDescent="0.25">
      <c r="A8009" s="15">
        <f>Sheet2!A8009</f>
        <v>0</v>
      </c>
      <c r="B8009" s="8">
        <v>0</v>
      </c>
      <c r="C8009" s="9">
        <v>1.59</v>
      </c>
      <c r="D8009" s="13">
        <f t="shared" si="125"/>
        <v>1.59</v>
      </c>
    </row>
    <row r="8010" spans="1:4" x14ac:dyDescent="0.25">
      <c r="A8010" s="15">
        <f>Sheet2!A8010</f>
        <v>0</v>
      </c>
      <c r="B8010" s="8">
        <v>0</v>
      </c>
      <c r="C8010" s="9">
        <v>0.37</v>
      </c>
      <c r="D8010" s="13">
        <f t="shared" si="125"/>
        <v>0.37</v>
      </c>
    </row>
    <row r="8011" spans="1:4" x14ac:dyDescent="0.25">
      <c r="A8011" s="15">
        <f>Sheet2!A8011</f>
        <v>0</v>
      </c>
      <c r="B8011" s="8">
        <v>1.02</v>
      </c>
      <c r="C8011" s="9">
        <v>0</v>
      </c>
      <c r="D8011" s="13">
        <f t="shared" si="125"/>
        <v>1.02</v>
      </c>
    </row>
    <row r="8012" spans="1:4" x14ac:dyDescent="0.25">
      <c r="A8012" s="15">
        <f>Sheet2!A8012</f>
        <v>0</v>
      </c>
      <c r="B8012" s="8">
        <v>0</v>
      </c>
      <c r="C8012" s="9">
        <v>0.76</v>
      </c>
      <c r="D8012" s="13">
        <f t="shared" si="125"/>
        <v>0.76</v>
      </c>
    </row>
    <row r="8013" spans="1:4" x14ac:dyDescent="0.25">
      <c r="A8013" s="15">
        <f>Sheet2!A8013</f>
        <v>0</v>
      </c>
      <c r="B8013" s="8">
        <v>0</v>
      </c>
      <c r="C8013" s="9">
        <v>0.78</v>
      </c>
      <c r="D8013" s="13">
        <f t="shared" si="125"/>
        <v>0.78</v>
      </c>
    </row>
    <row r="8014" spans="1:4" x14ac:dyDescent="0.25">
      <c r="A8014" s="15">
        <f>Sheet2!A8014</f>
        <v>0</v>
      </c>
      <c r="B8014" s="8">
        <v>0</v>
      </c>
      <c r="C8014" s="9">
        <v>0.32</v>
      </c>
      <c r="D8014" s="13">
        <f t="shared" si="125"/>
        <v>0.32</v>
      </c>
    </row>
    <row r="8015" spans="1:4" x14ac:dyDescent="0.25">
      <c r="A8015" s="15">
        <f>Sheet2!A8015</f>
        <v>0</v>
      </c>
      <c r="B8015" s="8">
        <v>1.26</v>
      </c>
      <c r="C8015" s="9">
        <v>0</v>
      </c>
      <c r="D8015" s="13">
        <f t="shared" si="125"/>
        <v>1.26</v>
      </c>
    </row>
    <row r="8016" spans="1:4" x14ac:dyDescent="0.25">
      <c r="A8016" s="15">
        <f>Sheet2!A8016</f>
        <v>0</v>
      </c>
      <c r="B8016" s="8">
        <v>1.22</v>
      </c>
      <c r="C8016" s="9">
        <v>0</v>
      </c>
      <c r="D8016" s="13">
        <f t="shared" si="125"/>
        <v>1.22</v>
      </c>
    </row>
    <row r="8017" spans="1:4" x14ac:dyDescent="0.25">
      <c r="A8017" s="15">
        <f>Sheet2!A8017</f>
        <v>0</v>
      </c>
      <c r="B8017" s="8">
        <v>0.89</v>
      </c>
      <c r="C8017" s="9">
        <v>0</v>
      </c>
      <c r="D8017" s="13">
        <f t="shared" si="125"/>
        <v>0.89</v>
      </c>
    </row>
    <row r="8018" spans="1:4" x14ac:dyDescent="0.25">
      <c r="A8018" s="15">
        <f>Sheet2!A8018</f>
        <v>0</v>
      </c>
      <c r="B8018" s="8">
        <v>1.43</v>
      </c>
      <c r="C8018" s="9">
        <v>0</v>
      </c>
      <c r="D8018" s="13">
        <f t="shared" si="125"/>
        <v>1.43</v>
      </c>
    </row>
    <row r="8019" spans="1:4" x14ac:dyDescent="0.25">
      <c r="A8019" s="15">
        <f>Sheet2!A8019</f>
        <v>0</v>
      </c>
      <c r="B8019" s="8">
        <v>1.1299999999999999</v>
      </c>
      <c r="C8019" s="9">
        <v>0</v>
      </c>
      <c r="D8019" s="13">
        <f t="shared" si="125"/>
        <v>1.1299999999999999</v>
      </c>
    </row>
    <row r="8020" spans="1:4" x14ac:dyDescent="0.25">
      <c r="A8020" s="15">
        <f>Sheet2!A8020</f>
        <v>0</v>
      </c>
      <c r="B8020" s="8">
        <v>1.44</v>
      </c>
      <c r="C8020" s="9">
        <v>0</v>
      </c>
      <c r="D8020" s="13">
        <f t="shared" si="125"/>
        <v>1.44</v>
      </c>
    </row>
    <row r="8021" spans="1:4" x14ac:dyDescent="0.25">
      <c r="A8021" s="15">
        <f>Sheet2!A8021</f>
        <v>0</v>
      </c>
      <c r="B8021" s="8">
        <v>1.39</v>
      </c>
      <c r="C8021" s="9">
        <v>0</v>
      </c>
      <c r="D8021" s="13">
        <f t="shared" si="125"/>
        <v>1.39</v>
      </c>
    </row>
    <row r="8022" spans="1:4" x14ac:dyDescent="0.25">
      <c r="A8022" s="15">
        <f>Sheet2!A8022</f>
        <v>0</v>
      </c>
      <c r="B8022" s="8">
        <v>1.7</v>
      </c>
      <c r="C8022" s="9">
        <v>0</v>
      </c>
      <c r="D8022" s="13">
        <f t="shared" si="125"/>
        <v>1.7</v>
      </c>
    </row>
    <row r="8023" spans="1:4" x14ac:dyDescent="0.25">
      <c r="A8023" s="15">
        <f>Sheet2!A8023</f>
        <v>0</v>
      </c>
      <c r="B8023" s="8">
        <v>1.1399999999999999</v>
      </c>
      <c r="C8023" s="9">
        <v>0</v>
      </c>
      <c r="D8023" s="13">
        <f t="shared" si="125"/>
        <v>1.1399999999999999</v>
      </c>
    </row>
    <row r="8024" spans="1:4" x14ac:dyDescent="0.25">
      <c r="A8024" s="15">
        <f>Sheet2!A8024</f>
        <v>0</v>
      </c>
      <c r="B8024" s="8">
        <v>0</v>
      </c>
      <c r="C8024" s="9">
        <v>0.41</v>
      </c>
      <c r="D8024" s="13">
        <f t="shared" si="125"/>
        <v>0.41</v>
      </c>
    </row>
    <row r="8025" spans="1:4" x14ac:dyDescent="0.25">
      <c r="A8025" s="15">
        <f>Sheet2!A8025</f>
        <v>0</v>
      </c>
      <c r="B8025" s="8">
        <v>0</v>
      </c>
      <c r="C8025" s="9">
        <v>0.9</v>
      </c>
      <c r="D8025" s="13">
        <f t="shared" si="125"/>
        <v>0.9</v>
      </c>
    </row>
    <row r="8026" spans="1:4" x14ac:dyDescent="0.25">
      <c r="A8026" s="15">
        <f>Sheet2!A8026</f>
        <v>0</v>
      </c>
      <c r="B8026" s="8">
        <v>0</v>
      </c>
      <c r="C8026" s="9">
        <v>0.65</v>
      </c>
      <c r="D8026" s="13">
        <f t="shared" si="125"/>
        <v>0.65</v>
      </c>
    </row>
    <row r="8027" spans="1:4" x14ac:dyDescent="0.25">
      <c r="A8027" s="15">
        <f>Sheet2!A8027</f>
        <v>0</v>
      </c>
      <c r="B8027" s="8">
        <v>0.7</v>
      </c>
      <c r="C8027" s="9">
        <v>0</v>
      </c>
      <c r="D8027" s="13">
        <f t="shared" si="125"/>
        <v>0.7</v>
      </c>
    </row>
    <row r="8028" spans="1:4" x14ac:dyDescent="0.25">
      <c r="A8028" s="15">
        <f>Sheet2!A8028</f>
        <v>0</v>
      </c>
      <c r="B8028" s="8">
        <v>0.74</v>
      </c>
      <c r="C8028" s="9">
        <v>0</v>
      </c>
      <c r="D8028" s="13">
        <f t="shared" si="125"/>
        <v>0.74</v>
      </c>
    </row>
    <row r="8029" spans="1:4" x14ac:dyDescent="0.25">
      <c r="A8029" s="15">
        <f>Sheet2!A8029</f>
        <v>0</v>
      </c>
      <c r="B8029" s="8">
        <v>0</v>
      </c>
      <c r="C8029" s="9">
        <v>0.44</v>
      </c>
      <c r="D8029" s="13">
        <f t="shared" si="125"/>
        <v>0.44</v>
      </c>
    </row>
    <row r="8030" spans="1:4" x14ac:dyDescent="0.25">
      <c r="A8030" s="15">
        <f>Sheet2!A8030</f>
        <v>0</v>
      </c>
      <c r="B8030" s="8">
        <v>0</v>
      </c>
      <c r="C8030" s="9">
        <v>0.21</v>
      </c>
      <c r="D8030" s="13">
        <f t="shared" si="125"/>
        <v>0.21</v>
      </c>
    </row>
    <row r="8031" spans="1:4" x14ac:dyDescent="0.25">
      <c r="A8031" s="15">
        <f>Sheet2!A8031</f>
        <v>0</v>
      </c>
      <c r="B8031" s="8">
        <v>0.47</v>
      </c>
      <c r="C8031" s="9">
        <v>0</v>
      </c>
      <c r="D8031" s="13">
        <f t="shared" si="125"/>
        <v>0.47</v>
      </c>
    </row>
    <row r="8032" spans="1:4" x14ac:dyDescent="0.25">
      <c r="A8032" s="15">
        <f>Sheet2!A8032</f>
        <v>0</v>
      </c>
      <c r="B8032" s="8">
        <v>0</v>
      </c>
      <c r="C8032" s="9">
        <v>0.51</v>
      </c>
      <c r="D8032" s="13">
        <f t="shared" si="125"/>
        <v>0.51</v>
      </c>
    </row>
    <row r="8033" spans="1:4" x14ac:dyDescent="0.25">
      <c r="A8033" s="15">
        <f>Sheet2!A8033</f>
        <v>0</v>
      </c>
      <c r="B8033" s="8">
        <v>0</v>
      </c>
      <c r="C8033" s="9">
        <v>0.82</v>
      </c>
      <c r="D8033" s="13">
        <f t="shared" si="125"/>
        <v>0.82</v>
      </c>
    </row>
    <row r="8034" spans="1:4" x14ac:dyDescent="0.25">
      <c r="A8034" s="15">
        <f>Sheet2!A8034</f>
        <v>0</v>
      </c>
      <c r="B8034" s="8">
        <v>0</v>
      </c>
      <c r="C8034" s="9">
        <v>0.76</v>
      </c>
      <c r="D8034" s="13">
        <f t="shared" si="125"/>
        <v>0.76</v>
      </c>
    </row>
    <row r="8035" spans="1:4" x14ac:dyDescent="0.25">
      <c r="A8035" s="15">
        <f>Sheet2!A8035</f>
        <v>0</v>
      </c>
      <c r="B8035" s="8">
        <v>0</v>
      </c>
      <c r="C8035" s="9">
        <v>1.19</v>
      </c>
      <c r="D8035" s="13">
        <f t="shared" si="125"/>
        <v>1.19</v>
      </c>
    </row>
    <row r="8036" spans="1:4" x14ac:dyDescent="0.25">
      <c r="A8036" s="15">
        <f>Sheet2!A8036</f>
        <v>0</v>
      </c>
      <c r="B8036" s="8">
        <v>1.18</v>
      </c>
      <c r="C8036" s="9">
        <v>0</v>
      </c>
      <c r="D8036" s="13">
        <f t="shared" si="125"/>
        <v>1.18</v>
      </c>
    </row>
    <row r="8037" spans="1:4" x14ac:dyDescent="0.25">
      <c r="A8037" s="15">
        <f>Sheet2!A8037</f>
        <v>0</v>
      </c>
      <c r="B8037" s="8">
        <v>1.39</v>
      </c>
      <c r="C8037" s="9">
        <v>0</v>
      </c>
      <c r="D8037" s="13">
        <f t="shared" si="125"/>
        <v>1.39</v>
      </c>
    </row>
    <row r="8038" spans="1:4" x14ac:dyDescent="0.25">
      <c r="A8038" s="15">
        <f>Sheet2!A8038</f>
        <v>0</v>
      </c>
      <c r="B8038" s="8">
        <v>0</v>
      </c>
      <c r="C8038" s="9">
        <v>0.63</v>
      </c>
      <c r="D8038" s="13">
        <f t="shared" si="125"/>
        <v>0.63</v>
      </c>
    </row>
    <row r="8039" spans="1:4" x14ac:dyDescent="0.25">
      <c r="A8039" s="15">
        <f>Sheet2!A8039</f>
        <v>0</v>
      </c>
      <c r="B8039" s="8">
        <v>1.37</v>
      </c>
      <c r="C8039" s="9">
        <v>0</v>
      </c>
      <c r="D8039" s="13">
        <f t="shared" si="125"/>
        <v>1.37</v>
      </c>
    </row>
    <row r="8040" spans="1:4" x14ac:dyDescent="0.25">
      <c r="A8040" s="15">
        <f>Sheet2!A8040</f>
        <v>0</v>
      </c>
      <c r="B8040" s="8">
        <v>1</v>
      </c>
      <c r="C8040" s="9">
        <v>0</v>
      </c>
      <c r="D8040" s="13">
        <f t="shared" si="125"/>
        <v>1</v>
      </c>
    </row>
    <row r="8041" spans="1:4" x14ac:dyDescent="0.25">
      <c r="A8041" s="15">
        <f>Sheet2!A8041</f>
        <v>0</v>
      </c>
      <c r="B8041" s="8">
        <v>1.1399999999999999</v>
      </c>
      <c r="C8041" s="9">
        <v>0</v>
      </c>
      <c r="D8041" s="13">
        <f t="shared" si="125"/>
        <v>1.1399999999999999</v>
      </c>
    </row>
    <row r="8042" spans="1:4" x14ac:dyDescent="0.25">
      <c r="A8042" s="15">
        <f>Sheet2!A8042</f>
        <v>0</v>
      </c>
      <c r="B8042" s="8">
        <v>1.75</v>
      </c>
      <c r="C8042" s="9">
        <v>0</v>
      </c>
      <c r="D8042" s="13">
        <f t="shared" si="125"/>
        <v>1.75</v>
      </c>
    </row>
    <row r="8043" spans="1:4" x14ac:dyDescent="0.25">
      <c r="A8043" s="15">
        <f>Sheet2!A8043</f>
        <v>0</v>
      </c>
      <c r="B8043" s="8">
        <v>1.1000000000000001</v>
      </c>
      <c r="C8043" s="9">
        <v>0</v>
      </c>
      <c r="D8043" s="13">
        <f t="shared" si="125"/>
        <v>1.1000000000000001</v>
      </c>
    </row>
    <row r="8044" spans="1:4" x14ac:dyDescent="0.25">
      <c r="A8044" s="15">
        <f>Sheet2!A8044</f>
        <v>0</v>
      </c>
      <c r="B8044" s="8">
        <v>1.46</v>
      </c>
      <c r="C8044" s="9">
        <v>0</v>
      </c>
      <c r="D8044" s="13">
        <f t="shared" si="125"/>
        <v>1.46</v>
      </c>
    </row>
    <row r="8045" spans="1:4" x14ac:dyDescent="0.25">
      <c r="A8045" s="15">
        <f>Sheet2!A8045</f>
        <v>0</v>
      </c>
      <c r="B8045" s="8">
        <v>1.4</v>
      </c>
      <c r="C8045" s="9">
        <v>0</v>
      </c>
      <c r="D8045" s="13">
        <f t="shared" si="125"/>
        <v>1.4</v>
      </c>
    </row>
    <row r="8046" spans="1:4" x14ac:dyDescent="0.25">
      <c r="A8046" s="15">
        <f>Sheet2!A8046</f>
        <v>0</v>
      </c>
      <c r="B8046" s="8">
        <v>1.66</v>
      </c>
      <c r="C8046" s="9">
        <v>0</v>
      </c>
      <c r="D8046" s="13">
        <f t="shared" si="125"/>
        <v>1.66</v>
      </c>
    </row>
    <row r="8047" spans="1:4" x14ac:dyDescent="0.25">
      <c r="A8047" s="15">
        <f>Sheet2!A8047</f>
        <v>0</v>
      </c>
      <c r="B8047" s="8">
        <v>0.86</v>
      </c>
      <c r="C8047" s="9">
        <v>0</v>
      </c>
      <c r="D8047" s="13">
        <f t="shared" si="125"/>
        <v>0.86</v>
      </c>
    </row>
    <row r="8048" spans="1:4" x14ac:dyDescent="0.25">
      <c r="A8048" s="15">
        <f>Sheet2!A8048</f>
        <v>0</v>
      </c>
      <c r="B8048" s="8">
        <v>0.68</v>
      </c>
      <c r="C8048" s="9">
        <v>0</v>
      </c>
      <c r="D8048" s="13">
        <f t="shared" si="125"/>
        <v>0.68</v>
      </c>
    </row>
    <row r="8049" spans="1:4" x14ac:dyDescent="0.25">
      <c r="A8049" s="15">
        <f>Sheet2!A8049</f>
        <v>0</v>
      </c>
      <c r="B8049" s="8">
        <v>0.43</v>
      </c>
      <c r="C8049" s="9">
        <v>0</v>
      </c>
      <c r="D8049" s="13">
        <f t="shared" si="125"/>
        <v>0.43</v>
      </c>
    </row>
    <row r="8050" spans="1:4" x14ac:dyDescent="0.25">
      <c r="A8050" s="15">
        <f>Sheet2!A8050</f>
        <v>0</v>
      </c>
      <c r="B8050" s="8">
        <v>0</v>
      </c>
      <c r="C8050" s="9">
        <v>0.34</v>
      </c>
      <c r="D8050" s="13">
        <f t="shared" si="125"/>
        <v>0.34</v>
      </c>
    </row>
    <row r="8051" spans="1:4" x14ac:dyDescent="0.25">
      <c r="A8051" s="15">
        <f>Sheet2!A8051</f>
        <v>0</v>
      </c>
      <c r="B8051" s="8">
        <v>0</v>
      </c>
      <c r="C8051" s="9">
        <v>0.43</v>
      </c>
      <c r="D8051" s="13">
        <f t="shared" si="125"/>
        <v>0.43</v>
      </c>
    </row>
    <row r="8052" spans="1:4" x14ac:dyDescent="0.25">
      <c r="A8052" s="15">
        <f>Sheet2!A8052</f>
        <v>0</v>
      </c>
      <c r="B8052" s="8">
        <v>0</v>
      </c>
      <c r="C8052" s="9">
        <v>0.28999999999999998</v>
      </c>
      <c r="D8052" s="13">
        <f t="shared" si="125"/>
        <v>0.28999999999999998</v>
      </c>
    </row>
    <row r="8053" spans="1:4" x14ac:dyDescent="0.25">
      <c r="A8053" s="15">
        <f>Sheet2!A8053</f>
        <v>0</v>
      </c>
      <c r="B8053" s="8">
        <v>0.43</v>
      </c>
      <c r="C8053" s="9">
        <v>0</v>
      </c>
      <c r="D8053" s="13">
        <f t="shared" si="125"/>
        <v>0.43</v>
      </c>
    </row>
    <row r="8054" spans="1:4" x14ac:dyDescent="0.25">
      <c r="A8054" s="15">
        <f>Sheet2!A8054</f>
        <v>0</v>
      </c>
      <c r="B8054" s="8">
        <v>0</v>
      </c>
      <c r="C8054" s="9">
        <v>0.44</v>
      </c>
      <c r="D8054" s="13">
        <f t="shared" si="125"/>
        <v>0.44</v>
      </c>
    </row>
    <row r="8055" spans="1:4" x14ac:dyDescent="0.25">
      <c r="A8055" s="15">
        <f>Sheet2!A8055</f>
        <v>0</v>
      </c>
      <c r="B8055" s="8">
        <v>0</v>
      </c>
      <c r="C8055" s="9">
        <v>0.81</v>
      </c>
      <c r="D8055" s="13">
        <f t="shared" si="125"/>
        <v>0.81</v>
      </c>
    </row>
    <row r="8056" spans="1:4" x14ac:dyDescent="0.25">
      <c r="A8056" s="15">
        <f>Sheet2!A8056</f>
        <v>0</v>
      </c>
      <c r="B8056" s="8">
        <v>0</v>
      </c>
      <c r="C8056" s="9">
        <v>0.63</v>
      </c>
      <c r="D8056" s="13">
        <f t="shared" si="125"/>
        <v>0.63</v>
      </c>
    </row>
    <row r="8057" spans="1:4" x14ac:dyDescent="0.25">
      <c r="A8057" s="15">
        <f>Sheet2!A8057</f>
        <v>0</v>
      </c>
      <c r="B8057" s="8">
        <v>0</v>
      </c>
      <c r="C8057" s="9">
        <v>0.72</v>
      </c>
      <c r="D8057" s="13">
        <f t="shared" si="125"/>
        <v>0.72</v>
      </c>
    </row>
    <row r="8058" spans="1:4" x14ac:dyDescent="0.25">
      <c r="A8058" s="15">
        <f>Sheet2!A8058</f>
        <v>0</v>
      </c>
      <c r="B8058" s="8">
        <v>1.97</v>
      </c>
      <c r="C8058" s="9">
        <v>0</v>
      </c>
      <c r="D8058" s="13">
        <f t="shared" si="125"/>
        <v>1.97</v>
      </c>
    </row>
    <row r="8059" spans="1:4" x14ac:dyDescent="0.25">
      <c r="A8059" s="15">
        <f>Sheet2!A8059</f>
        <v>0</v>
      </c>
      <c r="B8059" s="8">
        <v>0</v>
      </c>
      <c r="C8059" s="9">
        <v>0.87</v>
      </c>
      <c r="D8059" s="13">
        <f t="shared" si="125"/>
        <v>0.87</v>
      </c>
    </row>
    <row r="8060" spans="1:4" x14ac:dyDescent="0.25">
      <c r="A8060" s="15">
        <f>Sheet2!A8060</f>
        <v>0</v>
      </c>
      <c r="B8060" s="8">
        <v>0</v>
      </c>
      <c r="C8060" s="9">
        <v>1.4</v>
      </c>
      <c r="D8060" s="13">
        <f t="shared" si="125"/>
        <v>1.4</v>
      </c>
    </row>
    <row r="8061" spans="1:4" x14ac:dyDescent="0.25">
      <c r="A8061" s="15">
        <f>Sheet2!A8061</f>
        <v>0</v>
      </c>
      <c r="B8061" s="8">
        <v>0</v>
      </c>
      <c r="C8061" s="9">
        <v>0.54</v>
      </c>
      <c r="D8061" s="13">
        <f t="shared" si="125"/>
        <v>0.54</v>
      </c>
    </row>
    <row r="8062" spans="1:4" x14ac:dyDescent="0.25">
      <c r="A8062" s="15">
        <f>Sheet2!A8062</f>
        <v>0</v>
      </c>
      <c r="B8062" s="8">
        <v>2.69</v>
      </c>
      <c r="C8062" s="9">
        <v>0</v>
      </c>
      <c r="D8062" s="13">
        <f t="shared" si="125"/>
        <v>2.69</v>
      </c>
    </row>
    <row r="8063" spans="1:4" x14ac:dyDescent="0.25">
      <c r="A8063" s="15">
        <f>Sheet2!A8063</f>
        <v>0</v>
      </c>
      <c r="B8063" s="8">
        <v>1.36</v>
      </c>
      <c r="C8063" s="9">
        <v>0</v>
      </c>
      <c r="D8063" s="13">
        <f t="shared" si="125"/>
        <v>1.36</v>
      </c>
    </row>
    <row r="8064" spans="1:4" x14ac:dyDescent="0.25">
      <c r="A8064" s="15">
        <f>Sheet2!A8064</f>
        <v>0</v>
      </c>
      <c r="B8064" s="8">
        <v>0.99</v>
      </c>
      <c r="C8064" s="9">
        <v>0</v>
      </c>
      <c r="D8064" s="13">
        <f t="shared" si="125"/>
        <v>0.99</v>
      </c>
    </row>
    <row r="8065" spans="1:4" x14ac:dyDescent="0.25">
      <c r="A8065" s="15">
        <f>Sheet2!A8065</f>
        <v>0</v>
      </c>
      <c r="B8065" s="8">
        <v>0.99</v>
      </c>
      <c r="C8065" s="9">
        <v>0</v>
      </c>
      <c r="D8065" s="13">
        <f t="shared" si="125"/>
        <v>0.99</v>
      </c>
    </row>
    <row r="8066" spans="1:4" x14ac:dyDescent="0.25">
      <c r="A8066" s="15">
        <f>Sheet2!A8066</f>
        <v>0</v>
      </c>
      <c r="B8066" s="8">
        <v>1.01</v>
      </c>
      <c r="C8066" s="9">
        <v>0</v>
      </c>
      <c r="D8066" s="13">
        <f t="shared" si="125"/>
        <v>1.01</v>
      </c>
    </row>
    <row r="8067" spans="1:4" x14ac:dyDescent="0.25">
      <c r="A8067" s="15">
        <f>Sheet2!A8067</f>
        <v>0</v>
      </c>
      <c r="B8067" s="8">
        <v>1</v>
      </c>
      <c r="C8067" s="9">
        <v>0</v>
      </c>
      <c r="D8067" s="13">
        <f t="shared" ref="D8067:D8130" si="126">B8067+C8067</f>
        <v>1</v>
      </c>
    </row>
    <row r="8068" spans="1:4" x14ac:dyDescent="0.25">
      <c r="A8068" s="15">
        <f>Sheet2!A8068</f>
        <v>0</v>
      </c>
      <c r="B8068" s="8">
        <v>1.01</v>
      </c>
      <c r="C8068" s="9">
        <v>0</v>
      </c>
      <c r="D8068" s="13">
        <f t="shared" si="126"/>
        <v>1.01</v>
      </c>
    </row>
    <row r="8069" spans="1:4" x14ac:dyDescent="0.25">
      <c r="A8069" s="15">
        <f>Sheet2!A8069</f>
        <v>0</v>
      </c>
      <c r="B8069" s="8">
        <v>0.5</v>
      </c>
      <c r="C8069" s="9">
        <v>0</v>
      </c>
      <c r="D8069" s="13">
        <f t="shared" si="126"/>
        <v>0.5</v>
      </c>
    </row>
    <row r="8070" spans="1:4" x14ac:dyDescent="0.25">
      <c r="A8070" s="15">
        <f>Sheet2!A8070</f>
        <v>0</v>
      </c>
      <c r="B8070" s="8">
        <v>0</v>
      </c>
      <c r="C8070" s="9">
        <v>0.52</v>
      </c>
      <c r="D8070" s="13">
        <f t="shared" si="126"/>
        <v>0.52</v>
      </c>
    </row>
    <row r="8071" spans="1:4" x14ac:dyDescent="0.25">
      <c r="A8071" s="15">
        <f>Sheet2!A8071</f>
        <v>0</v>
      </c>
      <c r="B8071" s="8">
        <v>2.13</v>
      </c>
      <c r="C8071" s="9">
        <v>0</v>
      </c>
      <c r="D8071" s="13">
        <f t="shared" si="126"/>
        <v>2.13</v>
      </c>
    </row>
    <row r="8072" spans="1:4" x14ac:dyDescent="0.25">
      <c r="A8072" s="15">
        <f>Sheet2!A8072</f>
        <v>0</v>
      </c>
      <c r="B8072" s="8">
        <v>0.7</v>
      </c>
      <c r="C8072" s="9">
        <v>0</v>
      </c>
      <c r="D8072" s="13">
        <f t="shared" si="126"/>
        <v>0.7</v>
      </c>
    </row>
    <row r="8073" spans="1:4" x14ac:dyDescent="0.25">
      <c r="A8073" s="15">
        <f>Sheet2!A8073</f>
        <v>0</v>
      </c>
      <c r="B8073" s="8">
        <v>0.4</v>
      </c>
      <c r="C8073" s="9">
        <v>0</v>
      </c>
      <c r="D8073" s="13">
        <f t="shared" si="126"/>
        <v>0.4</v>
      </c>
    </row>
    <row r="8074" spans="1:4" x14ac:dyDescent="0.25">
      <c r="A8074" s="15">
        <f>Sheet2!A8074</f>
        <v>0</v>
      </c>
      <c r="B8074" s="8">
        <v>0.14000000000000001</v>
      </c>
      <c r="C8074" s="9">
        <v>0</v>
      </c>
      <c r="D8074" s="13">
        <f t="shared" si="126"/>
        <v>0.14000000000000001</v>
      </c>
    </row>
    <row r="8075" spans="1:4" x14ac:dyDescent="0.25">
      <c r="A8075" s="15">
        <f>Sheet2!A8075</f>
        <v>0</v>
      </c>
      <c r="B8075" s="8">
        <v>0</v>
      </c>
      <c r="C8075" s="9">
        <v>0.26</v>
      </c>
      <c r="D8075" s="13">
        <f t="shared" si="126"/>
        <v>0.26</v>
      </c>
    </row>
    <row r="8076" spans="1:4" x14ac:dyDescent="0.25">
      <c r="A8076" s="15">
        <f>Sheet2!A8076</f>
        <v>0</v>
      </c>
      <c r="B8076" s="8">
        <v>0.28999999999999998</v>
      </c>
      <c r="C8076" s="9">
        <v>0</v>
      </c>
      <c r="D8076" s="13">
        <f t="shared" si="126"/>
        <v>0.28999999999999998</v>
      </c>
    </row>
    <row r="8077" spans="1:4" x14ac:dyDescent="0.25">
      <c r="A8077" s="15">
        <f>Sheet2!A8077</f>
        <v>0</v>
      </c>
      <c r="B8077" s="8">
        <v>0.6</v>
      </c>
      <c r="C8077" s="9">
        <v>0</v>
      </c>
      <c r="D8077" s="13">
        <f t="shared" si="126"/>
        <v>0.6</v>
      </c>
    </row>
    <row r="8078" spans="1:4" x14ac:dyDescent="0.25">
      <c r="A8078" s="15">
        <f>Sheet2!A8078</f>
        <v>0</v>
      </c>
      <c r="B8078" s="8">
        <v>0.75</v>
      </c>
      <c r="C8078" s="9">
        <v>0</v>
      </c>
      <c r="D8078" s="13">
        <f t="shared" si="126"/>
        <v>0.75</v>
      </c>
    </row>
    <row r="8079" spans="1:4" x14ac:dyDescent="0.25">
      <c r="A8079" s="15">
        <f>Sheet2!A8079</f>
        <v>0</v>
      </c>
      <c r="B8079" s="8">
        <v>0.8</v>
      </c>
      <c r="C8079" s="9">
        <v>0</v>
      </c>
      <c r="D8079" s="13">
        <f t="shared" si="126"/>
        <v>0.8</v>
      </c>
    </row>
    <row r="8080" spans="1:4" x14ac:dyDescent="0.25">
      <c r="A8080" s="15">
        <f>Sheet2!A8080</f>
        <v>0</v>
      </c>
      <c r="B8080" s="8">
        <v>0</v>
      </c>
      <c r="C8080" s="9">
        <v>0.54</v>
      </c>
      <c r="D8080" s="13">
        <f t="shared" si="126"/>
        <v>0.54</v>
      </c>
    </row>
    <row r="8081" spans="1:4" x14ac:dyDescent="0.25">
      <c r="A8081" s="15">
        <f>Sheet2!A8081</f>
        <v>0</v>
      </c>
      <c r="B8081" s="8">
        <v>0</v>
      </c>
      <c r="C8081" s="9">
        <v>1.36</v>
      </c>
      <c r="D8081" s="13">
        <f t="shared" si="126"/>
        <v>1.36</v>
      </c>
    </row>
    <row r="8082" spans="1:4" x14ac:dyDescent="0.25">
      <c r="A8082" s="15">
        <f>Sheet2!A8082</f>
        <v>0</v>
      </c>
      <c r="B8082" s="8">
        <v>0</v>
      </c>
      <c r="C8082" s="9">
        <v>0.49</v>
      </c>
      <c r="D8082" s="13">
        <f t="shared" si="126"/>
        <v>0.49</v>
      </c>
    </row>
    <row r="8083" spans="1:4" x14ac:dyDescent="0.25">
      <c r="A8083" s="15">
        <f>Sheet2!A8083</f>
        <v>0</v>
      </c>
      <c r="B8083" s="8">
        <v>0.86</v>
      </c>
      <c r="C8083" s="9">
        <v>0</v>
      </c>
      <c r="D8083" s="13">
        <f t="shared" si="126"/>
        <v>0.86</v>
      </c>
    </row>
    <row r="8084" spans="1:4" x14ac:dyDescent="0.25">
      <c r="A8084" s="15">
        <f>Sheet2!A8084</f>
        <v>0</v>
      </c>
      <c r="B8084" s="8">
        <v>0</v>
      </c>
      <c r="C8084" s="9">
        <v>0.6</v>
      </c>
      <c r="D8084" s="13">
        <f t="shared" si="126"/>
        <v>0.6</v>
      </c>
    </row>
    <row r="8085" spans="1:4" x14ac:dyDescent="0.25">
      <c r="A8085" s="15">
        <f>Sheet2!A8085</f>
        <v>0</v>
      </c>
      <c r="B8085" s="8">
        <v>0</v>
      </c>
      <c r="C8085" s="9">
        <v>1.03</v>
      </c>
      <c r="D8085" s="13">
        <f t="shared" si="126"/>
        <v>1.03</v>
      </c>
    </row>
    <row r="8086" spans="1:4" x14ac:dyDescent="0.25">
      <c r="A8086" s="15">
        <f>Sheet2!A8086</f>
        <v>0</v>
      </c>
      <c r="B8086" s="8">
        <v>0</v>
      </c>
      <c r="C8086" s="9">
        <v>0.49</v>
      </c>
      <c r="D8086" s="13">
        <f t="shared" si="126"/>
        <v>0.49</v>
      </c>
    </row>
    <row r="8087" spans="1:4" x14ac:dyDescent="0.25">
      <c r="A8087" s="15">
        <f>Sheet2!A8087</f>
        <v>0</v>
      </c>
      <c r="B8087" s="8">
        <v>0.77</v>
      </c>
      <c r="C8087" s="9">
        <v>0</v>
      </c>
      <c r="D8087" s="13">
        <f t="shared" si="126"/>
        <v>0.77</v>
      </c>
    </row>
    <row r="8088" spans="1:4" x14ac:dyDescent="0.25">
      <c r="A8088" s="15">
        <f>Sheet2!A8088</f>
        <v>0</v>
      </c>
      <c r="B8088" s="8">
        <v>0.86</v>
      </c>
      <c r="C8088" s="9">
        <v>0</v>
      </c>
      <c r="D8088" s="13">
        <f t="shared" si="126"/>
        <v>0.86</v>
      </c>
    </row>
    <row r="8089" spans="1:4" x14ac:dyDescent="0.25">
      <c r="A8089" s="15">
        <f>Sheet2!A8089</f>
        <v>0</v>
      </c>
      <c r="B8089" s="8">
        <v>0.62</v>
      </c>
      <c r="C8089" s="9">
        <v>0</v>
      </c>
      <c r="D8089" s="13">
        <f t="shared" si="126"/>
        <v>0.62</v>
      </c>
    </row>
    <row r="8090" spans="1:4" x14ac:dyDescent="0.25">
      <c r="A8090" s="15">
        <f>Sheet2!A8090</f>
        <v>0</v>
      </c>
      <c r="B8090" s="8">
        <v>0.69</v>
      </c>
      <c r="C8090" s="9">
        <v>0</v>
      </c>
      <c r="D8090" s="13">
        <f t="shared" si="126"/>
        <v>0.69</v>
      </c>
    </row>
    <row r="8091" spans="1:4" x14ac:dyDescent="0.25">
      <c r="A8091" s="15">
        <f>Sheet2!A8091</f>
        <v>0</v>
      </c>
      <c r="B8091" s="8">
        <v>0.32</v>
      </c>
      <c r="C8091" s="9">
        <v>0</v>
      </c>
      <c r="D8091" s="13">
        <f t="shared" si="126"/>
        <v>0.32</v>
      </c>
    </row>
    <row r="8092" spans="1:4" x14ac:dyDescent="0.25">
      <c r="A8092" s="15">
        <f>Sheet2!A8092</f>
        <v>0</v>
      </c>
      <c r="B8092" s="8">
        <v>0.67</v>
      </c>
      <c r="C8092" s="9">
        <v>0</v>
      </c>
      <c r="D8092" s="13">
        <f t="shared" si="126"/>
        <v>0.67</v>
      </c>
    </row>
    <row r="8093" spans="1:4" x14ac:dyDescent="0.25">
      <c r="A8093" s="15">
        <f>Sheet2!A8093</f>
        <v>0</v>
      </c>
      <c r="B8093" s="8">
        <v>0.95</v>
      </c>
      <c r="C8093" s="9">
        <v>0</v>
      </c>
      <c r="D8093" s="13">
        <f t="shared" si="126"/>
        <v>0.95</v>
      </c>
    </row>
    <row r="8094" spans="1:4" x14ac:dyDescent="0.25">
      <c r="A8094" s="15">
        <f>Sheet2!A8094</f>
        <v>0</v>
      </c>
      <c r="B8094" s="8">
        <v>0</v>
      </c>
      <c r="C8094" s="9">
        <v>0.25</v>
      </c>
      <c r="D8094" s="13">
        <f t="shared" si="126"/>
        <v>0.25</v>
      </c>
    </row>
    <row r="8095" spans="1:4" x14ac:dyDescent="0.25">
      <c r="A8095" s="15">
        <f>Sheet2!A8095</f>
        <v>0</v>
      </c>
      <c r="B8095" s="8">
        <v>0</v>
      </c>
      <c r="C8095" s="9">
        <v>0.32</v>
      </c>
      <c r="D8095" s="13">
        <f t="shared" si="126"/>
        <v>0.32</v>
      </c>
    </row>
    <row r="8096" spans="1:4" x14ac:dyDescent="0.25">
      <c r="A8096" s="15">
        <f>Sheet2!A8096</f>
        <v>0</v>
      </c>
      <c r="B8096" s="8">
        <v>0.45</v>
      </c>
      <c r="C8096" s="9">
        <v>0</v>
      </c>
      <c r="D8096" s="13">
        <f t="shared" si="126"/>
        <v>0.45</v>
      </c>
    </row>
    <row r="8097" spans="1:4" x14ac:dyDescent="0.25">
      <c r="A8097" s="15">
        <f>Sheet2!A8097</f>
        <v>0</v>
      </c>
      <c r="B8097" s="8">
        <v>0.28999999999999998</v>
      </c>
      <c r="C8097" s="9">
        <v>0</v>
      </c>
      <c r="D8097" s="13">
        <f t="shared" si="126"/>
        <v>0.28999999999999998</v>
      </c>
    </row>
    <row r="8098" spans="1:4" x14ac:dyDescent="0.25">
      <c r="A8098" s="15">
        <f>Sheet2!A8098</f>
        <v>0</v>
      </c>
      <c r="B8098" s="8">
        <v>0.16</v>
      </c>
      <c r="C8098" s="9">
        <v>0</v>
      </c>
      <c r="D8098" s="13">
        <f t="shared" si="126"/>
        <v>0.16</v>
      </c>
    </row>
    <row r="8099" spans="1:4" x14ac:dyDescent="0.25">
      <c r="A8099" s="15">
        <f>Sheet2!A8099</f>
        <v>0</v>
      </c>
      <c r="B8099" s="8">
        <v>0</v>
      </c>
      <c r="C8099" s="9">
        <v>0.23</v>
      </c>
      <c r="D8099" s="13">
        <f t="shared" si="126"/>
        <v>0.23</v>
      </c>
    </row>
    <row r="8100" spans="1:4" x14ac:dyDescent="0.25">
      <c r="A8100" s="15">
        <f>Sheet2!A8100</f>
        <v>0</v>
      </c>
      <c r="B8100" s="8">
        <v>0.38</v>
      </c>
      <c r="C8100" s="9">
        <v>0</v>
      </c>
      <c r="D8100" s="13">
        <f t="shared" si="126"/>
        <v>0.38</v>
      </c>
    </row>
    <row r="8101" spans="1:4" x14ac:dyDescent="0.25">
      <c r="A8101" s="15">
        <f>Sheet2!A8101</f>
        <v>0</v>
      </c>
      <c r="B8101" s="8">
        <v>0.5</v>
      </c>
      <c r="C8101" s="9">
        <v>0</v>
      </c>
      <c r="D8101" s="13">
        <f t="shared" si="126"/>
        <v>0.5</v>
      </c>
    </row>
    <row r="8102" spans="1:4" x14ac:dyDescent="0.25">
      <c r="A8102" s="15">
        <f>Sheet2!A8102</f>
        <v>0</v>
      </c>
      <c r="B8102" s="8">
        <v>0</v>
      </c>
      <c r="C8102" s="9">
        <v>0.68</v>
      </c>
      <c r="D8102" s="13">
        <f t="shared" si="126"/>
        <v>0.68</v>
      </c>
    </row>
    <row r="8103" spans="1:4" x14ac:dyDescent="0.25">
      <c r="A8103" s="15">
        <f>Sheet2!A8103</f>
        <v>0</v>
      </c>
      <c r="B8103" s="8">
        <v>0</v>
      </c>
      <c r="C8103" s="9">
        <v>1.05</v>
      </c>
      <c r="D8103" s="13">
        <f t="shared" si="126"/>
        <v>1.05</v>
      </c>
    </row>
    <row r="8104" spans="1:4" x14ac:dyDescent="0.25">
      <c r="A8104" s="15">
        <f>Sheet2!A8104</f>
        <v>0</v>
      </c>
      <c r="B8104" s="8">
        <v>0</v>
      </c>
      <c r="C8104" s="9">
        <v>1.45</v>
      </c>
      <c r="D8104" s="13">
        <f t="shared" si="126"/>
        <v>1.45</v>
      </c>
    </row>
    <row r="8105" spans="1:4" x14ac:dyDescent="0.25">
      <c r="A8105" s="15">
        <f>Sheet2!A8105</f>
        <v>0</v>
      </c>
      <c r="B8105" s="8">
        <v>0</v>
      </c>
      <c r="C8105" s="9">
        <v>1.95</v>
      </c>
      <c r="D8105" s="13">
        <f t="shared" si="126"/>
        <v>1.95</v>
      </c>
    </row>
    <row r="8106" spans="1:4" x14ac:dyDescent="0.25">
      <c r="A8106" s="15">
        <f>Sheet2!A8106</f>
        <v>0</v>
      </c>
      <c r="B8106" s="8">
        <v>0</v>
      </c>
      <c r="C8106" s="9">
        <v>0.89</v>
      </c>
      <c r="D8106" s="13">
        <f t="shared" si="126"/>
        <v>0.89</v>
      </c>
    </row>
    <row r="8107" spans="1:4" x14ac:dyDescent="0.25">
      <c r="A8107" s="15">
        <f>Sheet2!A8107</f>
        <v>0</v>
      </c>
      <c r="B8107" s="8">
        <v>1.53</v>
      </c>
      <c r="C8107" s="9">
        <v>0</v>
      </c>
      <c r="D8107" s="13">
        <f t="shared" si="126"/>
        <v>1.53</v>
      </c>
    </row>
    <row r="8108" spans="1:4" x14ac:dyDescent="0.25">
      <c r="A8108" s="15">
        <f>Sheet2!A8108</f>
        <v>0</v>
      </c>
      <c r="B8108" s="8">
        <v>0</v>
      </c>
      <c r="C8108" s="9">
        <v>0.89</v>
      </c>
      <c r="D8108" s="13">
        <f t="shared" si="126"/>
        <v>0.89</v>
      </c>
    </row>
    <row r="8109" spans="1:4" x14ac:dyDescent="0.25">
      <c r="A8109" s="15">
        <f>Sheet2!A8109</f>
        <v>0</v>
      </c>
      <c r="B8109" s="8">
        <v>0</v>
      </c>
      <c r="C8109" s="9">
        <v>1.05</v>
      </c>
      <c r="D8109" s="13">
        <f t="shared" si="126"/>
        <v>1.05</v>
      </c>
    </row>
    <row r="8110" spans="1:4" x14ac:dyDescent="0.25">
      <c r="A8110" s="15">
        <f>Sheet2!A8110</f>
        <v>0</v>
      </c>
      <c r="B8110" s="8">
        <v>0.69</v>
      </c>
      <c r="C8110" s="9">
        <v>0</v>
      </c>
      <c r="D8110" s="13">
        <f t="shared" si="126"/>
        <v>0.69</v>
      </c>
    </row>
    <row r="8111" spans="1:4" x14ac:dyDescent="0.25">
      <c r="A8111" s="15">
        <f>Sheet2!A8111</f>
        <v>0</v>
      </c>
      <c r="B8111" s="8">
        <v>1.32</v>
      </c>
      <c r="C8111" s="9">
        <v>0</v>
      </c>
      <c r="D8111" s="13">
        <f t="shared" si="126"/>
        <v>1.32</v>
      </c>
    </row>
    <row r="8112" spans="1:4" x14ac:dyDescent="0.25">
      <c r="A8112" s="15">
        <f>Sheet2!A8112</f>
        <v>0</v>
      </c>
      <c r="B8112" s="8">
        <v>0.74</v>
      </c>
      <c r="C8112" s="9">
        <v>0</v>
      </c>
      <c r="D8112" s="13">
        <f t="shared" si="126"/>
        <v>0.74</v>
      </c>
    </row>
    <row r="8113" spans="1:4" x14ac:dyDescent="0.25">
      <c r="A8113" s="15">
        <f>Sheet2!A8113</f>
        <v>0</v>
      </c>
      <c r="B8113" s="8">
        <v>0.51</v>
      </c>
      <c r="C8113" s="9">
        <v>0</v>
      </c>
      <c r="D8113" s="13">
        <f t="shared" si="126"/>
        <v>0.51</v>
      </c>
    </row>
    <row r="8114" spans="1:4" x14ac:dyDescent="0.25">
      <c r="A8114" s="15">
        <f>Sheet2!A8114</f>
        <v>0</v>
      </c>
      <c r="B8114" s="8">
        <v>0.68</v>
      </c>
      <c r="C8114" s="9">
        <v>0</v>
      </c>
      <c r="D8114" s="13">
        <f t="shared" si="126"/>
        <v>0.68</v>
      </c>
    </row>
    <row r="8115" spans="1:4" x14ac:dyDescent="0.25">
      <c r="A8115" s="15">
        <f>Sheet2!A8115</f>
        <v>0</v>
      </c>
      <c r="B8115" s="8">
        <v>0.55000000000000004</v>
      </c>
      <c r="C8115" s="9">
        <v>0</v>
      </c>
      <c r="D8115" s="13">
        <f t="shared" si="126"/>
        <v>0.55000000000000004</v>
      </c>
    </row>
    <row r="8116" spans="1:4" x14ac:dyDescent="0.25">
      <c r="A8116" s="15">
        <f>Sheet2!A8116</f>
        <v>0</v>
      </c>
      <c r="B8116" s="8">
        <v>0.45</v>
      </c>
      <c r="C8116" s="9">
        <v>0</v>
      </c>
      <c r="D8116" s="13">
        <f t="shared" si="126"/>
        <v>0.45</v>
      </c>
    </row>
    <row r="8117" spans="1:4" x14ac:dyDescent="0.25">
      <c r="A8117" s="15">
        <f>Sheet2!A8117</f>
        <v>0</v>
      </c>
      <c r="B8117" s="8">
        <v>0.85</v>
      </c>
      <c r="C8117" s="9">
        <v>0</v>
      </c>
      <c r="D8117" s="13">
        <f t="shared" si="126"/>
        <v>0.85</v>
      </c>
    </row>
    <row r="8118" spans="1:4" x14ac:dyDescent="0.25">
      <c r="A8118" s="15">
        <f>Sheet2!A8118</f>
        <v>0</v>
      </c>
      <c r="B8118" s="8">
        <v>0</v>
      </c>
      <c r="C8118" s="9">
        <v>0.22</v>
      </c>
      <c r="D8118" s="13">
        <f t="shared" si="126"/>
        <v>0.22</v>
      </c>
    </row>
    <row r="8119" spans="1:4" x14ac:dyDescent="0.25">
      <c r="A8119" s="15">
        <f>Sheet2!A8119</f>
        <v>0</v>
      </c>
      <c r="B8119" s="8">
        <v>0</v>
      </c>
      <c r="C8119" s="9">
        <v>0.39</v>
      </c>
      <c r="D8119" s="13">
        <f t="shared" si="126"/>
        <v>0.39</v>
      </c>
    </row>
    <row r="8120" spans="1:4" x14ac:dyDescent="0.25">
      <c r="A8120" s="15">
        <f>Sheet2!A8120</f>
        <v>0</v>
      </c>
      <c r="B8120" s="8">
        <v>0.37</v>
      </c>
      <c r="C8120" s="9">
        <v>0</v>
      </c>
      <c r="D8120" s="13">
        <f t="shared" si="126"/>
        <v>0.37</v>
      </c>
    </row>
    <row r="8121" spans="1:4" x14ac:dyDescent="0.25">
      <c r="A8121" s="15">
        <f>Sheet2!A8121</f>
        <v>0</v>
      </c>
      <c r="B8121" s="8">
        <v>0.74</v>
      </c>
      <c r="C8121" s="9">
        <v>0</v>
      </c>
      <c r="D8121" s="13">
        <f t="shared" si="126"/>
        <v>0.74</v>
      </c>
    </row>
    <row r="8122" spans="1:4" x14ac:dyDescent="0.25">
      <c r="A8122" s="15">
        <f>Sheet2!A8122</f>
        <v>0</v>
      </c>
      <c r="B8122" s="8">
        <v>0</v>
      </c>
      <c r="C8122" s="9">
        <v>0.35</v>
      </c>
      <c r="D8122" s="13">
        <f t="shared" si="126"/>
        <v>0.35</v>
      </c>
    </row>
    <row r="8123" spans="1:4" x14ac:dyDescent="0.25">
      <c r="A8123" s="15">
        <f>Sheet2!A8123</f>
        <v>0</v>
      </c>
      <c r="B8123" s="8">
        <v>0</v>
      </c>
      <c r="C8123" s="9">
        <v>0.62</v>
      </c>
      <c r="D8123" s="13">
        <f t="shared" si="126"/>
        <v>0.62</v>
      </c>
    </row>
    <row r="8124" spans="1:4" x14ac:dyDescent="0.25">
      <c r="A8124" s="15">
        <f>Sheet2!A8124</f>
        <v>0</v>
      </c>
      <c r="B8124" s="8">
        <v>0</v>
      </c>
      <c r="C8124" s="9">
        <v>0.62</v>
      </c>
      <c r="D8124" s="13">
        <f t="shared" si="126"/>
        <v>0.62</v>
      </c>
    </row>
    <row r="8125" spans="1:4" x14ac:dyDescent="0.25">
      <c r="A8125" s="15">
        <f>Sheet2!A8125</f>
        <v>0</v>
      </c>
      <c r="B8125" s="8">
        <v>0</v>
      </c>
      <c r="C8125" s="9">
        <v>0.46</v>
      </c>
      <c r="D8125" s="13">
        <f t="shared" si="126"/>
        <v>0.46</v>
      </c>
    </row>
    <row r="8126" spans="1:4" x14ac:dyDescent="0.25">
      <c r="A8126" s="15">
        <f>Sheet2!A8126</f>
        <v>0</v>
      </c>
      <c r="B8126" s="8">
        <v>0</v>
      </c>
      <c r="C8126" s="9">
        <v>0.67</v>
      </c>
      <c r="D8126" s="13">
        <f t="shared" si="126"/>
        <v>0.67</v>
      </c>
    </row>
    <row r="8127" spans="1:4" x14ac:dyDescent="0.25">
      <c r="A8127" s="15">
        <f>Sheet2!A8127</f>
        <v>0</v>
      </c>
      <c r="B8127" s="8">
        <v>1.61</v>
      </c>
      <c r="C8127" s="9">
        <v>0</v>
      </c>
      <c r="D8127" s="13">
        <f t="shared" si="126"/>
        <v>1.61</v>
      </c>
    </row>
    <row r="8128" spans="1:4" x14ac:dyDescent="0.25">
      <c r="A8128" s="15">
        <f>Sheet2!A8128</f>
        <v>0</v>
      </c>
      <c r="B8128" s="8">
        <v>0</v>
      </c>
      <c r="C8128" s="9">
        <v>0.49</v>
      </c>
      <c r="D8128" s="13">
        <f t="shared" si="126"/>
        <v>0.49</v>
      </c>
    </row>
    <row r="8129" spans="1:4" x14ac:dyDescent="0.25">
      <c r="A8129" s="15">
        <f>Sheet2!A8129</f>
        <v>0</v>
      </c>
      <c r="B8129" s="8">
        <v>0</v>
      </c>
      <c r="C8129" s="9">
        <v>0.9</v>
      </c>
      <c r="D8129" s="13">
        <f t="shared" si="126"/>
        <v>0.9</v>
      </c>
    </row>
    <row r="8130" spans="1:4" x14ac:dyDescent="0.25">
      <c r="A8130" s="15">
        <f>Sheet2!A8130</f>
        <v>0</v>
      </c>
      <c r="B8130" s="8">
        <v>0</v>
      </c>
      <c r="C8130" s="9">
        <v>0.94</v>
      </c>
      <c r="D8130" s="13">
        <f t="shared" si="126"/>
        <v>0.94</v>
      </c>
    </row>
    <row r="8131" spans="1:4" x14ac:dyDescent="0.25">
      <c r="A8131" s="15">
        <f>Sheet2!A8131</f>
        <v>0</v>
      </c>
      <c r="B8131" s="8">
        <v>0</v>
      </c>
      <c r="C8131" s="9">
        <v>0.85</v>
      </c>
      <c r="D8131" s="13">
        <f t="shared" ref="D8131:D8194" si="127">B8131+C8131</f>
        <v>0.85</v>
      </c>
    </row>
    <row r="8132" spans="1:4" x14ac:dyDescent="0.25">
      <c r="A8132" s="15">
        <f>Sheet2!A8132</f>
        <v>0</v>
      </c>
      <c r="B8132" s="8">
        <v>0</v>
      </c>
      <c r="C8132" s="9">
        <v>0.46</v>
      </c>
      <c r="D8132" s="13">
        <f t="shared" si="127"/>
        <v>0.46</v>
      </c>
    </row>
    <row r="8133" spans="1:4" x14ac:dyDescent="0.25">
      <c r="A8133" s="15">
        <f>Sheet2!A8133</f>
        <v>0</v>
      </c>
      <c r="B8133" s="8">
        <v>1.78</v>
      </c>
      <c r="C8133" s="9">
        <v>0</v>
      </c>
      <c r="D8133" s="13">
        <f t="shared" si="127"/>
        <v>1.78</v>
      </c>
    </row>
    <row r="8134" spans="1:4" x14ac:dyDescent="0.25">
      <c r="A8134" s="15">
        <f>Sheet2!A8134</f>
        <v>0</v>
      </c>
      <c r="B8134" s="8">
        <v>0</v>
      </c>
      <c r="C8134" s="9">
        <v>0.41</v>
      </c>
      <c r="D8134" s="13">
        <f t="shared" si="127"/>
        <v>0.41</v>
      </c>
    </row>
    <row r="8135" spans="1:4" x14ac:dyDescent="0.25">
      <c r="A8135" s="15">
        <f>Sheet2!A8135</f>
        <v>0</v>
      </c>
      <c r="B8135" s="8">
        <v>1.4</v>
      </c>
      <c r="C8135" s="9">
        <v>0</v>
      </c>
      <c r="D8135" s="13">
        <f t="shared" si="127"/>
        <v>1.4</v>
      </c>
    </row>
    <row r="8136" spans="1:4" x14ac:dyDescent="0.25">
      <c r="A8136" s="15">
        <f>Sheet2!A8136</f>
        <v>0</v>
      </c>
      <c r="B8136" s="8">
        <v>1.21</v>
      </c>
      <c r="C8136" s="9">
        <v>0</v>
      </c>
      <c r="D8136" s="13">
        <f t="shared" si="127"/>
        <v>1.21</v>
      </c>
    </row>
    <row r="8137" spans="1:4" x14ac:dyDescent="0.25">
      <c r="A8137" s="15">
        <f>Sheet2!A8137</f>
        <v>0</v>
      </c>
      <c r="B8137" s="8">
        <v>1.26</v>
      </c>
      <c r="C8137" s="9">
        <v>0</v>
      </c>
      <c r="D8137" s="13">
        <f t="shared" si="127"/>
        <v>1.26</v>
      </c>
    </row>
    <row r="8138" spans="1:4" x14ac:dyDescent="0.25">
      <c r="A8138" s="15">
        <f>Sheet2!A8138</f>
        <v>0</v>
      </c>
      <c r="B8138" s="8">
        <v>1.56</v>
      </c>
      <c r="C8138" s="9">
        <v>0</v>
      </c>
      <c r="D8138" s="13">
        <f t="shared" si="127"/>
        <v>1.56</v>
      </c>
    </row>
    <row r="8139" spans="1:4" x14ac:dyDescent="0.25">
      <c r="A8139" s="15">
        <f>Sheet2!A8139</f>
        <v>0</v>
      </c>
      <c r="B8139" s="8">
        <v>1.33</v>
      </c>
      <c r="C8139" s="9">
        <v>0</v>
      </c>
      <c r="D8139" s="13">
        <f t="shared" si="127"/>
        <v>1.33</v>
      </c>
    </row>
    <row r="8140" spans="1:4" x14ac:dyDescent="0.25">
      <c r="A8140" s="15">
        <f>Sheet2!A8140</f>
        <v>0</v>
      </c>
      <c r="B8140" s="8">
        <v>1.6</v>
      </c>
      <c r="C8140" s="9">
        <v>0</v>
      </c>
      <c r="D8140" s="13">
        <f t="shared" si="127"/>
        <v>1.6</v>
      </c>
    </row>
    <row r="8141" spans="1:4" x14ac:dyDescent="0.25">
      <c r="A8141" s="15">
        <f>Sheet2!A8141</f>
        <v>0</v>
      </c>
      <c r="B8141" s="8">
        <v>1.24</v>
      </c>
      <c r="C8141" s="9">
        <v>0</v>
      </c>
      <c r="D8141" s="13">
        <f t="shared" si="127"/>
        <v>1.24</v>
      </c>
    </row>
    <row r="8142" spans="1:4" x14ac:dyDescent="0.25">
      <c r="A8142" s="15">
        <f>Sheet2!A8142</f>
        <v>0</v>
      </c>
      <c r="B8142" s="8">
        <v>1.39</v>
      </c>
      <c r="C8142" s="9">
        <v>0</v>
      </c>
      <c r="D8142" s="13">
        <f t="shared" si="127"/>
        <v>1.39</v>
      </c>
    </row>
    <row r="8143" spans="1:4" x14ac:dyDescent="0.25">
      <c r="A8143" s="15">
        <f>Sheet2!A8143</f>
        <v>0</v>
      </c>
      <c r="B8143" s="8">
        <v>0.67</v>
      </c>
      <c r="C8143" s="9">
        <v>0</v>
      </c>
      <c r="D8143" s="13">
        <f t="shared" si="127"/>
        <v>0.67</v>
      </c>
    </row>
    <row r="8144" spans="1:4" x14ac:dyDescent="0.25">
      <c r="A8144" s="15">
        <f>Sheet2!A8144</f>
        <v>0</v>
      </c>
      <c r="B8144" s="8">
        <v>0</v>
      </c>
      <c r="C8144" s="9">
        <v>0.21</v>
      </c>
      <c r="D8144" s="13">
        <f t="shared" si="127"/>
        <v>0.21</v>
      </c>
    </row>
    <row r="8145" spans="1:4" x14ac:dyDescent="0.25">
      <c r="A8145" s="15">
        <f>Sheet2!A8145</f>
        <v>0</v>
      </c>
      <c r="B8145" s="8">
        <v>0</v>
      </c>
      <c r="C8145" s="9">
        <v>0.34</v>
      </c>
      <c r="D8145" s="13">
        <f t="shared" si="127"/>
        <v>0.34</v>
      </c>
    </row>
    <row r="8146" spans="1:4" x14ac:dyDescent="0.25">
      <c r="A8146" s="15">
        <f>Sheet2!A8146</f>
        <v>0</v>
      </c>
      <c r="B8146" s="8">
        <v>0.38</v>
      </c>
      <c r="C8146" s="9">
        <v>0</v>
      </c>
      <c r="D8146" s="13">
        <f t="shared" si="127"/>
        <v>0.38</v>
      </c>
    </row>
    <row r="8147" spans="1:4" x14ac:dyDescent="0.25">
      <c r="A8147" s="15">
        <f>Sheet2!A8147</f>
        <v>0</v>
      </c>
      <c r="B8147" s="8">
        <v>0.44</v>
      </c>
      <c r="C8147" s="9">
        <v>0</v>
      </c>
      <c r="D8147" s="13">
        <f t="shared" si="127"/>
        <v>0.44</v>
      </c>
    </row>
    <row r="8148" spans="1:4" x14ac:dyDescent="0.25">
      <c r="A8148" s="15">
        <f>Sheet2!A8148</f>
        <v>0</v>
      </c>
      <c r="B8148" s="8">
        <v>0</v>
      </c>
      <c r="C8148" s="9">
        <v>0.2</v>
      </c>
      <c r="D8148" s="13">
        <f t="shared" si="127"/>
        <v>0.2</v>
      </c>
    </row>
    <row r="8149" spans="1:4" x14ac:dyDescent="0.25">
      <c r="A8149" s="15">
        <f>Sheet2!A8149</f>
        <v>0</v>
      </c>
      <c r="B8149" s="8">
        <v>0</v>
      </c>
      <c r="C8149" s="9">
        <v>0.28999999999999998</v>
      </c>
      <c r="D8149" s="13">
        <f t="shared" si="127"/>
        <v>0.28999999999999998</v>
      </c>
    </row>
    <row r="8150" spans="1:4" x14ac:dyDescent="0.25">
      <c r="A8150" s="15">
        <f>Sheet2!A8150</f>
        <v>0</v>
      </c>
      <c r="B8150" s="8">
        <v>0</v>
      </c>
      <c r="C8150" s="9">
        <v>0.31</v>
      </c>
      <c r="D8150" s="13">
        <f t="shared" si="127"/>
        <v>0.31</v>
      </c>
    </row>
    <row r="8151" spans="1:4" x14ac:dyDescent="0.25">
      <c r="A8151" s="15">
        <f>Sheet2!A8151</f>
        <v>0</v>
      </c>
      <c r="B8151" s="8">
        <v>0.75</v>
      </c>
      <c r="C8151" s="9">
        <v>0</v>
      </c>
      <c r="D8151" s="13">
        <f t="shared" si="127"/>
        <v>0.75</v>
      </c>
    </row>
    <row r="8152" spans="1:4" x14ac:dyDescent="0.25">
      <c r="A8152" s="15">
        <f>Sheet2!A8152</f>
        <v>0</v>
      </c>
      <c r="B8152" s="8">
        <v>0</v>
      </c>
      <c r="C8152" s="9">
        <v>0.72</v>
      </c>
      <c r="D8152" s="13">
        <f t="shared" si="127"/>
        <v>0.72</v>
      </c>
    </row>
    <row r="8153" spans="1:4" x14ac:dyDescent="0.25">
      <c r="A8153" s="15">
        <f>Sheet2!A8153</f>
        <v>0</v>
      </c>
      <c r="B8153" s="8">
        <v>0</v>
      </c>
      <c r="C8153" s="9">
        <v>1.0900000000000001</v>
      </c>
      <c r="D8153" s="13">
        <f t="shared" si="127"/>
        <v>1.0900000000000001</v>
      </c>
    </row>
    <row r="8154" spans="1:4" x14ac:dyDescent="0.25">
      <c r="A8154" s="15">
        <f>Sheet2!A8154</f>
        <v>0</v>
      </c>
      <c r="B8154" s="8">
        <v>0</v>
      </c>
      <c r="C8154" s="9">
        <v>1.06</v>
      </c>
      <c r="D8154" s="13">
        <f t="shared" si="127"/>
        <v>1.06</v>
      </c>
    </row>
    <row r="8155" spans="1:4" x14ac:dyDescent="0.25">
      <c r="A8155" s="15">
        <f>Sheet2!A8155</f>
        <v>0</v>
      </c>
      <c r="B8155" s="8">
        <v>0</v>
      </c>
      <c r="C8155" s="9">
        <v>1.07</v>
      </c>
      <c r="D8155" s="13">
        <f t="shared" si="127"/>
        <v>1.07</v>
      </c>
    </row>
    <row r="8156" spans="1:4" x14ac:dyDescent="0.25">
      <c r="A8156" s="15">
        <f>Sheet2!A8156</f>
        <v>0</v>
      </c>
      <c r="B8156" s="8">
        <v>0</v>
      </c>
      <c r="C8156" s="9">
        <v>0.42</v>
      </c>
      <c r="D8156" s="13">
        <f t="shared" si="127"/>
        <v>0.42</v>
      </c>
    </row>
    <row r="8157" spans="1:4" x14ac:dyDescent="0.25">
      <c r="A8157" s="15">
        <f>Sheet2!A8157</f>
        <v>0</v>
      </c>
      <c r="B8157" s="8">
        <v>1.47</v>
      </c>
      <c r="C8157" s="9">
        <v>0</v>
      </c>
      <c r="D8157" s="13">
        <f t="shared" si="127"/>
        <v>1.47</v>
      </c>
    </row>
    <row r="8158" spans="1:4" x14ac:dyDescent="0.25">
      <c r="A8158" s="15">
        <f>Sheet2!A8158</f>
        <v>0</v>
      </c>
      <c r="B8158" s="8">
        <v>0</v>
      </c>
      <c r="C8158" s="9">
        <v>0.61</v>
      </c>
      <c r="D8158" s="13">
        <f t="shared" si="127"/>
        <v>0.61</v>
      </c>
    </row>
    <row r="8159" spans="1:4" x14ac:dyDescent="0.25">
      <c r="A8159" s="15">
        <f>Sheet2!A8159</f>
        <v>0</v>
      </c>
      <c r="B8159" s="8">
        <v>1.1599999999999999</v>
      </c>
      <c r="C8159" s="9">
        <v>0</v>
      </c>
      <c r="D8159" s="13">
        <f t="shared" si="127"/>
        <v>1.1599999999999999</v>
      </c>
    </row>
    <row r="8160" spans="1:4" x14ac:dyDescent="0.25">
      <c r="A8160" s="15">
        <f>Sheet2!A8160</f>
        <v>0</v>
      </c>
      <c r="B8160" s="8">
        <v>1.2</v>
      </c>
      <c r="C8160" s="9">
        <v>0</v>
      </c>
      <c r="D8160" s="13">
        <f t="shared" si="127"/>
        <v>1.2</v>
      </c>
    </row>
    <row r="8161" spans="1:4" x14ac:dyDescent="0.25">
      <c r="A8161" s="15">
        <f>Sheet2!A8161</f>
        <v>0</v>
      </c>
      <c r="B8161" s="8">
        <v>1.24</v>
      </c>
      <c r="C8161" s="9">
        <v>0</v>
      </c>
      <c r="D8161" s="13">
        <f t="shared" si="127"/>
        <v>1.24</v>
      </c>
    </row>
    <row r="8162" spans="1:4" x14ac:dyDescent="0.25">
      <c r="A8162" s="15">
        <f>Sheet2!A8162</f>
        <v>0</v>
      </c>
      <c r="B8162" s="8">
        <v>0.75</v>
      </c>
      <c r="C8162" s="9">
        <v>0</v>
      </c>
      <c r="D8162" s="13">
        <f t="shared" si="127"/>
        <v>0.75</v>
      </c>
    </row>
    <row r="8163" spans="1:4" x14ac:dyDescent="0.25">
      <c r="A8163" s="15">
        <f>Sheet2!A8163</f>
        <v>0</v>
      </c>
      <c r="B8163" s="8">
        <v>0.96</v>
      </c>
      <c r="C8163" s="9">
        <v>0</v>
      </c>
      <c r="D8163" s="13">
        <f t="shared" si="127"/>
        <v>0.96</v>
      </c>
    </row>
    <row r="8164" spans="1:4" x14ac:dyDescent="0.25">
      <c r="A8164" s="15">
        <f>Sheet2!A8164</f>
        <v>0</v>
      </c>
      <c r="B8164" s="8">
        <v>0.73</v>
      </c>
      <c r="C8164" s="9">
        <v>0</v>
      </c>
      <c r="D8164" s="13">
        <f t="shared" si="127"/>
        <v>0.73</v>
      </c>
    </row>
    <row r="8165" spans="1:4" x14ac:dyDescent="0.25">
      <c r="A8165" s="15">
        <f>Sheet2!A8165</f>
        <v>0</v>
      </c>
      <c r="B8165" s="8">
        <v>1.26</v>
      </c>
      <c r="C8165" s="9">
        <v>0</v>
      </c>
      <c r="D8165" s="13">
        <f t="shared" si="127"/>
        <v>1.26</v>
      </c>
    </row>
    <row r="8166" spans="1:4" x14ac:dyDescent="0.25">
      <c r="A8166" s="15">
        <f>Sheet2!A8166</f>
        <v>0</v>
      </c>
      <c r="B8166" s="8">
        <v>0.64</v>
      </c>
      <c r="C8166" s="9">
        <v>0</v>
      </c>
      <c r="D8166" s="13">
        <f t="shared" si="127"/>
        <v>0.64</v>
      </c>
    </row>
    <row r="8167" spans="1:4" x14ac:dyDescent="0.25">
      <c r="A8167" s="15">
        <f>Sheet2!A8167</f>
        <v>0</v>
      </c>
      <c r="B8167" s="8">
        <v>0.28000000000000003</v>
      </c>
      <c r="C8167" s="9">
        <v>0</v>
      </c>
      <c r="D8167" s="13">
        <f t="shared" si="127"/>
        <v>0.28000000000000003</v>
      </c>
    </row>
    <row r="8168" spans="1:4" x14ac:dyDescent="0.25">
      <c r="A8168" s="15">
        <f>Sheet2!A8168</f>
        <v>0</v>
      </c>
      <c r="B8168" s="8">
        <v>0.56000000000000005</v>
      </c>
      <c r="C8168" s="9">
        <v>0</v>
      </c>
      <c r="D8168" s="13">
        <f t="shared" si="127"/>
        <v>0.56000000000000005</v>
      </c>
    </row>
    <row r="8169" spans="1:4" x14ac:dyDescent="0.25">
      <c r="A8169" s="15">
        <f>Sheet2!A8169</f>
        <v>0</v>
      </c>
      <c r="B8169" s="8">
        <v>0.23</v>
      </c>
      <c r="C8169" s="9">
        <v>0</v>
      </c>
      <c r="D8169" s="13">
        <f t="shared" si="127"/>
        <v>0.23</v>
      </c>
    </row>
    <row r="8170" spans="1:4" x14ac:dyDescent="0.25">
      <c r="A8170" s="15">
        <f>Sheet2!A8170</f>
        <v>0</v>
      </c>
      <c r="B8170" s="8">
        <v>0.13</v>
      </c>
      <c r="C8170" s="9">
        <v>0</v>
      </c>
      <c r="D8170" s="13">
        <f t="shared" si="127"/>
        <v>0.13</v>
      </c>
    </row>
    <row r="8171" spans="1:4" x14ac:dyDescent="0.25">
      <c r="A8171" s="15">
        <f>Sheet2!A8171</f>
        <v>0</v>
      </c>
      <c r="B8171" s="8">
        <v>0</v>
      </c>
      <c r="C8171" s="9">
        <v>0.24</v>
      </c>
      <c r="D8171" s="13">
        <f t="shared" si="127"/>
        <v>0.24</v>
      </c>
    </row>
    <row r="8172" spans="1:4" x14ac:dyDescent="0.25">
      <c r="A8172" s="15">
        <f>Sheet2!A8172</f>
        <v>0</v>
      </c>
      <c r="B8172" s="8">
        <v>0.38</v>
      </c>
      <c r="C8172" s="9">
        <v>0</v>
      </c>
      <c r="D8172" s="13">
        <f t="shared" si="127"/>
        <v>0.38</v>
      </c>
    </row>
    <row r="8173" spans="1:4" x14ac:dyDescent="0.25">
      <c r="A8173" s="15">
        <f>Sheet2!A8173</f>
        <v>0</v>
      </c>
      <c r="B8173" s="8">
        <v>0.83</v>
      </c>
      <c r="C8173" s="9">
        <v>0</v>
      </c>
      <c r="D8173" s="13">
        <f t="shared" si="127"/>
        <v>0.83</v>
      </c>
    </row>
    <row r="8174" spans="1:4" x14ac:dyDescent="0.25">
      <c r="A8174" s="15">
        <f>Sheet2!A8174</f>
        <v>0</v>
      </c>
      <c r="B8174" s="8">
        <v>0</v>
      </c>
      <c r="C8174" s="9">
        <v>0.61</v>
      </c>
      <c r="D8174" s="13">
        <f t="shared" si="127"/>
        <v>0.61</v>
      </c>
    </row>
    <row r="8175" spans="1:4" x14ac:dyDescent="0.25">
      <c r="A8175" s="15">
        <f>Sheet2!A8175</f>
        <v>0</v>
      </c>
      <c r="B8175" s="8">
        <v>0</v>
      </c>
      <c r="C8175" s="9">
        <v>1.2</v>
      </c>
      <c r="D8175" s="13">
        <f t="shared" si="127"/>
        <v>1.2</v>
      </c>
    </row>
    <row r="8176" spans="1:4" x14ac:dyDescent="0.25">
      <c r="A8176" s="15">
        <f>Sheet2!A8176</f>
        <v>0</v>
      </c>
      <c r="B8176" s="8">
        <v>0</v>
      </c>
      <c r="C8176" s="9">
        <v>0.8</v>
      </c>
      <c r="D8176" s="13">
        <f t="shared" si="127"/>
        <v>0.8</v>
      </c>
    </row>
    <row r="8177" spans="1:4" x14ac:dyDescent="0.25">
      <c r="A8177" s="15">
        <f>Sheet2!A8177</f>
        <v>0</v>
      </c>
      <c r="B8177" s="8">
        <v>0.92</v>
      </c>
      <c r="C8177" s="9">
        <v>0</v>
      </c>
      <c r="D8177" s="13">
        <f t="shared" si="127"/>
        <v>0.92</v>
      </c>
    </row>
    <row r="8178" spans="1:4" x14ac:dyDescent="0.25">
      <c r="A8178" s="15">
        <f>Sheet2!A8178</f>
        <v>0</v>
      </c>
      <c r="B8178" s="8">
        <v>0</v>
      </c>
      <c r="C8178" s="9">
        <v>0.61</v>
      </c>
      <c r="D8178" s="13">
        <f t="shared" si="127"/>
        <v>0.61</v>
      </c>
    </row>
    <row r="8179" spans="1:4" x14ac:dyDescent="0.25">
      <c r="A8179" s="15">
        <f>Sheet2!A8179</f>
        <v>0</v>
      </c>
      <c r="B8179" s="8">
        <v>0</v>
      </c>
      <c r="C8179" s="9">
        <v>1.31</v>
      </c>
      <c r="D8179" s="13">
        <f t="shared" si="127"/>
        <v>1.31</v>
      </c>
    </row>
    <row r="8180" spans="1:4" x14ac:dyDescent="0.25">
      <c r="A8180" s="15">
        <f>Sheet2!A8180</f>
        <v>0</v>
      </c>
      <c r="B8180" s="8">
        <v>0</v>
      </c>
      <c r="C8180" s="9">
        <v>1.51</v>
      </c>
      <c r="D8180" s="13">
        <f t="shared" si="127"/>
        <v>1.51</v>
      </c>
    </row>
    <row r="8181" spans="1:4" x14ac:dyDescent="0.25">
      <c r="A8181" s="15">
        <f>Sheet2!A8181</f>
        <v>0</v>
      </c>
      <c r="B8181" s="8">
        <v>0</v>
      </c>
      <c r="C8181" s="9">
        <v>1.5</v>
      </c>
      <c r="D8181" s="13">
        <f t="shared" si="127"/>
        <v>1.5</v>
      </c>
    </row>
    <row r="8182" spans="1:4" x14ac:dyDescent="0.25">
      <c r="A8182" s="15">
        <f>Sheet2!A8182</f>
        <v>0</v>
      </c>
      <c r="B8182" s="8">
        <v>0</v>
      </c>
      <c r="C8182" s="9">
        <v>0.5</v>
      </c>
      <c r="D8182" s="13">
        <f t="shared" si="127"/>
        <v>0.5</v>
      </c>
    </row>
    <row r="8183" spans="1:4" x14ac:dyDescent="0.25">
      <c r="A8183" s="15">
        <f>Sheet2!A8183</f>
        <v>0</v>
      </c>
      <c r="B8183" s="8">
        <v>1.37</v>
      </c>
      <c r="C8183" s="9">
        <v>0</v>
      </c>
      <c r="D8183" s="13">
        <f t="shared" si="127"/>
        <v>1.37</v>
      </c>
    </row>
    <row r="8184" spans="1:4" x14ac:dyDescent="0.25">
      <c r="A8184" s="15">
        <f>Sheet2!A8184</f>
        <v>0</v>
      </c>
      <c r="B8184" s="8">
        <v>1.51</v>
      </c>
      <c r="C8184" s="9">
        <v>0</v>
      </c>
      <c r="D8184" s="13">
        <f t="shared" si="127"/>
        <v>1.51</v>
      </c>
    </row>
    <row r="8185" spans="1:4" x14ac:dyDescent="0.25">
      <c r="A8185" s="15">
        <f>Sheet2!A8185</f>
        <v>0</v>
      </c>
      <c r="B8185" s="8">
        <v>1.19</v>
      </c>
      <c r="C8185" s="9">
        <v>0</v>
      </c>
      <c r="D8185" s="13">
        <f t="shared" si="127"/>
        <v>1.19</v>
      </c>
    </row>
    <row r="8186" spans="1:4" x14ac:dyDescent="0.25">
      <c r="A8186" s="15">
        <f>Sheet2!A8186</f>
        <v>0</v>
      </c>
      <c r="B8186" s="8">
        <v>1.33</v>
      </c>
      <c r="C8186" s="9">
        <v>0</v>
      </c>
      <c r="D8186" s="13">
        <f t="shared" si="127"/>
        <v>1.33</v>
      </c>
    </row>
    <row r="8187" spans="1:4" x14ac:dyDescent="0.25">
      <c r="A8187" s="15">
        <f>Sheet2!A8187</f>
        <v>0</v>
      </c>
      <c r="B8187" s="8">
        <v>1.5</v>
      </c>
      <c r="C8187" s="9">
        <v>0</v>
      </c>
      <c r="D8187" s="13">
        <f t="shared" si="127"/>
        <v>1.5</v>
      </c>
    </row>
    <row r="8188" spans="1:4" x14ac:dyDescent="0.25">
      <c r="A8188" s="15">
        <f>Sheet2!A8188</f>
        <v>0</v>
      </c>
      <c r="B8188" s="8">
        <v>1.1399999999999999</v>
      </c>
      <c r="C8188" s="9">
        <v>0</v>
      </c>
      <c r="D8188" s="13">
        <f t="shared" si="127"/>
        <v>1.1399999999999999</v>
      </c>
    </row>
    <row r="8189" spans="1:4" x14ac:dyDescent="0.25">
      <c r="A8189" s="15">
        <f>Sheet2!A8189</f>
        <v>0</v>
      </c>
      <c r="B8189" s="8">
        <v>1.32</v>
      </c>
      <c r="C8189" s="9">
        <v>0</v>
      </c>
      <c r="D8189" s="13">
        <f t="shared" si="127"/>
        <v>1.32</v>
      </c>
    </row>
    <row r="8190" spans="1:4" x14ac:dyDescent="0.25">
      <c r="A8190" s="15">
        <f>Sheet2!A8190</f>
        <v>0</v>
      </c>
      <c r="B8190" s="8">
        <v>3</v>
      </c>
      <c r="C8190" s="9">
        <v>0</v>
      </c>
      <c r="D8190" s="13">
        <f t="shared" si="127"/>
        <v>3</v>
      </c>
    </row>
    <row r="8191" spans="1:4" x14ac:dyDescent="0.25">
      <c r="A8191" s="15">
        <f>Sheet2!A8191</f>
        <v>0</v>
      </c>
      <c r="B8191" s="8">
        <v>0</v>
      </c>
      <c r="C8191" s="9">
        <v>1.7</v>
      </c>
      <c r="D8191" s="13">
        <f t="shared" si="127"/>
        <v>1.7</v>
      </c>
    </row>
    <row r="8192" spans="1:4" x14ac:dyDescent="0.25">
      <c r="A8192" s="15">
        <f>Sheet2!A8192</f>
        <v>0</v>
      </c>
      <c r="B8192" s="8">
        <v>0</v>
      </c>
      <c r="C8192" s="9">
        <v>0.43</v>
      </c>
      <c r="D8192" s="13">
        <f t="shared" si="127"/>
        <v>0.43</v>
      </c>
    </row>
    <row r="8193" spans="1:4" x14ac:dyDescent="0.25">
      <c r="A8193" s="15">
        <f>Sheet2!A8193</f>
        <v>0</v>
      </c>
      <c r="B8193" s="8">
        <v>1.22</v>
      </c>
      <c r="C8193" s="9">
        <v>0</v>
      </c>
      <c r="D8193" s="13">
        <f t="shared" si="127"/>
        <v>1.22</v>
      </c>
    </row>
    <row r="8194" spans="1:4" x14ac:dyDescent="0.25">
      <c r="A8194" s="15">
        <f>Sheet2!A8194</f>
        <v>0</v>
      </c>
      <c r="B8194" s="8">
        <v>0</v>
      </c>
      <c r="C8194" s="9">
        <v>0.73</v>
      </c>
      <c r="D8194" s="13">
        <f t="shared" si="127"/>
        <v>0.73</v>
      </c>
    </row>
    <row r="8195" spans="1:4" x14ac:dyDescent="0.25">
      <c r="A8195" s="15">
        <f>Sheet2!A8195</f>
        <v>0</v>
      </c>
      <c r="B8195" s="8">
        <v>0</v>
      </c>
      <c r="C8195" s="9">
        <v>1.23</v>
      </c>
      <c r="D8195" s="13">
        <f t="shared" ref="D8195:D8258" si="128">B8195+C8195</f>
        <v>1.23</v>
      </c>
    </row>
    <row r="8196" spans="1:4" x14ac:dyDescent="0.25">
      <c r="A8196" s="15">
        <f>Sheet2!A8196</f>
        <v>0</v>
      </c>
      <c r="B8196" s="8">
        <v>0</v>
      </c>
      <c r="C8196" s="9">
        <v>1.47</v>
      </c>
      <c r="D8196" s="13">
        <f t="shared" si="128"/>
        <v>1.47</v>
      </c>
    </row>
    <row r="8197" spans="1:4" x14ac:dyDescent="0.25">
      <c r="A8197" s="15">
        <f>Sheet2!A8197</f>
        <v>0</v>
      </c>
      <c r="B8197" s="8">
        <v>0</v>
      </c>
      <c r="C8197" s="9">
        <v>0.5</v>
      </c>
      <c r="D8197" s="13">
        <f t="shared" si="128"/>
        <v>0.5</v>
      </c>
    </row>
    <row r="8198" spans="1:4" x14ac:dyDescent="0.25">
      <c r="A8198" s="15">
        <f>Sheet2!A8198</f>
        <v>0</v>
      </c>
      <c r="B8198" s="8">
        <v>0</v>
      </c>
      <c r="C8198" s="9">
        <v>0.91</v>
      </c>
      <c r="D8198" s="13">
        <f t="shared" si="128"/>
        <v>0.91</v>
      </c>
    </row>
    <row r="8199" spans="1:4" x14ac:dyDescent="0.25">
      <c r="A8199" s="15">
        <f>Sheet2!A8199</f>
        <v>0</v>
      </c>
      <c r="B8199" s="8">
        <v>0</v>
      </c>
      <c r="C8199" s="9">
        <v>1.73</v>
      </c>
      <c r="D8199" s="13">
        <f t="shared" si="128"/>
        <v>1.73</v>
      </c>
    </row>
    <row r="8200" spans="1:4" x14ac:dyDescent="0.25">
      <c r="A8200" s="15">
        <f>Sheet2!A8200</f>
        <v>0</v>
      </c>
      <c r="B8200" s="8">
        <v>0</v>
      </c>
      <c r="C8200" s="9">
        <v>2.27</v>
      </c>
      <c r="D8200" s="13">
        <f t="shared" si="128"/>
        <v>2.27</v>
      </c>
    </row>
    <row r="8201" spans="1:4" x14ac:dyDescent="0.25">
      <c r="A8201" s="15">
        <f>Sheet2!A8201</f>
        <v>0</v>
      </c>
      <c r="B8201" s="8">
        <v>0</v>
      </c>
      <c r="C8201" s="9">
        <v>1.72</v>
      </c>
      <c r="D8201" s="13">
        <f t="shared" si="128"/>
        <v>1.72</v>
      </c>
    </row>
    <row r="8202" spans="1:4" x14ac:dyDescent="0.25">
      <c r="A8202" s="15">
        <f>Sheet2!A8202</f>
        <v>0</v>
      </c>
      <c r="B8202" s="8">
        <v>0</v>
      </c>
      <c r="C8202" s="9">
        <v>1.66</v>
      </c>
      <c r="D8202" s="13">
        <f t="shared" si="128"/>
        <v>1.66</v>
      </c>
    </row>
    <row r="8203" spans="1:4" x14ac:dyDescent="0.25">
      <c r="A8203" s="15">
        <f>Sheet2!A8203</f>
        <v>0</v>
      </c>
      <c r="B8203" s="8">
        <v>0</v>
      </c>
      <c r="C8203" s="9">
        <v>0.57999999999999996</v>
      </c>
      <c r="D8203" s="13">
        <f t="shared" si="128"/>
        <v>0.57999999999999996</v>
      </c>
    </row>
    <row r="8204" spans="1:4" x14ac:dyDescent="0.25">
      <c r="A8204" s="15">
        <f>Sheet2!A8204</f>
        <v>0</v>
      </c>
      <c r="B8204" s="8">
        <v>0</v>
      </c>
      <c r="C8204" s="9">
        <v>1.1299999999999999</v>
      </c>
      <c r="D8204" s="13">
        <f t="shared" si="128"/>
        <v>1.1299999999999999</v>
      </c>
    </row>
    <row r="8205" spans="1:4" x14ac:dyDescent="0.25">
      <c r="A8205" s="15">
        <f>Sheet2!A8205</f>
        <v>0</v>
      </c>
      <c r="B8205" s="8">
        <v>0</v>
      </c>
      <c r="C8205" s="9">
        <v>2.81</v>
      </c>
      <c r="D8205" s="13">
        <f t="shared" si="128"/>
        <v>2.81</v>
      </c>
    </row>
    <row r="8206" spans="1:4" x14ac:dyDescent="0.25">
      <c r="A8206" s="15">
        <f>Sheet2!A8206</f>
        <v>0</v>
      </c>
      <c r="B8206" s="8">
        <v>0</v>
      </c>
      <c r="C8206" s="9">
        <v>0.87</v>
      </c>
      <c r="D8206" s="13">
        <f t="shared" si="128"/>
        <v>0.87</v>
      </c>
    </row>
    <row r="8207" spans="1:4" x14ac:dyDescent="0.25">
      <c r="A8207" s="15">
        <f>Sheet2!A8207</f>
        <v>0</v>
      </c>
      <c r="B8207" s="8">
        <v>1.92</v>
      </c>
      <c r="C8207" s="9">
        <v>0</v>
      </c>
      <c r="D8207" s="13">
        <f t="shared" si="128"/>
        <v>1.92</v>
      </c>
    </row>
    <row r="8208" spans="1:4" x14ac:dyDescent="0.25">
      <c r="A8208" s="15">
        <f>Sheet2!A8208</f>
        <v>0</v>
      </c>
      <c r="B8208" s="8">
        <v>2.2999999999999998</v>
      </c>
      <c r="C8208" s="9">
        <v>0</v>
      </c>
      <c r="D8208" s="13">
        <f t="shared" si="128"/>
        <v>2.2999999999999998</v>
      </c>
    </row>
    <row r="8209" spans="1:4" x14ac:dyDescent="0.25">
      <c r="A8209" s="15">
        <f>Sheet2!A8209</f>
        <v>0</v>
      </c>
      <c r="B8209" s="8">
        <v>2.12</v>
      </c>
      <c r="C8209" s="9">
        <v>0</v>
      </c>
      <c r="D8209" s="13">
        <f t="shared" si="128"/>
        <v>2.12</v>
      </c>
    </row>
    <row r="8210" spans="1:4" x14ac:dyDescent="0.25">
      <c r="A8210" s="15">
        <f>Sheet2!A8210</f>
        <v>0</v>
      </c>
      <c r="B8210" s="8">
        <v>2.4500000000000002</v>
      </c>
      <c r="C8210" s="9">
        <v>0</v>
      </c>
      <c r="D8210" s="13">
        <f t="shared" si="128"/>
        <v>2.4500000000000002</v>
      </c>
    </row>
    <row r="8211" spans="1:4" x14ac:dyDescent="0.25">
      <c r="A8211" s="15">
        <f>Sheet2!A8211</f>
        <v>0</v>
      </c>
      <c r="B8211" s="8">
        <v>1.93</v>
      </c>
      <c r="C8211" s="9">
        <v>0</v>
      </c>
      <c r="D8211" s="13">
        <f t="shared" si="128"/>
        <v>1.93</v>
      </c>
    </row>
    <row r="8212" spans="1:4" x14ac:dyDescent="0.25">
      <c r="A8212" s="15">
        <f>Sheet2!A8212</f>
        <v>0</v>
      </c>
      <c r="B8212" s="8">
        <v>2.14</v>
      </c>
      <c r="C8212" s="9">
        <v>0</v>
      </c>
      <c r="D8212" s="13">
        <f t="shared" si="128"/>
        <v>2.14</v>
      </c>
    </row>
    <row r="8213" spans="1:4" x14ac:dyDescent="0.25">
      <c r="A8213" s="15">
        <f>Sheet2!A8213</f>
        <v>0</v>
      </c>
      <c r="B8213" s="8">
        <v>1</v>
      </c>
      <c r="C8213" s="9">
        <v>0</v>
      </c>
      <c r="D8213" s="13">
        <f t="shared" si="128"/>
        <v>1</v>
      </c>
    </row>
    <row r="8214" spans="1:4" x14ac:dyDescent="0.25">
      <c r="A8214" s="15">
        <f>Sheet2!A8214</f>
        <v>0</v>
      </c>
      <c r="B8214" s="8">
        <v>0</v>
      </c>
      <c r="C8214" s="9">
        <v>0.68</v>
      </c>
      <c r="D8214" s="13">
        <f t="shared" si="128"/>
        <v>0.68</v>
      </c>
    </row>
    <row r="8215" spans="1:4" x14ac:dyDescent="0.25">
      <c r="A8215" s="15">
        <f>Sheet2!A8215</f>
        <v>0</v>
      </c>
      <c r="B8215" s="8">
        <v>2.29</v>
      </c>
      <c r="C8215" s="9">
        <v>0</v>
      </c>
      <c r="D8215" s="13">
        <f t="shared" si="128"/>
        <v>2.29</v>
      </c>
    </row>
    <row r="8216" spans="1:4" x14ac:dyDescent="0.25">
      <c r="A8216" s="15">
        <f>Sheet2!A8216</f>
        <v>0</v>
      </c>
      <c r="B8216" s="8">
        <v>0</v>
      </c>
      <c r="C8216" s="9">
        <v>0.84</v>
      </c>
      <c r="D8216" s="13">
        <f t="shared" si="128"/>
        <v>0.84</v>
      </c>
    </row>
    <row r="8217" spans="1:4" x14ac:dyDescent="0.25">
      <c r="A8217" s="15">
        <f>Sheet2!A8217</f>
        <v>0</v>
      </c>
      <c r="B8217" s="8">
        <v>0</v>
      </c>
      <c r="C8217" s="9">
        <v>1.87</v>
      </c>
      <c r="D8217" s="13">
        <f t="shared" si="128"/>
        <v>1.87</v>
      </c>
    </row>
    <row r="8218" spans="1:4" x14ac:dyDescent="0.25">
      <c r="A8218" s="15">
        <f>Sheet2!A8218</f>
        <v>0</v>
      </c>
      <c r="B8218" s="8">
        <v>0</v>
      </c>
      <c r="C8218" s="9">
        <v>1.47</v>
      </c>
      <c r="D8218" s="13">
        <f t="shared" si="128"/>
        <v>1.47</v>
      </c>
    </row>
    <row r="8219" spans="1:4" x14ac:dyDescent="0.25">
      <c r="A8219" s="15">
        <f>Sheet2!A8219</f>
        <v>0</v>
      </c>
      <c r="B8219" s="8">
        <v>0</v>
      </c>
      <c r="C8219" s="9">
        <v>0.84</v>
      </c>
      <c r="D8219" s="13">
        <f t="shared" si="128"/>
        <v>0.84</v>
      </c>
    </row>
    <row r="8220" spans="1:4" x14ac:dyDescent="0.25">
      <c r="A8220" s="15">
        <f>Sheet2!A8220</f>
        <v>0</v>
      </c>
      <c r="B8220" s="8">
        <v>0</v>
      </c>
      <c r="C8220" s="9">
        <v>0.71</v>
      </c>
      <c r="D8220" s="13">
        <f t="shared" si="128"/>
        <v>0.71</v>
      </c>
    </row>
    <row r="8221" spans="1:4" x14ac:dyDescent="0.25">
      <c r="A8221" s="15">
        <f>Sheet2!A8221</f>
        <v>0</v>
      </c>
      <c r="B8221" s="8">
        <v>0</v>
      </c>
      <c r="C8221" s="9">
        <v>1.01</v>
      </c>
      <c r="D8221" s="13">
        <f t="shared" si="128"/>
        <v>1.01</v>
      </c>
    </row>
    <row r="8222" spans="1:4" x14ac:dyDescent="0.25">
      <c r="A8222" s="15">
        <f>Sheet2!A8222</f>
        <v>0</v>
      </c>
      <c r="B8222" s="8">
        <v>0</v>
      </c>
      <c r="C8222" s="9">
        <v>0.99</v>
      </c>
      <c r="D8222" s="13">
        <f t="shared" si="128"/>
        <v>0.99</v>
      </c>
    </row>
    <row r="8223" spans="1:4" x14ac:dyDescent="0.25">
      <c r="A8223" s="15">
        <f>Sheet2!A8223</f>
        <v>0</v>
      </c>
      <c r="B8223" s="8">
        <v>0</v>
      </c>
      <c r="C8223" s="9">
        <v>1.43</v>
      </c>
      <c r="D8223" s="13">
        <f t="shared" si="128"/>
        <v>1.43</v>
      </c>
    </row>
    <row r="8224" spans="1:4" x14ac:dyDescent="0.25">
      <c r="A8224" s="15">
        <f>Sheet2!A8224</f>
        <v>0</v>
      </c>
      <c r="B8224" s="8">
        <v>0</v>
      </c>
      <c r="C8224" s="9">
        <v>2.15</v>
      </c>
      <c r="D8224" s="13">
        <f t="shared" si="128"/>
        <v>2.15</v>
      </c>
    </row>
    <row r="8225" spans="1:4" x14ac:dyDescent="0.25">
      <c r="A8225" s="15">
        <f>Sheet2!A8225</f>
        <v>0</v>
      </c>
      <c r="B8225" s="8">
        <v>0</v>
      </c>
      <c r="C8225" s="9">
        <v>2.66</v>
      </c>
      <c r="D8225" s="13">
        <f t="shared" si="128"/>
        <v>2.66</v>
      </c>
    </row>
    <row r="8226" spans="1:4" x14ac:dyDescent="0.25">
      <c r="A8226" s="15">
        <f>Sheet2!A8226</f>
        <v>0</v>
      </c>
      <c r="B8226" s="8">
        <v>0</v>
      </c>
      <c r="C8226" s="9">
        <v>2.35</v>
      </c>
      <c r="D8226" s="13">
        <f t="shared" si="128"/>
        <v>2.35</v>
      </c>
    </row>
    <row r="8227" spans="1:4" x14ac:dyDescent="0.25">
      <c r="A8227" s="15">
        <f>Sheet2!A8227</f>
        <v>0</v>
      </c>
      <c r="B8227" s="8">
        <v>0</v>
      </c>
      <c r="C8227" s="9">
        <v>2.16</v>
      </c>
      <c r="D8227" s="13">
        <f t="shared" si="128"/>
        <v>2.16</v>
      </c>
    </row>
    <row r="8228" spans="1:4" x14ac:dyDescent="0.25">
      <c r="A8228" s="15">
        <f>Sheet2!A8228</f>
        <v>0</v>
      </c>
      <c r="B8228" s="8">
        <v>0</v>
      </c>
      <c r="C8228" s="9">
        <v>0.67</v>
      </c>
      <c r="D8228" s="13">
        <f t="shared" si="128"/>
        <v>0.67</v>
      </c>
    </row>
    <row r="8229" spans="1:4" x14ac:dyDescent="0.25">
      <c r="A8229" s="15">
        <f>Sheet2!A8229</f>
        <v>0</v>
      </c>
      <c r="B8229" s="8">
        <v>0</v>
      </c>
      <c r="C8229" s="9">
        <v>0.93</v>
      </c>
      <c r="D8229" s="13">
        <f t="shared" si="128"/>
        <v>0.93</v>
      </c>
    </row>
    <row r="8230" spans="1:4" x14ac:dyDescent="0.25">
      <c r="A8230" s="15">
        <f>Sheet2!A8230</f>
        <v>0</v>
      </c>
      <c r="B8230" s="8">
        <v>0</v>
      </c>
      <c r="C8230" s="9">
        <v>1.63</v>
      </c>
      <c r="D8230" s="13">
        <f t="shared" si="128"/>
        <v>1.63</v>
      </c>
    </row>
    <row r="8231" spans="1:4" x14ac:dyDescent="0.25">
      <c r="A8231" s="15">
        <f>Sheet2!A8231</f>
        <v>0</v>
      </c>
      <c r="B8231" s="8">
        <v>0</v>
      </c>
      <c r="C8231" s="9">
        <v>1.77</v>
      </c>
      <c r="D8231" s="13">
        <f t="shared" si="128"/>
        <v>1.77</v>
      </c>
    </row>
    <row r="8232" spans="1:4" x14ac:dyDescent="0.25">
      <c r="A8232" s="15">
        <f>Sheet2!A8232</f>
        <v>0</v>
      </c>
      <c r="B8232" s="8">
        <v>0</v>
      </c>
      <c r="C8232" s="9">
        <v>0.97</v>
      </c>
      <c r="D8232" s="13">
        <f t="shared" si="128"/>
        <v>0.97</v>
      </c>
    </row>
    <row r="8233" spans="1:4" x14ac:dyDescent="0.25">
      <c r="A8233" s="15">
        <f>Sheet2!A8233</f>
        <v>0</v>
      </c>
      <c r="B8233" s="8">
        <v>2.2200000000000002</v>
      </c>
      <c r="C8233" s="9">
        <v>0</v>
      </c>
      <c r="D8233" s="13">
        <f t="shared" si="128"/>
        <v>2.2200000000000002</v>
      </c>
    </row>
    <row r="8234" spans="1:4" x14ac:dyDescent="0.25">
      <c r="A8234" s="15">
        <f>Sheet2!A8234</f>
        <v>0</v>
      </c>
      <c r="B8234" s="8">
        <v>2.2400000000000002</v>
      </c>
      <c r="C8234" s="9">
        <v>0</v>
      </c>
      <c r="D8234" s="13">
        <f t="shared" si="128"/>
        <v>2.2400000000000002</v>
      </c>
    </row>
    <row r="8235" spans="1:4" x14ac:dyDescent="0.25">
      <c r="A8235" s="15">
        <f>Sheet2!A8235</f>
        <v>0</v>
      </c>
      <c r="B8235" s="8">
        <v>2.0099999999999998</v>
      </c>
      <c r="C8235" s="9">
        <v>0</v>
      </c>
      <c r="D8235" s="13">
        <f t="shared" si="128"/>
        <v>2.0099999999999998</v>
      </c>
    </row>
    <row r="8236" spans="1:4" x14ac:dyDescent="0.25">
      <c r="A8236" s="15">
        <f>Sheet2!A8236</f>
        <v>0</v>
      </c>
      <c r="B8236" s="8">
        <v>2.11</v>
      </c>
      <c r="C8236" s="9">
        <v>0</v>
      </c>
      <c r="D8236" s="13">
        <f t="shared" si="128"/>
        <v>2.11</v>
      </c>
    </row>
    <row r="8237" spans="1:4" x14ac:dyDescent="0.25">
      <c r="A8237" s="15">
        <f>Sheet2!A8237</f>
        <v>0</v>
      </c>
      <c r="B8237" s="8">
        <v>2.13</v>
      </c>
      <c r="C8237" s="9">
        <v>0</v>
      </c>
      <c r="D8237" s="13">
        <f t="shared" si="128"/>
        <v>2.13</v>
      </c>
    </row>
    <row r="8238" spans="1:4" x14ac:dyDescent="0.25">
      <c r="A8238" s="15">
        <f>Sheet2!A8238</f>
        <v>0</v>
      </c>
      <c r="B8238" s="8">
        <v>0</v>
      </c>
      <c r="C8238" s="9">
        <v>1.08</v>
      </c>
      <c r="D8238" s="13">
        <f t="shared" si="128"/>
        <v>1.08</v>
      </c>
    </row>
    <row r="8239" spans="1:4" x14ac:dyDescent="0.25">
      <c r="A8239" s="15">
        <f>Sheet2!A8239</f>
        <v>0</v>
      </c>
      <c r="B8239" s="8">
        <v>2.2999999999999998</v>
      </c>
      <c r="C8239" s="9">
        <v>0</v>
      </c>
      <c r="D8239" s="13">
        <f t="shared" si="128"/>
        <v>2.2999999999999998</v>
      </c>
    </row>
    <row r="8240" spans="1:4" x14ac:dyDescent="0.25">
      <c r="A8240" s="15">
        <f>Sheet2!A8240</f>
        <v>0</v>
      </c>
      <c r="B8240" s="8">
        <v>0</v>
      </c>
      <c r="C8240" s="9">
        <v>1.28</v>
      </c>
      <c r="D8240" s="13">
        <f t="shared" si="128"/>
        <v>1.28</v>
      </c>
    </row>
    <row r="8241" spans="1:4" x14ac:dyDescent="0.25">
      <c r="A8241" s="15">
        <f>Sheet2!A8241</f>
        <v>0</v>
      </c>
      <c r="B8241" s="8">
        <v>0</v>
      </c>
      <c r="C8241" s="9">
        <v>1.97</v>
      </c>
      <c r="D8241" s="13">
        <f t="shared" si="128"/>
        <v>1.97</v>
      </c>
    </row>
    <row r="8242" spans="1:4" x14ac:dyDescent="0.25">
      <c r="A8242" s="15">
        <f>Sheet2!A8242</f>
        <v>0</v>
      </c>
      <c r="B8242" s="8">
        <v>0</v>
      </c>
      <c r="C8242" s="9">
        <v>1.55</v>
      </c>
      <c r="D8242" s="13">
        <f t="shared" si="128"/>
        <v>1.55</v>
      </c>
    </row>
    <row r="8243" spans="1:4" x14ac:dyDescent="0.25">
      <c r="A8243" s="15">
        <f>Sheet2!A8243</f>
        <v>0</v>
      </c>
      <c r="B8243" s="8">
        <v>0</v>
      </c>
      <c r="C8243" s="9">
        <v>1.55</v>
      </c>
      <c r="D8243" s="13">
        <f t="shared" si="128"/>
        <v>1.55</v>
      </c>
    </row>
    <row r="8244" spans="1:4" x14ac:dyDescent="0.25">
      <c r="A8244" s="15">
        <f>Sheet2!A8244</f>
        <v>0</v>
      </c>
      <c r="B8244" s="8">
        <v>0</v>
      </c>
      <c r="C8244" s="9">
        <v>0.51</v>
      </c>
      <c r="D8244" s="13">
        <f t="shared" si="128"/>
        <v>0.51</v>
      </c>
    </row>
    <row r="8245" spans="1:4" x14ac:dyDescent="0.25">
      <c r="A8245" s="15">
        <f>Sheet2!A8245</f>
        <v>0</v>
      </c>
      <c r="B8245" s="8">
        <v>0</v>
      </c>
      <c r="C8245" s="9">
        <v>0.99</v>
      </c>
      <c r="D8245" s="13">
        <f t="shared" si="128"/>
        <v>0.99</v>
      </c>
    </row>
    <row r="8246" spans="1:4" x14ac:dyDescent="0.25">
      <c r="A8246" s="15">
        <f>Sheet2!A8246</f>
        <v>0</v>
      </c>
      <c r="B8246" s="8">
        <v>0</v>
      </c>
      <c r="C8246" s="9">
        <v>1.77</v>
      </c>
      <c r="D8246" s="13">
        <f t="shared" si="128"/>
        <v>1.77</v>
      </c>
    </row>
    <row r="8247" spans="1:4" x14ac:dyDescent="0.25">
      <c r="A8247" s="15">
        <f>Sheet2!A8247</f>
        <v>0</v>
      </c>
      <c r="B8247" s="8">
        <v>0</v>
      </c>
      <c r="C8247" s="9">
        <v>1.76</v>
      </c>
      <c r="D8247" s="13">
        <f t="shared" si="128"/>
        <v>1.76</v>
      </c>
    </row>
    <row r="8248" spans="1:4" x14ac:dyDescent="0.25">
      <c r="A8248" s="15">
        <f>Sheet2!A8248</f>
        <v>0</v>
      </c>
      <c r="B8248" s="8">
        <v>0</v>
      </c>
      <c r="C8248" s="9">
        <v>1.52</v>
      </c>
      <c r="D8248" s="13">
        <f t="shared" si="128"/>
        <v>1.52</v>
      </c>
    </row>
    <row r="8249" spans="1:4" x14ac:dyDescent="0.25">
      <c r="A8249" s="15">
        <f>Sheet2!A8249</f>
        <v>0</v>
      </c>
      <c r="B8249" s="8">
        <v>0</v>
      </c>
      <c r="C8249" s="9">
        <v>1.43</v>
      </c>
      <c r="D8249" s="13">
        <f t="shared" si="128"/>
        <v>1.43</v>
      </c>
    </row>
    <row r="8250" spans="1:4" x14ac:dyDescent="0.25">
      <c r="A8250" s="15">
        <f>Sheet2!A8250</f>
        <v>0</v>
      </c>
      <c r="B8250" s="8">
        <v>0</v>
      </c>
      <c r="C8250" s="9">
        <v>0.65</v>
      </c>
      <c r="D8250" s="13">
        <f t="shared" si="128"/>
        <v>0.65</v>
      </c>
    </row>
    <row r="8251" spans="1:4" x14ac:dyDescent="0.25">
      <c r="A8251" s="15">
        <f>Sheet2!A8251</f>
        <v>0</v>
      </c>
      <c r="B8251" s="8">
        <v>0</v>
      </c>
      <c r="C8251" s="9">
        <v>0.86</v>
      </c>
      <c r="D8251" s="13">
        <f t="shared" si="128"/>
        <v>0.86</v>
      </c>
    </row>
    <row r="8252" spans="1:4" x14ac:dyDescent="0.25">
      <c r="A8252" s="15">
        <f>Sheet2!A8252</f>
        <v>0</v>
      </c>
      <c r="B8252" s="8">
        <v>0</v>
      </c>
      <c r="C8252" s="9">
        <v>1.33</v>
      </c>
      <c r="D8252" s="13">
        <f t="shared" si="128"/>
        <v>1.33</v>
      </c>
    </row>
    <row r="8253" spans="1:4" x14ac:dyDescent="0.25">
      <c r="A8253" s="15">
        <f>Sheet2!A8253</f>
        <v>0</v>
      </c>
      <c r="B8253" s="8">
        <v>0</v>
      </c>
      <c r="C8253" s="9">
        <v>1.81</v>
      </c>
      <c r="D8253" s="13">
        <f t="shared" si="128"/>
        <v>1.81</v>
      </c>
    </row>
    <row r="8254" spans="1:4" x14ac:dyDescent="0.25">
      <c r="A8254" s="15">
        <f>Sheet2!A8254</f>
        <v>0</v>
      </c>
      <c r="B8254" s="8">
        <v>0</v>
      </c>
      <c r="C8254" s="9">
        <v>0.92</v>
      </c>
      <c r="D8254" s="13">
        <f t="shared" si="128"/>
        <v>0.92</v>
      </c>
    </row>
    <row r="8255" spans="1:4" x14ac:dyDescent="0.25">
      <c r="A8255" s="15">
        <f>Sheet2!A8255</f>
        <v>0</v>
      </c>
      <c r="B8255" s="8">
        <v>3.08</v>
      </c>
      <c r="C8255" s="9">
        <v>0</v>
      </c>
      <c r="D8255" s="13">
        <f t="shared" si="128"/>
        <v>3.08</v>
      </c>
    </row>
    <row r="8256" spans="1:4" x14ac:dyDescent="0.25">
      <c r="A8256" s="15">
        <f>Sheet2!A8256</f>
        <v>0</v>
      </c>
      <c r="B8256" s="8">
        <v>1.72</v>
      </c>
      <c r="C8256" s="9">
        <v>0</v>
      </c>
      <c r="D8256" s="13">
        <f t="shared" si="128"/>
        <v>1.72</v>
      </c>
    </row>
    <row r="8257" spans="1:4" x14ac:dyDescent="0.25">
      <c r="A8257" s="15">
        <f>Sheet2!A8257</f>
        <v>0</v>
      </c>
      <c r="B8257" s="8">
        <v>1.65</v>
      </c>
      <c r="C8257" s="9">
        <v>0</v>
      </c>
      <c r="D8257" s="13">
        <f t="shared" si="128"/>
        <v>1.65</v>
      </c>
    </row>
    <row r="8258" spans="1:4" x14ac:dyDescent="0.25">
      <c r="A8258" s="15">
        <f>Sheet2!A8258</f>
        <v>0</v>
      </c>
      <c r="B8258" s="8">
        <v>2.19</v>
      </c>
      <c r="C8258" s="9">
        <v>0</v>
      </c>
      <c r="D8258" s="13">
        <f t="shared" si="128"/>
        <v>2.19</v>
      </c>
    </row>
    <row r="8259" spans="1:4" x14ac:dyDescent="0.25">
      <c r="A8259" s="15">
        <f>Sheet2!A8259</f>
        <v>0</v>
      </c>
      <c r="B8259" s="8">
        <v>2.11</v>
      </c>
      <c r="C8259" s="9">
        <v>0</v>
      </c>
      <c r="D8259" s="13">
        <f t="shared" ref="D8259:D8322" si="129">B8259+C8259</f>
        <v>2.11</v>
      </c>
    </row>
    <row r="8260" spans="1:4" x14ac:dyDescent="0.25">
      <c r="A8260" s="15">
        <f>Sheet2!A8260</f>
        <v>0</v>
      </c>
      <c r="B8260" s="8">
        <v>1.86</v>
      </c>
      <c r="C8260" s="9">
        <v>0</v>
      </c>
      <c r="D8260" s="13">
        <f t="shared" si="129"/>
        <v>1.86</v>
      </c>
    </row>
    <row r="8261" spans="1:4" x14ac:dyDescent="0.25">
      <c r="A8261" s="15">
        <f>Sheet2!A8261</f>
        <v>0</v>
      </c>
      <c r="B8261" s="8">
        <v>0</v>
      </c>
      <c r="C8261" s="9">
        <v>1.27</v>
      </c>
      <c r="D8261" s="13">
        <f t="shared" si="129"/>
        <v>1.27</v>
      </c>
    </row>
    <row r="8262" spans="1:4" x14ac:dyDescent="0.25">
      <c r="A8262" s="15">
        <f>Sheet2!A8262</f>
        <v>0</v>
      </c>
      <c r="B8262" s="8">
        <v>0</v>
      </c>
      <c r="C8262" s="9">
        <v>0.64</v>
      </c>
      <c r="D8262" s="13">
        <f t="shared" si="129"/>
        <v>0.64</v>
      </c>
    </row>
    <row r="8263" spans="1:4" x14ac:dyDescent="0.25">
      <c r="A8263" s="15">
        <f>Sheet2!A8263</f>
        <v>0</v>
      </c>
      <c r="B8263" s="8">
        <v>1.0900000000000001</v>
      </c>
      <c r="C8263" s="9">
        <v>0</v>
      </c>
      <c r="D8263" s="13">
        <f t="shared" si="129"/>
        <v>1.0900000000000001</v>
      </c>
    </row>
    <row r="8264" spans="1:4" x14ac:dyDescent="0.25">
      <c r="A8264" s="15">
        <f>Sheet2!A8264</f>
        <v>0</v>
      </c>
      <c r="B8264" s="8">
        <v>0</v>
      </c>
      <c r="C8264" s="9">
        <v>0.48</v>
      </c>
      <c r="D8264" s="13">
        <f t="shared" si="129"/>
        <v>0.48</v>
      </c>
    </row>
    <row r="8265" spans="1:4" x14ac:dyDescent="0.25">
      <c r="A8265" s="15">
        <f>Sheet2!A8265</f>
        <v>0</v>
      </c>
      <c r="B8265" s="8">
        <v>0</v>
      </c>
      <c r="C8265" s="9">
        <v>0.8</v>
      </c>
      <c r="D8265" s="13">
        <f t="shared" si="129"/>
        <v>0.8</v>
      </c>
    </row>
    <row r="8266" spans="1:4" x14ac:dyDescent="0.25">
      <c r="A8266" s="15">
        <f>Sheet2!A8266</f>
        <v>0</v>
      </c>
      <c r="B8266" s="8">
        <v>0</v>
      </c>
      <c r="C8266" s="9">
        <v>0.38</v>
      </c>
      <c r="D8266" s="13">
        <f t="shared" si="129"/>
        <v>0.38</v>
      </c>
    </row>
    <row r="8267" spans="1:4" x14ac:dyDescent="0.25">
      <c r="A8267" s="15">
        <f>Sheet2!A8267</f>
        <v>0</v>
      </c>
      <c r="B8267" s="8">
        <v>0.96</v>
      </c>
      <c r="C8267" s="9">
        <v>0</v>
      </c>
      <c r="D8267" s="13">
        <f t="shared" si="129"/>
        <v>0.96</v>
      </c>
    </row>
    <row r="8268" spans="1:4" x14ac:dyDescent="0.25">
      <c r="A8268" s="15">
        <f>Sheet2!A8268</f>
        <v>0</v>
      </c>
      <c r="B8268" s="8">
        <v>0</v>
      </c>
      <c r="C8268" s="9">
        <v>0.5</v>
      </c>
      <c r="D8268" s="13">
        <f t="shared" si="129"/>
        <v>0.5</v>
      </c>
    </row>
    <row r="8269" spans="1:4" x14ac:dyDescent="0.25">
      <c r="A8269" s="15">
        <f>Sheet2!A8269</f>
        <v>0</v>
      </c>
      <c r="B8269" s="8">
        <v>0</v>
      </c>
      <c r="C8269" s="9">
        <v>1.23</v>
      </c>
      <c r="D8269" s="13">
        <f t="shared" si="129"/>
        <v>1.23</v>
      </c>
    </row>
    <row r="8270" spans="1:4" x14ac:dyDescent="0.25">
      <c r="A8270" s="15">
        <f>Sheet2!A8270</f>
        <v>0</v>
      </c>
      <c r="B8270" s="8">
        <v>0</v>
      </c>
      <c r="C8270" s="9">
        <v>1.59</v>
      </c>
      <c r="D8270" s="13">
        <f t="shared" si="129"/>
        <v>1.59</v>
      </c>
    </row>
    <row r="8271" spans="1:4" x14ac:dyDescent="0.25">
      <c r="A8271" s="15">
        <f>Sheet2!A8271</f>
        <v>0</v>
      </c>
      <c r="B8271" s="8">
        <v>0</v>
      </c>
      <c r="C8271" s="9">
        <v>1.55</v>
      </c>
      <c r="D8271" s="13">
        <f t="shared" si="129"/>
        <v>1.55</v>
      </c>
    </row>
    <row r="8272" spans="1:4" x14ac:dyDescent="0.25">
      <c r="A8272" s="15">
        <f>Sheet2!A8272</f>
        <v>0</v>
      </c>
      <c r="B8272" s="8">
        <v>0</v>
      </c>
      <c r="C8272" s="9">
        <v>0.8</v>
      </c>
      <c r="D8272" s="13">
        <f t="shared" si="129"/>
        <v>0.8</v>
      </c>
    </row>
    <row r="8273" spans="1:4" x14ac:dyDescent="0.25">
      <c r="A8273" s="15">
        <f>Sheet2!A8273</f>
        <v>0</v>
      </c>
      <c r="B8273" s="8">
        <v>0</v>
      </c>
      <c r="C8273" s="9">
        <v>0.92</v>
      </c>
      <c r="D8273" s="13">
        <f t="shared" si="129"/>
        <v>0.92</v>
      </c>
    </row>
    <row r="8274" spans="1:4" x14ac:dyDescent="0.25">
      <c r="A8274" s="15">
        <f>Sheet2!A8274</f>
        <v>0</v>
      </c>
      <c r="B8274" s="8">
        <v>0</v>
      </c>
      <c r="C8274" s="9">
        <v>1.84</v>
      </c>
      <c r="D8274" s="13">
        <f t="shared" si="129"/>
        <v>1.84</v>
      </c>
    </row>
    <row r="8275" spans="1:4" x14ac:dyDescent="0.25">
      <c r="A8275" s="15">
        <f>Sheet2!A8275</f>
        <v>0</v>
      </c>
      <c r="B8275" s="8">
        <v>0</v>
      </c>
      <c r="C8275" s="9">
        <v>1.88</v>
      </c>
      <c r="D8275" s="13">
        <f t="shared" si="129"/>
        <v>1.88</v>
      </c>
    </row>
    <row r="8276" spans="1:4" x14ac:dyDescent="0.25">
      <c r="A8276" s="15">
        <f>Sheet2!A8276</f>
        <v>0</v>
      </c>
      <c r="B8276" s="8">
        <v>0</v>
      </c>
      <c r="C8276" s="9">
        <v>0.49</v>
      </c>
      <c r="D8276" s="13">
        <f t="shared" si="129"/>
        <v>0.49</v>
      </c>
    </row>
    <row r="8277" spans="1:4" x14ac:dyDescent="0.25">
      <c r="A8277" s="15">
        <f>Sheet2!A8277</f>
        <v>0</v>
      </c>
      <c r="B8277" s="8">
        <v>0</v>
      </c>
      <c r="C8277" s="9">
        <v>0.94</v>
      </c>
      <c r="D8277" s="13">
        <f t="shared" si="129"/>
        <v>0.94</v>
      </c>
    </row>
    <row r="8278" spans="1:4" x14ac:dyDescent="0.25">
      <c r="A8278" s="15">
        <f>Sheet2!A8278</f>
        <v>0</v>
      </c>
      <c r="B8278" s="8">
        <v>0</v>
      </c>
      <c r="C8278" s="9">
        <v>1.84</v>
      </c>
      <c r="D8278" s="13">
        <f t="shared" si="129"/>
        <v>1.84</v>
      </c>
    </row>
    <row r="8279" spans="1:4" x14ac:dyDescent="0.25">
      <c r="A8279" s="15">
        <f>Sheet2!A8279</f>
        <v>0</v>
      </c>
      <c r="B8279" s="8">
        <v>0</v>
      </c>
      <c r="C8279" s="9">
        <v>1.47</v>
      </c>
      <c r="D8279" s="13">
        <f t="shared" si="129"/>
        <v>1.47</v>
      </c>
    </row>
    <row r="8280" spans="1:4" x14ac:dyDescent="0.25">
      <c r="A8280" s="15">
        <f>Sheet2!A8280</f>
        <v>0</v>
      </c>
      <c r="B8280" s="8">
        <v>2</v>
      </c>
      <c r="C8280" s="9">
        <v>0</v>
      </c>
      <c r="D8280" s="13">
        <f t="shared" si="129"/>
        <v>2</v>
      </c>
    </row>
    <row r="8281" spans="1:4" x14ac:dyDescent="0.25">
      <c r="A8281" s="15">
        <f>Sheet2!A8281</f>
        <v>0</v>
      </c>
      <c r="B8281" s="8">
        <v>2.14</v>
      </c>
      <c r="C8281" s="9">
        <v>0</v>
      </c>
      <c r="D8281" s="13">
        <f t="shared" si="129"/>
        <v>2.14</v>
      </c>
    </row>
    <row r="8282" spans="1:4" x14ac:dyDescent="0.25">
      <c r="A8282" s="15">
        <f>Sheet2!A8282</f>
        <v>0</v>
      </c>
      <c r="B8282" s="8">
        <v>1.75</v>
      </c>
      <c r="C8282" s="9">
        <v>0</v>
      </c>
      <c r="D8282" s="13">
        <f t="shared" si="129"/>
        <v>1.75</v>
      </c>
    </row>
    <row r="8283" spans="1:4" x14ac:dyDescent="0.25">
      <c r="A8283" s="15">
        <f>Sheet2!A8283</f>
        <v>0</v>
      </c>
      <c r="B8283" s="8">
        <v>2.06</v>
      </c>
      <c r="C8283" s="9">
        <v>0</v>
      </c>
      <c r="D8283" s="13">
        <f t="shared" si="129"/>
        <v>2.06</v>
      </c>
    </row>
    <row r="8284" spans="1:4" x14ac:dyDescent="0.25">
      <c r="A8284" s="15">
        <f>Sheet2!A8284</f>
        <v>0</v>
      </c>
      <c r="B8284" s="8">
        <v>1.97</v>
      </c>
      <c r="C8284" s="9">
        <v>0</v>
      </c>
      <c r="D8284" s="13">
        <f t="shared" si="129"/>
        <v>1.97</v>
      </c>
    </row>
    <row r="8285" spans="1:4" x14ac:dyDescent="0.25">
      <c r="A8285" s="15">
        <f>Sheet2!A8285</f>
        <v>0</v>
      </c>
      <c r="B8285" s="8">
        <v>2.2799999999999998</v>
      </c>
      <c r="C8285" s="9">
        <v>0</v>
      </c>
      <c r="D8285" s="13">
        <f t="shared" si="129"/>
        <v>2.2799999999999998</v>
      </c>
    </row>
    <row r="8286" spans="1:4" x14ac:dyDescent="0.25">
      <c r="A8286" s="15">
        <f>Sheet2!A8286</f>
        <v>0</v>
      </c>
      <c r="B8286" s="8">
        <v>0</v>
      </c>
      <c r="C8286" s="9">
        <v>0.56999999999999995</v>
      </c>
      <c r="D8286" s="13">
        <f t="shared" si="129"/>
        <v>0.56999999999999995</v>
      </c>
    </row>
    <row r="8287" spans="1:4" x14ac:dyDescent="0.25">
      <c r="A8287" s="15">
        <f>Sheet2!A8287</f>
        <v>0</v>
      </c>
      <c r="B8287" s="8">
        <v>0</v>
      </c>
      <c r="C8287" s="9">
        <v>0.78</v>
      </c>
      <c r="D8287" s="13">
        <f t="shared" si="129"/>
        <v>0.78</v>
      </c>
    </row>
    <row r="8288" spans="1:4" x14ac:dyDescent="0.25">
      <c r="A8288" s="15">
        <f>Sheet2!A8288</f>
        <v>0</v>
      </c>
      <c r="B8288" s="8">
        <v>0</v>
      </c>
      <c r="C8288" s="9">
        <v>0.23</v>
      </c>
      <c r="D8288" s="13">
        <f t="shared" si="129"/>
        <v>0.23</v>
      </c>
    </row>
    <row r="8289" spans="1:4" x14ac:dyDescent="0.25">
      <c r="A8289" s="15">
        <f>Sheet2!A8289</f>
        <v>0</v>
      </c>
      <c r="B8289" s="8">
        <v>0</v>
      </c>
      <c r="C8289" s="9">
        <v>0.35</v>
      </c>
      <c r="D8289" s="13">
        <f t="shared" si="129"/>
        <v>0.35</v>
      </c>
    </row>
    <row r="8290" spans="1:4" x14ac:dyDescent="0.25">
      <c r="A8290" s="15">
        <f>Sheet2!A8290</f>
        <v>0</v>
      </c>
      <c r="B8290" s="8">
        <v>0</v>
      </c>
      <c r="C8290" s="9">
        <v>0.74</v>
      </c>
      <c r="D8290" s="13">
        <f t="shared" si="129"/>
        <v>0.74</v>
      </c>
    </row>
    <row r="8291" spans="1:4" x14ac:dyDescent="0.25">
      <c r="A8291" s="15">
        <f>Sheet2!A8291</f>
        <v>0</v>
      </c>
      <c r="B8291" s="8">
        <v>0</v>
      </c>
      <c r="C8291" s="9">
        <v>0.72</v>
      </c>
      <c r="D8291" s="13">
        <f t="shared" si="129"/>
        <v>0.72</v>
      </c>
    </row>
    <row r="8292" spans="1:4" x14ac:dyDescent="0.25">
      <c r="A8292" s="15">
        <f>Sheet2!A8292</f>
        <v>0</v>
      </c>
      <c r="B8292" s="8">
        <v>0</v>
      </c>
      <c r="C8292" s="9">
        <v>0.5</v>
      </c>
      <c r="D8292" s="13">
        <f t="shared" si="129"/>
        <v>0.5</v>
      </c>
    </row>
    <row r="8293" spans="1:4" x14ac:dyDescent="0.25">
      <c r="A8293" s="15">
        <f>Sheet2!A8293</f>
        <v>0</v>
      </c>
      <c r="B8293" s="8">
        <v>0.84</v>
      </c>
      <c r="C8293" s="9">
        <v>0</v>
      </c>
      <c r="D8293" s="13">
        <f t="shared" si="129"/>
        <v>0.84</v>
      </c>
    </row>
    <row r="8294" spans="1:4" x14ac:dyDescent="0.25">
      <c r="A8294" s="15">
        <f>Sheet2!A8294</f>
        <v>0</v>
      </c>
      <c r="B8294" s="8">
        <v>0</v>
      </c>
      <c r="C8294" s="9">
        <v>0.38</v>
      </c>
      <c r="D8294" s="13">
        <f t="shared" si="129"/>
        <v>0.38</v>
      </c>
    </row>
    <row r="8295" spans="1:4" x14ac:dyDescent="0.25">
      <c r="A8295" s="15">
        <f>Sheet2!A8295</f>
        <v>0</v>
      </c>
      <c r="B8295" s="8">
        <v>0</v>
      </c>
      <c r="C8295" s="9">
        <v>1.73</v>
      </c>
      <c r="D8295" s="13">
        <f t="shared" si="129"/>
        <v>1.73</v>
      </c>
    </row>
    <row r="8296" spans="1:4" x14ac:dyDescent="0.25">
      <c r="A8296" s="15">
        <f>Sheet2!A8296</f>
        <v>0</v>
      </c>
      <c r="B8296" s="8">
        <v>0</v>
      </c>
      <c r="C8296" s="9">
        <v>1.76</v>
      </c>
      <c r="D8296" s="13">
        <f t="shared" si="129"/>
        <v>1.76</v>
      </c>
    </row>
    <row r="8297" spans="1:4" x14ac:dyDescent="0.25">
      <c r="A8297" s="15">
        <f>Sheet2!A8297</f>
        <v>0</v>
      </c>
      <c r="B8297" s="8">
        <v>0</v>
      </c>
      <c r="C8297" s="9">
        <v>1.78</v>
      </c>
      <c r="D8297" s="13">
        <f t="shared" si="129"/>
        <v>1.78</v>
      </c>
    </row>
    <row r="8298" spans="1:4" x14ac:dyDescent="0.25">
      <c r="A8298" s="15">
        <f>Sheet2!A8298</f>
        <v>0</v>
      </c>
      <c r="B8298" s="8">
        <v>0</v>
      </c>
      <c r="C8298" s="9">
        <v>1.38</v>
      </c>
      <c r="D8298" s="13">
        <f t="shared" si="129"/>
        <v>1.38</v>
      </c>
    </row>
    <row r="8299" spans="1:4" x14ac:dyDescent="0.25">
      <c r="A8299" s="15">
        <f>Sheet2!A8299</f>
        <v>0</v>
      </c>
      <c r="B8299" s="8">
        <v>0</v>
      </c>
      <c r="C8299" s="9">
        <v>1.2</v>
      </c>
      <c r="D8299" s="13">
        <f t="shared" si="129"/>
        <v>1.2</v>
      </c>
    </row>
    <row r="8300" spans="1:4" x14ac:dyDescent="0.25">
      <c r="A8300" s="15">
        <f>Sheet2!A8300</f>
        <v>0</v>
      </c>
      <c r="B8300" s="8">
        <v>1.85</v>
      </c>
      <c r="C8300" s="9">
        <v>0</v>
      </c>
      <c r="D8300" s="13">
        <f t="shared" si="129"/>
        <v>1.85</v>
      </c>
    </row>
    <row r="8301" spans="1:4" x14ac:dyDescent="0.25">
      <c r="A8301" s="15">
        <f>Sheet2!A8301</f>
        <v>0</v>
      </c>
      <c r="B8301" s="8">
        <v>0</v>
      </c>
      <c r="C8301" s="9">
        <v>0.83</v>
      </c>
      <c r="D8301" s="13">
        <f t="shared" si="129"/>
        <v>0.83</v>
      </c>
    </row>
    <row r="8302" spans="1:4" x14ac:dyDescent="0.25">
      <c r="A8302" s="15">
        <f>Sheet2!A8302</f>
        <v>0</v>
      </c>
      <c r="B8302" s="8">
        <v>0</v>
      </c>
      <c r="C8302" s="9">
        <v>1.17</v>
      </c>
      <c r="D8302" s="13">
        <f t="shared" si="129"/>
        <v>1.17</v>
      </c>
    </row>
    <row r="8303" spans="1:4" x14ac:dyDescent="0.25">
      <c r="A8303" s="15">
        <f>Sheet2!A8303</f>
        <v>0</v>
      </c>
      <c r="B8303" s="8">
        <v>0</v>
      </c>
      <c r="C8303" s="9">
        <v>1.71</v>
      </c>
      <c r="D8303" s="13">
        <f t="shared" si="129"/>
        <v>1.71</v>
      </c>
    </row>
    <row r="8304" spans="1:4" x14ac:dyDescent="0.25">
      <c r="A8304" s="15">
        <f>Sheet2!A8304</f>
        <v>0</v>
      </c>
      <c r="B8304" s="8">
        <v>0</v>
      </c>
      <c r="C8304" s="9">
        <v>0.85</v>
      </c>
      <c r="D8304" s="13">
        <f t="shared" si="129"/>
        <v>0.85</v>
      </c>
    </row>
    <row r="8305" spans="1:4" x14ac:dyDescent="0.25">
      <c r="A8305" s="15">
        <f>Sheet2!A8305</f>
        <v>0</v>
      </c>
      <c r="B8305" s="8">
        <v>2.23</v>
      </c>
      <c r="C8305" s="9">
        <v>0</v>
      </c>
      <c r="D8305" s="13">
        <f t="shared" si="129"/>
        <v>2.23</v>
      </c>
    </row>
    <row r="8306" spans="1:4" x14ac:dyDescent="0.25">
      <c r="A8306" s="15">
        <f>Sheet2!A8306</f>
        <v>0</v>
      </c>
      <c r="B8306" s="8">
        <v>0</v>
      </c>
      <c r="C8306" s="9">
        <v>1.37</v>
      </c>
      <c r="D8306" s="13">
        <f t="shared" si="129"/>
        <v>1.37</v>
      </c>
    </row>
    <row r="8307" spans="1:4" x14ac:dyDescent="0.25">
      <c r="A8307" s="15">
        <f>Sheet2!A8307</f>
        <v>0</v>
      </c>
      <c r="B8307" s="8">
        <v>0</v>
      </c>
      <c r="C8307" s="9">
        <v>2.17</v>
      </c>
      <c r="D8307" s="13">
        <f t="shared" si="129"/>
        <v>2.17</v>
      </c>
    </row>
    <row r="8308" spans="1:4" x14ac:dyDescent="0.25">
      <c r="A8308" s="15">
        <f>Sheet2!A8308</f>
        <v>0</v>
      </c>
      <c r="B8308" s="8">
        <v>0</v>
      </c>
      <c r="C8308" s="9">
        <v>1.79</v>
      </c>
      <c r="D8308" s="13">
        <f t="shared" si="129"/>
        <v>1.79</v>
      </c>
    </row>
    <row r="8309" spans="1:4" x14ac:dyDescent="0.25">
      <c r="A8309" s="15">
        <f>Sheet2!A8309</f>
        <v>0</v>
      </c>
      <c r="B8309" s="8">
        <v>1.89</v>
      </c>
      <c r="C8309" s="9">
        <v>0</v>
      </c>
      <c r="D8309" s="13">
        <f t="shared" si="129"/>
        <v>1.89</v>
      </c>
    </row>
    <row r="8310" spans="1:4" x14ac:dyDescent="0.25">
      <c r="A8310" s="15">
        <f>Sheet2!A8310</f>
        <v>0</v>
      </c>
      <c r="B8310" s="8">
        <v>0</v>
      </c>
      <c r="C8310" s="9">
        <v>0.73</v>
      </c>
      <c r="D8310" s="13">
        <f t="shared" si="129"/>
        <v>0.73</v>
      </c>
    </row>
    <row r="8311" spans="1:4" x14ac:dyDescent="0.25">
      <c r="A8311" s="15">
        <f>Sheet2!A8311</f>
        <v>0</v>
      </c>
      <c r="B8311" s="8">
        <v>0</v>
      </c>
      <c r="C8311" s="9">
        <v>1.39</v>
      </c>
      <c r="D8311" s="13">
        <f t="shared" si="129"/>
        <v>1.39</v>
      </c>
    </row>
    <row r="8312" spans="1:4" x14ac:dyDescent="0.25">
      <c r="A8312" s="15">
        <f>Sheet2!A8312</f>
        <v>0</v>
      </c>
      <c r="B8312" s="8">
        <v>0</v>
      </c>
      <c r="C8312" s="9">
        <v>0.92</v>
      </c>
      <c r="D8312" s="13">
        <f t="shared" si="129"/>
        <v>0.92</v>
      </c>
    </row>
    <row r="8313" spans="1:4" x14ac:dyDescent="0.25">
      <c r="A8313" s="15">
        <f>Sheet2!A8313</f>
        <v>0</v>
      </c>
      <c r="B8313" s="8">
        <v>0</v>
      </c>
      <c r="C8313" s="9">
        <v>0.91</v>
      </c>
      <c r="D8313" s="13">
        <f t="shared" si="129"/>
        <v>0.91</v>
      </c>
    </row>
    <row r="8314" spans="1:4" x14ac:dyDescent="0.25">
      <c r="A8314" s="15">
        <f>Sheet2!A8314</f>
        <v>0</v>
      </c>
      <c r="B8314" s="8">
        <v>0</v>
      </c>
      <c r="C8314" s="9">
        <v>0.34</v>
      </c>
      <c r="D8314" s="13">
        <f t="shared" si="129"/>
        <v>0.34</v>
      </c>
    </row>
    <row r="8315" spans="1:4" x14ac:dyDescent="0.25">
      <c r="A8315" s="15">
        <f>Sheet2!A8315</f>
        <v>0</v>
      </c>
      <c r="B8315" s="8">
        <v>1.1499999999999999</v>
      </c>
      <c r="C8315" s="9">
        <v>0</v>
      </c>
      <c r="D8315" s="13">
        <f t="shared" si="129"/>
        <v>1.1499999999999999</v>
      </c>
    </row>
    <row r="8316" spans="1:4" x14ac:dyDescent="0.25">
      <c r="A8316" s="15">
        <f>Sheet2!A8316</f>
        <v>0</v>
      </c>
      <c r="B8316" s="8">
        <v>0</v>
      </c>
      <c r="C8316" s="9">
        <v>0.52</v>
      </c>
      <c r="D8316" s="13">
        <f t="shared" si="129"/>
        <v>0.52</v>
      </c>
    </row>
    <row r="8317" spans="1:4" x14ac:dyDescent="0.25">
      <c r="A8317" s="15">
        <f>Sheet2!A8317</f>
        <v>0</v>
      </c>
      <c r="B8317" s="8">
        <v>0</v>
      </c>
      <c r="C8317" s="9">
        <v>1.22</v>
      </c>
      <c r="D8317" s="13">
        <f t="shared" si="129"/>
        <v>1.22</v>
      </c>
    </row>
    <row r="8318" spans="1:4" x14ac:dyDescent="0.25">
      <c r="A8318" s="15">
        <f>Sheet2!A8318</f>
        <v>0</v>
      </c>
      <c r="B8318" s="8">
        <v>0</v>
      </c>
      <c r="C8318" s="9">
        <v>1.01</v>
      </c>
      <c r="D8318" s="13">
        <f t="shared" si="129"/>
        <v>1.01</v>
      </c>
    </row>
    <row r="8319" spans="1:4" x14ac:dyDescent="0.25">
      <c r="A8319" s="15">
        <f>Sheet2!A8319</f>
        <v>0</v>
      </c>
      <c r="B8319" s="8">
        <v>0.92</v>
      </c>
      <c r="C8319" s="9">
        <v>0</v>
      </c>
      <c r="D8319" s="13">
        <f t="shared" si="129"/>
        <v>0.92</v>
      </c>
    </row>
    <row r="8320" spans="1:4" x14ac:dyDescent="0.25">
      <c r="A8320" s="15">
        <f>Sheet2!A8320</f>
        <v>0</v>
      </c>
      <c r="B8320" s="8">
        <v>0</v>
      </c>
      <c r="C8320" s="9">
        <v>0.9</v>
      </c>
      <c r="D8320" s="13">
        <f t="shared" si="129"/>
        <v>0.9</v>
      </c>
    </row>
    <row r="8321" spans="1:4" x14ac:dyDescent="0.25">
      <c r="A8321" s="15">
        <f>Sheet2!A8321</f>
        <v>0</v>
      </c>
      <c r="B8321" s="8">
        <v>0</v>
      </c>
      <c r="C8321" s="9">
        <v>2.02</v>
      </c>
      <c r="D8321" s="13">
        <f t="shared" si="129"/>
        <v>2.02</v>
      </c>
    </row>
    <row r="8322" spans="1:4" x14ac:dyDescent="0.25">
      <c r="A8322" s="15">
        <f>Sheet2!A8322</f>
        <v>0</v>
      </c>
      <c r="B8322" s="8">
        <v>0</v>
      </c>
      <c r="C8322" s="9">
        <v>1.59</v>
      </c>
      <c r="D8322" s="13">
        <f t="shared" si="129"/>
        <v>1.59</v>
      </c>
    </row>
    <row r="8323" spans="1:4" x14ac:dyDescent="0.25">
      <c r="A8323" s="15">
        <f>Sheet2!A8323</f>
        <v>0</v>
      </c>
      <c r="B8323" s="8">
        <v>0</v>
      </c>
      <c r="C8323" s="9">
        <v>1.36</v>
      </c>
      <c r="D8323" s="13">
        <f t="shared" ref="D8323:D8386" si="130">B8323+C8323</f>
        <v>1.36</v>
      </c>
    </row>
    <row r="8324" spans="1:4" x14ac:dyDescent="0.25">
      <c r="A8324" s="15">
        <f>Sheet2!A8324</f>
        <v>0</v>
      </c>
      <c r="B8324" s="8">
        <v>0</v>
      </c>
      <c r="C8324" s="9">
        <v>0.63</v>
      </c>
      <c r="D8324" s="13">
        <f t="shared" si="130"/>
        <v>0.63</v>
      </c>
    </row>
    <row r="8325" spans="1:4" x14ac:dyDescent="0.25">
      <c r="A8325" s="15">
        <f>Sheet2!A8325</f>
        <v>0</v>
      </c>
      <c r="B8325" s="8">
        <v>0</v>
      </c>
      <c r="C8325" s="9">
        <v>1.0900000000000001</v>
      </c>
      <c r="D8325" s="13">
        <f t="shared" si="130"/>
        <v>1.0900000000000001</v>
      </c>
    </row>
    <row r="8326" spans="1:4" x14ac:dyDescent="0.25">
      <c r="A8326" s="15">
        <f>Sheet2!A8326</f>
        <v>0</v>
      </c>
      <c r="B8326" s="8">
        <v>0</v>
      </c>
      <c r="C8326" s="9">
        <v>1.66</v>
      </c>
      <c r="D8326" s="13">
        <f t="shared" si="130"/>
        <v>1.66</v>
      </c>
    </row>
    <row r="8327" spans="1:4" x14ac:dyDescent="0.25">
      <c r="A8327" s="15">
        <f>Sheet2!A8327</f>
        <v>0</v>
      </c>
      <c r="B8327" s="8">
        <v>0</v>
      </c>
      <c r="C8327" s="9">
        <v>1.86</v>
      </c>
      <c r="D8327" s="13">
        <f t="shared" si="130"/>
        <v>1.86</v>
      </c>
    </row>
    <row r="8328" spans="1:4" x14ac:dyDescent="0.25">
      <c r="A8328" s="15">
        <f>Sheet2!A8328</f>
        <v>0</v>
      </c>
      <c r="B8328" s="8">
        <v>0</v>
      </c>
      <c r="C8328" s="9">
        <v>0.97</v>
      </c>
      <c r="D8328" s="13">
        <f t="shared" si="130"/>
        <v>0.97</v>
      </c>
    </row>
    <row r="8329" spans="1:4" x14ac:dyDescent="0.25">
      <c r="A8329" s="15">
        <f>Sheet2!A8329</f>
        <v>0</v>
      </c>
      <c r="B8329" s="8">
        <v>1.82</v>
      </c>
      <c r="C8329" s="9">
        <v>0</v>
      </c>
      <c r="D8329" s="13">
        <f t="shared" si="130"/>
        <v>1.82</v>
      </c>
    </row>
    <row r="8330" spans="1:4" x14ac:dyDescent="0.25">
      <c r="A8330" s="15">
        <f>Sheet2!A8330</f>
        <v>0</v>
      </c>
      <c r="B8330" s="8">
        <v>1.77</v>
      </c>
      <c r="C8330" s="9">
        <v>0</v>
      </c>
      <c r="D8330" s="13">
        <f t="shared" si="130"/>
        <v>1.77</v>
      </c>
    </row>
    <row r="8331" spans="1:4" x14ac:dyDescent="0.25">
      <c r="A8331" s="15">
        <f>Sheet2!A8331</f>
        <v>0</v>
      </c>
      <c r="B8331" s="8">
        <v>2.14</v>
      </c>
      <c r="C8331" s="9">
        <v>0</v>
      </c>
      <c r="D8331" s="13">
        <f t="shared" si="130"/>
        <v>2.14</v>
      </c>
    </row>
    <row r="8332" spans="1:4" x14ac:dyDescent="0.25">
      <c r="A8332" s="15">
        <f>Sheet2!A8332</f>
        <v>0</v>
      </c>
      <c r="B8332" s="8">
        <v>1.74</v>
      </c>
      <c r="C8332" s="9">
        <v>0</v>
      </c>
      <c r="D8332" s="13">
        <f t="shared" si="130"/>
        <v>1.74</v>
      </c>
    </row>
    <row r="8333" spans="1:4" x14ac:dyDescent="0.25">
      <c r="A8333" s="15">
        <f>Sheet2!A8333</f>
        <v>0</v>
      </c>
      <c r="B8333" s="8">
        <v>0</v>
      </c>
      <c r="C8333" s="9">
        <v>1.1599999999999999</v>
      </c>
      <c r="D8333" s="13">
        <f t="shared" si="130"/>
        <v>1.1599999999999999</v>
      </c>
    </row>
    <row r="8334" spans="1:4" x14ac:dyDescent="0.25">
      <c r="A8334" s="15">
        <f>Sheet2!A8334</f>
        <v>0</v>
      </c>
      <c r="B8334" s="8">
        <v>0</v>
      </c>
      <c r="C8334" s="9">
        <v>0.57999999999999996</v>
      </c>
      <c r="D8334" s="13">
        <f t="shared" si="130"/>
        <v>0.57999999999999996</v>
      </c>
    </row>
    <row r="8335" spans="1:4" x14ac:dyDescent="0.25">
      <c r="A8335" s="15">
        <f>Sheet2!A8335</f>
        <v>0</v>
      </c>
      <c r="B8335" s="8">
        <v>0.83</v>
      </c>
      <c r="C8335" s="9">
        <v>0</v>
      </c>
      <c r="D8335" s="13">
        <f t="shared" si="130"/>
        <v>0.83</v>
      </c>
    </row>
    <row r="8336" spans="1:4" x14ac:dyDescent="0.25">
      <c r="A8336" s="15">
        <f>Sheet2!A8336</f>
        <v>0</v>
      </c>
      <c r="B8336" s="8">
        <v>0</v>
      </c>
      <c r="C8336" s="9">
        <v>0.3</v>
      </c>
      <c r="D8336" s="13">
        <f t="shared" si="130"/>
        <v>0.3</v>
      </c>
    </row>
    <row r="8337" spans="1:4" x14ac:dyDescent="0.25">
      <c r="A8337" s="15">
        <f>Sheet2!A8337</f>
        <v>0</v>
      </c>
      <c r="B8337" s="8">
        <v>0</v>
      </c>
      <c r="C8337" s="9">
        <v>0.71</v>
      </c>
      <c r="D8337" s="13">
        <f t="shared" si="130"/>
        <v>0.71</v>
      </c>
    </row>
    <row r="8338" spans="1:4" x14ac:dyDescent="0.25">
      <c r="A8338" s="15">
        <f>Sheet2!A8338</f>
        <v>0</v>
      </c>
      <c r="B8338" s="8">
        <v>0</v>
      </c>
      <c r="C8338" s="9">
        <v>0.33</v>
      </c>
      <c r="D8338" s="13">
        <f t="shared" si="130"/>
        <v>0.33</v>
      </c>
    </row>
    <row r="8339" spans="1:4" x14ac:dyDescent="0.25">
      <c r="A8339" s="15">
        <f>Sheet2!A8339</f>
        <v>0</v>
      </c>
      <c r="B8339" s="8">
        <v>0</v>
      </c>
      <c r="C8339" s="9">
        <v>0.5</v>
      </c>
      <c r="D8339" s="13">
        <f t="shared" si="130"/>
        <v>0.5</v>
      </c>
    </row>
    <row r="8340" spans="1:4" x14ac:dyDescent="0.25">
      <c r="A8340" s="15">
        <f>Sheet2!A8340</f>
        <v>0</v>
      </c>
      <c r="B8340" s="8">
        <v>0.74</v>
      </c>
      <c r="C8340" s="9">
        <v>0</v>
      </c>
      <c r="D8340" s="13">
        <f t="shared" si="130"/>
        <v>0.74</v>
      </c>
    </row>
    <row r="8341" spans="1:4" x14ac:dyDescent="0.25">
      <c r="A8341" s="15">
        <f>Sheet2!A8341</f>
        <v>0</v>
      </c>
      <c r="B8341" s="8">
        <v>0.91</v>
      </c>
      <c r="C8341" s="9">
        <v>0</v>
      </c>
      <c r="D8341" s="13">
        <f t="shared" si="130"/>
        <v>0.91</v>
      </c>
    </row>
    <row r="8342" spans="1:4" x14ac:dyDescent="0.25">
      <c r="A8342" s="15">
        <f>Sheet2!A8342</f>
        <v>0</v>
      </c>
      <c r="B8342" s="8">
        <v>0</v>
      </c>
      <c r="C8342" s="9">
        <v>0.95</v>
      </c>
      <c r="D8342" s="13">
        <f t="shared" si="130"/>
        <v>0.95</v>
      </c>
    </row>
    <row r="8343" spans="1:4" x14ac:dyDescent="0.25">
      <c r="A8343" s="15">
        <f>Sheet2!A8343</f>
        <v>0</v>
      </c>
      <c r="B8343" s="8">
        <v>0</v>
      </c>
      <c r="C8343" s="9">
        <v>1.59</v>
      </c>
      <c r="D8343" s="13">
        <f t="shared" si="130"/>
        <v>1.59</v>
      </c>
    </row>
    <row r="8344" spans="1:4" x14ac:dyDescent="0.25">
      <c r="A8344" s="15">
        <f>Sheet2!A8344</f>
        <v>0</v>
      </c>
      <c r="B8344" s="8">
        <v>0</v>
      </c>
      <c r="C8344" s="9">
        <v>0.28000000000000003</v>
      </c>
      <c r="D8344" s="13">
        <f t="shared" si="130"/>
        <v>0.28000000000000003</v>
      </c>
    </row>
    <row r="8345" spans="1:4" x14ac:dyDescent="0.25">
      <c r="A8345" s="15">
        <f>Sheet2!A8345</f>
        <v>0</v>
      </c>
      <c r="B8345" s="8">
        <v>1.35</v>
      </c>
      <c r="C8345" s="9">
        <v>0</v>
      </c>
      <c r="D8345" s="13">
        <f t="shared" si="130"/>
        <v>1.35</v>
      </c>
    </row>
    <row r="8346" spans="1:4" x14ac:dyDescent="0.25">
      <c r="A8346" s="15">
        <f>Sheet2!A8346</f>
        <v>0</v>
      </c>
      <c r="B8346" s="8">
        <v>0</v>
      </c>
      <c r="C8346" s="9">
        <v>1.33</v>
      </c>
      <c r="D8346" s="13">
        <f t="shared" si="130"/>
        <v>1.33</v>
      </c>
    </row>
    <row r="8347" spans="1:4" x14ac:dyDescent="0.25">
      <c r="A8347" s="15">
        <f>Sheet2!A8347</f>
        <v>0</v>
      </c>
      <c r="B8347" s="8">
        <v>0</v>
      </c>
      <c r="C8347" s="9">
        <v>2.06</v>
      </c>
      <c r="D8347" s="13">
        <f t="shared" si="130"/>
        <v>2.06</v>
      </c>
    </row>
    <row r="8348" spans="1:4" x14ac:dyDescent="0.25">
      <c r="A8348" s="15">
        <f>Sheet2!A8348</f>
        <v>0</v>
      </c>
      <c r="B8348" s="8">
        <v>0</v>
      </c>
      <c r="C8348" s="9">
        <v>0.6</v>
      </c>
      <c r="D8348" s="13">
        <f t="shared" si="130"/>
        <v>0.6</v>
      </c>
    </row>
    <row r="8349" spans="1:4" x14ac:dyDescent="0.25">
      <c r="A8349" s="15">
        <f>Sheet2!A8349</f>
        <v>0</v>
      </c>
      <c r="B8349" s="8">
        <v>1.64</v>
      </c>
      <c r="C8349" s="9">
        <v>0</v>
      </c>
      <c r="D8349" s="13">
        <f t="shared" si="130"/>
        <v>1.64</v>
      </c>
    </row>
    <row r="8350" spans="1:4" x14ac:dyDescent="0.25">
      <c r="A8350" s="15">
        <f>Sheet2!A8350</f>
        <v>0</v>
      </c>
      <c r="B8350" s="8">
        <v>1.89</v>
      </c>
      <c r="C8350" s="9">
        <v>0</v>
      </c>
      <c r="D8350" s="13">
        <f t="shared" si="130"/>
        <v>1.89</v>
      </c>
    </row>
    <row r="8351" spans="1:4" x14ac:dyDescent="0.25">
      <c r="A8351" s="15">
        <f>Sheet2!A8351</f>
        <v>0</v>
      </c>
      <c r="B8351" s="8">
        <v>1.49</v>
      </c>
      <c r="C8351" s="9">
        <v>0</v>
      </c>
      <c r="D8351" s="13">
        <f t="shared" si="130"/>
        <v>1.49</v>
      </c>
    </row>
    <row r="8352" spans="1:4" x14ac:dyDescent="0.25">
      <c r="A8352" s="15">
        <f>Sheet2!A8352</f>
        <v>0</v>
      </c>
      <c r="B8352" s="8">
        <v>1.81</v>
      </c>
      <c r="C8352" s="9">
        <v>0</v>
      </c>
      <c r="D8352" s="13">
        <f t="shared" si="130"/>
        <v>1.81</v>
      </c>
    </row>
    <row r="8353" spans="1:4" x14ac:dyDescent="0.25">
      <c r="A8353" s="15">
        <f>Sheet2!A8353</f>
        <v>0</v>
      </c>
      <c r="B8353" s="8">
        <v>1.57</v>
      </c>
      <c r="C8353" s="9">
        <v>0</v>
      </c>
      <c r="D8353" s="13">
        <f t="shared" si="130"/>
        <v>1.57</v>
      </c>
    </row>
    <row r="8354" spans="1:4" x14ac:dyDescent="0.25">
      <c r="A8354" s="15">
        <f>Sheet2!A8354</f>
        <v>0</v>
      </c>
      <c r="B8354" s="8">
        <v>1.88</v>
      </c>
      <c r="C8354" s="9">
        <v>0</v>
      </c>
      <c r="D8354" s="13">
        <f t="shared" si="130"/>
        <v>1.88</v>
      </c>
    </row>
    <row r="8355" spans="1:4" x14ac:dyDescent="0.25">
      <c r="A8355" s="15">
        <f>Sheet2!A8355</f>
        <v>0</v>
      </c>
      <c r="B8355" s="8">
        <v>1.72</v>
      </c>
      <c r="C8355" s="9">
        <v>0</v>
      </c>
      <c r="D8355" s="13">
        <f t="shared" si="130"/>
        <v>1.72</v>
      </c>
    </row>
    <row r="8356" spans="1:4" x14ac:dyDescent="0.25">
      <c r="A8356" s="15">
        <f>Sheet2!A8356</f>
        <v>0</v>
      </c>
      <c r="B8356" s="8">
        <v>2.11</v>
      </c>
      <c r="C8356" s="9">
        <v>0</v>
      </c>
      <c r="D8356" s="13">
        <f t="shared" si="130"/>
        <v>2.11</v>
      </c>
    </row>
    <row r="8357" spans="1:4" x14ac:dyDescent="0.25">
      <c r="A8357" s="15">
        <f>Sheet2!A8357</f>
        <v>0</v>
      </c>
      <c r="B8357" s="8">
        <v>1.7</v>
      </c>
      <c r="C8357" s="9">
        <v>0</v>
      </c>
      <c r="D8357" s="13">
        <f t="shared" si="130"/>
        <v>1.7</v>
      </c>
    </row>
    <row r="8358" spans="1:4" x14ac:dyDescent="0.25">
      <c r="A8358" s="15">
        <f>Sheet2!A8358</f>
        <v>0</v>
      </c>
      <c r="B8358" s="8">
        <v>0</v>
      </c>
      <c r="C8358" s="9">
        <v>0.92</v>
      </c>
      <c r="D8358" s="13">
        <f t="shared" si="130"/>
        <v>0.92</v>
      </c>
    </row>
    <row r="8359" spans="1:4" x14ac:dyDescent="0.25">
      <c r="A8359" s="15">
        <f>Sheet2!A8359</f>
        <v>0</v>
      </c>
      <c r="B8359" s="8">
        <v>0</v>
      </c>
      <c r="C8359" s="9">
        <v>1.06</v>
      </c>
      <c r="D8359" s="13">
        <f t="shared" si="130"/>
        <v>1.06</v>
      </c>
    </row>
    <row r="8360" spans="1:4" x14ac:dyDescent="0.25">
      <c r="A8360" s="15">
        <f>Sheet2!A8360</f>
        <v>0</v>
      </c>
      <c r="B8360" s="8">
        <v>0</v>
      </c>
      <c r="C8360" s="9">
        <v>0.3</v>
      </c>
      <c r="D8360" s="13">
        <f t="shared" si="130"/>
        <v>0.3</v>
      </c>
    </row>
    <row r="8361" spans="1:4" x14ac:dyDescent="0.25">
      <c r="A8361" s="15">
        <f>Sheet2!A8361</f>
        <v>0</v>
      </c>
      <c r="B8361" s="8">
        <v>0.8</v>
      </c>
      <c r="C8361" s="9">
        <v>0</v>
      </c>
      <c r="D8361" s="13">
        <f t="shared" si="130"/>
        <v>0.8</v>
      </c>
    </row>
    <row r="8362" spans="1:4" x14ac:dyDescent="0.25">
      <c r="A8362" s="15">
        <f>Sheet2!A8362</f>
        <v>0</v>
      </c>
      <c r="B8362" s="8">
        <v>1.82</v>
      </c>
      <c r="C8362" s="9">
        <v>0</v>
      </c>
      <c r="D8362" s="13">
        <f t="shared" si="130"/>
        <v>1.82</v>
      </c>
    </row>
    <row r="8363" spans="1:4" x14ac:dyDescent="0.25">
      <c r="A8363" s="15">
        <f>Sheet2!A8363</f>
        <v>0</v>
      </c>
      <c r="B8363" s="8">
        <v>0</v>
      </c>
      <c r="C8363" s="9">
        <v>1.1299999999999999</v>
      </c>
      <c r="D8363" s="13">
        <f t="shared" si="130"/>
        <v>1.1299999999999999</v>
      </c>
    </row>
    <row r="8364" spans="1:4" x14ac:dyDescent="0.25">
      <c r="A8364" s="15">
        <f>Sheet2!A8364</f>
        <v>0</v>
      </c>
      <c r="B8364" s="8">
        <v>0</v>
      </c>
      <c r="C8364" s="9">
        <v>1.1200000000000001</v>
      </c>
      <c r="D8364" s="13">
        <f t="shared" si="130"/>
        <v>1.1200000000000001</v>
      </c>
    </row>
    <row r="8365" spans="1:4" x14ac:dyDescent="0.25">
      <c r="A8365" s="15">
        <f>Sheet2!A8365</f>
        <v>0</v>
      </c>
      <c r="B8365" s="8">
        <v>0</v>
      </c>
      <c r="C8365" s="9">
        <v>0.88</v>
      </c>
      <c r="D8365" s="13">
        <f t="shared" si="130"/>
        <v>0.88</v>
      </c>
    </row>
    <row r="8366" spans="1:4" x14ac:dyDescent="0.25">
      <c r="A8366" s="15">
        <f>Sheet2!A8366</f>
        <v>0</v>
      </c>
      <c r="B8366" s="8">
        <v>0</v>
      </c>
      <c r="C8366" s="9">
        <v>0.34</v>
      </c>
      <c r="D8366" s="13">
        <f t="shared" si="130"/>
        <v>0.34</v>
      </c>
    </row>
    <row r="8367" spans="1:4" x14ac:dyDescent="0.25">
      <c r="A8367" s="15">
        <f>Sheet2!A8367</f>
        <v>0</v>
      </c>
      <c r="B8367" s="8">
        <v>0.72</v>
      </c>
      <c r="C8367" s="9">
        <v>0</v>
      </c>
      <c r="D8367" s="13">
        <f t="shared" si="130"/>
        <v>0.72</v>
      </c>
    </row>
    <row r="8368" spans="1:4" x14ac:dyDescent="0.25">
      <c r="A8368" s="15">
        <f>Sheet2!A8368</f>
        <v>0</v>
      </c>
      <c r="B8368" s="8">
        <v>0</v>
      </c>
      <c r="C8368" s="9">
        <v>0.86</v>
      </c>
      <c r="D8368" s="13">
        <f t="shared" si="130"/>
        <v>0.86</v>
      </c>
    </row>
    <row r="8369" spans="1:4" x14ac:dyDescent="0.25">
      <c r="A8369" s="15">
        <f>Sheet2!A8369</f>
        <v>0</v>
      </c>
      <c r="B8369" s="8">
        <v>0</v>
      </c>
      <c r="C8369" s="9">
        <v>1.29</v>
      </c>
      <c r="D8369" s="13">
        <f t="shared" si="130"/>
        <v>1.29</v>
      </c>
    </row>
    <row r="8370" spans="1:4" x14ac:dyDescent="0.25">
      <c r="A8370" s="15">
        <f>Sheet2!A8370</f>
        <v>0</v>
      </c>
      <c r="B8370" s="8">
        <v>0</v>
      </c>
      <c r="C8370" s="9">
        <v>1.18</v>
      </c>
      <c r="D8370" s="13">
        <f t="shared" si="130"/>
        <v>1.18</v>
      </c>
    </row>
    <row r="8371" spans="1:4" x14ac:dyDescent="0.25">
      <c r="A8371" s="15">
        <f>Sheet2!A8371</f>
        <v>0</v>
      </c>
      <c r="B8371" s="8">
        <v>0</v>
      </c>
      <c r="C8371" s="9">
        <v>0.99</v>
      </c>
      <c r="D8371" s="13">
        <f t="shared" si="130"/>
        <v>0.99</v>
      </c>
    </row>
    <row r="8372" spans="1:4" x14ac:dyDescent="0.25">
      <c r="A8372" s="15">
        <f>Sheet2!A8372</f>
        <v>0</v>
      </c>
      <c r="B8372" s="8">
        <v>1.1599999999999999</v>
      </c>
      <c r="C8372" s="9">
        <v>0</v>
      </c>
      <c r="D8372" s="13">
        <f t="shared" si="130"/>
        <v>1.1599999999999999</v>
      </c>
    </row>
    <row r="8373" spans="1:4" x14ac:dyDescent="0.25">
      <c r="A8373" s="15">
        <f>Sheet2!A8373</f>
        <v>0</v>
      </c>
      <c r="B8373" s="8">
        <v>1.45</v>
      </c>
      <c r="C8373" s="9">
        <v>0</v>
      </c>
      <c r="D8373" s="13">
        <f t="shared" si="130"/>
        <v>1.45</v>
      </c>
    </row>
    <row r="8374" spans="1:4" x14ac:dyDescent="0.25">
      <c r="A8374" s="15">
        <f>Sheet2!A8374</f>
        <v>0</v>
      </c>
      <c r="B8374" s="8">
        <v>0</v>
      </c>
      <c r="C8374" s="9">
        <v>1.1599999999999999</v>
      </c>
      <c r="D8374" s="13">
        <f t="shared" si="130"/>
        <v>1.1599999999999999</v>
      </c>
    </row>
    <row r="8375" spans="1:4" x14ac:dyDescent="0.25">
      <c r="A8375" s="15">
        <f>Sheet2!A8375</f>
        <v>0</v>
      </c>
      <c r="B8375" s="8">
        <v>0</v>
      </c>
      <c r="C8375" s="9">
        <v>1.02</v>
      </c>
      <c r="D8375" s="13">
        <f t="shared" si="130"/>
        <v>1.02</v>
      </c>
    </row>
    <row r="8376" spans="1:4" x14ac:dyDescent="0.25">
      <c r="A8376" s="15">
        <f>Sheet2!A8376</f>
        <v>0</v>
      </c>
      <c r="B8376" s="8">
        <v>1.8</v>
      </c>
      <c r="C8376" s="9">
        <v>0</v>
      </c>
      <c r="D8376" s="13">
        <f t="shared" si="130"/>
        <v>1.8</v>
      </c>
    </row>
    <row r="8377" spans="1:4" x14ac:dyDescent="0.25">
      <c r="A8377" s="15">
        <f>Sheet2!A8377</f>
        <v>0</v>
      </c>
      <c r="B8377" s="8">
        <v>1.72</v>
      </c>
      <c r="C8377" s="9">
        <v>0</v>
      </c>
      <c r="D8377" s="13">
        <f t="shared" si="130"/>
        <v>1.72</v>
      </c>
    </row>
    <row r="8378" spans="1:4" x14ac:dyDescent="0.25">
      <c r="A8378" s="15">
        <f>Sheet2!A8378</f>
        <v>0</v>
      </c>
      <c r="B8378" s="8">
        <v>1.56</v>
      </c>
      <c r="C8378" s="9">
        <v>0</v>
      </c>
      <c r="D8378" s="13">
        <f t="shared" si="130"/>
        <v>1.56</v>
      </c>
    </row>
    <row r="8379" spans="1:4" x14ac:dyDescent="0.25">
      <c r="A8379" s="15">
        <f>Sheet2!A8379</f>
        <v>0</v>
      </c>
      <c r="B8379" s="8">
        <v>1.7</v>
      </c>
      <c r="C8379" s="9">
        <v>0</v>
      </c>
      <c r="D8379" s="13">
        <f t="shared" si="130"/>
        <v>1.7</v>
      </c>
    </row>
    <row r="8380" spans="1:4" x14ac:dyDescent="0.25">
      <c r="A8380" s="15">
        <f>Sheet2!A8380</f>
        <v>0</v>
      </c>
      <c r="B8380" s="8">
        <v>1.75</v>
      </c>
      <c r="C8380" s="9">
        <v>0</v>
      </c>
      <c r="D8380" s="13">
        <f t="shared" si="130"/>
        <v>1.75</v>
      </c>
    </row>
    <row r="8381" spans="1:4" x14ac:dyDescent="0.25">
      <c r="A8381" s="15">
        <f>Sheet2!A8381</f>
        <v>0</v>
      </c>
      <c r="B8381" s="8">
        <v>1.78</v>
      </c>
      <c r="C8381" s="9">
        <v>0</v>
      </c>
      <c r="D8381" s="13">
        <f t="shared" si="130"/>
        <v>1.78</v>
      </c>
    </row>
    <row r="8382" spans="1:4" x14ac:dyDescent="0.25">
      <c r="A8382" s="15">
        <f>Sheet2!A8382</f>
        <v>0</v>
      </c>
      <c r="B8382" s="8">
        <v>0</v>
      </c>
      <c r="C8382" s="9">
        <v>1.0900000000000001</v>
      </c>
      <c r="D8382" s="13">
        <f t="shared" si="130"/>
        <v>1.0900000000000001</v>
      </c>
    </row>
    <row r="8383" spans="1:4" x14ac:dyDescent="0.25">
      <c r="A8383" s="15">
        <f>Sheet2!A8383</f>
        <v>0</v>
      </c>
      <c r="B8383" s="8">
        <v>0</v>
      </c>
      <c r="C8383" s="9">
        <v>1.34</v>
      </c>
      <c r="D8383" s="13">
        <f t="shared" si="130"/>
        <v>1.34</v>
      </c>
    </row>
    <row r="8384" spans="1:4" x14ac:dyDescent="0.25">
      <c r="A8384" s="15">
        <f>Sheet2!A8384</f>
        <v>0</v>
      </c>
      <c r="B8384" s="8">
        <v>0</v>
      </c>
      <c r="C8384" s="9">
        <v>0.45</v>
      </c>
      <c r="D8384" s="13">
        <f t="shared" si="130"/>
        <v>0.45</v>
      </c>
    </row>
    <row r="8385" spans="1:4" x14ac:dyDescent="0.25">
      <c r="A8385" s="15">
        <f>Sheet2!A8385</f>
        <v>0</v>
      </c>
      <c r="B8385" s="8">
        <v>1.21</v>
      </c>
      <c r="C8385" s="9">
        <v>0</v>
      </c>
      <c r="D8385" s="13">
        <f t="shared" si="130"/>
        <v>1.21</v>
      </c>
    </row>
    <row r="8386" spans="1:4" x14ac:dyDescent="0.25">
      <c r="A8386" s="15">
        <f>Sheet2!A8386</f>
        <v>0</v>
      </c>
      <c r="B8386" s="8">
        <v>0</v>
      </c>
      <c r="C8386" s="9">
        <v>1.1100000000000001</v>
      </c>
      <c r="D8386" s="13">
        <f t="shared" si="130"/>
        <v>1.1100000000000001</v>
      </c>
    </row>
    <row r="8387" spans="1:4" x14ac:dyDescent="0.25">
      <c r="A8387" s="15">
        <f>Sheet2!A8387</f>
        <v>0</v>
      </c>
      <c r="B8387" s="8">
        <v>0</v>
      </c>
      <c r="C8387" s="9">
        <v>2.0099999999999998</v>
      </c>
      <c r="D8387" s="13">
        <f t="shared" ref="D8387:D8450" si="131">B8387+C8387</f>
        <v>2.0099999999999998</v>
      </c>
    </row>
    <row r="8388" spans="1:4" x14ac:dyDescent="0.25">
      <c r="A8388" s="15">
        <f>Sheet2!A8388</f>
        <v>0</v>
      </c>
      <c r="B8388" s="8">
        <v>0</v>
      </c>
      <c r="C8388" s="9">
        <v>0.82</v>
      </c>
      <c r="D8388" s="13">
        <f t="shared" si="131"/>
        <v>0.82</v>
      </c>
    </row>
    <row r="8389" spans="1:4" x14ac:dyDescent="0.25">
      <c r="A8389" s="15">
        <f>Sheet2!A8389</f>
        <v>0</v>
      </c>
      <c r="B8389" s="8">
        <v>2.2599999999999998</v>
      </c>
      <c r="C8389" s="9">
        <v>0</v>
      </c>
      <c r="D8389" s="13">
        <f t="shared" si="131"/>
        <v>2.2599999999999998</v>
      </c>
    </row>
    <row r="8390" spans="1:4" x14ac:dyDescent="0.25">
      <c r="A8390" s="15">
        <f>Sheet2!A8390</f>
        <v>0</v>
      </c>
      <c r="B8390" s="8">
        <v>0</v>
      </c>
      <c r="C8390" s="9">
        <v>0.67</v>
      </c>
      <c r="D8390" s="13">
        <f t="shared" si="131"/>
        <v>0.67</v>
      </c>
    </row>
    <row r="8391" spans="1:4" x14ac:dyDescent="0.25">
      <c r="A8391" s="15">
        <f>Sheet2!A8391</f>
        <v>0</v>
      </c>
      <c r="B8391" s="8">
        <v>0</v>
      </c>
      <c r="C8391" s="9">
        <v>1.65</v>
      </c>
      <c r="D8391" s="13">
        <f t="shared" si="131"/>
        <v>1.65</v>
      </c>
    </row>
    <row r="8392" spans="1:4" x14ac:dyDescent="0.25">
      <c r="A8392" s="15">
        <f>Sheet2!A8392</f>
        <v>0</v>
      </c>
      <c r="B8392" s="8">
        <v>0</v>
      </c>
      <c r="C8392" s="9">
        <v>2.4300000000000002</v>
      </c>
      <c r="D8392" s="13">
        <f t="shared" si="131"/>
        <v>2.4300000000000002</v>
      </c>
    </row>
    <row r="8393" spans="1:4" x14ac:dyDescent="0.25">
      <c r="A8393" s="15">
        <f>Sheet2!A8393</f>
        <v>0</v>
      </c>
      <c r="B8393" s="8">
        <v>0</v>
      </c>
      <c r="C8393" s="9">
        <v>2.09</v>
      </c>
      <c r="D8393" s="13">
        <f t="shared" si="131"/>
        <v>2.09</v>
      </c>
    </row>
    <row r="8394" spans="1:4" x14ac:dyDescent="0.25">
      <c r="A8394" s="15">
        <f>Sheet2!A8394</f>
        <v>0</v>
      </c>
      <c r="B8394" s="8">
        <v>0</v>
      </c>
      <c r="C8394" s="9">
        <v>0.76</v>
      </c>
      <c r="D8394" s="13">
        <f t="shared" si="131"/>
        <v>0.76</v>
      </c>
    </row>
    <row r="8395" spans="1:4" x14ac:dyDescent="0.25">
      <c r="A8395" s="15">
        <f>Sheet2!A8395</f>
        <v>0</v>
      </c>
      <c r="B8395" s="8">
        <v>0</v>
      </c>
      <c r="C8395" s="9">
        <v>0.79</v>
      </c>
      <c r="D8395" s="13">
        <f t="shared" si="131"/>
        <v>0.79</v>
      </c>
    </row>
    <row r="8396" spans="1:4" x14ac:dyDescent="0.25">
      <c r="A8396" s="15">
        <f>Sheet2!A8396</f>
        <v>0</v>
      </c>
      <c r="B8396" s="8">
        <v>0</v>
      </c>
      <c r="C8396" s="9">
        <v>1.37</v>
      </c>
      <c r="D8396" s="13">
        <f t="shared" si="131"/>
        <v>1.37</v>
      </c>
    </row>
    <row r="8397" spans="1:4" x14ac:dyDescent="0.25">
      <c r="A8397" s="15">
        <f>Sheet2!A8397</f>
        <v>0</v>
      </c>
      <c r="B8397" s="8">
        <v>0</v>
      </c>
      <c r="C8397" s="9">
        <v>1.26</v>
      </c>
      <c r="D8397" s="13">
        <f t="shared" si="131"/>
        <v>1.26</v>
      </c>
    </row>
    <row r="8398" spans="1:4" x14ac:dyDescent="0.25">
      <c r="A8398" s="15">
        <f>Sheet2!A8398</f>
        <v>0</v>
      </c>
      <c r="B8398" s="8">
        <v>0</v>
      </c>
      <c r="C8398" s="9">
        <v>0.25</v>
      </c>
      <c r="D8398" s="13">
        <f t="shared" si="131"/>
        <v>0.25</v>
      </c>
    </row>
    <row r="8399" spans="1:4" x14ac:dyDescent="0.25">
      <c r="A8399" s="15">
        <f>Sheet2!A8399</f>
        <v>0</v>
      </c>
      <c r="B8399" s="8">
        <v>1.79</v>
      </c>
      <c r="C8399" s="9">
        <v>0</v>
      </c>
      <c r="D8399" s="13">
        <f t="shared" si="131"/>
        <v>1.79</v>
      </c>
    </row>
    <row r="8400" spans="1:4" x14ac:dyDescent="0.25">
      <c r="A8400" s="15">
        <f>Sheet2!A8400</f>
        <v>0</v>
      </c>
      <c r="B8400" s="8">
        <v>0</v>
      </c>
      <c r="C8400" s="9">
        <v>0.85</v>
      </c>
      <c r="D8400" s="13">
        <f t="shared" si="131"/>
        <v>0.85</v>
      </c>
    </row>
    <row r="8401" spans="1:4" x14ac:dyDescent="0.25">
      <c r="A8401" s="15">
        <f>Sheet2!A8401</f>
        <v>0</v>
      </c>
      <c r="B8401" s="8">
        <v>0</v>
      </c>
      <c r="C8401" s="9">
        <v>0.33</v>
      </c>
      <c r="D8401" s="13">
        <f t="shared" si="131"/>
        <v>0.33</v>
      </c>
    </row>
    <row r="8402" spans="1:4" x14ac:dyDescent="0.25">
      <c r="A8402" s="15">
        <f>Sheet2!A8402</f>
        <v>0</v>
      </c>
      <c r="B8402" s="8">
        <v>1.1000000000000001</v>
      </c>
      <c r="C8402" s="9">
        <v>0</v>
      </c>
      <c r="D8402" s="13">
        <f t="shared" si="131"/>
        <v>1.1000000000000001</v>
      </c>
    </row>
    <row r="8403" spans="1:4" x14ac:dyDescent="0.25">
      <c r="A8403" s="15">
        <f>Sheet2!A8403</f>
        <v>0</v>
      </c>
      <c r="B8403" s="8">
        <v>1.28</v>
      </c>
      <c r="C8403" s="9">
        <v>0</v>
      </c>
      <c r="D8403" s="13">
        <f t="shared" si="131"/>
        <v>1.28</v>
      </c>
    </row>
    <row r="8404" spans="1:4" x14ac:dyDescent="0.25">
      <c r="A8404" s="15">
        <f>Sheet2!A8404</f>
        <v>0</v>
      </c>
      <c r="B8404" s="8">
        <v>1.48</v>
      </c>
      <c r="C8404" s="9">
        <v>0</v>
      </c>
      <c r="D8404" s="13">
        <f t="shared" si="131"/>
        <v>1.48</v>
      </c>
    </row>
    <row r="8405" spans="1:4" x14ac:dyDescent="0.25">
      <c r="A8405" s="15">
        <f>Sheet2!A8405</f>
        <v>0</v>
      </c>
      <c r="B8405" s="8">
        <v>0.99</v>
      </c>
      <c r="C8405" s="9">
        <v>0</v>
      </c>
      <c r="D8405" s="13">
        <f t="shared" si="131"/>
        <v>0.99</v>
      </c>
    </row>
    <row r="8406" spans="1:4" x14ac:dyDescent="0.25">
      <c r="A8406" s="15">
        <f>Sheet2!A8406</f>
        <v>0</v>
      </c>
      <c r="B8406" s="8">
        <v>0</v>
      </c>
      <c r="C8406" s="9">
        <v>0.44</v>
      </c>
      <c r="D8406" s="13">
        <f t="shared" si="131"/>
        <v>0.44</v>
      </c>
    </row>
    <row r="8407" spans="1:4" x14ac:dyDescent="0.25">
      <c r="A8407" s="15">
        <f>Sheet2!A8407</f>
        <v>0</v>
      </c>
      <c r="B8407" s="8">
        <v>0</v>
      </c>
      <c r="C8407" s="9">
        <v>0.77</v>
      </c>
      <c r="D8407" s="13">
        <f t="shared" si="131"/>
        <v>0.77</v>
      </c>
    </row>
    <row r="8408" spans="1:4" x14ac:dyDescent="0.25">
      <c r="A8408" s="15">
        <f>Sheet2!A8408</f>
        <v>0</v>
      </c>
      <c r="B8408" s="8">
        <v>0</v>
      </c>
      <c r="C8408" s="9">
        <v>0.28999999999999998</v>
      </c>
      <c r="D8408" s="13">
        <f t="shared" si="131"/>
        <v>0.28999999999999998</v>
      </c>
    </row>
    <row r="8409" spans="1:4" x14ac:dyDescent="0.25">
      <c r="A8409" s="15">
        <f>Sheet2!A8409</f>
        <v>0</v>
      </c>
      <c r="B8409" s="8">
        <v>0.85</v>
      </c>
      <c r="C8409" s="9">
        <v>0</v>
      </c>
      <c r="D8409" s="13">
        <f t="shared" si="131"/>
        <v>0.85</v>
      </c>
    </row>
    <row r="8410" spans="1:4" x14ac:dyDescent="0.25">
      <c r="A8410" s="15">
        <f>Sheet2!A8410</f>
        <v>0</v>
      </c>
      <c r="B8410" s="8">
        <v>0.85</v>
      </c>
      <c r="C8410" s="9">
        <v>0</v>
      </c>
      <c r="D8410" s="13">
        <f t="shared" si="131"/>
        <v>0.85</v>
      </c>
    </row>
    <row r="8411" spans="1:4" x14ac:dyDescent="0.25">
      <c r="A8411" s="15">
        <f>Sheet2!A8411</f>
        <v>0</v>
      </c>
      <c r="B8411" s="8">
        <v>0.85</v>
      </c>
      <c r="C8411" s="9">
        <v>0</v>
      </c>
      <c r="D8411" s="13">
        <f t="shared" si="131"/>
        <v>0.85</v>
      </c>
    </row>
    <row r="8412" spans="1:4" x14ac:dyDescent="0.25">
      <c r="A8412" s="15">
        <f>Sheet2!A8412</f>
        <v>0</v>
      </c>
      <c r="B8412" s="8">
        <v>0.26</v>
      </c>
      <c r="C8412" s="9">
        <v>0</v>
      </c>
      <c r="D8412" s="13">
        <f t="shared" si="131"/>
        <v>0.26</v>
      </c>
    </row>
    <row r="8413" spans="1:4" x14ac:dyDescent="0.25">
      <c r="A8413" s="15">
        <f>Sheet2!A8413</f>
        <v>0</v>
      </c>
      <c r="B8413" s="8">
        <v>0</v>
      </c>
      <c r="C8413" s="9">
        <v>1.1200000000000001</v>
      </c>
      <c r="D8413" s="13">
        <f t="shared" si="131"/>
        <v>1.1200000000000001</v>
      </c>
    </row>
    <row r="8414" spans="1:4" x14ac:dyDescent="0.25">
      <c r="A8414" s="15">
        <f>Sheet2!A8414</f>
        <v>0</v>
      </c>
      <c r="B8414" s="8">
        <v>0</v>
      </c>
      <c r="C8414" s="9">
        <v>0.5</v>
      </c>
      <c r="D8414" s="13">
        <f t="shared" si="131"/>
        <v>0.5</v>
      </c>
    </row>
    <row r="8415" spans="1:4" x14ac:dyDescent="0.25">
      <c r="A8415" s="15">
        <f>Sheet2!A8415</f>
        <v>0</v>
      </c>
      <c r="B8415" s="8">
        <v>1.66</v>
      </c>
      <c r="C8415" s="9">
        <v>0</v>
      </c>
      <c r="D8415" s="13">
        <f t="shared" si="131"/>
        <v>1.66</v>
      </c>
    </row>
    <row r="8416" spans="1:4" x14ac:dyDescent="0.25">
      <c r="A8416" s="15">
        <f>Sheet2!A8416</f>
        <v>0</v>
      </c>
      <c r="B8416" s="8">
        <v>0</v>
      </c>
      <c r="C8416" s="9">
        <v>1.64</v>
      </c>
      <c r="D8416" s="13">
        <f t="shared" si="131"/>
        <v>1.64</v>
      </c>
    </row>
    <row r="8417" spans="1:4" x14ac:dyDescent="0.25">
      <c r="A8417" s="15">
        <f>Sheet2!A8417</f>
        <v>0</v>
      </c>
      <c r="B8417" s="8">
        <v>0</v>
      </c>
      <c r="C8417" s="9">
        <v>0.37</v>
      </c>
      <c r="D8417" s="13">
        <f t="shared" si="131"/>
        <v>0.37</v>
      </c>
    </row>
    <row r="8418" spans="1:4" x14ac:dyDescent="0.25">
      <c r="A8418" s="15">
        <f>Sheet2!A8418</f>
        <v>0</v>
      </c>
      <c r="B8418" s="8">
        <v>0</v>
      </c>
      <c r="C8418" s="9">
        <v>0.57999999999999996</v>
      </c>
      <c r="D8418" s="13">
        <f t="shared" si="131"/>
        <v>0.57999999999999996</v>
      </c>
    </row>
    <row r="8419" spans="1:4" x14ac:dyDescent="0.25">
      <c r="A8419" s="15">
        <f>Sheet2!A8419</f>
        <v>0</v>
      </c>
      <c r="B8419" s="8">
        <v>1.4</v>
      </c>
      <c r="C8419" s="9">
        <v>0</v>
      </c>
      <c r="D8419" s="13">
        <f t="shared" si="131"/>
        <v>1.4</v>
      </c>
    </row>
    <row r="8420" spans="1:4" x14ac:dyDescent="0.25">
      <c r="A8420" s="15">
        <f>Sheet2!A8420</f>
        <v>0</v>
      </c>
      <c r="B8420" s="8">
        <v>0</v>
      </c>
      <c r="C8420" s="9">
        <v>1.03</v>
      </c>
      <c r="D8420" s="13">
        <f t="shared" si="131"/>
        <v>1.03</v>
      </c>
    </row>
    <row r="8421" spans="1:4" x14ac:dyDescent="0.25">
      <c r="A8421" s="15">
        <f>Sheet2!A8421</f>
        <v>0</v>
      </c>
      <c r="B8421" s="8">
        <v>0</v>
      </c>
      <c r="C8421" s="9">
        <v>2.1</v>
      </c>
      <c r="D8421" s="13">
        <f t="shared" si="131"/>
        <v>2.1</v>
      </c>
    </row>
    <row r="8422" spans="1:4" x14ac:dyDescent="0.25">
      <c r="A8422" s="15">
        <f>Sheet2!A8422</f>
        <v>0</v>
      </c>
      <c r="B8422" s="8">
        <v>0</v>
      </c>
      <c r="C8422" s="9">
        <v>1.0900000000000001</v>
      </c>
      <c r="D8422" s="13">
        <f t="shared" si="131"/>
        <v>1.0900000000000001</v>
      </c>
    </row>
    <row r="8423" spans="1:4" x14ac:dyDescent="0.25">
      <c r="A8423" s="15">
        <f>Sheet2!A8423</f>
        <v>0</v>
      </c>
      <c r="B8423" s="8">
        <v>1.57</v>
      </c>
      <c r="C8423" s="9">
        <v>0</v>
      </c>
      <c r="D8423" s="13">
        <f t="shared" si="131"/>
        <v>1.57</v>
      </c>
    </row>
    <row r="8424" spans="1:4" x14ac:dyDescent="0.25">
      <c r="A8424" s="15">
        <f>Sheet2!A8424</f>
        <v>0</v>
      </c>
      <c r="B8424" s="8">
        <v>1.77</v>
      </c>
      <c r="C8424" s="9">
        <v>0</v>
      </c>
      <c r="D8424" s="13">
        <f t="shared" si="131"/>
        <v>1.77</v>
      </c>
    </row>
    <row r="8425" spans="1:4" x14ac:dyDescent="0.25">
      <c r="A8425" s="15">
        <f>Sheet2!A8425</f>
        <v>0</v>
      </c>
      <c r="B8425" s="8">
        <v>1.86</v>
      </c>
      <c r="C8425" s="9">
        <v>0</v>
      </c>
      <c r="D8425" s="13">
        <f t="shared" si="131"/>
        <v>1.86</v>
      </c>
    </row>
    <row r="8426" spans="1:4" x14ac:dyDescent="0.25">
      <c r="A8426" s="15">
        <f>Sheet2!A8426</f>
        <v>0</v>
      </c>
      <c r="B8426" s="8">
        <v>1.53</v>
      </c>
      <c r="C8426" s="9">
        <v>0</v>
      </c>
      <c r="D8426" s="13">
        <f t="shared" si="131"/>
        <v>1.53</v>
      </c>
    </row>
    <row r="8427" spans="1:4" x14ac:dyDescent="0.25">
      <c r="A8427" s="15">
        <f>Sheet2!A8427</f>
        <v>0</v>
      </c>
      <c r="B8427" s="8">
        <v>1.74</v>
      </c>
      <c r="C8427" s="9">
        <v>0</v>
      </c>
      <c r="D8427" s="13">
        <f t="shared" si="131"/>
        <v>1.74</v>
      </c>
    </row>
    <row r="8428" spans="1:4" x14ac:dyDescent="0.25">
      <c r="A8428" s="15">
        <f>Sheet2!A8428</f>
        <v>0</v>
      </c>
      <c r="B8428" s="8">
        <v>1.85</v>
      </c>
      <c r="C8428" s="9">
        <v>0</v>
      </c>
      <c r="D8428" s="13">
        <f t="shared" si="131"/>
        <v>1.85</v>
      </c>
    </row>
    <row r="8429" spans="1:4" x14ac:dyDescent="0.25">
      <c r="A8429" s="15">
        <f>Sheet2!A8429</f>
        <v>0</v>
      </c>
      <c r="B8429" s="8">
        <v>1.6</v>
      </c>
      <c r="C8429" s="9">
        <v>0</v>
      </c>
      <c r="D8429" s="13">
        <f t="shared" si="131"/>
        <v>1.6</v>
      </c>
    </row>
    <row r="8430" spans="1:4" x14ac:dyDescent="0.25">
      <c r="A8430" s="15">
        <f>Sheet2!A8430</f>
        <v>0</v>
      </c>
      <c r="B8430" s="8">
        <v>0</v>
      </c>
      <c r="C8430" s="9">
        <v>0.53</v>
      </c>
      <c r="D8430" s="13">
        <f t="shared" si="131"/>
        <v>0.53</v>
      </c>
    </row>
    <row r="8431" spans="1:4" x14ac:dyDescent="0.25">
      <c r="A8431" s="15">
        <f>Sheet2!A8431</f>
        <v>0</v>
      </c>
      <c r="B8431" s="8">
        <v>0</v>
      </c>
      <c r="C8431" s="9">
        <v>0.64</v>
      </c>
      <c r="D8431" s="13">
        <f t="shared" si="131"/>
        <v>0.64</v>
      </c>
    </row>
    <row r="8432" spans="1:4" x14ac:dyDescent="0.25">
      <c r="A8432" s="15">
        <f>Sheet2!A8432</f>
        <v>0</v>
      </c>
      <c r="B8432" s="8">
        <v>0</v>
      </c>
      <c r="C8432" s="9">
        <v>0.27</v>
      </c>
      <c r="D8432" s="13">
        <f t="shared" si="131"/>
        <v>0.27</v>
      </c>
    </row>
    <row r="8433" spans="1:4" x14ac:dyDescent="0.25">
      <c r="A8433" s="15">
        <f>Sheet2!A8433</f>
        <v>0</v>
      </c>
      <c r="B8433" s="8">
        <v>0.75</v>
      </c>
      <c r="C8433" s="9">
        <v>0</v>
      </c>
      <c r="D8433" s="13">
        <f t="shared" si="131"/>
        <v>0.75</v>
      </c>
    </row>
    <row r="8434" spans="1:4" x14ac:dyDescent="0.25">
      <c r="A8434" s="15">
        <f>Sheet2!A8434</f>
        <v>0</v>
      </c>
      <c r="B8434" s="8">
        <v>0.68</v>
      </c>
      <c r="C8434" s="9">
        <v>0</v>
      </c>
      <c r="D8434" s="13">
        <f t="shared" si="131"/>
        <v>0.68</v>
      </c>
    </row>
    <row r="8435" spans="1:4" x14ac:dyDescent="0.25">
      <c r="A8435" s="15">
        <f>Sheet2!A8435</f>
        <v>0</v>
      </c>
      <c r="B8435" s="8">
        <v>0.68</v>
      </c>
      <c r="C8435" s="9">
        <v>0</v>
      </c>
      <c r="D8435" s="13">
        <f t="shared" si="131"/>
        <v>0.68</v>
      </c>
    </row>
    <row r="8436" spans="1:4" x14ac:dyDescent="0.25">
      <c r="A8436" s="15">
        <f>Sheet2!A8436</f>
        <v>0</v>
      </c>
      <c r="B8436" s="8">
        <v>0</v>
      </c>
      <c r="C8436" s="9">
        <v>0.67</v>
      </c>
      <c r="D8436" s="13">
        <f t="shared" si="131"/>
        <v>0.67</v>
      </c>
    </row>
    <row r="8437" spans="1:4" x14ac:dyDescent="0.25">
      <c r="A8437" s="15">
        <f>Sheet2!A8437</f>
        <v>0</v>
      </c>
      <c r="B8437" s="8">
        <v>0</v>
      </c>
      <c r="C8437" s="9">
        <v>1.1200000000000001</v>
      </c>
      <c r="D8437" s="13">
        <f t="shared" si="131"/>
        <v>1.1200000000000001</v>
      </c>
    </row>
    <row r="8438" spans="1:4" x14ac:dyDescent="0.25">
      <c r="A8438" s="15">
        <f>Sheet2!A8438</f>
        <v>0</v>
      </c>
      <c r="B8438" s="8">
        <v>0</v>
      </c>
      <c r="C8438" s="9">
        <v>0.5</v>
      </c>
      <c r="D8438" s="13">
        <f t="shared" si="131"/>
        <v>0.5</v>
      </c>
    </row>
    <row r="8439" spans="1:4" x14ac:dyDescent="0.25">
      <c r="A8439" s="15">
        <f>Sheet2!A8439</f>
        <v>0</v>
      </c>
      <c r="B8439" s="8">
        <v>1.66</v>
      </c>
      <c r="C8439" s="9">
        <v>0</v>
      </c>
      <c r="D8439" s="13">
        <f t="shared" si="131"/>
        <v>1.66</v>
      </c>
    </row>
    <row r="8440" spans="1:4" x14ac:dyDescent="0.25">
      <c r="A8440" s="15">
        <f>Sheet2!A8440</f>
        <v>0</v>
      </c>
      <c r="B8440" s="8">
        <v>0</v>
      </c>
      <c r="C8440" s="9">
        <v>1.64</v>
      </c>
      <c r="D8440" s="13">
        <f t="shared" si="131"/>
        <v>1.64</v>
      </c>
    </row>
    <row r="8441" spans="1:4" x14ac:dyDescent="0.25">
      <c r="A8441" s="15">
        <f>Sheet2!A8441</f>
        <v>0</v>
      </c>
      <c r="B8441" s="8">
        <v>0</v>
      </c>
      <c r="C8441" s="9">
        <v>2.17</v>
      </c>
      <c r="D8441" s="13">
        <f t="shared" si="131"/>
        <v>2.17</v>
      </c>
    </row>
    <row r="8442" spans="1:4" x14ac:dyDescent="0.25">
      <c r="A8442" s="15">
        <f>Sheet2!A8442</f>
        <v>0</v>
      </c>
      <c r="B8442" s="8">
        <v>0</v>
      </c>
      <c r="C8442" s="9">
        <v>0.48</v>
      </c>
      <c r="D8442" s="13">
        <f t="shared" si="131"/>
        <v>0.48</v>
      </c>
    </row>
    <row r="8443" spans="1:4" x14ac:dyDescent="0.25">
      <c r="A8443" s="15">
        <f>Sheet2!A8443</f>
        <v>0</v>
      </c>
      <c r="B8443" s="8">
        <v>0</v>
      </c>
      <c r="C8443" s="9">
        <v>0.87</v>
      </c>
      <c r="D8443" s="13">
        <f t="shared" si="131"/>
        <v>0.87</v>
      </c>
    </row>
    <row r="8444" spans="1:4" x14ac:dyDescent="0.25">
      <c r="A8444" s="15">
        <f>Sheet2!A8444</f>
        <v>0</v>
      </c>
      <c r="B8444" s="8">
        <v>0</v>
      </c>
      <c r="C8444" s="9">
        <v>1.23</v>
      </c>
      <c r="D8444" s="13">
        <f t="shared" si="131"/>
        <v>1.23</v>
      </c>
    </row>
    <row r="8445" spans="1:4" x14ac:dyDescent="0.25">
      <c r="A8445" s="15">
        <f>Sheet2!A8445</f>
        <v>0</v>
      </c>
      <c r="B8445" s="8">
        <v>0</v>
      </c>
      <c r="C8445" s="9">
        <v>0.76</v>
      </c>
      <c r="D8445" s="13">
        <f t="shared" si="131"/>
        <v>0.76</v>
      </c>
    </row>
    <row r="8446" spans="1:4" x14ac:dyDescent="0.25">
      <c r="A8446" s="15">
        <f>Sheet2!A8446</f>
        <v>0</v>
      </c>
      <c r="B8446" s="8">
        <v>2.98</v>
      </c>
      <c r="C8446" s="9">
        <v>0</v>
      </c>
      <c r="D8446" s="13">
        <f t="shared" si="131"/>
        <v>2.98</v>
      </c>
    </row>
    <row r="8447" spans="1:4" x14ac:dyDescent="0.25">
      <c r="A8447" s="15">
        <f>Sheet2!A8447</f>
        <v>0</v>
      </c>
      <c r="B8447" s="8">
        <v>1.67</v>
      </c>
      <c r="C8447" s="9">
        <v>0</v>
      </c>
      <c r="D8447" s="13">
        <f t="shared" si="131"/>
        <v>1.67</v>
      </c>
    </row>
    <row r="8448" spans="1:4" x14ac:dyDescent="0.25">
      <c r="A8448" s="15">
        <f>Sheet2!A8448</f>
        <v>0</v>
      </c>
      <c r="B8448" s="8">
        <v>0</v>
      </c>
      <c r="C8448" s="9">
        <v>0.37</v>
      </c>
      <c r="D8448" s="13">
        <f t="shared" si="131"/>
        <v>0.37</v>
      </c>
    </row>
    <row r="8449" spans="1:4" x14ac:dyDescent="0.25">
      <c r="A8449" s="15">
        <f>Sheet2!A8449</f>
        <v>0</v>
      </c>
      <c r="B8449" s="8">
        <v>2.1</v>
      </c>
      <c r="C8449" s="9">
        <v>0</v>
      </c>
      <c r="D8449" s="13">
        <f t="shared" si="131"/>
        <v>2.1</v>
      </c>
    </row>
    <row r="8450" spans="1:4" x14ac:dyDescent="0.25">
      <c r="A8450" s="15">
        <f>Sheet2!A8450</f>
        <v>0</v>
      </c>
      <c r="B8450" s="8">
        <v>1.59</v>
      </c>
      <c r="C8450" s="9">
        <v>0</v>
      </c>
      <c r="D8450" s="13">
        <f t="shared" si="131"/>
        <v>1.59</v>
      </c>
    </row>
    <row r="8451" spans="1:4" x14ac:dyDescent="0.25">
      <c r="A8451" s="15">
        <f>Sheet2!A8451</f>
        <v>0</v>
      </c>
      <c r="B8451" s="8">
        <v>1.72</v>
      </c>
      <c r="C8451" s="9">
        <v>0</v>
      </c>
      <c r="D8451" s="13">
        <f t="shared" ref="D8451:D8514" si="132">B8451+C8451</f>
        <v>1.72</v>
      </c>
    </row>
    <row r="8452" spans="1:4" x14ac:dyDescent="0.25">
      <c r="A8452" s="15">
        <f>Sheet2!A8452</f>
        <v>0</v>
      </c>
      <c r="B8452" s="8">
        <v>1.9</v>
      </c>
      <c r="C8452" s="9">
        <v>0</v>
      </c>
      <c r="D8452" s="13">
        <f t="shared" si="132"/>
        <v>1.9</v>
      </c>
    </row>
    <row r="8453" spans="1:4" x14ac:dyDescent="0.25">
      <c r="A8453" s="15">
        <f>Sheet2!A8453</f>
        <v>0</v>
      </c>
      <c r="B8453" s="8">
        <v>1.78</v>
      </c>
      <c r="C8453" s="9">
        <v>0</v>
      </c>
      <c r="D8453" s="13">
        <f t="shared" si="132"/>
        <v>1.78</v>
      </c>
    </row>
    <row r="8454" spans="1:4" x14ac:dyDescent="0.25">
      <c r="A8454" s="15">
        <f>Sheet2!A8454</f>
        <v>0</v>
      </c>
      <c r="B8454" s="8">
        <v>1.48</v>
      </c>
      <c r="C8454" s="9">
        <v>0</v>
      </c>
      <c r="D8454" s="13">
        <f t="shared" si="132"/>
        <v>1.48</v>
      </c>
    </row>
    <row r="8455" spans="1:4" x14ac:dyDescent="0.25">
      <c r="A8455" s="15">
        <f>Sheet2!A8455</f>
        <v>0</v>
      </c>
      <c r="B8455" s="8">
        <v>1.0900000000000001</v>
      </c>
      <c r="C8455" s="9">
        <v>0</v>
      </c>
      <c r="D8455" s="13">
        <f t="shared" si="132"/>
        <v>1.0900000000000001</v>
      </c>
    </row>
    <row r="8456" spans="1:4" x14ac:dyDescent="0.25">
      <c r="A8456" s="15">
        <f>Sheet2!A8456</f>
        <v>0</v>
      </c>
      <c r="B8456" s="8">
        <v>0</v>
      </c>
      <c r="C8456" s="9">
        <v>0.78</v>
      </c>
      <c r="D8456" s="13">
        <f t="shared" si="132"/>
        <v>0.78</v>
      </c>
    </row>
    <row r="8457" spans="1:4" x14ac:dyDescent="0.25">
      <c r="A8457" s="15">
        <f>Sheet2!A8457</f>
        <v>0</v>
      </c>
      <c r="B8457" s="8">
        <v>0</v>
      </c>
      <c r="C8457" s="9">
        <v>1.18</v>
      </c>
      <c r="D8457" s="13">
        <f t="shared" si="132"/>
        <v>1.18</v>
      </c>
    </row>
    <row r="8458" spans="1:4" x14ac:dyDescent="0.25">
      <c r="A8458" s="15">
        <f>Sheet2!A8458</f>
        <v>0</v>
      </c>
      <c r="B8458" s="8">
        <v>0</v>
      </c>
      <c r="C8458" s="9">
        <v>0.26</v>
      </c>
      <c r="D8458" s="13">
        <f t="shared" si="132"/>
        <v>0.26</v>
      </c>
    </row>
    <row r="8459" spans="1:4" x14ac:dyDescent="0.25">
      <c r="A8459" s="15">
        <f>Sheet2!A8459</f>
        <v>0</v>
      </c>
      <c r="B8459" s="8">
        <v>1.04</v>
      </c>
      <c r="C8459" s="9">
        <v>0</v>
      </c>
      <c r="D8459" s="13">
        <f t="shared" si="132"/>
        <v>1.04</v>
      </c>
    </row>
    <row r="8460" spans="1:4" x14ac:dyDescent="0.25">
      <c r="A8460" s="15">
        <f>Sheet2!A8460</f>
        <v>0</v>
      </c>
      <c r="B8460" s="8">
        <v>0</v>
      </c>
      <c r="C8460" s="9">
        <v>0.88</v>
      </c>
      <c r="D8460" s="13">
        <f t="shared" si="132"/>
        <v>0.88</v>
      </c>
    </row>
    <row r="8461" spans="1:4" x14ac:dyDescent="0.25">
      <c r="A8461" s="15">
        <f>Sheet2!A8461</f>
        <v>0</v>
      </c>
      <c r="B8461" s="8">
        <v>0</v>
      </c>
      <c r="C8461" s="9">
        <v>1.33</v>
      </c>
      <c r="D8461" s="13">
        <f t="shared" si="132"/>
        <v>1.33</v>
      </c>
    </row>
    <row r="8462" spans="1:4" x14ac:dyDescent="0.25">
      <c r="A8462" s="15">
        <f>Sheet2!A8462</f>
        <v>0</v>
      </c>
      <c r="B8462" s="8">
        <v>0</v>
      </c>
      <c r="C8462" s="9">
        <v>0.67</v>
      </c>
      <c r="D8462" s="13">
        <f t="shared" si="132"/>
        <v>0.67</v>
      </c>
    </row>
    <row r="8463" spans="1:4" x14ac:dyDescent="0.25">
      <c r="A8463" s="15">
        <f>Sheet2!A8463</f>
        <v>0</v>
      </c>
      <c r="B8463" s="8">
        <v>2.6</v>
      </c>
      <c r="C8463" s="9">
        <v>0</v>
      </c>
      <c r="D8463" s="13">
        <f t="shared" si="132"/>
        <v>2.6</v>
      </c>
    </row>
    <row r="8464" spans="1:4" x14ac:dyDescent="0.25">
      <c r="A8464" s="15">
        <f>Sheet2!A8464</f>
        <v>0</v>
      </c>
      <c r="B8464" s="8">
        <v>0</v>
      </c>
      <c r="C8464" s="9">
        <v>1.6</v>
      </c>
      <c r="D8464" s="13">
        <f t="shared" si="132"/>
        <v>1.6</v>
      </c>
    </row>
    <row r="8465" spans="1:4" x14ac:dyDescent="0.25">
      <c r="A8465" s="15">
        <f>Sheet2!A8465</f>
        <v>0</v>
      </c>
      <c r="B8465" s="8">
        <v>0</v>
      </c>
      <c r="C8465" s="9">
        <v>2.15</v>
      </c>
      <c r="D8465" s="13">
        <f t="shared" si="132"/>
        <v>2.15</v>
      </c>
    </row>
    <row r="8466" spans="1:4" x14ac:dyDescent="0.25">
      <c r="A8466" s="15">
        <f>Sheet2!A8466</f>
        <v>0</v>
      </c>
      <c r="B8466" s="8">
        <v>0</v>
      </c>
      <c r="C8466" s="9">
        <v>0.79</v>
      </c>
      <c r="D8466" s="13">
        <f t="shared" si="132"/>
        <v>0.79</v>
      </c>
    </row>
    <row r="8467" spans="1:4" x14ac:dyDescent="0.25">
      <c r="A8467" s="15">
        <f>Sheet2!A8467</f>
        <v>0</v>
      </c>
      <c r="B8467" s="8">
        <v>1.97</v>
      </c>
      <c r="C8467" s="9">
        <v>0</v>
      </c>
      <c r="D8467" s="13">
        <f t="shared" si="132"/>
        <v>1.97</v>
      </c>
    </row>
    <row r="8468" spans="1:4" x14ac:dyDescent="0.25">
      <c r="A8468" s="15">
        <f>Sheet2!A8468</f>
        <v>0</v>
      </c>
      <c r="B8468" s="8">
        <v>0</v>
      </c>
      <c r="C8468" s="9">
        <v>1.05</v>
      </c>
      <c r="D8468" s="13">
        <f t="shared" si="132"/>
        <v>1.05</v>
      </c>
    </row>
    <row r="8469" spans="1:4" x14ac:dyDescent="0.25">
      <c r="A8469" s="15">
        <f>Sheet2!A8469</f>
        <v>0</v>
      </c>
      <c r="B8469" s="8">
        <v>0</v>
      </c>
      <c r="C8469" s="9">
        <v>1.74</v>
      </c>
      <c r="D8469" s="13">
        <f t="shared" si="132"/>
        <v>1.74</v>
      </c>
    </row>
    <row r="8470" spans="1:4" x14ac:dyDescent="0.25">
      <c r="A8470" s="15">
        <f>Sheet2!A8470</f>
        <v>0</v>
      </c>
      <c r="B8470" s="8">
        <v>0</v>
      </c>
      <c r="C8470" s="9">
        <v>1.67</v>
      </c>
      <c r="D8470" s="13">
        <f t="shared" si="132"/>
        <v>1.67</v>
      </c>
    </row>
    <row r="8471" spans="1:4" x14ac:dyDescent="0.25">
      <c r="A8471" s="15">
        <f>Sheet2!A8471</f>
        <v>0</v>
      </c>
      <c r="B8471" s="8">
        <v>0</v>
      </c>
      <c r="C8471" s="9">
        <v>0.91</v>
      </c>
      <c r="D8471" s="13">
        <f t="shared" si="132"/>
        <v>0.91</v>
      </c>
    </row>
    <row r="8472" spans="1:4" x14ac:dyDescent="0.25">
      <c r="A8472" s="15">
        <f>Sheet2!A8472</f>
        <v>0</v>
      </c>
      <c r="B8472" s="8">
        <v>1.39</v>
      </c>
      <c r="C8472" s="9">
        <v>0</v>
      </c>
      <c r="D8472" s="13">
        <f t="shared" si="132"/>
        <v>1.39</v>
      </c>
    </row>
    <row r="8473" spans="1:4" x14ac:dyDescent="0.25">
      <c r="A8473" s="15">
        <f>Sheet2!A8473</f>
        <v>0</v>
      </c>
      <c r="B8473" s="8">
        <v>1.74</v>
      </c>
      <c r="C8473" s="9">
        <v>0</v>
      </c>
      <c r="D8473" s="13">
        <f t="shared" si="132"/>
        <v>1.74</v>
      </c>
    </row>
    <row r="8474" spans="1:4" x14ac:dyDescent="0.25">
      <c r="A8474" s="15">
        <f>Sheet2!A8474</f>
        <v>0</v>
      </c>
      <c r="B8474" s="8">
        <v>1.52</v>
      </c>
      <c r="C8474" s="9">
        <v>0</v>
      </c>
      <c r="D8474" s="13">
        <f t="shared" si="132"/>
        <v>1.52</v>
      </c>
    </row>
    <row r="8475" spans="1:4" x14ac:dyDescent="0.25">
      <c r="A8475" s="15">
        <f>Sheet2!A8475</f>
        <v>0</v>
      </c>
      <c r="B8475" s="8">
        <v>1.33</v>
      </c>
      <c r="C8475" s="9">
        <v>0</v>
      </c>
      <c r="D8475" s="13">
        <f t="shared" si="132"/>
        <v>1.33</v>
      </c>
    </row>
    <row r="8476" spans="1:4" x14ac:dyDescent="0.25">
      <c r="A8476" s="15">
        <f>Sheet2!A8476</f>
        <v>0</v>
      </c>
      <c r="B8476" s="8">
        <v>1.5</v>
      </c>
      <c r="C8476" s="9">
        <v>0</v>
      </c>
      <c r="D8476" s="13">
        <f t="shared" si="132"/>
        <v>1.5</v>
      </c>
    </row>
    <row r="8477" spans="1:4" x14ac:dyDescent="0.25">
      <c r="A8477" s="15">
        <f>Sheet2!A8477</f>
        <v>0</v>
      </c>
      <c r="B8477" s="8">
        <v>0</v>
      </c>
      <c r="C8477" s="9">
        <v>0.55000000000000004</v>
      </c>
      <c r="D8477" s="13">
        <f t="shared" si="132"/>
        <v>0.55000000000000004</v>
      </c>
    </row>
    <row r="8478" spans="1:4" x14ac:dyDescent="0.25">
      <c r="A8478" s="15">
        <f>Sheet2!A8478</f>
        <v>0</v>
      </c>
      <c r="B8478" s="8">
        <v>0</v>
      </c>
      <c r="C8478" s="9">
        <v>0.54</v>
      </c>
      <c r="D8478" s="13">
        <f t="shared" si="132"/>
        <v>0.54</v>
      </c>
    </row>
    <row r="8479" spans="1:4" x14ac:dyDescent="0.25">
      <c r="A8479" s="15">
        <f>Sheet2!A8479</f>
        <v>0</v>
      </c>
      <c r="B8479" s="8">
        <v>0.61</v>
      </c>
      <c r="C8479" s="9">
        <v>0</v>
      </c>
      <c r="D8479" s="13">
        <f t="shared" si="132"/>
        <v>0.61</v>
      </c>
    </row>
    <row r="8480" spans="1:4" x14ac:dyDescent="0.25">
      <c r="A8480" s="15">
        <f>Sheet2!A8480</f>
        <v>0</v>
      </c>
      <c r="B8480" s="8">
        <v>0.87</v>
      </c>
      <c r="C8480" s="9">
        <v>0</v>
      </c>
      <c r="D8480" s="13">
        <f t="shared" si="132"/>
        <v>0.87</v>
      </c>
    </row>
    <row r="8481" spans="1:4" x14ac:dyDescent="0.25">
      <c r="A8481" s="15">
        <f>Sheet2!A8481</f>
        <v>0</v>
      </c>
      <c r="B8481" s="8">
        <v>0.59</v>
      </c>
      <c r="C8481" s="9">
        <v>0</v>
      </c>
      <c r="D8481" s="13">
        <f t="shared" si="132"/>
        <v>0.59</v>
      </c>
    </row>
    <row r="8482" spans="1:4" x14ac:dyDescent="0.25">
      <c r="A8482" s="15">
        <f>Sheet2!A8482</f>
        <v>0</v>
      </c>
      <c r="B8482" s="8">
        <v>0</v>
      </c>
      <c r="C8482" s="9">
        <v>0.34</v>
      </c>
      <c r="D8482" s="13">
        <f t="shared" si="132"/>
        <v>0.34</v>
      </c>
    </row>
    <row r="8483" spans="1:4" x14ac:dyDescent="0.25">
      <c r="A8483" s="15">
        <f>Sheet2!A8483</f>
        <v>0</v>
      </c>
      <c r="B8483" s="8">
        <v>0</v>
      </c>
      <c r="C8483" s="9">
        <v>0.7</v>
      </c>
      <c r="D8483" s="13">
        <f t="shared" si="132"/>
        <v>0.7</v>
      </c>
    </row>
    <row r="8484" spans="1:4" x14ac:dyDescent="0.25">
      <c r="A8484" s="15">
        <f>Sheet2!A8484</f>
        <v>0</v>
      </c>
      <c r="B8484" s="8">
        <v>0</v>
      </c>
      <c r="C8484" s="9">
        <v>0.28999999999999998</v>
      </c>
      <c r="D8484" s="13">
        <f t="shared" si="132"/>
        <v>0.28999999999999998</v>
      </c>
    </row>
    <row r="8485" spans="1:4" x14ac:dyDescent="0.25">
      <c r="A8485" s="15">
        <f>Sheet2!A8485</f>
        <v>0</v>
      </c>
      <c r="B8485" s="8">
        <v>0.84</v>
      </c>
      <c r="C8485" s="9">
        <v>0</v>
      </c>
      <c r="D8485" s="13">
        <f t="shared" si="132"/>
        <v>0.84</v>
      </c>
    </row>
    <row r="8486" spans="1:4" x14ac:dyDescent="0.25">
      <c r="A8486" s="15">
        <f>Sheet2!A8486</f>
        <v>0</v>
      </c>
      <c r="B8486" s="8">
        <v>0</v>
      </c>
      <c r="C8486" s="9">
        <v>0.7</v>
      </c>
      <c r="D8486" s="13">
        <f t="shared" si="132"/>
        <v>0.7</v>
      </c>
    </row>
    <row r="8487" spans="1:4" x14ac:dyDescent="0.25">
      <c r="A8487" s="15">
        <f>Sheet2!A8487</f>
        <v>0</v>
      </c>
      <c r="B8487" s="8">
        <v>0</v>
      </c>
      <c r="C8487" s="9">
        <v>1.02</v>
      </c>
      <c r="D8487" s="13">
        <f t="shared" si="132"/>
        <v>1.02</v>
      </c>
    </row>
    <row r="8488" spans="1:4" x14ac:dyDescent="0.25">
      <c r="A8488" s="15">
        <f>Sheet2!A8488</f>
        <v>0</v>
      </c>
      <c r="B8488" s="8">
        <v>0</v>
      </c>
      <c r="C8488" s="9">
        <v>0.38</v>
      </c>
      <c r="D8488" s="13">
        <f t="shared" si="132"/>
        <v>0.38</v>
      </c>
    </row>
    <row r="8489" spans="1:4" x14ac:dyDescent="0.25">
      <c r="A8489" s="15">
        <f>Sheet2!A8489</f>
        <v>0</v>
      </c>
      <c r="B8489" s="8">
        <v>1.83</v>
      </c>
      <c r="C8489" s="9">
        <v>0</v>
      </c>
      <c r="D8489" s="13">
        <f t="shared" si="132"/>
        <v>1.83</v>
      </c>
    </row>
    <row r="8490" spans="1:4" x14ac:dyDescent="0.25">
      <c r="A8490" s="15">
        <f>Sheet2!A8490</f>
        <v>0</v>
      </c>
      <c r="B8490" s="8">
        <v>0</v>
      </c>
      <c r="C8490" s="9">
        <v>0.96</v>
      </c>
      <c r="D8490" s="13">
        <f t="shared" si="132"/>
        <v>0.96</v>
      </c>
    </row>
    <row r="8491" spans="1:4" x14ac:dyDescent="0.25">
      <c r="A8491" s="15">
        <f>Sheet2!A8491</f>
        <v>0</v>
      </c>
      <c r="B8491" s="8">
        <v>0</v>
      </c>
      <c r="C8491" s="9">
        <v>1.42</v>
      </c>
      <c r="D8491" s="13">
        <f t="shared" si="132"/>
        <v>1.42</v>
      </c>
    </row>
    <row r="8492" spans="1:4" x14ac:dyDescent="0.25">
      <c r="A8492" s="15">
        <f>Sheet2!A8492</f>
        <v>0</v>
      </c>
      <c r="B8492" s="8">
        <v>0</v>
      </c>
      <c r="C8492" s="9">
        <v>1.49</v>
      </c>
      <c r="D8492" s="13">
        <f t="shared" si="132"/>
        <v>1.49</v>
      </c>
    </row>
    <row r="8493" spans="1:4" x14ac:dyDescent="0.25">
      <c r="A8493" s="15">
        <f>Sheet2!A8493</f>
        <v>0</v>
      </c>
      <c r="B8493" s="8">
        <v>0</v>
      </c>
      <c r="C8493" s="9">
        <v>1.26</v>
      </c>
      <c r="D8493" s="13">
        <f t="shared" si="132"/>
        <v>1.26</v>
      </c>
    </row>
    <row r="8494" spans="1:4" x14ac:dyDescent="0.25">
      <c r="A8494" s="15">
        <f>Sheet2!A8494</f>
        <v>0</v>
      </c>
      <c r="B8494" s="8">
        <v>0</v>
      </c>
      <c r="C8494" s="9">
        <v>0.31</v>
      </c>
      <c r="D8494" s="13">
        <f t="shared" si="132"/>
        <v>0.31</v>
      </c>
    </row>
    <row r="8495" spans="1:4" x14ac:dyDescent="0.25">
      <c r="A8495" s="15">
        <f>Sheet2!A8495</f>
        <v>0</v>
      </c>
      <c r="B8495" s="8">
        <v>1.27</v>
      </c>
      <c r="C8495" s="9">
        <v>0</v>
      </c>
      <c r="D8495" s="13">
        <f t="shared" si="132"/>
        <v>1.27</v>
      </c>
    </row>
    <row r="8496" spans="1:4" x14ac:dyDescent="0.25">
      <c r="A8496" s="15">
        <f>Sheet2!A8496</f>
        <v>0</v>
      </c>
      <c r="B8496" s="8">
        <v>1.31</v>
      </c>
      <c r="C8496" s="9">
        <v>0</v>
      </c>
      <c r="D8496" s="13">
        <f t="shared" si="132"/>
        <v>1.31</v>
      </c>
    </row>
    <row r="8497" spans="1:4" x14ac:dyDescent="0.25">
      <c r="A8497" s="15">
        <f>Sheet2!A8497</f>
        <v>0</v>
      </c>
      <c r="B8497" s="8">
        <v>0.91</v>
      </c>
      <c r="C8497" s="9">
        <v>0</v>
      </c>
      <c r="D8497" s="13">
        <f t="shared" si="132"/>
        <v>0.91</v>
      </c>
    </row>
    <row r="8498" spans="1:4" x14ac:dyDescent="0.25">
      <c r="A8498" s="15">
        <f>Sheet2!A8498</f>
        <v>0</v>
      </c>
      <c r="B8498" s="8">
        <v>1.1499999999999999</v>
      </c>
      <c r="C8498" s="9">
        <v>0</v>
      </c>
      <c r="D8498" s="13">
        <f t="shared" si="132"/>
        <v>1.1499999999999999</v>
      </c>
    </row>
    <row r="8499" spans="1:4" x14ac:dyDescent="0.25">
      <c r="A8499" s="15">
        <f>Sheet2!A8499</f>
        <v>0</v>
      </c>
      <c r="B8499" s="8">
        <v>0.9</v>
      </c>
      <c r="C8499" s="9">
        <v>0</v>
      </c>
      <c r="D8499" s="13">
        <f t="shared" si="132"/>
        <v>0.9</v>
      </c>
    </row>
    <row r="8500" spans="1:4" x14ac:dyDescent="0.25">
      <c r="A8500" s="15">
        <f>Sheet2!A8500</f>
        <v>0</v>
      </c>
      <c r="B8500" s="8">
        <v>0.81</v>
      </c>
      <c r="C8500" s="9">
        <v>0</v>
      </c>
      <c r="D8500" s="13">
        <f t="shared" si="132"/>
        <v>0.81</v>
      </c>
    </row>
    <row r="8501" spans="1:4" x14ac:dyDescent="0.25">
      <c r="A8501" s="15">
        <f>Sheet2!A8501</f>
        <v>0</v>
      </c>
      <c r="B8501" s="8">
        <v>1.46</v>
      </c>
      <c r="C8501" s="9">
        <v>0</v>
      </c>
      <c r="D8501" s="13">
        <f t="shared" si="132"/>
        <v>1.46</v>
      </c>
    </row>
    <row r="8502" spans="1:4" x14ac:dyDescent="0.25">
      <c r="A8502" s="15">
        <f>Sheet2!A8502</f>
        <v>0</v>
      </c>
      <c r="B8502" s="8">
        <v>0</v>
      </c>
      <c r="C8502" s="9">
        <v>0.45</v>
      </c>
      <c r="D8502" s="13">
        <f t="shared" si="132"/>
        <v>0.45</v>
      </c>
    </row>
    <row r="8503" spans="1:4" x14ac:dyDescent="0.25">
      <c r="A8503" s="15">
        <f>Sheet2!A8503</f>
        <v>0</v>
      </c>
      <c r="B8503" s="8">
        <v>0</v>
      </c>
      <c r="C8503" s="9">
        <v>0.72</v>
      </c>
      <c r="D8503" s="13">
        <f t="shared" si="132"/>
        <v>0.72</v>
      </c>
    </row>
    <row r="8504" spans="1:4" x14ac:dyDescent="0.25">
      <c r="A8504" s="15">
        <f>Sheet2!A8504</f>
        <v>0</v>
      </c>
      <c r="B8504" s="8">
        <v>0</v>
      </c>
      <c r="C8504" s="9">
        <v>0.28999999999999998</v>
      </c>
      <c r="D8504" s="13">
        <f t="shared" si="132"/>
        <v>0.28999999999999998</v>
      </c>
    </row>
    <row r="8505" spans="1:4" x14ac:dyDescent="0.25">
      <c r="A8505" s="15">
        <f>Sheet2!A8505</f>
        <v>0</v>
      </c>
      <c r="B8505" s="8">
        <v>0.93</v>
      </c>
      <c r="C8505" s="9">
        <v>0</v>
      </c>
      <c r="D8505" s="13">
        <f t="shared" si="132"/>
        <v>0.93</v>
      </c>
    </row>
    <row r="8506" spans="1:4" x14ac:dyDescent="0.25">
      <c r="A8506" s="15">
        <f>Sheet2!A8506</f>
        <v>0</v>
      </c>
      <c r="B8506" s="8">
        <v>0.82</v>
      </c>
      <c r="C8506" s="9">
        <v>0</v>
      </c>
      <c r="D8506" s="13">
        <f t="shared" si="132"/>
        <v>0.82</v>
      </c>
    </row>
    <row r="8507" spans="1:4" x14ac:dyDescent="0.25">
      <c r="A8507" s="15">
        <f>Sheet2!A8507</f>
        <v>0</v>
      </c>
      <c r="B8507" s="8">
        <v>1.1200000000000001</v>
      </c>
      <c r="C8507" s="9">
        <v>0</v>
      </c>
      <c r="D8507" s="13">
        <f t="shared" si="132"/>
        <v>1.1200000000000001</v>
      </c>
    </row>
    <row r="8508" spans="1:4" x14ac:dyDescent="0.25">
      <c r="A8508" s="15">
        <f>Sheet2!A8508</f>
        <v>0</v>
      </c>
      <c r="B8508" s="8">
        <v>0</v>
      </c>
      <c r="C8508" s="9">
        <v>0.5</v>
      </c>
      <c r="D8508" s="13">
        <f t="shared" si="132"/>
        <v>0.5</v>
      </c>
    </row>
    <row r="8509" spans="1:4" x14ac:dyDescent="0.25">
      <c r="A8509" s="15">
        <f>Sheet2!A8509</f>
        <v>0</v>
      </c>
      <c r="B8509" s="8">
        <v>0</v>
      </c>
      <c r="C8509" s="9">
        <v>1.02</v>
      </c>
      <c r="D8509" s="13">
        <f t="shared" si="132"/>
        <v>1.02</v>
      </c>
    </row>
    <row r="8510" spans="1:4" x14ac:dyDescent="0.25">
      <c r="A8510" s="15">
        <f>Sheet2!A8510</f>
        <v>0</v>
      </c>
      <c r="B8510" s="8">
        <v>0</v>
      </c>
      <c r="C8510" s="9">
        <v>0.32</v>
      </c>
      <c r="D8510" s="13">
        <f t="shared" si="132"/>
        <v>0.32</v>
      </c>
    </row>
    <row r="8511" spans="1:4" x14ac:dyDescent="0.25">
      <c r="A8511" s="15">
        <f>Sheet2!A8511</f>
        <v>0</v>
      </c>
      <c r="B8511" s="8">
        <v>1.1000000000000001</v>
      </c>
      <c r="C8511" s="9">
        <v>0</v>
      </c>
      <c r="D8511" s="13">
        <f t="shared" si="132"/>
        <v>1.1000000000000001</v>
      </c>
    </row>
    <row r="8512" spans="1:4" x14ac:dyDescent="0.25">
      <c r="A8512" s="15">
        <f>Sheet2!A8512</f>
        <v>0</v>
      </c>
      <c r="B8512" s="8">
        <v>0</v>
      </c>
      <c r="C8512" s="9">
        <v>0.89</v>
      </c>
      <c r="D8512" s="13">
        <f t="shared" si="132"/>
        <v>0.89</v>
      </c>
    </row>
    <row r="8513" spans="1:4" x14ac:dyDescent="0.25">
      <c r="A8513" s="15">
        <f>Sheet2!A8513</f>
        <v>0</v>
      </c>
      <c r="B8513" s="8">
        <v>0</v>
      </c>
      <c r="C8513" s="9">
        <v>1.54</v>
      </c>
      <c r="D8513" s="13">
        <f t="shared" si="132"/>
        <v>1.54</v>
      </c>
    </row>
    <row r="8514" spans="1:4" x14ac:dyDescent="0.25">
      <c r="A8514" s="15">
        <f>Sheet2!A8514</f>
        <v>0</v>
      </c>
      <c r="B8514" s="8">
        <v>0</v>
      </c>
      <c r="C8514" s="9">
        <v>0.71</v>
      </c>
      <c r="D8514" s="13">
        <f t="shared" si="132"/>
        <v>0.71</v>
      </c>
    </row>
    <row r="8515" spans="1:4" x14ac:dyDescent="0.25">
      <c r="A8515" s="15">
        <f>Sheet2!A8515</f>
        <v>0</v>
      </c>
      <c r="B8515" s="8">
        <v>1.32</v>
      </c>
      <c r="C8515" s="9">
        <v>0</v>
      </c>
      <c r="D8515" s="13">
        <f t="shared" ref="D8515:D8578" si="133">B8515+C8515</f>
        <v>1.32</v>
      </c>
    </row>
    <row r="8516" spans="1:4" x14ac:dyDescent="0.25">
      <c r="A8516" s="15">
        <f>Sheet2!A8516</f>
        <v>0</v>
      </c>
      <c r="B8516" s="8">
        <v>0</v>
      </c>
      <c r="C8516" s="9">
        <v>0.79</v>
      </c>
      <c r="D8516" s="13">
        <f t="shared" si="133"/>
        <v>0.79</v>
      </c>
    </row>
    <row r="8517" spans="1:4" x14ac:dyDescent="0.25">
      <c r="A8517" s="15">
        <f>Sheet2!A8517</f>
        <v>0</v>
      </c>
      <c r="B8517" s="8">
        <v>0</v>
      </c>
      <c r="C8517" s="9">
        <v>1.1299999999999999</v>
      </c>
      <c r="D8517" s="13">
        <f t="shared" si="133"/>
        <v>1.1299999999999999</v>
      </c>
    </row>
    <row r="8518" spans="1:4" x14ac:dyDescent="0.25">
      <c r="A8518" s="15">
        <f>Sheet2!A8518</f>
        <v>0</v>
      </c>
      <c r="B8518" s="8">
        <v>0</v>
      </c>
      <c r="C8518" s="9">
        <v>0.33</v>
      </c>
      <c r="D8518" s="13">
        <f t="shared" si="133"/>
        <v>0.33</v>
      </c>
    </row>
    <row r="8519" spans="1:4" x14ac:dyDescent="0.25">
      <c r="A8519" s="15">
        <f>Sheet2!A8519</f>
        <v>0</v>
      </c>
      <c r="B8519" s="8">
        <v>1.02</v>
      </c>
      <c r="C8519" s="9">
        <v>0</v>
      </c>
      <c r="D8519" s="13">
        <f t="shared" si="133"/>
        <v>1.02</v>
      </c>
    </row>
    <row r="8520" spans="1:4" x14ac:dyDescent="0.25">
      <c r="A8520" s="15">
        <f>Sheet2!A8520</f>
        <v>0</v>
      </c>
      <c r="B8520" s="8">
        <v>0.69</v>
      </c>
      <c r="C8520" s="9">
        <v>0</v>
      </c>
      <c r="D8520" s="13">
        <f t="shared" si="133"/>
        <v>0.69</v>
      </c>
    </row>
    <row r="8521" spans="1:4" x14ac:dyDescent="0.25">
      <c r="A8521" s="15">
        <f>Sheet2!A8521</f>
        <v>0</v>
      </c>
      <c r="B8521" s="8">
        <v>0.52</v>
      </c>
      <c r="C8521" s="9">
        <v>0</v>
      </c>
      <c r="D8521" s="13">
        <f t="shared" si="133"/>
        <v>0.52</v>
      </c>
    </row>
    <row r="8522" spans="1:4" x14ac:dyDescent="0.25">
      <c r="A8522" s="15">
        <f>Sheet2!A8522</f>
        <v>0</v>
      </c>
      <c r="B8522" s="8">
        <v>0.55000000000000004</v>
      </c>
      <c r="C8522" s="9">
        <v>0</v>
      </c>
      <c r="D8522" s="13">
        <f t="shared" si="133"/>
        <v>0.55000000000000004</v>
      </c>
    </row>
    <row r="8523" spans="1:4" x14ac:dyDescent="0.25">
      <c r="A8523" s="15">
        <f>Sheet2!A8523</f>
        <v>0</v>
      </c>
      <c r="B8523" s="8">
        <v>1.07</v>
      </c>
      <c r="C8523" s="9">
        <v>0</v>
      </c>
      <c r="D8523" s="13">
        <f t="shared" si="133"/>
        <v>1.07</v>
      </c>
    </row>
    <row r="8524" spans="1:4" x14ac:dyDescent="0.25">
      <c r="A8524" s="15">
        <f>Sheet2!A8524</f>
        <v>0</v>
      </c>
      <c r="B8524" s="8">
        <v>0.9</v>
      </c>
      <c r="C8524" s="9">
        <v>0</v>
      </c>
      <c r="D8524" s="13">
        <f t="shared" si="133"/>
        <v>0.9</v>
      </c>
    </row>
    <row r="8525" spans="1:4" x14ac:dyDescent="0.25">
      <c r="A8525" s="15">
        <f>Sheet2!A8525</f>
        <v>0</v>
      </c>
      <c r="B8525" s="8">
        <v>1.01</v>
      </c>
      <c r="C8525" s="9">
        <v>0</v>
      </c>
      <c r="D8525" s="13">
        <f t="shared" si="133"/>
        <v>1.01</v>
      </c>
    </row>
    <row r="8526" spans="1:4" x14ac:dyDescent="0.25">
      <c r="A8526" s="15">
        <f>Sheet2!A8526</f>
        <v>0</v>
      </c>
      <c r="B8526" s="8">
        <v>0.94</v>
      </c>
      <c r="C8526" s="9">
        <v>0</v>
      </c>
      <c r="D8526" s="13">
        <f t="shared" si="133"/>
        <v>0.94</v>
      </c>
    </row>
    <row r="8527" spans="1:4" x14ac:dyDescent="0.25">
      <c r="A8527" s="15">
        <f>Sheet2!A8527</f>
        <v>0</v>
      </c>
      <c r="B8527" s="8">
        <v>1.35</v>
      </c>
      <c r="C8527" s="9">
        <v>0</v>
      </c>
      <c r="D8527" s="13">
        <f t="shared" si="133"/>
        <v>1.35</v>
      </c>
    </row>
    <row r="8528" spans="1:4" x14ac:dyDescent="0.25">
      <c r="A8528" s="15">
        <f>Sheet2!A8528</f>
        <v>0</v>
      </c>
      <c r="B8528" s="8">
        <v>0.74</v>
      </c>
      <c r="C8528" s="9">
        <v>0</v>
      </c>
      <c r="D8528" s="13">
        <f t="shared" si="133"/>
        <v>0.74</v>
      </c>
    </row>
    <row r="8529" spans="1:4" x14ac:dyDescent="0.25">
      <c r="A8529" s="15">
        <f>Sheet2!A8529</f>
        <v>0</v>
      </c>
      <c r="B8529" s="8">
        <v>0.94</v>
      </c>
      <c r="C8529" s="9">
        <v>0</v>
      </c>
      <c r="D8529" s="13">
        <f t="shared" si="133"/>
        <v>0.94</v>
      </c>
    </row>
    <row r="8530" spans="1:4" x14ac:dyDescent="0.25">
      <c r="A8530" s="15">
        <f>Sheet2!A8530</f>
        <v>0</v>
      </c>
      <c r="B8530" s="8">
        <v>0</v>
      </c>
      <c r="C8530" s="9">
        <v>0.84</v>
      </c>
      <c r="D8530" s="13">
        <f t="shared" si="133"/>
        <v>0.84</v>
      </c>
    </row>
    <row r="8531" spans="1:4" x14ac:dyDescent="0.25">
      <c r="A8531" s="15">
        <f>Sheet2!A8531</f>
        <v>0</v>
      </c>
      <c r="B8531" s="8">
        <v>0</v>
      </c>
      <c r="C8531" s="9">
        <v>1.06</v>
      </c>
      <c r="D8531" s="13">
        <f t="shared" si="133"/>
        <v>1.06</v>
      </c>
    </row>
    <row r="8532" spans="1:4" x14ac:dyDescent="0.25">
      <c r="A8532" s="15">
        <f>Sheet2!A8532</f>
        <v>0</v>
      </c>
      <c r="B8532" s="8">
        <v>0</v>
      </c>
      <c r="C8532" s="9">
        <v>0.32</v>
      </c>
      <c r="D8532" s="13">
        <f t="shared" si="133"/>
        <v>0.32</v>
      </c>
    </row>
    <row r="8533" spans="1:4" x14ac:dyDescent="0.25">
      <c r="A8533" s="15">
        <f>Sheet2!A8533</f>
        <v>0</v>
      </c>
      <c r="B8533" s="8">
        <v>0.9</v>
      </c>
      <c r="C8533" s="9">
        <v>0</v>
      </c>
      <c r="D8533" s="13">
        <f t="shared" si="133"/>
        <v>0.9</v>
      </c>
    </row>
    <row r="8534" spans="1:4" x14ac:dyDescent="0.25">
      <c r="A8534" s="15">
        <f>Sheet2!A8534</f>
        <v>0</v>
      </c>
      <c r="B8534" s="8">
        <v>0.85</v>
      </c>
      <c r="C8534" s="9">
        <v>0</v>
      </c>
      <c r="D8534" s="13">
        <f t="shared" si="133"/>
        <v>0.85</v>
      </c>
    </row>
    <row r="8535" spans="1:4" x14ac:dyDescent="0.25">
      <c r="A8535" s="15">
        <f>Sheet2!A8535</f>
        <v>0</v>
      </c>
      <c r="B8535" s="8">
        <v>0</v>
      </c>
      <c r="C8535" s="9">
        <v>1.03</v>
      </c>
      <c r="D8535" s="13">
        <f t="shared" si="133"/>
        <v>1.03</v>
      </c>
    </row>
    <row r="8536" spans="1:4" x14ac:dyDescent="0.25">
      <c r="A8536" s="15">
        <f>Sheet2!A8536</f>
        <v>0</v>
      </c>
      <c r="B8536" s="8">
        <v>0</v>
      </c>
      <c r="C8536" s="9">
        <v>0.56000000000000005</v>
      </c>
      <c r="D8536" s="13">
        <f t="shared" si="133"/>
        <v>0.56000000000000005</v>
      </c>
    </row>
    <row r="8537" spans="1:4" x14ac:dyDescent="0.25">
      <c r="A8537" s="15">
        <f>Sheet2!A8537</f>
        <v>0</v>
      </c>
      <c r="B8537" s="8">
        <v>1.49</v>
      </c>
      <c r="C8537" s="9">
        <v>0</v>
      </c>
      <c r="D8537" s="13">
        <f t="shared" si="133"/>
        <v>1.49</v>
      </c>
    </row>
    <row r="8538" spans="1:4" x14ac:dyDescent="0.25">
      <c r="A8538" s="15">
        <f>Sheet2!A8538</f>
        <v>0</v>
      </c>
      <c r="B8538" s="8">
        <v>1.34</v>
      </c>
      <c r="C8538" s="9">
        <v>0</v>
      </c>
      <c r="D8538" s="13">
        <f t="shared" si="133"/>
        <v>1.34</v>
      </c>
    </row>
    <row r="8539" spans="1:4" x14ac:dyDescent="0.25">
      <c r="A8539" s="15">
        <f>Sheet2!A8539</f>
        <v>0</v>
      </c>
      <c r="B8539" s="8">
        <v>1.53</v>
      </c>
      <c r="C8539" s="9">
        <v>0</v>
      </c>
      <c r="D8539" s="13">
        <f t="shared" si="133"/>
        <v>1.53</v>
      </c>
    </row>
    <row r="8540" spans="1:4" x14ac:dyDescent="0.25">
      <c r="A8540" s="15">
        <f>Sheet2!A8540</f>
        <v>0</v>
      </c>
      <c r="B8540" s="8">
        <v>1.1000000000000001</v>
      </c>
      <c r="C8540" s="9">
        <v>0</v>
      </c>
      <c r="D8540" s="13">
        <f t="shared" si="133"/>
        <v>1.1000000000000001</v>
      </c>
    </row>
    <row r="8541" spans="1:4" x14ac:dyDescent="0.25">
      <c r="A8541" s="15">
        <f>Sheet2!A8541</f>
        <v>0</v>
      </c>
      <c r="B8541" s="8">
        <v>1.1499999999999999</v>
      </c>
      <c r="C8541" s="9">
        <v>0</v>
      </c>
      <c r="D8541" s="13">
        <f t="shared" si="133"/>
        <v>1.1499999999999999</v>
      </c>
    </row>
    <row r="8542" spans="1:4" x14ac:dyDescent="0.25">
      <c r="A8542" s="15">
        <f>Sheet2!A8542</f>
        <v>0</v>
      </c>
      <c r="B8542" s="8">
        <v>1.56</v>
      </c>
      <c r="C8542" s="9">
        <v>0</v>
      </c>
      <c r="D8542" s="13">
        <f t="shared" si="133"/>
        <v>1.56</v>
      </c>
    </row>
    <row r="8543" spans="1:4" x14ac:dyDescent="0.25">
      <c r="A8543" s="15">
        <f>Sheet2!A8543</f>
        <v>0</v>
      </c>
      <c r="B8543" s="8">
        <v>1.43</v>
      </c>
      <c r="C8543" s="9">
        <v>0</v>
      </c>
      <c r="D8543" s="13">
        <f t="shared" si="133"/>
        <v>1.43</v>
      </c>
    </row>
    <row r="8544" spans="1:4" x14ac:dyDescent="0.25">
      <c r="A8544" s="15">
        <f>Sheet2!A8544</f>
        <v>0</v>
      </c>
      <c r="B8544" s="8">
        <v>1.1499999999999999</v>
      </c>
      <c r="C8544" s="9">
        <v>0</v>
      </c>
      <c r="D8544" s="13">
        <f t="shared" si="133"/>
        <v>1.1499999999999999</v>
      </c>
    </row>
    <row r="8545" spans="1:4" x14ac:dyDescent="0.25">
      <c r="A8545" s="15">
        <f>Sheet2!A8545</f>
        <v>0</v>
      </c>
      <c r="B8545" s="8">
        <v>0.77</v>
      </c>
      <c r="C8545" s="9">
        <v>0</v>
      </c>
      <c r="D8545" s="13">
        <f t="shared" si="133"/>
        <v>0.77</v>
      </c>
    </row>
    <row r="8546" spans="1:4" x14ac:dyDescent="0.25">
      <c r="A8546" s="15">
        <f>Sheet2!A8546</f>
        <v>0</v>
      </c>
      <c r="B8546" s="8">
        <v>0.62</v>
      </c>
      <c r="C8546" s="9">
        <v>0</v>
      </c>
      <c r="D8546" s="13">
        <f t="shared" si="133"/>
        <v>0.62</v>
      </c>
    </row>
    <row r="8547" spans="1:4" x14ac:dyDescent="0.25">
      <c r="A8547" s="15">
        <f>Sheet2!A8547</f>
        <v>0</v>
      </c>
      <c r="B8547" s="8">
        <v>0.89</v>
      </c>
      <c r="C8547" s="9">
        <v>0</v>
      </c>
      <c r="D8547" s="13">
        <f t="shared" si="133"/>
        <v>0.89</v>
      </c>
    </row>
    <row r="8548" spans="1:4" x14ac:dyDescent="0.25">
      <c r="A8548" s="15">
        <f>Sheet2!A8548</f>
        <v>0</v>
      </c>
      <c r="B8548" s="8">
        <v>0.59</v>
      </c>
      <c r="C8548" s="9">
        <v>0</v>
      </c>
      <c r="D8548" s="13">
        <f t="shared" si="133"/>
        <v>0.59</v>
      </c>
    </row>
    <row r="8549" spans="1:4" x14ac:dyDescent="0.25">
      <c r="A8549" s="15">
        <f>Sheet2!A8549</f>
        <v>0</v>
      </c>
      <c r="B8549" s="8">
        <v>0.87</v>
      </c>
      <c r="C8549" s="9">
        <v>0</v>
      </c>
      <c r="D8549" s="13">
        <f t="shared" si="133"/>
        <v>0.87</v>
      </c>
    </row>
    <row r="8550" spans="1:4" x14ac:dyDescent="0.25">
      <c r="A8550" s="15">
        <f>Sheet2!A8550</f>
        <v>0</v>
      </c>
      <c r="B8550" s="8">
        <v>0.71</v>
      </c>
      <c r="C8550" s="9">
        <v>0</v>
      </c>
      <c r="D8550" s="13">
        <f t="shared" si="133"/>
        <v>0.71</v>
      </c>
    </row>
    <row r="8551" spans="1:4" x14ac:dyDescent="0.25">
      <c r="A8551" s="15">
        <f>Sheet2!A8551</f>
        <v>0</v>
      </c>
      <c r="B8551" s="8">
        <v>0.89</v>
      </c>
      <c r="C8551" s="9">
        <v>0</v>
      </c>
      <c r="D8551" s="13">
        <f t="shared" si="133"/>
        <v>0.89</v>
      </c>
    </row>
    <row r="8552" spans="1:4" x14ac:dyDescent="0.25">
      <c r="A8552" s="15">
        <f>Sheet2!A8552</f>
        <v>0</v>
      </c>
      <c r="B8552" s="8">
        <v>0.62</v>
      </c>
      <c r="C8552" s="9">
        <v>0</v>
      </c>
      <c r="D8552" s="13">
        <f t="shared" si="133"/>
        <v>0.62</v>
      </c>
    </row>
    <row r="8553" spans="1:4" x14ac:dyDescent="0.25">
      <c r="A8553" s="15">
        <f>Sheet2!A8553</f>
        <v>0</v>
      </c>
      <c r="B8553" s="8">
        <v>1.34</v>
      </c>
      <c r="C8553" s="9">
        <v>0</v>
      </c>
      <c r="D8553" s="13">
        <f t="shared" si="133"/>
        <v>1.34</v>
      </c>
    </row>
    <row r="8554" spans="1:4" x14ac:dyDescent="0.25">
      <c r="A8554" s="15">
        <f>Sheet2!A8554</f>
        <v>0</v>
      </c>
      <c r="B8554" s="8">
        <v>0</v>
      </c>
      <c r="C8554" s="9">
        <v>0.46</v>
      </c>
      <c r="D8554" s="13">
        <f t="shared" si="133"/>
        <v>0.46</v>
      </c>
    </row>
    <row r="8555" spans="1:4" x14ac:dyDescent="0.25">
      <c r="A8555" s="15">
        <f>Sheet2!A8555</f>
        <v>0</v>
      </c>
      <c r="B8555" s="8">
        <v>0</v>
      </c>
      <c r="C8555" s="9">
        <v>0.22</v>
      </c>
      <c r="D8555" s="13">
        <f t="shared" si="133"/>
        <v>0.22</v>
      </c>
    </row>
    <row r="8556" spans="1:4" x14ac:dyDescent="0.25">
      <c r="A8556" s="15">
        <f>Sheet2!A8556</f>
        <v>0</v>
      </c>
      <c r="B8556" s="8">
        <v>1.06</v>
      </c>
      <c r="C8556" s="9">
        <v>0</v>
      </c>
      <c r="D8556" s="13">
        <f t="shared" si="133"/>
        <v>1.06</v>
      </c>
    </row>
    <row r="8557" spans="1:4" x14ac:dyDescent="0.25">
      <c r="A8557" s="15">
        <f>Sheet2!A8557</f>
        <v>0</v>
      </c>
      <c r="B8557" s="8">
        <v>0.64</v>
      </c>
      <c r="C8557" s="9">
        <v>0</v>
      </c>
      <c r="D8557" s="13">
        <f t="shared" si="133"/>
        <v>0.64</v>
      </c>
    </row>
    <row r="8558" spans="1:4" x14ac:dyDescent="0.25">
      <c r="A8558" s="15">
        <f>Sheet2!A8558</f>
        <v>0</v>
      </c>
      <c r="B8558" s="8">
        <v>0.78</v>
      </c>
      <c r="C8558" s="9">
        <v>0</v>
      </c>
      <c r="D8558" s="13">
        <f t="shared" si="133"/>
        <v>0.78</v>
      </c>
    </row>
    <row r="8559" spans="1:4" x14ac:dyDescent="0.25">
      <c r="A8559" s="15">
        <f>Sheet2!A8559</f>
        <v>0</v>
      </c>
      <c r="B8559" s="8">
        <v>0.87</v>
      </c>
      <c r="C8559" s="9">
        <v>0</v>
      </c>
      <c r="D8559" s="13">
        <f t="shared" si="133"/>
        <v>0.87</v>
      </c>
    </row>
    <row r="8560" spans="1:4" x14ac:dyDescent="0.25">
      <c r="A8560" s="15">
        <f>Sheet2!A8560</f>
        <v>0</v>
      </c>
      <c r="B8560" s="8">
        <v>0</v>
      </c>
      <c r="C8560" s="9">
        <v>0.91</v>
      </c>
      <c r="D8560" s="13">
        <f t="shared" si="133"/>
        <v>0.91</v>
      </c>
    </row>
    <row r="8561" spans="1:4" x14ac:dyDescent="0.25">
      <c r="A8561" s="15">
        <f>Sheet2!A8561</f>
        <v>0</v>
      </c>
      <c r="B8561" s="8">
        <v>0</v>
      </c>
      <c r="C8561" s="9">
        <v>0.79</v>
      </c>
      <c r="D8561" s="13">
        <f t="shared" si="133"/>
        <v>0.79</v>
      </c>
    </row>
    <row r="8562" spans="1:4" x14ac:dyDescent="0.25">
      <c r="A8562" s="15">
        <f>Sheet2!A8562</f>
        <v>0</v>
      </c>
      <c r="B8562" s="8">
        <v>4.25</v>
      </c>
      <c r="C8562" s="9">
        <v>0</v>
      </c>
      <c r="D8562" s="13">
        <f t="shared" si="133"/>
        <v>4.25</v>
      </c>
    </row>
    <row r="8563" spans="1:4" x14ac:dyDescent="0.25">
      <c r="A8563" s="15">
        <f>Sheet2!A8563</f>
        <v>0</v>
      </c>
      <c r="B8563" s="8">
        <v>1</v>
      </c>
      <c r="C8563" s="9">
        <v>0</v>
      </c>
      <c r="D8563" s="13">
        <f t="shared" si="133"/>
        <v>1</v>
      </c>
    </row>
    <row r="8564" spans="1:4" x14ac:dyDescent="0.25">
      <c r="A8564" s="15">
        <f>Sheet2!A8564</f>
        <v>0</v>
      </c>
      <c r="B8564" s="8">
        <v>1.28</v>
      </c>
      <c r="C8564" s="9">
        <v>0</v>
      </c>
      <c r="D8564" s="13">
        <f t="shared" si="133"/>
        <v>1.28</v>
      </c>
    </row>
    <row r="8565" spans="1:4" x14ac:dyDescent="0.25">
      <c r="A8565" s="15">
        <f>Sheet2!A8565</f>
        <v>0</v>
      </c>
      <c r="B8565" s="8">
        <v>1.04</v>
      </c>
      <c r="C8565" s="9">
        <v>0</v>
      </c>
      <c r="D8565" s="13">
        <f t="shared" si="133"/>
        <v>1.04</v>
      </c>
    </row>
    <row r="8566" spans="1:4" x14ac:dyDescent="0.25">
      <c r="A8566" s="15">
        <f>Sheet2!A8566</f>
        <v>0</v>
      </c>
      <c r="B8566" s="8">
        <v>1.25</v>
      </c>
      <c r="C8566" s="9">
        <v>0</v>
      </c>
      <c r="D8566" s="13">
        <f t="shared" si="133"/>
        <v>1.25</v>
      </c>
    </row>
    <row r="8567" spans="1:4" x14ac:dyDescent="0.25">
      <c r="A8567" s="15">
        <f>Sheet2!A8567</f>
        <v>0</v>
      </c>
      <c r="B8567" s="8">
        <v>1.26</v>
      </c>
      <c r="C8567" s="9">
        <v>0</v>
      </c>
      <c r="D8567" s="13">
        <f t="shared" si="133"/>
        <v>1.26</v>
      </c>
    </row>
    <row r="8568" spans="1:4" x14ac:dyDescent="0.25">
      <c r="A8568" s="15">
        <f>Sheet2!A8568</f>
        <v>0</v>
      </c>
      <c r="B8568" s="8">
        <v>0.83</v>
      </c>
      <c r="C8568" s="9">
        <v>0</v>
      </c>
      <c r="D8568" s="13">
        <f t="shared" si="133"/>
        <v>0.83</v>
      </c>
    </row>
    <row r="8569" spans="1:4" x14ac:dyDescent="0.25">
      <c r="A8569" s="15">
        <f>Sheet2!A8569</f>
        <v>0</v>
      </c>
      <c r="B8569" s="8">
        <v>0.43</v>
      </c>
      <c r="C8569" s="9">
        <v>0</v>
      </c>
      <c r="D8569" s="13">
        <f t="shared" si="133"/>
        <v>0.43</v>
      </c>
    </row>
    <row r="8570" spans="1:4" x14ac:dyDescent="0.25">
      <c r="A8570" s="15">
        <f>Sheet2!A8570</f>
        <v>0</v>
      </c>
      <c r="B8570" s="8">
        <v>0.62</v>
      </c>
      <c r="C8570" s="9">
        <v>0</v>
      </c>
      <c r="D8570" s="13">
        <f t="shared" si="133"/>
        <v>0.62</v>
      </c>
    </row>
    <row r="8571" spans="1:4" x14ac:dyDescent="0.25">
      <c r="A8571" s="15">
        <f>Sheet2!A8571</f>
        <v>0</v>
      </c>
      <c r="B8571" s="8">
        <v>0.95</v>
      </c>
      <c r="C8571" s="9">
        <v>0</v>
      </c>
      <c r="D8571" s="13">
        <f t="shared" si="133"/>
        <v>0.95</v>
      </c>
    </row>
    <row r="8572" spans="1:4" x14ac:dyDescent="0.25">
      <c r="A8572" s="15">
        <f>Sheet2!A8572</f>
        <v>0</v>
      </c>
      <c r="B8572" s="8">
        <v>1.07</v>
      </c>
      <c r="C8572" s="9">
        <v>0</v>
      </c>
      <c r="D8572" s="13">
        <f t="shared" si="133"/>
        <v>1.07</v>
      </c>
    </row>
    <row r="8573" spans="1:4" x14ac:dyDescent="0.25">
      <c r="A8573" s="15">
        <f>Sheet2!A8573</f>
        <v>0</v>
      </c>
      <c r="B8573" s="8">
        <v>0.88</v>
      </c>
      <c r="C8573" s="9">
        <v>0</v>
      </c>
      <c r="D8573" s="13">
        <f t="shared" si="133"/>
        <v>0.88</v>
      </c>
    </row>
    <row r="8574" spans="1:4" x14ac:dyDescent="0.25">
      <c r="A8574" s="15">
        <f>Sheet2!A8574</f>
        <v>0</v>
      </c>
      <c r="B8574" s="8">
        <v>0.5</v>
      </c>
      <c r="C8574" s="9">
        <v>0</v>
      </c>
      <c r="D8574" s="13">
        <f t="shared" si="133"/>
        <v>0.5</v>
      </c>
    </row>
    <row r="8575" spans="1:4" x14ac:dyDescent="0.25">
      <c r="A8575" s="15">
        <f>Sheet2!A8575</f>
        <v>0</v>
      </c>
      <c r="B8575" s="8">
        <v>7.0000000000000007E-2</v>
      </c>
      <c r="C8575" s="9">
        <v>0</v>
      </c>
      <c r="D8575" s="13">
        <f t="shared" si="133"/>
        <v>7.0000000000000007E-2</v>
      </c>
    </row>
    <row r="8576" spans="1:4" x14ac:dyDescent="0.25">
      <c r="A8576" s="15">
        <f>Sheet2!A8576</f>
        <v>0</v>
      </c>
      <c r="B8576" s="8">
        <v>0.82</v>
      </c>
      <c r="C8576" s="9">
        <v>0</v>
      </c>
      <c r="D8576" s="13">
        <f t="shared" si="133"/>
        <v>0.82</v>
      </c>
    </row>
    <row r="8577" spans="1:4" x14ac:dyDescent="0.25">
      <c r="A8577" s="15">
        <f>Sheet2!A8577</f>
        <v>0</v>
      </c>
      <c r="B8577" s="8">
        <v>0.38</v>
      </c>
      <c r="C8577" s="9">
        <v>0</v>
      </c>
      <c r="D8577" s="13">
        <f t="shared" si="133"/>
        <v>0.38</v>
      </c>
    </row>
    <row r="8578" spans="1:4" x14ac:dyDescent="0.25">
      <c r="A8578" s="15">
        <f>Sheet2!A8578</f>
        <v>0</v>
      </c>
      <c r="B8578" s="8">
        <v>0.41</v>
      </c>
      <c r="C8578" s="9">
        <v>0</v>
      </c>
      <c r="D8578" s="13">
        <f t="shared" si="133"/>
        <v>0.41</v>
      </c>
    </row>
    <row r="8579" spans="1:4" x14ac:dyDescent="0.25">
      <c r="A8579" s="15">
        <f>Sheet2!A8579</f>
        <v>0</v>
      </c>
      <c r="B8579" s="8">
        <v>0.85</v>
      </c>
      <c r="C8579" s="9">
        <v>0</v>
      </c>
      <c r="D8579" s="13">
        <f t="shared" ref="D8579:D8642" si="134">B8579+C8579</f>
        <v>0.85</v>
      </c>
    </row>
    <row r="8580" spans="1:4" x14ac:dyDescent="0.25">
      <c r="A8580" s="15">
        <f>Sheet2!A8580</f>
        <v>0</v>
      </c>
      <c r="B8580" s="8">
        <v>0</v>
      </c>
      <c r="C8580" s="9">
        <v>0.47</v>
      </c>
      <c r="D8580" s="13">
        <f t="shared" si="134"/>
        <v>0.47</v>
      </c>
    </row>
    <row r="8581" spans="1:4" x14ac:dyDescent="0.25">
      <c r="A8581" s="15">
        <f>Sheet2!A8581</f>
        <v>0</v>
      </c>
      <c r="B8581" s="8">
        <v>0</v>
      </c>
      <c r="C8581" s="9">
        <v>0.65</v>
      </c>
      <c r="D8581" s="13">
        <f t="shared" si="134"/>
        <v>0.65</v>
      </c>
    </row>
    <row r="8582" spans="1:4" x14ac:dyDescent="0.25">
      <c r="A8582" s="15">
        <f>Sheet2!A8582</f>
        <v>0</v>
      </c>
      <c r="B8582" s="8">
        <v>0</v>
      </c>
      <c r="C8582" s="9">
        <v>0.33</v>
      </c>
      <c r="D8582" s="13">
        <f t="shared" si="134"/>
        <v>0.33</v>
      </c>
    </row>
    <row r="8583" spans="1:4" x14ac:dyDescent="0.25">
      <c r="A8583" s="15">
        <f>Sheet2!A8583</f>
        <v>0</v>
      </c>
      <c r="B8583" s="8">
        <v>1.31</v>
      </c>
      <c r="C8583" s="9">
        <v>0</v>
      </c>
      <c r="D8583" s="13">
        <f t="shared" si="134"/>
        <v>1.31</v>
      </c>
    </row>
    <row r="8584" spans="1:4" x14ac:dyDescent="0.25">
      <c r="A8584" s="15">
        <f>Sheet2!A8584</f>
        <v>0</v>
      </c>
      <c r="B8584" s="8">
        <v>1.39</v>
      </c>
      <c r="C8584" s="9">
        <v>0</v>
      </c>
      <c r="D8584" s="13">
        <f t="shared" si="134"/>
        <v>1.39</v>
      </c>
    </row>
    <row r="8585" spans="1:4" x14ac:dyDescent="0.25">
      <c r="A8585" s="15">
        <f>Sheet2!A8585</f>
        <v>0</v>
      </c>
      <c r="B8585" s="8">
        <v>1.17</v>
      </c>
      <c r="C8585" s="9">
        <v>0</v>
      </c>
      <c r="D8585" s="13">
        <f t="shared" si="134"/>
        <v>1.17</v>
      </c>
    </row>
    <row r="8586" spans="1:4" x14ac:dyDescent="0.25">
      <c r="A8586" s="15">
        <f>Sheet2!A8586</f>
        <v>0</v>
      </c>
      <c r="B8586" s="8">
        <v>0</v>
      </c>
      <c r="C8586" s="9">
        <v>0.9</v>
      </c>
      <c r="D8586" s="13">
        <f t="shared" si="134"/>
        <v>0.9</v>
      </c>
    </row>
    <row r="8587" spans="1:4" x14ac:dyDescent="0.25">
      <c r="A8587" s="15">
        <f>Sheet2!A8587</f>
        <v>0</v>
      </c>
      <c r="B8587" s="8">
        <v>0</v>
      </c>
      <c r="C8587" s="9">
        <v>0.8</v>
      </c>
      <c r="D8587" s="13">
        <f t="shared" si="134"/>
        <v>0.8</v>
      </c>
    </row>
    <row r="8588" spans="1:4" x14ac:dyDescent="0.25">
      <c r="A8588" s="15">
        <f>Sheet2!A8588</f>
        <v>0</v>
      </c>
      <c r="B8588" s="8">
        <v>0</v>
      </c>
      <c r="C8588" s="9">
        <v>0.28000000000000003</v>
      </c>
      <c r="D8588" s="13">
        <f t="shared" si="134"/>
        <v>0.28000000000000003</v>
      </c>
    </row>
    <row r="8589" spans="1:4" x14ac:dyDescent="0.25">
      <c r="A8589" s="15">
        <f>Sheet2!A8589</f>
        <v>0</v>
      </c>
      <c r="B8589" s="8">
        <v>0.82</v>
      </c>
      <c r="C8589" s="9">
        <v>0</v>
      </c>
      <c r="D8589" s="13">
        <f t="shared" si="134"/>
        <v>0.82</v>
      </c>
    </row>
    <row r="8590" spans="1:4" x14ac:dyDescent="0.25">
      <c r="A8590" s="15">
        <f>Sheet2!A8590</f>
        <v>0</v>
      </c>
      <c r="B8590" s="8">
        <v>0</v>
      </c>
      <c r="C8590" s="9">
        <v>0.97</v>
      </c>
      <c r="D8590" s="13">
        <f t="shared" si="134"/>
        <v>0.97</v>
      </c>
    </row>
    <row r="8591" spans="1:4" x14ac:dyDescent="0.25">
      <c r="A8591" s="15">
        <f>Sheet2!A8591</f>
        <v>0</v>
      </c>
      <c r="B8591" s="8">
        <v>0</v>
      </c>
      <c r="C8591" s="9">
        <v>1.1000000000000001</v>
      </c>
      <c r="D8591" s="13">
        <f t="shared" si="134"/>
        <v>1.1000000000000001</v>
      </c>
    </row>
    <row r="8592" spans="1:4" x14ac:dyDescent="0.25">
      <c r="A8592" s="15">
        <f>Sheet2!A8592</f>
        <v>0</v>
      </c>
      <c r="B8592" s="8">
        <v>0</v>
      </c>
      <c r="C8592" s="9">
        <v>0.45</v>
      </c>
      <c r="D8592" s="13">
        <f t="shared" si="134"/>
        <v>0.45</v>
      </c>
    </row>
    <row r="8593" spans="1:4" x14ac:dyDescent="0.25">
      <c r="A8593" s="15">
        <f>Sheet2!A8593</f>
        <v>0</v>
      </c>
      <c r="B8593" s="8">
        <v>1.41</v>
      </c>
      <c r="C8593" s="9">
        <v>0</v>
      </c>
      <c r="D8593" s="13">
        <f t="shared" si="134"/>
        <v>1.41</v>
      </c>
    </row>
    <row r="8594" spans="1:4" x14ac:dyDescent="0.25">
      <c r="A8594" s="15">
        <f>Sheet2!A8594</f>
        <v>0</v>
      </c>
      <c r="B8594" s="8">
        <v>1.42</v>
      </c>
      <c r="C8594" s="9">
        <v>0</v>
      </c>
      <c r="D8594" s="13">
        <f t="shared" si="134"/>
        <v>1.42</v>
      </c>
    </row>
    <row r="8595" spans="1:4" x14ac:dyDescent="0.25">
      <c r="A8595" s="15">
        <f>Sheet2!A8595</f>
        <v>0</v>
      </c>
      <c r="B8595" s="8">
        <v>1.03</v>
      </c>
      <c r="C8595" s="9">
        <v>0</v>
      </c>
      <c r="D8595" s="13">
        <f t="shared" si="134"/>
        <v>1.03</v>
      </c>
    </row>
    <row r="8596" spans="1:4" x14ac:dyDescent="0.25">
      <c r="A8596" s="15">
        <f>Sheet2!A8596</f>
        <v>0</v>
      </c>
      <c r="B8596" s="8">
        <v>1.4</v>
      </c>
      <c r="C8596" s="9">
        <v>0</v>
      </c>
      <c r="D8596" s="13">
        <f t="shared" si="134"/>
        <v>1.4</v>
      </c>
    </row>
    <row r="8597" spans="1:4" x14ac:dyDescent="0.25">
      <c r="A8597" s="15">
        <f>Sheet2!A8597</f>
        <v>0</v>
      </c>
      <c r="B8597" s="8">
        <v>0.9</v>
      </c>
      <c r="C8597" s="9">
        <v>0</v>
      </c>
      <c r="D8597" s="13">
        <f t="shared" si="134"/>
        <v>0.9</v>
      </c>
    </row>
    <row r="8598" spans="1:4" x14ac:dyDescent="0.25">
      <c r="A8598" s="15">
        <f>Sheet2!A8598</f>
        <v>0</v>
      </c>
      <c r="B8598" s="8">
        <v>1.05</v>
      </c>
      <c r="C8598" s="9">
        <v>0</v>
      </c>
      <c r="D8598" s="13">
        <f t="shared" si="134"/>
        <v>1.05</v>
      </c>
    </row>
    <row r="8599" spans="1:4" x14ac:dyDescent="0.25">
      <c r="A8599" s="15">
        <f>Sheet2!A8599</f>
        <v>0</v>
      </c>
      <c r="B8599" s="8">
        <v>0.57999999999999996</v>
      </c>
      <c r="C8599" s="9">
        <v>0</v>
      </c>
      <c r="D8599" s="13">
        <f t="shared" si="134"/>
        <v>0.57999999999999996</v>
      </c>
    </row>
    <row r="8600" spans="1:4" x14ac:dyDescent="0.25">
      <c r="A8600" s="15">
        <f>Sheet2!A8600</f>
        <v>0</v>
      </c>
      <c r="B8600" s="8">
        <v>0.73</v>
      </c>
      <c r="C8600" s="9">
        <v>0</v>
      </c>
      <c r="D8600" s="13">
        <f t="shared" si="134"/>
        <v>0.73</v>
      </c>
    </row>
    <row r="8601" spans="1:4" x14ac:dyDescent="0.25">
      <c r="A8601" s="15">
        <f>Sheet2!A8601</f>
        <v>0</v>
      </c>
      <c r="B8601" s="8">
        <v>0.71</v>
      </c>
      <c r="C8601" s="9">
        <v>0</v>
      </c>
      <c r="D8601" s="13">
        <f t="shared" si="134"/>
        <v>0.71</v>
      </c>
    </row>
    <row r="8602" spans="1:4" x14ac:dyDescent="0.25">
      <c r="A8602" s="15">
        <f>Sheet2!A8602</f>
        <v>0</v>
      </c>
      <c r="B8602" s="8">
        <v>0</v>
      </c>
      <c r="C8602" s="9">
        <v>0.42</v>
      </c>
      <c r="D8602" s="13">
        <f t="shared" si="134"/>
        <v>0.42</v>
      </c>
    </row>
    <row r="8603" spans="1:4" x14ac:dyDescent="0.25">
      <c r="A8603" s="15">
        <f>Sheet2!A8603</f>
        <v>0</v>
      </c>
      <c r="B8603" s="8">
        <v>0</v>
      </c>
      <c r="C8603" s="9">
        <v>0.66</v>
      </c>
      <c r="D8603" s="13">
        <f t="shared" si="134"/>
        <v>0.66</v>
      </c>
    </row>
    <row r="8604" spans="1:4" x14ac:dyDescent="0.25">
      <c r="A8604" s="15">
        <f>Sheet2!A8604</f>
        <v>0</v>
      </c>
      <c r="B8604" s="8">
        <v>0.63</v>
      </c>
      <c r="C8604" s="9">
        <v>0</v>
      </c>
      <c r="D8604" s="13">
        <f t="shared" si="134"/>
        <v>0.63</v>
      </c>
    </row>
    <row r="8605" spans="1:4" x14ac:dyDescent="0.25">
      <c r="A8605" s="15">
        <f>Sheet2!A8605</f>
        <v>0</v>
      </c>
      <c r="B8605" s="8">
        <v>0.75</v>
      </c>
      <c r="C8605" s="9">
        <v>0</v>
      </c>
      <c r="D8605" s="13">
        <f t="shared" si="134"/>
        <v>0.75</v>
      </c>
    </row>
    <row r="8606" spans="1:4" x14ac:dyDescent="0.25">
      <c r="A8606" s="15">
        <f>Sheet2!A8606</f>
        <v>0</v>
      </c>
      <c r="B8606" s="8">
        <v>0</v>
      </c>
      <c r="C8606" s="9">
        <v>0.43</v>
      </c>
      <c r="D8606" s="13">
        <f t="shared" si="134"/>
        <v>0.43</v>
      </c>
    </row>
    <row r="8607" spans="1:4" x14ac:dyDescent="0.25">
      <c r="A8607" s="15">
        <f>Sheet2!A8607</f>
        <v>0</v>
      </c>
      <c r="B8607" s="8">
        <v>0</v>
      </c>
      <c r="C8607" s="9">
        <v>0.84</v>
      </c>
      <c r="D8607" s="13">
        <f t="shared" si="134"/>
        <v>0.84</v>
      </c>
    </row>
    <row r="8608" spans="1:4" x14ac:dyDescent="0.25">
      <c r="A8608" s="15">
        <f>Sheet2!A8608</f>
        <v>0</v>
      </c>
      <c r="B8608" s="8">
        <v>0</v>
      </c>
      <c r="C8608" s="9">
        <v>0.54</v>
      </c>
      <c r="D8608" s="13">
        <f t="shared" si="134"/>
        <v>0.54</v>
      </c>
    </row>
    <row r="8609" spans="1:4" x14ac:dyDescent="0.25">
      <c r="A8609" s="15">
        <f>Sheet2!A8609</f>
        <v>0</v>
      </c>
      <c r="B8609" s="8">
        <v>0.76</v>
      </c>
      <c r="C8609" s="9">
        <v>0</v>
      </c>
      <c r="D8609" s="13">
        <f t="shared" si="134"/>
        <v>0.76</v>
      </c>
    </row>
    <row r="8610" spans="1:4" x14ac:dyDescent="0.25">
      <c r="A8610" s="15">
        <f>Sheet2!A8610</f>
        <v>0</v>
      </c>
      <c r="B8610" s="8">
        <v>0</v>
      </c>
      <c r="C8610" s="9">
        <v>0.6</v>
      </c>
      <c r="D8610" s="13">
        <f t="shared" si="134"/>
        <v>0.6</v>
      </c>
    </row>
    <row r="8611" spans="1:4" x14ac:dyDescent="0.25">
      <c r="A8611" s="15">
        <f>Sheet2!A8611</f>
        <v>0</v>
      </c>
      <c r="B8611" s="8">
        <v>0</v>
      </c>
      <c r="C8611" s="9">
        <v>0.88</v>
      </c>
      <c r="D8611" s="13">
        <f t="shared" si="134"/>
        <v>0.88</v>
      </c>
    </row>
    <row r="8612" spans="1:4" x14ac:dyDescent="0.25">
      <c r="A8612" s="15">
        <f>Sheet2!A8612</f>
        <v>0</v>
      </c>
      <c r="B8612" s="8">
        <v>0</v>
      </c>
      <c r="C8612" s="9">
        <v>0.84</v>
      </c>
      <c r="D8612" s="13">
        <f t="shared" si="134"/>
        <v>0.84</v>
      </c>
    </row>
    <row r="8613" spans="1:4" x14ac:dyDescent="0.25">
      <c r="A8613" s="15">
        <f>Sheet2!A8613</f>
        <v>0</v>
      </c>
      <c r="B8613" s="8">
        <v>0.91</v>
      </c>
      <c r="C8613" s="9">
        <v>0</v>
      </c>
      <c r="D8613" s="13">
        <f t="shared" si="134"/>
        <v>0.91</v>
      </c>
    </row>
    <row r="8614" spans="1:4" x14ac:dyDescent="0.25">
      <c r="A8614" s="15">
        <f>Sheet2!A8614</f>
        <v>0</v>
      </c>
      <c r="B8614" s="8">
        <v>1.01</v>
      </c>
      <c r="C8614" s="9">
        <v>0</v>
      </c>
      <c r="D8614" s="13">
        <f t="shared" si="134"/>
        <v>1.01</v>
      </c>
    </row>
    <row r="8615" spans="1:4" x14ac:dyDescent="0.25">
      <c r="A8615" s="15">
        <f>Sheet2!A8615</f>
        <v>0</v>
      </c>
      <c r="B8615" s="8">
        <v>1.1200000000000001</v>
      </c>
      <c r="C8615" s="9">
        <v>0</v>
      </c>
      <c r="D8615" s="13">
        <f t="shared" si="134"/>
        <v>1.1200000000000001</v>
      </c>
    </row>
    <row r="8616" spans="1:4" x14ac:dyDescent="0.25">
      <c r="A8616" s="15">
        <f>Sheet2!A8616</f>
        <v>0</v>
      </c>
      <c r="B8616" s="8">
        <v>0.75</v>
      </c>
      <c r="C8616" s="9">
        <v>0</v>
      </c>
      <c r="D8616" s="13">
        <f t="shared" si="134"/>
        <v>0.75</v>
      </c>
    </row>
    <row r="8617" spans="1:4" x14ac:dyDescent="0.25">
      <c r="A8617" s="15">
        <f>Sheet2!A8617</f>
        <v>0</v>
      </c>
      <c r="B8617" s="8">
        <v>0.48</v>
      </c>
      <c r="C8617" s="9">
        <v>0</v>
      </c>
      <c r="D8617" s="13">
        <f t="shared" si="134"/>
        <v>0.48</v>
      </c>
    </row>
    <row r="8618" spans="1:4" x14ac:dyDescent="0.25">
      <c r="A8618" s="15">
        <f>Sheet2!A8618</f>
        <v>0</v>
      </c>
      <c r="B8618" s="8">
        <v>0.59</v>
      </c>
      <c r="C8618" s="9">
        <v>0</v>
      </c>
      <c r="D8618" s="13">
        <f t="shared" si="134"/>
        <v>0.59</v>
      </c>
    </row>
    <row r="8619" spans="1:4" x14ac:dyDescent="0.25">
      <c r="A8619" s="15">
        <f>Sheet2!A8619</f>
        <v>0</v>
      </c>
      <c r="B8619" s="8">
        <v>0.33</v>
      </c>
      <c r="C8619" s="9">
        <v>0</v>
      </c>
      <c r="D8619" s="13">
        <f t="shared" si="134"/>
        <v>0.33</v>
      </c>
    </row>
    <row r="8620" spans="1:4" x14ac:dyDescent="0.25">
      <c r="A8620" s="15">
        <f>Sheet2!A8620</f>
        <v>0</v>
      </c>
      <c r="B8620" s="8">
        <v>0.65</v>
      </c>
      <c r="C8620" s="9">
        <v>0</v>
      </c>
      <c r="D8620" s="13">
        <f t="shared" si="134"/>
        <v>0.65</v>
      </c>
    </row>
    <row r="8621" spans="1:4" x14ac:dyDescent="0.25">
      <c r="A8621" s="15">
        <f>Sheet2!A8621</f>
        <v>0</v>
      </c>
      <c r="B8621" s="8">
        <v>0.36</v>
      </c>
      <c r="C8621" s="9">
        <v>0</v>
      </c>
      <c r="D8621" s="13">
        <f t="shared" si="134"/>
        <v>0.36</v>
      </c>
    </row>
    <row r="8622" spans="1:4" x14ac:dyDescent="0.25">
      <c r="A8622" s="15">
        <f>Sheet2!A8622</f>
        <v>0</v>
      </c>
      <c r="B8622" s="8">
        <v>0.98</v>
      </c>
      <c r="C8622" s="9">
        <v>0</v>
      </c>
      <c r="D8622" s="13">
        <f t="shared" si="134"/>
        <v>0.98</v>
      </c>
    </row>
    <row r="8623" spans="1:4" x14ac:dyDescent="0.25">
      <c r="A8623" s="15">
        <f>Sheet2!A8623</f>
        <v>0</v>
      </c>
      <c r="B8623" s="8">
        <v>0.1</v>
      </c>
      <c r="C8623" s="9">
        <v>0</v>
      </c>
      <c r="D8623" s="13">
        <f t="shared" si="134"/>
        <v>0.1</v>
      </c>
    </row>
    <row r="8624" spans="1:4" x14ac:dyDescent="0.25">
      <c r="A8624" s="15">
        <f>Sheet2!A8624</f>
        <v>0</v>
      </c>
      <c r="B8624" s="8">
        <v>0.43</v>
      </c>
      <c r="C8624" s="9">
        <v>0</v>
      </c>
      <c r="D8624" s="13">
        <f t="shared" si="134"/>
        <v>0.43</v>
      </c>
    </row>
    <row r="8625" spans="1:4" x14ac:dyDescent="0.25">
      <c r="A8625" s="15">
        <f>Sheet2!A8625</f>
        <v>0</v>
      </c>
      <c r="B8625" s="8">
        <v>0.66</v>
      </c>
      <c r="C8625" s="9">
        <v>0</v>
      </c>
      <c r="D8625" s="13">
        <f t="shared" si="134"/>
        <v>0.66</v>
      </c>
    </row>
    <row r="8626" spans="1:4" x14ac:dyDescent="0.25">
      <c r="A8626" s="15">
        <f>Sheet2!A8626</f>
        <v>0</v>
      </c>
      <c r="B8626" s="8">
        <v>0.7</v>
      </c>
      <c r="C8626" s="9">
        <v>0</v>
      </c>
      <c r="D8626" s="13">
        <f t="shared" si="134"/>
        <v>0.7</v>
      </c>
    </row>
    <row r="8627" spans="1:4" x14ac:dyDescent="0.25">
      <c r="A8627" s="15">
        <f>Sheet2!A8627</f>
        <v>0</v>
      </c>
      <c r="B8627" s="8">
        <v>0.83</v>
      </c>
      <c r="C8627" s="9">
        <v>0</v>
      </c>
      <c r="D8627" s="13">
        <f t="shared" si="134"/>
        <v>0.83</v>
      </c>
    </row>
    <row r="8628" spans="1:4" x14ac:dyDescent="0.25">
      <c r="A8628" s="15">
        <f>Sheet2!A8628</f>
        <v>0</v>
      </c>
      <c r="B8628" s="8">
        <v>0</v>
      </c>
      <c r="C8628" s="9">
        <v>0.51</v>
      </c>
      <c r="D8628" s="13">
        <f t="shared" si="134"/>
        <v>0.51</v>
      </c>
    </row>
    <row r="8629" spans="1:4" x14ac:dyDescent="0.25">
      <c r="A8629" s="15">
        <f>Sheet2!A8629</f>
        <v>0</v>
      </c>
      <c r="B8629" s="8">
        <v>0</v>
      </c>
      <c r="C8629" s="9">
        <v>0.73</v>
      </c>
      <c r="D8629" s="13">
        <f t="shared" si="134"/>
        <v>0.73</v>
      </c>
    </row>
    <row r="8630" spans="1:4" x14ac:dyDescent="0.25">
      <c r="A8630" s="15">
        <f>Sheet2!A8630</f>
        <v>0</v>
      </c>
      <c r="B8630" s="8">
        <v>1.07</v>
      </c>
      <c r="C8630" s="9">
        <v>0</v>
      </c>
      <c r="D8630" s="13">
        <f t="shared" si="134"/>
        <v>1.07</v>
      </c>
    </row>
    <row r="8631" spans="1:4" x14ac:dyDescent="0.25">
      <c r="A8631" s="15">
        <f>Sheet2!A8631</f>
        <v>0</v>
      </c>
      <c r="B8631" s="8">
        <v>0.98</v>
      </c>
      <c r="C8631" s="9">
        <v>0</v>
      </c>
      <c r="D8631" s="13">
        <f t="shared" si="134"/>
        <v>0.98</v>
      </c>
    </row>
    <row r="8632" spans="1:4" x14ac:dyDescent="0.25">
      <c r="A8632" s="15">
        <f>Sheet2!A8632</f>
        <v>0</v>
      </c>
      <c r="B8632" s="8">
        <v>1.1399999999999999</v>
      </c>
      <c r="C8632" s="9">
        <v>0</v>
      </c>
      <c r="D8632" s="13">
        <f t="shared" si="134"/>
        <v>1.1399999999999999</v>
      </c>
    </row>
    <row r="8633" spans="1:4" x14ac:dyDescent="0.25">
      <c r="A8633" s="15">
        <f>Sheet2!A8633</f>
        <v>0</v>
      </c>
      <c r="B8633" s="8">
        <v>0.9</v>
      </c>
      <c r="C8633" s="9">
        <v>0</v>
      </c>
      <c r="D8633" s="13">
        <f t="shared" si="134"/>
        <v>0.9</v>
      </c>
    </row>
    <row r="8634" spans="1:4" x14ac:dyDescent="0.25">
      <c r="A8634" s="15">
        <f>Sheet2!A8634</f>
        <v>0</v>
      </c>
      <c r="B8634" s="8">
        <v>0</v>
      </c>
      <c r="C8634" s="9">
        <v>0.37</v>
      </c>
      <c r="D8634" s="13">
        <f t="shared" si="134"/>
        <v>0.37</v>
      </c>
    </row>
    <row r="8635" spans="1:4" x14ac:dyDescent="0.25">
      <c r="A8635" s="15">
        <f>Sheet2!A8635</f>
        <v>0</v>
      </c>
      <c r="B8635" s="8">
        <v>0</v>
      </c>
      <c r="C8635" s="9">
        <v>0.51</v>
      </c>
      <c r="D8635" s="13">
        <f t="shared" si="134"/>
        <v>0.51</v>
      </c>
    </row>
    <row r="8636" spans="1:4" x14ac:dyDescent="0.25">
      <c r="A8636" s="15">
        <f>Sheet2!A8636</f>
        <v>0</v>
      </c>
      <c r="B8636" s="8">
        <v>0.61</v>
      </c>
      <c r="C8636" s="9">
        <v>0</v>
      </c>
      <c r="D8636" s="13">
        <f t="shared" si="134"/>
        <v>0.61</v>
      </c>
    </row>
    <row r="8637" spans="1:4" x14ac:dyDescent="0.25">
      <c r="A8637" s="15">
        <f>Sheet2!A8637</f>
        <v>0</v>
      </c>
      <c r="B8637" s="8">
        <v>0.74</v>
      </c>
      <c r="C8637" s="9">
        <v>0</v>
      </c>
      <c r="D8637" s="13">
        <f t="shared" si="134"/>
        <v>0.74</v>
      </c>
    </row>
    <row r="8638" spans="1:4" x14ac:dyDescent="0.25">
      <c r="A8638" s="15">
        <f>Sheet2!A8638</f>
        <v>0</v>
      </c>
      <c r="B8638" s="8">
        <v>0</v>
      </c>
      <c r="C8638" s="9">
        <v>0.38</v>
      </c>
      <c r="D8638" s="13">
        <f t="shared" si="134"/>
        <v>0.38</v>
      </c>
    </row>
    <row r="8639" spans="1:4" x14ac:dyDescent="0.25">
      <c r="A8639" s="15">
        <f>Sheet2!A8639</f>
        <v>0</v>
      </c>
      <c r="B8639" s="8">
        <v>0.75</v>
      </c>
      <c r="C8639" s="9">
        <v>0</v>
      </c>
      <c r="D8639" s="13">
        <f t="shared" si="134"/>
        <v>0.75</v>
      </c>
    </row>
    <row r="8640" spans="1:4" x14ac:dyDescent="0.25">
      <c r="A8640" s="15">
        <f>Sheet2!A8640</f>
        <v>0</v>
      </c>
      <c r="B8640" s="8">
        <v>1.05</v>
      </c>
      <c r="C8640" s="9">
        <v>0</v>
      </c>
      <c r="D8640" s="13">
        <f t="shared" si="134"/>
        <v>1.05</v>
      </c>
    </row>
    <row r="8641" spans="1:4" x14ac:dyDescent="0.25">
      <c r="A8641" s="15">
        <f>Sheet2!A8641</f>
        <v>0</v>
      </c>
      <c r="B8641" s="8">
        <v>1.04</v>
      </c>
      <c r="C8641" s="9">
        <v>0</v>
      </c>
      <c r="D8641" s="13">
        <f t="shared" si="134"/>
        <v>1.04</v>
      </c>
    </row>
    <row r="8642" spans="1:4" x14ac:dyDescent="0.25">
      <c r="A8642" s="15">
        <f>Sheet2!A8642</f>
        <v>0</v>
      </c>
      <c r="B8642" s="8">
        <v>0.94</v>
      </c>
      <c r="C8642" s="9">
        <v>0</v>
      </c>
      <c r="D8642" s="13">
        <f t="shared" si="134"/>
        <v>0.94</v>
      </c>
    </row>
    <row r="8643" spans="1:4" x14ac:dyDescent="0.25">
      <c r="A8643" s="15">
        <f>Sheet2!A8643</f>
        <v>0</v>
      </c>
      <c r="B8643" s="8">
        <v>0.49</v>
      </c>
      <c r="C8643" s="9">
        <v>0</v>
      </c>
      <c r="D8643" s="13">
        <f t="shared" ref="D8643:D8706" si="135">B8643+C8643</f>
        <v>0.49</v>
      </c>
    </row>
    <row r="8644" spans="1:4" x14ac:dyDescent="0.25">
      <c r="A8644" s="15">
        <f>Sheet2!A8644</f>
        <v>0</v>
      </c>
      <c r="B8644" s="8">
        <v>0.56999999999999995</v>
      </c>
      <c r="C8644" s="9">
        <v>0</v>
      </c>
      <c r="D8644" s="13">
        <f t="shared" si="135"/>
        <v>0.56999999999999995</v>
      </c>
    </row>
    <row r="8645" spans="1:4" x14ac:dyDescent="0.25">
      <c r="A8645" s="15">
        <f>Sheet2!A8645</f>
        <v>0</v>
      </c>
      <c r="B8645" s="8">
        <v>0.63</v>
      </c>
      <c r="C8645" s="9">
        <v>0</v>
      </c>
      <c r="D8645" s="13">
        <f t="shared" si="135"/>
        <v>0.63</v>
      </c>
    </row>
    <row r="8646" spans="1:4" x14ac:dyDescent="0.25">
      <c r="A8646" s="15">
        <f>Sheet2!A8646</f>
        <v>0</v>
      </c>
      <c r="B8646" s="8">
        <v>0.82</v>
      </c>
      <c r="C8646" s="9">
        <v>0</v>
      </c>
      <c r="D8646" s="13">
        <f t="shared" si="135"/>
        <v>0.82</v>
      </c>
    </row>
    <row r="8647" spans="1:4" x14ac:dyDescent="0.25">
      <c r="A8647" s="15">
        <f>Sheet2!A8647</f>
        <v>0</v>
      </c>
      <c r="B8647" s="8">
        <v>0.34</v>
      </c>
      <c r="C8647" s="9">
        <v>0</v>
      </c>
      <c r="D8647" s="13">
        <f t="shared" si="135"/>
        <v>0.34</v>
      </c>
    </row>
    <row r="8648" spans="1:4" x14ac:dyDescent="0.25">
      <c r="A8648" s="15">
        <f>Sheet2!A8648</f>
        <v>0</v>
      </c>
      <c r="B8648" s="8">
        <v>0.43</v>
      </c>
      <c r="C8648" s="9">
        <v>0</v>
      </c>
      <c r="D8648" s="13">
        <f t="shared" si="135"/>
        <v>0.43</v>
      </c>
    </row>
    <row r="8649" spans="1:4" x14ac:dyDescent="0.25">
      <c r="A8649" s="15">
        <f>Sheet2!A8649</f>
        <v>0</v>
      </c>
      <c r="B8649" s="8">
        <v>0.4</v>
      </c>
      <c r="C8649" s="9">
        <v>0</v>
      </c>
      <c r="D8649" s="13">
        <f t="shared" si="135"/>
        <v>0.4</v>
      </c>
    </row>
    <row r="8650" spans="1:4" x14ac:dyDescent="0.25">
      <c r="A8650" s="15">
        <f>Sheet2!A8650</f>
        <v>0</v>
      </c>
      <c r="B8650" s="8">
        <v>0.41</v>
      </c>
      <c r="C8650" s="9">
        <v>0</v>
      </c>
      <c r="D8650" s="13">
        <f t="shared" si="135"/>
        <v>0.41</v>
      </c>
    </row>
    <row r="8651" spans="1:4" x14ac:dyDescent="0.25">
      <c r="A8651" s="15">
        <f>Sheet2!A8651</f>
        <v>0</v>
      </c>
      <c r="B8651" s="8">
        <v>0.76</v>
      </c>
      <c r="C8651" s="9">
        <v>0</v>
      </c>
      <c r="D8651" s="13">
        <f t="shared" si="135"/>
        <v>0.76</v>
      </c>
    </row>
    <row r="8652" spans="1:4" x14ac:dyDescent="0.25">
      <c r="A8652" s="15">
        <f>Sheet2!A8652</f>
        <v>0</v>
      </c>
      <c r="B8652" s="8">
        <v>0</v>
      </c>
      <c r="C8652" s="9">
        <v>0.44</v>
      </c>
      <c r="D8652" s="13">
        <f t="shared" si="135"/>
        <v>0.44</v>
      </c>
    </row>
    <row r="8653" spans="1:4" x14ac:dyDescent="0.25">
      <c r="A8653" s="15">
        <f>Sheet2!A8653</f>
        <v>0</v>
      </c>
      <c r="B8653" s="8">
        <v>0</v>
      </c>
      <c r="C8653" s="9">
        <v>0.6</v>
      </c>
      <c r="D8653" s="13">
        <f t="shared" si="135"/>
        <v>0.6</v>
      </c>
    </row>
    <row r="8654" spans="1:4" x14ac:dyDescent="0.25">
      <c r="A8654" s="15">
        <f>Sheet2!A8654</f>
        <v>0</v>
      </c>
      <c r="B8654" s="8">
        <v>0</v>
      </c>
      <c r="C8654" s="9">
        <v>0.26</v>
      </c>
      <c r="D8654" s="13">
        <f t="shared" si="135"/>
        <v>0.26</v>
      </c>
    </row>
    <row r="8655" spans="1:4" x14ac:dyDescent="0.25">
      <c r="A8655" s="15">
        <f>Sheet2!A8655</f>
        <v>0</v>
      </c>
      <c r="B8655" s="8">
        <v>1.1000000000000001</v>
      </c>
      <c r="C8655" s="9">
        <v>0</v>
      </c>
      <c r="D8655" s="13">
        <f t="shared" si="135"/>
        <v>1.1000000000000001</v>
      </c>
    </row>
    <row r="8656" spans="1:4" x14ac:dyDescent="0.25">
      <c r="A8656" s="15">
        <f>Sheet2!A8656</f>
        <v>0</v>
      </c>
      <c r="B8656" s="8">
        <v>0</v>
      </c>
      <c r="C8656" s="9">
        <v>0.7</v>
      </c>
      <c r="D8656" s="13">
        <f t="shared" si="135"/>
        <v>0.7</v>
      </c>
    </row>
    <row r="8657" spans="1:4" x14ac:dyDescent="0.25">
      <c r="A8657" s="15">
        <f>Sheet2!A8657</f>
        <v>0</v>
      </c>
      <c r="B8657" s="8">
        <v>0</v>
      </c>
      <c r="C8657" s="9">
        <v>1.1299999999999999</v>
      </c>
      <c r="D8657" s="13">
        <f t="shared" si="135"/>
        <v>1.1299999999999999</v>
      </c>
    </row>
    <row r="8658" spans="1:4" x14ac:dyDescent="0.25">
      <c r="A8658" s="15">
        <f>Sheet2!A8658</f>
        <v>0</v>
      </c>
      <c r="B8658" s="8">
        <v>0</v>
      </c>
      <c r="C8658" s="9">
        <v>0.56000000000000005</v>
      </c>
      <c r="D8658" s="13">
        <f t="shared" si="135"/>
        <v>0.56000000000000005</v>
      </c>
    </row>
    <row r="8659" spans="1:4" x14ac:dyDescent="0.25">
      <c r="A8659" s="15">
        <f>Sheet2!A8659</f>
        <v>0</v>
      </c>
      <c r="B8659" s="8">
        <v>1.06</v>
      </c>
      <c r="C8659" s="9">
        <v>0</v>
      </c>
      <c r="D8659" s="13">
        <f t="shared" si="135"/>
        <v>1.06</v>
      </c>
    </row>
    <row r="8660" spans="1:4" x14ac:dyDescent="0.25">
      <c r="A8660" s="15">
        <f>Sheet2!A8660</f>
        <v>0</v>
      </c>
      <c r="B8660" s="8">
        <v>0.41</v>
      </c>
      <c r="C8660" s="9">
        <v>0</v>
      </c>
      <c r="D8660" s="13">
        <f t="shared" si="135"/>
        <v>0.41</v>
      </c>
    </row>
    <row r="8661" spans="1:4" x14ac:dyDescent="0.25">
      <c r="A8661" s="15">
        <f>Sheet2!A8661</f>
        <v>0</v>
      </c>
      <c r="B8661" s="8">
        <v>0</v>
      </c>
      <c r="C8661" s="9">
        <v>0.72</v>
      </c>
      <c r="D8661" s="13">
        <f t="shared" si="135"/>
        <v>0.72</v>
      </c>
    </row>
    <row r="8662" spans="1:4" x14ac:dyDescent="0.25">
      <c r="A8662" s="15">
        <f>Sheet2!A8662</f>
        <v>0</v>
      </c>
      <c r="B8662" s="8">
        <v>0</v>
      </c>
      <c r="C8662" s="9">
        <v>0.54</v>
      </c>
      <c r="D8662" s="13">
        <f t="shared" si="135"/>
        <v>0.54</v>
      </c>
    </row>
    <row r="8663" spans="1:4" x14ac:dyDescent="0.25">
      <c r="A8663" s="15">
        <f>Sheet2!A8663</f>
        <v>0</v>
      </c>
      <c r="B8663" s="8">
        <v>1.07</v>
      </c>
      <c r="C8663" s="9">
        <v>0</v>
      </c>
      <c r="D8663" s="13">
        <f t="shared" si="135"/>
        <v>1.07</v>
      </c>
    </row>
    <row r="8664" spans="1:4" x14ac:dyDescent="0.25">
      <c r="A8664" s="15">
        <f>Sheet2!A8664</f>
        <v>0</v>
      </c>
      <c r="B8664" s="8">
        <v>0.85</v>
      </c>
      <c r="C8664" s="9">
        <v>0</v>
      </c>
      <c r="D8664" s="13">
        <f t="shared" si="135"/>
        <v>0.85</v>
      </c>
    </row>
    <row r="8665" spans="1:4" x14ac:dyDescent="0.25">
      <c r="A8665" s="15">
        <f>Sheet2!A8665</f>
        <v>0</v>
      </c>
      <c r="B8665" s="8">
        <v>0.83</v>
      </c>
      <c r="C8665" s="9">
        <v>0</v>
      </c>
      <c r="D8665" s="13">
        <f t="shared" si="135"/>
        <v>0.83</v>
      </c>
    </row>
    <row r="8666" spans="1:4" x14ac:dyDescent="0.25">
      <c r="A8666" s="15">
        <f>Sheet2!A8666</f>
        <v>0</v>
      </c>
      <c r="B8666" s="8">
        <v>0.57999999999999996</v>
      </c>
      <c r="C8666" s="9">
        <v>0</v>
      </c>
      <c r="D8666" s="13">
        <f t="shared" si="135"/>
        <v>0.57999999999999996</v>
      </c>
    </row>
    <row r="8667" spans="1:4" x14ac:dyDescent="0.25">
      <c r="A8667" s="15">
        <f>Sheet2!A8667</f>
        <v>0</v>
      </c>
      <c r="B8667" s="8">
        <v>0.41</v>
      </c>
      <c r="C8667" s="9">
        <v>0</v>
      </c>
      <c r="D8667" s="13">
        <f t="shared" si="135"/>
        <v>0.41</v>
      </c>
    </row>
    <row r="8668" spans="1:4" x14ac:dyDescent="0.25">
      <c r="A8668" s="15">
        <f>Sheet2!A8668</f>
        <v>0</v>
      </c>
      <c r="B8668" s="8">
        <v>0.34</v>
      </c>
      <c r="C8668" s="9">
        <v>0</v>
      </c>
      <c r="D8668" s="13">
        <f t="shared" si="135"/>
        <v>0.34</v>
      </c>
    </row>
    <row r="8669" spans="1:4" x14ac:dyDescent="0.25">
      <c r="A8669" s="15">
        <f>Sheet2!A8669</f>
        <v>0</v>
      </c>
      <c r="B8669" s="8">
        <v>1.1000000000000001</v>
      </c>
      <c r="C8669" s="9">
        <v>0</v>
      </c>
      <c r="D8669" s="13">
        <f t="shared" si="135"/>
        <v>1.1000000000000001</v>
      </c>
    </row>
    <row r="8670" spans="1:4" x14ac:dyDescent="0.25">
      <c r="A8670" s="15">
        <f>Sheet2!A8670</f>
        <v>0</v>
      </c>
      <c r="B8670" s="8">
        <v>0</v>
      </c>
      <c r="C8670" s="9">
        <v>0.22</v>
      </c>
      <c r="D8670" s="13">
        <f t="shared" si="135"/>
        <v>0.22</v>
      </c>
    </row>
    <row r="8671" spans="1:4" x14ac:dyDescent="0.25">
      <c r="A8671" s="15">
        <f>Sheet2!A8671</f>
        <v>0</v>
      </c>
      <c r="B8671" s="8">
        <v>0</v>
      </c>
      <c r="C8671" s="9">
        <v>0.66</v>
      </c>
      <c r="D8671" s="13">
        <f t="shared" si="135"/>
        <v>0.66</v>
      </c>
    </row>
    <row r="8672" spans="1:4" x14ac:dyDescent="0.25">
      <c r="A8672" s="15">
        <f>Sheet2!A8672</f>
        <v>0</v>
      </c>
      <c r="B8672" s="8">
        <v>0.38</v>
      </c>
      <c r="C8672" s="9">
        <v>0</v>
      </c>
      <c r="D8672" s="13">
        <f t="shared" si="135"/>
        <v>0.38</v>
      </c>
    </row>
    <row r="8673" spans="1:4" x14ac:dyDescent="0.25">
      <c r="A8673" s="15">
        <f>Sheet2!A8673</f>
        <v>0</v>
      </c>
      <c r="B8673" s="8">
        <v>0.72</v>
      </c>
      <c r="C8673" s="9">
        <v>0</v>
      </c>
      <c r="D8673" s="13">
        <f t="shared" si="135"/>
        <v>0.72</v>
      </c>
    </row>
    <row r="8674" spans="1:4" x14ac:dyDescent="0.25">
      <c r="A8674" s="15">
        <f>Sheet2!A8674</f>
        <v>0</v>
      </c>
      <c r="B8674" s="8">
        <v>0</v>
      </c>
      <c r="C8674" s="9">
        <v>0.28999999999999998</v>
      </c>
      <c r="D8674" s="13">
        <f t="shared" si="135"/>
        <v>0.28999999999999998</v>
      </c>
    </row>
    <row r="8675" spans="1:4" x14ac:dyDescent="0.25">
      <c r="A8675" s="15">
        <f>Sheet2!A8675</f>
        <v>0</v>
      </c>
      <c r="B8675" s="8">
        <v>0</v>
      </c>
      <c r="C8675" s="9">
        <v>0.52</v>
      </c>
      <c r="D8675" s="13">
        <f t="shared" si="135"/>
        <v>0.52</v>
      </c>
    </row>
    <row r="8676" spans="1:4" x14ac:dyDescent="0.25">
      <c r="A8676" s="15">
        <f>Sheet2!A8676</f>
        <v>0</v>
      </c>
      <c r="B8676" s="8">
        <v>0</v>
      </c>
      <c r="C8676" s="9">
        <v>0.21</v>
      </c>
      <c r="D8676" s="13">
        <f t="shared" si="135"/>
        <v>0.21</v>
      </c>
    </row>
    <row r="8677" spans="1:4" x14ac:dyDescent="0.25">
      <c r="A8677" s="15">
        <f>Sheet2!A8677</f>
        <v>0</v>
      </c>
      <c r="B8677" s="8">
        <v>0.95</v>
      </c>
      <c r="C8677" s="9">
        <v>0</v>
      </c>
      <c r="D8677" s="13">
        <f t="shared" si="135"/>
        <v>0.95</v>
      </c>
    </row>
    <row r="8678" spans="1:4" x14ac:dyDescent="0.25">
      <c r="A8678" s="15">
        <f>Sheet2!A8678</f>
        <v>0</v>
      </c>
      <c r="B8678" s="8">
        <v>0</v>
      </c>
      <c r="C8678" s="9">
        <v>0.8</v>
      </c>
      <c r="D8678" s="13">
        <f t="shared" si="135"/>
        <v>0.8</v>
      </c>
    </row>
    <row r="8679" spans="1:4" x14ac:dyDescent="0.25">
      <c r="A8679" s="15">
        <f>Sheet2!A8679</f>
        <v>0</v>
      </c>
      <c r="B8679" s="8">
        <v>0</v>
      </c>
      <c r="C8679" s="9">
        <v>1.29</v>
      </c>
      <c r="D8679" s="13">
        <f t="shared" si="135"/>
        <v>1.29</v>
      </c>
    </row>
    <row r="8680" spans="1:4" x14ac:dyDescent="0.25">
      <c r="A8680" s="15">
        <f>Sheet2!A8680</f>
        <v>0</v>
      </c>
      <c r="B8680" s="8">
        <v>0</v>
      </c>
      <c r="C8680" s="9">
        <v>0.72</v>
      </c>
      <c r="D8680" s="13">
        <f t="shared" si="135"/>
        <v>0.72</v>
      </c>
    </row>
    <row r="8681" spans="1:4" x14ac:dyDescent="0.25">
      <c r="A8681" s="15">
        <f>Sheet2!A8681</f>
        <v>0</v>
      </c>
      <c r="B8681" s="8">
        <v>1.54</v>
      </c>
      <c r="C8681" s="9">
        <v>0</v>
      </c>
      <c r="D8681" s="13">
        <f t="shared" si="135"/>
        <v>1.54</v>
      </c>
    </row>
    <row r="8682" spans="1:4" x14ac:dyDescent="0.25">
      <c r="A8682" s="15">
        <f>Sheet2!A8682</f>
        <v>0</v>
      </c>
      <c r="B8682" s="8">
        <v>0</v>
      </c>
      <c r="C8682" s="9">
        <v>0.92</v>
      </c>
      <c r="D8682" s="13">
        <f t="shared" si="135"/>
        <v>0.92</v>
      </c>
    </row>
    <row r="8683" spans="1:4" x14ac:dyDescent="0.25">
      <c r="A8683" s="15">
        <f>Sheet2!A8683</f>
        <v>0</v>
      </c>
      <c r="B8683" s="8">
        <v>0</v>
      </c>
      <c r="C8683" s="9">
        <v>0.86</v>
      </c>
      <c r="D8683" s="13">
        <f t="shared" si="135"/>
        <v>0.86</v>
      </c>
    </row>
    <row r="8684" spans="1:4" x14ac:dyDescent="0.25">
      <c r="A8684" s="15">
        <f>Sheet2!A8684</f>
        <v>0</v>
      </c>
      <c r="B8684" s="8">
        <v>0</v>
      </c>
      <c r="C8684" s="9">
        <v>0.37</v>
      </c>
      <c r="D8684" s="13">
        <f t="shared" si="135"/>
        <v>0.37</v>
      </c>
    </row>
    <row r="8685" spans="1:4" x14ac:dyDescent="0.25">
      <c r="A8685" s="15">
        <f>Sheet2!A8685</f>
        <v>0</v>
      </c>
      <c r="B8685" s="8">
        <v>0.73</v>
      </c>
      <c r="C8685" s="9">
        <v>0</v>
      </c>
      <c r="D8685" s="13">
        <f t="shared" si="135"/>
        <v>0.73</v>
      </c>
    </row>
    <row r="8686" spans="1:4" x14ac:dyDescent="0.25">
      <c r="A8686" s="15">
        <f>Sheet2!A8686</f>
        <v>0</v>
      </c>
      <c r="B8686" s="8">
        <v>0.97</v>
      </c>
      <c r="C8686" s="9">
        <v>0</v>
      </c>
      <c r="D8686" s="13">
        <f t="shared" si="135"/>
        <v>0.97</v>
      </c>
    </row>
    <row r="8687" spans="1:4" x14ac:dyDescent="0.25">
      <c r="A8687" s="15">
        <f>Sheet2!A8687</f>
        <v>0</v>
      </c>
      <c r="B8687" s="8">
        <v>0.81</v>
      </c>
      <c r="C8687" s="9">
        <v>0</v>
      </c>
      <c r="D8687" s="13">
        <f t="shared" si="135"/>
        <v>0.81</v>
      </c>
    </row>
    <row r="8688" spans="1:4" x14ac:dyDescent="0.25">
      <c r="A8688" s="15">
        <f>Sheet2!A8688</f>
        <v>0</v>
      </c>
      <c r="B8688" s="8">
        <v>1.1200000000000001</v>
      </c>
      <c r="C8688" s="9">
        <v>0</v>
      </c>
      <c r="D8688" s="13">
        <f t="shared" si="135"/>
        <v>1.1200000000000001</v>
      </c>
    </row>
    <row r="8689" spans="1:4" x14ac:dyDescent="0.25">
      <c r="A8689" s="15">
        <f>Sheet2!A8689</f>
        <v>0</v>
      </c>
      <c r="B8689" s="8">
        <v>0.51</v>
      </c>
      <c r="C8689" s="9">
        <v>0</v>
      </c>
      <c r="D8689" s="13">
        <f t="shared" si="135"/>
        <v>0.51</v>
      </c>
    </row>
    <row r="8690" spans="1:4" x14ac:dyDescent="0.25">
      <c r="A8690" s="15">
        <f>Sheet2!A8690</f>
        <v>0</v>
      </c>
      <c r="B8690" s="8">
        <v>1.1200000000000001</v>
      </c>
      <c r="C8690" s="9">
        <v>0</v>
      </c>
      <c r="D8690" s="13">
        <f t="shared" si="135"/>
        <v>1.1200000000000001</v>
      </c>
    </row>
    <row r="8691" spans="1:4" x14ac:dyDescent="0.25">
      <c r="A8691" s="15">
        <f>Sheet2!A8691</f>
        <v>0</v>
      </c>
      <c r="B8691" s="8">
        <v>1.1299999999999999</v>
      </c>
      <c r="C8691" s="9">
        <v>0</v>
      </c>
      <c r="D8691" s="13">
        <f t="shared" si="135"/>
        <v>1.1299999999999999</v>
      </c>
    </row>
    <row r="8692" spans="1:4" x14ac:dyDescent="0.25">
      <c r="A8692" s="15">
        <f>Sheet2!A8692</f>
        <v>0</v>
      </c>
      <c r="B8692" s="8">
        <v>1.05</v>
      </c>
      <c r="C8692" s="9">
        <v>0</v>
      </c>
      <c r="D8692" s="13">
        <f t="shared" si="135"/>
        <v>1.05</v>
      </c>
    </row>
    <row r="8693" spans="1:4" x14ac:dyDescent="0.25">
      <c r="A8693" s="15">
        <f>Sheet2!A8693</f>
        <v>0</v>
      </c>
      <c r="B8693" s="8">
        <v>1.1000000000000001</v>
      </c>
      <c r="C8693" s="9">
        <v>0</v>
      </c>
      <c r="D8693" s="13">
        <f t="shared" si="135"/>
        <v>1.1000000000000001</v>
      </c>
    </row>
    <row r="8694" spans="1:4" x14ac:dyDescent="0.25">
      <c r="A8694" s="15">
        <f>Sheet2!A8694</f>
        <v>0</v>
      </c>
      <c r="B8694" s="8">
        <v>0</v>
      </c>
      <c r="C8694" s="9">
        <v>0.22</v>
      </c>
      <c r="D8694" s="13">
        <f t="shared" si="135"/>
        <v>0.22</v>
      </c>
    </row>
    <row r="8695" spans="1:4" x14ac:dyDescent="0.25">
      <c r="A8695" s="15">
        <f>Sheet2!A8695</f>
        <v>0</v>
      </c>
      <c r="B8695" s="8">
        <v>0</v>
      </c>
      <c r="C8695" s="9">
        <v>0.66</v>
      </c>
      <c r="D8695" s="13">
        <f t="shared" si="135"/>
        <v>0.66</v>
      </c>
    </row>
    <row r="8696" spans="1:4" x14ac:dyDescent="0.25">
      <c r="A8696" s="15">
        <f>Sheet2!A8696</f>
        <v>0</v>
      </c>
      <c r="B8696" s="8">
        <v>0.38</v>
      </c>
      <c r="C8696" s="9">
        <v>0</v>
      </c>
      <c r="D8696" s="13">
        <f t="shared" si="135"/>
        <v>0.38</v>
      </c>
    </row>
    <row r="8697" spans="1:4" x14ac:dyDescent="0.25">
      <c r="A8697" s="15">
        <f>Sheet2!A8697</f>
        <v>0</v>
      </c>
      <c r="B8697" s="8">
        <v>0.72</v>
      </c>
      <c r="C8697" s="9">
        <v>0</v>
      </c>
      <c r="D8697" s="13">
        <f t="shared" si="135"/>
        <v>0.72</v>
      </c>
    </row>
    <row r="8698" spans="1:4" x14ac:dyDescent="0.25">
      <c r="A8698" s="15">
        <f>Sheet2!A8698</f>
        <v>0</v>
      </c>
      <c r="B8698" s="8">
        <v>0</v>
      </c>
      <c r="C8698" s="9">
        <v>0.28000000000000003</v>
      </c>
      <c r="D8698" s="13">
        <f t="shared" si="135"/>
        <v>0.28000000000000003</v>
      </c>
    </row>
    <row r="8699" spans="1:4" x14ac:dyDescent="0.25">
      <c r="A8699" s="15">
        <f>Sheet2!A8699</f>
        <v>0</v>
      </c>
      <c r="B8699" s="8">
        <v>0</v>
      </c>
      <c r="C8699" s="9">
        <v>1.1599999999999999</v>
      </c>
      <c r="D8699" s="13">
        <f t="shared" si="135"/>
        <v>1.1599999999999999</v>
      </c>
    </row>
    <row r="8700" spans="1:4" x14ac:dyDescent="0.25">
      <c r="A8700" s="15">
        <f>Sheet2!A8700</f>
        <v>0</v>
      </c>
      <c r="B8700" s="8">
        <v>0</v>
      </c>
      <c r="C8700" s="9">
        <v>0.26</v>
      </c>
      <c r="D8700" s="13">
        <f t="shared" si="135"/>
        <v>0.26</v>
      </c>
    </row>
    <row r="8701" spans="1:4" x14ac:dyDescent="0.25">
      <c r="A8701" s="15">
        <f>Sheet2!A8701</f>
        <v>0</v>
      </c>
      <c r="B8701" s="8">
        <v>2.39</v>
      </c>
      <c r="C8701" s="9">
        <v>0</v>
      </c>
      <c r="D8701" s="13">
        <f t="shared" si="135"/>
        <v>2.39</v>
      </c>
    </row>
    <row r="8702" spans="1:4" x14ac:dyDescent="0.25">
      <c r="A8702" s="15">
        <f>Sheet2!A8702</f>
        <v>0</v>
      </c>
      <c r="B8702" s="8">
        <v>0.96</v>
      </c>
      <c r="C8702" s="9">
        <v>0</v>
      </c>
      <c r="D8702" s="13">
        <f t="shared" si="135"/>
        <v>0.96</v>
      </c>
    </row>
    <row r="8703" spans="1:4" x14ac:dyDescent="0.25">
      <c r="A8703" s="15">
        <f>Sheet2!A8703</f>
        <v>0</v>
      </c>
      <c r="B8703" s="8">
        <v>0.69</v>
      </c>
      <c r="C8703" s="9">
        <v>0</v>
      </c>
      <c r="D8703" s="13">
        <f t="shared" si="135"/>
        <v>0.69</v>
      </c>
    </row>
    <row r="8704" spans="1:4" x14ac:dyDescent="0.25">
      <c r="A8704" s="15">
        <f>Sheet2!A8704</f>
        <v>0</v>
      </c>
      <c r="B8704" s="8">
        <v>0</v>
      </c>
      <c r="C8704" s="9">
        <v>0.61</v>
      </c>
      <c r="D8704" s="13">
        <f t="shared" si="135"/>
        <v>0.61</v>
      </c>
    </row>
    <row r="8705" spans="1:4" x14ac:dyDescent="0.25">
      <c r="A8705" s="15">
        <f>Sheet2!A8705</f>
        <v>0</v>
      </c>
      <c r="B8705" s="8">
        <v>0</v>
      </c>
      <c r="C8705" s="9">
        <v>1.43</v>
      </c>
      <c r="D8705" s="13">
        <f t="shared" si="135"/>
        <v>1.43</v>
      </c>
    </row>
    <row r="8706" spans="1:4" x14ac:dyDescent="0.25">
      <c r="A8706" s="15">
        <f>Sheet2!A8706</f>
        <v>0</v>
      </c>
      <c r="B8706" s="8">
        <v>0</v>
      </c>
      <c r="C8706" s="9">
        <v>0.49</v>
      </c>
      <c r="D8706" s="13">
        <f t="shared" si="135"/>
        <v>0.49</v>
      </c>
    </row>
    <row r="8707" spans="1:4" x14ac:dyDescent="0.25">
      <c r="A8707" s="15">
        <f>Sheet2!A8707</f>
        <v>0</v>
      </c>
      <c r="B8707" s="8">
        <v>1.23</v>
      </c>
      <c r="C8707" s="9">
        <v>0</v>
      </c>
      <c r="D8707" s="13">
        <f t="shared" ref="D8707:D8761" si="136">B8707+C8707</f>
        <v>1.23</v>
      </c>
    </row>
    <row r="8708" spans="1:4" x14ac:dyDescent="0.25">
      <c r="A8708" s="15">
        <f>Sheet2!A8708</f>
        <v>0</v>
      </c>
      <c r="B8708" s="8">
        <v>0</v>
      </c>
      <c r="C8708" s="9">
        <v>0.84</v>
      </c>
      <c r="D8708" s="13">
        <f t="shared" si="136"/>
        <v>0.84</v>
      </c>
    </row>
    <row r="8709" spans="1:4" x14ac:dyDescent="0.25">
      <c r="A8709" s="15">
        <f>Sheet2!A8709</f>
        <v>0</v>
      </c>
      <c r="B8709" s="8">
        <v>0</v>
      </c>
      <c r="C8709" s="9">
        <v>1.6</v>
      </c>
      <c r="D8709" s="13">
        <f t="shared" si="136"/>
        <v>1.6</v>
      </c>
    </row>
    <row r="8710" spans="1:4" x14ac:dyDescent="0.25">
      <c r="A8710" s="15">
        <f>Sheet2!A8710</f>
        <v>0</v>
      </c>
      <c r="B8710" s="8">
        <v>1.56</v>
      </c>
      <c r="C8710" s="9">
        <v>0</v>
      </c>
      <c r="D8710" s="13">
        <f t="shared" si="136"/>
        <v>1.56</v>
      </c>
    </row>
    <row r="8711" spans="1:4" x14ac:dyDescent="0.25">
      <c r="A8711" s="15">
        <f>Sheet2!A8711</f>
        <v>0</v>
      </c>
      <c r="B8711" s="8">
        <v>0.59</v>
      </c>
      <c r="C8711" s="9">
        <v>0</v>
      </c>
      <c r="D8711" s="13">
        <f t="shared" si="136"/>
        <v>0.59</v>
      </c>
    </row>
    <row r="8712" spans="1:4" x14ac:dyDescent="0.25">
      <c r="A8712" s="15">
        <f>Sheet2!A8712</f>
        <v>0</v>
      </c>
      <c r="B8712" s="8">
        <v>0.7</v>
      </c>
      <c r="C8712" s="9">
        <v>0</v>
      </c>
      <c r="D8712" s="13">
        <f t="shared" si="136"/>
        <v>0.7</v>
      </c>
    </row>
    <row r="8713" spans="1:4" x14ac:dyDescent="0.25">
      <c r="A8713" s="15">
        <f>Sheet2!A8713</f>
        <v>0</v>
      </c>
      <c r="B8713" s="8">
        <v>0.86</v>
      </c>
      <c r="C8713" s="9">
        <v>0</v>
      </c>
      <c r="D8713" s="13">
        <f t="shared" si="136"/>
        <v>0.86</v>
      </c>
    </row>
    <row r="8714" spans="1:4" x14ac:dyDescent="0.25">
      <c r="A8714" s="15">
        <f>Sheet2!A8714</f>
        <v>0</v>
      </c>
      <c r="B8714" s="8">
        <v>0.7</v>
      </c>
      <c r="C8714" s="9">
        <v>0</v>
      </c>
      <c r="D8714" s="13">
        <f t="shared" si="136"/>
        <v>0.7</v>
      </c>
    </row>
    <row r="8715" spans="1:4" x14ac:dyDescent="0.25">
      <c r="A8715" s="15">
        <f>Sheet2!A8715</f>
        <v>0</v>
      </c>
      <c r="B8715" s="8">
        <v>0.77</v>
      </c>
      <c r="C8715" s="9">
        <v>0</v>
      </c>
      <c r="D8715" s="13">
        <f t="shared" si="136"/>
        <v>0.77</v>
      </c>
    </row>
    <row r="8716" spans="1:4" x14ac:dyDescent="0.25">
      <c r="A8716" s="15">
        <f>Sheet2!A8716</f>
        <v>0</v>
      </c>
      <c r="B8716" s="8">
        <v>1.35</v>
      </c>
      <c r="C8716" s="9">
        <v>0</v>
      </c>
      <c r="D8716" s="13">
        <f t="shared" si="136"/>
        <v>1.35</v>
      </c>
    </row>
    <row r="8717" spans="1:4" x14ac:dyDescent="0.25">
      <c r="A8717" s="15">
        <f>Sheet2!A8717</f>
        <v>0</v>
      </c>
      <c r="B8717" s="8">
        <v>0.71</v>
      </c>
      <c r="C8717" s="9">
        <v>0</v>
      </c>
      <c r="D8717" s="13">
        <f t="shared" si="136"/>
        <v>0.71</v>
      </c>
    </row>
    <row r="8718" spans="1:4" x14ac:dyDescent="0.25">
      <c r="A8718" s="15">
        <f>Sheet2!A8718</f>
        <v>0</v>
      </c>
      <c r="B8718" s="8">
        <v>0.96</v>
      </c>
      <c r="C8718" s="9">
        <v>0</v>
      </c>
      <c r="D8718" s="13">
        <f t="shared" si="136"/>
        <v>0.96</v>
      </c>
    </row>
    <row r="8719" spans="1:4" x14ac:dyDescent="0.25">
      <c r="A8719" s="15">
        <f>Sheet2!A8719</f>
        <v>0</v>
      </c>
      <c r="B8719" s="8">
        <v>0.78</v>
      </c>
      <c r="C8719" s="9">
        <v>0</v>
      </c>
      <c r="D8719" s="13">
        <f t="shared" si="136"/>
        <v>0.78</v>
      </c>
    </row>
    <row r="8720" spans="1:4" x14ac:dyDescent="0.25">
      <c r="A8720" s="15">
        <f>Sheet2!A8720</f>
        <v>0</v>
      </c>
      <c r="B8720" s="8">
        <v>0.41</v>
      </c>
      <c r="C8720" s="9">
        <v>0</v>
      </c>
      <c r="D8720" s="13">
        <f t="shared" si="136"/>
        <v>0.41</v>
      </c>
    </row>
    <row r="8721" spans="1:4" x14ac:dyDescent="0.25">
      <c r="A8721" s="15">
        <f>Sheet2!A8721</f>
        <v>0</v>
      </c>
      <c r="B8721" s="8">
        <v>0.93</v>
      </c>
      <c r="C8721" s="9">
        <v>0</v>
      </c>
      <c r="D8721" s="13">
        <f t="shared" si="136"/>
        <v>0.93</v>
      </c>
    </row>
    <row r="8722" spans="1:4" x14ac:dyDescent="0.25">
      <c r="A8722" s="15">
        <f>Sheet2!A8722</f>
        <v>0</v>
      </c>
      <c r="B8722" s="8">
        <v>0.64</v>
      </c>
      <c r="C8722" s="9">
        <v>0</v>
      </c>
      <c r="D8722" s="13">
        <f t="shared" si="136"/>
        <v>0.64</v>
      </c>
    </row>
    <row r="8723" spans="1:4" x14ac:dyDescent="0.25">
      <c r="A8723" s="15">
        <f>Sheet2!A8723</f>
        <v>0</v>
      </c>
      <c r="B8723" s="8">
        <v>1.21</v>
      </c>
      <c r="C8723" s="9">
        <v>0</v>
      </c>
      <c r="D8723" s="13">
        <f t="shared" si="136"/>
        <v>1.21</v>
      </c>
    </row>
    <row r="8724" spans="1:4" x14ac:dyDescent="0.25">
      <c r="A8724" s="15">
        <f>Sheet2!A8724</f>
        <v>0</v>
      </c>
      <c r="B8724" s="8">
        <v>0</v>
      </c>
      <c r="C8724" s="9">
        <v>0.7</v>
      </c>
      <c r="D8724" s="13">
        <f t="shared" si="136"/>
        <v>0.7</v>
      </c>
    </row>
    <row r="8725" spans="1:4" x14ac:dyDescent="0.25">
      <c r="A8725" s="15">
        <f>Sheet2!A8725</f>
        <v>0</v>
      </c>
      <c r="B8725" s="8">
        <v>0</v>
      </c>
      <c r="C8725" s="9">
        <v>1.19</v>
      </c>
      <c r="D8725" s="13">
        <f t="shared" si="136"/>
        <v>1.19</v>
      </c>
    </row>
    <row r="8726" spans="1:4" x14ac:dyDescent="0.25">
      <c r="A8726" s="15">
        <f>Sheet2!A8726</f>
        <v>0</v>
      </c>
      <c r="B8726" s="8">
        <v>1.29</v>
      </c>
      <c r="C8726" s="9">
        <v>0</v>
      </c>
      <c r="D8726" s="13">
        <f t="shared" si="136"/>
        <v>1.29</v>
      </c>
    </row>
    <row r="8727" spans="1:4" x14ac:dyDescent="0.25">
      <c r="A8727" s="15">
        <f>Sheet2!A8727</f>
        <v>0</v>
      </c>
      <c r="B8727" s="8">
        <v>1.69</v>
      </c>
      <c r="C8727" s="9">
        <v>0</v>
      </c>
      <c r="D8727" s="13">
        <f t="shared" si="136"/>
        <v>1.69</v>
      </c>
    </row>
    <row r="8728" spans="1:4" x14ac:dyDescent="0.25">
      <c r="A8728" s="15">
        <f>Sheet2!A8728</f>
        <v>0</v>
      </c>
      <c r="B8728" s="8">
        <v>0</v>
      </c>
      <c r="C8728" s="9">
        <v>0.86</v>
      </c>
      <c r="D8728" s="13">
        <f t="shared" si="136"/>
        <v>0.86</v>
      </c>
    </row>
    <row r="8729" spans="1:4" x14ac:dyDescent="0.25">
      <c r="A8729" s="15">
        <f>Sheet2!A8729</f>
        <v>0</v>
      </c>
      <c r="B8729" s="8">
        <v>0</v>
      </c>
      <c r="C8729" s="9">
        <v>0.92</v>
      </c>
      <c r="D8729" s="13">
        <f t="shared" si="136"/>
        <v>0.92</v>
      </c>
    </row>
    <row r="8730" spans="1:4" x14ac:dyDescent="0.25">
      <c r="A8730" s="15">
        <f>Sheet2!A8730</f>
        <v>0</v>
      </c>
      <c r="B8730" s="8">
        <v>0</v>
      </c>
      <c r="C8730" s="9">
        <v>0.28999999999999998</v>
      </c>
      <c r="D8730" s="13">
        <f t="shared" si="136"/>
        <v>0.28999999999999998</v>
      </c>
    </row>
    <row r="8731" spans="1:4" x14ac:dyDescent="0.25">
      <c r="A8731" s="15">
        <f>Sheet2!A8731</f>
        <v>0</v>
      </c>
      <c r="B8731" s="8">
        <v>0.83</v>
      </c>
      <c r="C8731" s="9">
        <v>0</v>
      </c>
      <c r="D8731" s="13">
        <f t="shared" si="136"/>
        <v>0.83</v>
      </c>
    </row>
    <row r="8732" spans="1:4" x14ac:dyDescent="0.25">
      <c r="A8732" s="15">
        <f>Sheet2!A8732</f>
        <v>0</v>
      </c>
      <c r="B8732" s="8">
        <v>0</v>
      </c>
      <c r="C8732" s="9">
        <v>0.53</v>
      </c>
      <c r="D8732" s="13">
        <f t="shared" si="136"/>
        <v>0.53</v>
      </c>
    </row>
    <row r="8733" spans="1:4" x14ac:dyDescent="0.25">
      <c r="A8733" s="15">
        <f>Sheet2!A8733</f>
        <v>0</v>
      </c>
      <c r="B8733" s="8">
        <v>0</v>
      </c>
      <c r="C8733" s="9">
        <v>1.1299999999999999</v>
      </c>
      <c r="D8733" s="13">
        <f t="shared" si="136"/>
        <v>1.1299999999999999</v>
      </c>
    </row>
    <row r="8734" spans="1:4" x14ac:dyDescent="0.25">
      <c r="A8734" s="15">
        <f>Sheet2!A8734</f>
        <v>0</v>
      </c>
      <c r="B8734" s="8">
        <v>0</v>
      </c>
      <c r="C8734" s="9">
        <v>0.37</v>
      </c>
      <c r="D8734" s="13">
        <f t="shared" si="136"/>
        <v>0.37</v>
      </c>
    </row>
    <row r="8735" spans="1:4" x14ac:dyDescent="0.25">
      <c r="A8735" s="15">
        <f>Sheet2!A8735</f>
        <v>0</v>
      </c>
      <c r="B8735" s="8">
        <v>1.39</v>
      </c>
      <c r="C8735" s="9">
        <v>0</v>
      </c>
      <c r="D8735" s="13">
        <f t="shared" si="136"/>
        <v>1.39</v>
      </c>
    </row>
    <row r="8736" spans="1:4" x14ac:dyDescent="0.25">
      <c r="A8736" s="15">
        <f>Sheet2!A8736</f>
        <v>0</v>
      </c>
      <c r="B8736" s="8">
        <v>1.24</v>
      </c>
      <c r="C8736" s="9">
        <v>0</v>
      </c>
      <c r="D8736" s="13">
        <f t="shared" si="136"/>
        <v>1.24</v>
      </c>
    </row>
    <row r="8737" spans="1:4" x14ac:dyDescent="0.25">
      <c r="A8737" s="15">
        <f>Sheet2!A8737</f>
        <v>0</v>
      </c>
      <c r="B8737" s="8">
        <v>1.49</v>
      </c>
      <c r="C8737" s="9">
        <v>0</v>
      </c>
      <c r="D8737" s="13">
        <f t="shared" si="136"/>
        <v>1.49</v>
      </c>
    </row>
    <row r="8738" spans="1:4" x14ac:dyDescent="0.25">
      <c r="A8738" s="15">
        <f>Sheet2!A8738</f>
        <v>0</v>
      </c>
      <c r="B8738" s="8">
        <v>1.18</v>
      </c>
      <c r="C8738" s="9">
        <v>0</v>
      </c>
      <c r="D8738" s="13">
        <f t="shared" si="136"/>
        <v>1.18</v>
      </c>
    </row>
    <row r="8739" spans="1:4" x14ac:dyDescent="0.25">
      <c r="A8739" s="15">
        <f>Sheet2!A8739</f>
        <v>0</v>
      </c>
      <c r="B8739" s="8">
        <v>1.1100000000000001</v>
      </c>
      <c r="C8739" s="9">
        <v>0</v>
      </c>
      <c r="D8739" s="13">
        <f t="shared" si="136"/>
        <v>1.1100000000000001</v>
      </c>
    </row>
    <row r="8740" spans="1:4" x14ac:dyDescent="0.25">
      <c r="A8740" s="15">
        <f>Sheet2!A8740</f>
        <v>0</v>
      </c>
      <c r="B8740" s="8">
        <v>1.41</v>
      </c>
      <c r="C8740" s="9">
        <v>0</v>
      </c>
      <c r="D8740" s="13">
        <f t="shared" si="136"/>
        <v>1.41</v>
      </c>
    </row>
    <row r="8741" spans="1:4" x14ac:dyDescent="0.25">
      <c r="A8741" s="15">
        <f>Sheet2!A8741</f>
        <v>0</v>
      </c>
      <c r="B8741" s="8">
        <v>1.07</v>
      </c>
      <c r="C8741" s="9">
        <v>0</v>
      </c>
      <c r="D8741" s="13">
        <f t="shared" si="136"/>
        <v>1.07</v>
      </c>
    </row>
    <row r="8742" spans="1:4" x14ac:dyDescent="0.25">
      <c r="A8742" s="15">
        <f>Sheet2!A8742</f>
        <v>0</v>
      </c>
      <c r="B8742" s="8">
        <v>1.48</v>
      </c>
      <c r="C8742" s="9">
        <v>0</v>
      </c>
      <c r="D8742" s="13">
        <f t="shared" si="136"/>
        <v>1.48</v>
      </c>
    </row>
    <row r="8743" spans="1:4" x14ac:dyDescent="0.25">
      <c r="A8743" s="15">
        <f>Sheet2!A8743</f>
        <v>0</v>
      </c>
      <c r="B8743" s="8">
        <v>1.29</v>
      </c>
      <c r="C8743" s="9">
        <v>0</v>
      </c>
      <c r="D8743" s="13">
        <f t="shared" si="136"/>
        <v>1.29</v>
      </c>
    </row>
    <row r="8744" spans="1:4" x14ac:dyDescent="0.25">
      <c r="A8744" s="15">
        <f>Sheet2!A8744</f>
        <v>0</v>
      </c>
      <c r="B8744" s="8">
        <v>0</v>
      </c>
      <c r="C8744" s="9">
        <v>0.73</v>
      </c>
      <c r="D8744" s="13">
        <f t="shared" si="136"/>
        <v>0.73</v>
      </c>
    </row>
    <row r="8745" spans="1:4" x14ac:dyDescent="0.25">
      <c r="A8745" s="15">
        <f>Sheet2!A8745</f>
        <v>0</v>
      </c>
      <c r="B8745" s="8">
        <v>0</v>
      </c>
      <c r="C8745" s="9">
        <v>0.82</v>
      </c>
      <c r="D8745" s="13">
        <f t="shared" si="136"/>
        <v>0.82</v>
      </c>
    </row>
    <row r="8746" spans="1:4" x14ac:dyDescent="0.25">
      <c r="A8746" s="15">
        <f>Sheet2!A8746</f>
        <v>0</v>
      </c>
      <c r="B8746" s="8">
        <v>0</v>
      </c>
      <c r="C8746" s="9">
        <v>0.21</v>
      </c>
      <c r="D8746" s="13">
        <f t="shared" si="136"/>
        <v>0.21</v>
      </c>
    </row>
    <row r="8747" spans="1:4" x14ac:dyDescent="0.25">
      <c r="A8747" s="15">
        <f>Sheet2!A8747</f>
        <v>0</v>
      </c>
      <c r="B8747" s="8">
        <v>1.41</v>
      </c>
      <c r="C8747" s="9">
        <v>0</v>
      </c>
      <c r="D8747" s="13">
        <f t="shared" si="136"/>
        <v>1.41</v>
      </c>
    </row>
    <row r="8748" spans="1:4" x14ac:dyDescent="0.25">
      <c r="A8748" s="15">
        <f>Sheet2!A8748</f>
        <v>0</v>
      </c>
      <c r="B8748" s="8">
        <v>0</v>
      </c>
      <c r="C8748" s="9">
        <v>0.23</v>
      </c>
      <c r="D8748" s="13">
        <f t="shared" si="136"/>
        <v>0.23</v>
      </c>
    </row>
    <row r="8749" spans="1:4" x14ac:dyDescent="0.25">
      <c r="A8749" s="15">
        <f>Sheet2!A8749</f>
        <v>0</v>
      </c>
      <c r="B8749" s="8">
        <v>0</v>
      </c>
      <c r="C8749" s="9">
        <v>0.43</v>
      </c>
      <c r="D8749" s="13">
        <f t="shared" si="136"/>
        <v>0.43</v>
      </c>
    </row>
    <row r="8750" spans="1:4" x14ac:dyDescent="0.25">
      <c r="A8750" s="15">
        <f>Sheet2!A8750</f>
        <v>0</v>
      </c>
      <c r="B8750" s="8">
        <v>0.44</v>
      </c>
      <c r="C8750" s="9">
        <v>0</v>
      </c>
      <c r="D8750" s="13">
        <f t="shared" si="136"/>
        <v>0.44</v>
      </c>
    </row>
    <row r="8751" spans="1:4" x14ac:dyDescent="0.25">
      <c r="A8751" s="15">
        <f>Sheet2!A8751</f>
        <v>0</v>
      </c>
      <c r="B8751" s="8">
        <v>0.32</v>
      </c>
      <c r="C8751" s="9">
        <v>0</v>
      </c>
      <c r="D8751" s="13">
        <f t="shared" si="136"/>
        <v>0.32</v>
      </c>
    </row>
    <row r="8752" spans="1:4" x14ac:dyDescent="0.25">
      <c r="A8752" s="15">
        <f>Sheet2!A8752</f>
        <v>0</v>
      </c>
      <c r="B8752" s="8">
        <v>1.25</v>
      </c>
      <c r="C8752" s="9">
        <v>0</v>
      </c>
      <c r="D8752" s="13">
        <f t="shared" si="136"/>
        <v>1.25</v>
      </c>
    </row>
    <row r="8753" spans="1:4" x14ac:dyDescent="0.25">
      <c r="A8753" s="15">
        <f>Sheet2!A8753</f>
        <v>0</v>
      </c>
      <c r="B8753" s="8">
        <v>0.89</v>
      </c>
      <c r="C8753" s="9">
        <v>0</v>
      </c>
      <c r="D8753" s="13">
        <f t="shared" si="136"/>
        <v>0.89</v>
      </c>
    </row>
    <row r="8754" spans="1:4" x14ac:dyDescent="0.25">
      <c r="A8754" s="15">
        <f>Sheet2!A8754</f>
        <v>0</v>
      </c>
      <c r="B8754" s="8">
        <v>0</v>
      </c>
      <c r="C8754" s="9">
        <v>0.61</v>
      </c>
      <c r="D8754" s="13">
        <f t="shared" si="136"/>
        <v>0.61</v>
      </c>
    </row>
    <row r="8755" spans="1:4" x14ac:dyDescent="0.25">
      <c r="A8755" s="15">
        <f>Sheet2!A8755</f>
        <v>0</v>
      </c>
      <c r="B8755" s="8">
        <v>0</v>
      </c>
      <c r="C8755" s="9">
        <v>0.79</v>
      </c>
      <c r="D8755" s="13">
        <f t="shared" si="136"/>
        <v>0.79</v>
      </c>
    </row>
    <row r="8756" spans="1:4" x14ac:dyDescent="0.25">
      <c r="A8756" s="15">
        <f>Sheet2!A8756</f>
        <v>0</v>
      </c>
      <c r="B8756" s="8">
        <v>0</v>
      </c>
      <c r="C8756" s="9">
        <v>0.36</v>
      </c>
      <c r="D8756" s="13">
        <f t="shared" si="136"/>
        <v>0.36</v>
      </c>
    </row>
    <row r="8757" spans="1:4" x14ac:dyDescent="0.25">
      <c r="A8757" s="15">
        <f>Sheet2!A8757</f>
        <v>0</v>
      </c>
      <c r="B8757" s="8">
        <v>0.7</v>
      </c>
      <c r="C8757" s="9">
        <v>0</v>
      </c>
      <c r="D8757" s="13">
        <f t="shared" si="136"/>
        <v>0.7</v>
      </c>
    </row>
    <row r="8758" spans="1:4" x14ac:dyDescent="0.25">
      <c r="A8758" s="15">
        <f>Sheet2!A8758</f>
        <v>0</v>
      </c>
      <c r="B8758" s="8">
        <v>0.96</v>
      </c>
      <c r="C8758" s="9">
        <v>0</v>
      </c>
      <c r="D8758" s="13">
        <f t="shared" si="136"/>
        <v>0.96</v>
      </c>
    </row>
    <row r="8759" spans="1:4" x14ac:dyDescent="0.25">
      <c r="A8759" s="15">
        <f>Sheet2!A8759</f>
        <v>0</v>
      </c>
      <c r="B8759" s="8">
        <v>0.93</v>
      </c>
      <c r="C8759" s="9">
        <v>0</v>
      </c>
      <c r="D8759" s="13">
        <f t="shared" si="136"/>
        <v>0.93</v>
      </c>
    </row>
    <row r="8760" spans="1:4" x14ac:dyDescent="0.25">
      <c r="A8760" s="15">
        <f>Sheet2!A8760</f>
        <v>0</v>
      </c>
      <c r="B8760" s="8">
        <v>0.69</v>
      </c>
      <c r="C8760" s="9">
        <v>0</v>
      </c>
      <c r="D8760" s="13">
        <f t="shared" si="136"/>
        <v>0.69</v>
      </c>
    </row>
    <row r="8761" spans="1:4" x14ac:dyDescent="0.25">
      <c r="A8761" s="15">
        <f>Sheet2!A8761</f>
        <v>0</v>
      </c>
      <c r="B8761" s="8">
        <v>1.06</v>
      </c>
      <c r="C8761" s="9">
        <v>0</v>
      </c>
      <c r="D8761" s="13">
        <f t="shared" si="136"/>
        <v>1.06</v>
      </c>
    </row>
    <row r="8762" spans="1:4" ht="14" x14ac:dyDescent="0.3">
      <c r="A8762" s="16" t="s">
        <v>7</v>
      </c>
      <c r="B8762" s="17">
        <f>SUM(B2:B8761)</f>
        <v>14909.949999999993</v>
      </c>
      <c r="C8762" s="18">
        <f>SUM(C2:C8761)</f>
        <v>6997.1199999999862</v>
      </c>
      <c r="D8762" s="19">
        <f>SUM(D2:D8761)</f>
        <v>21907.070000000047</v>
      </c>
    </row>
    <row r="8763" spans="1:4" ht="13" x14ac:dyDescent="0.3">
      <c r="A8763" s="20" t="s">
        <v>8</v>
      </c>
      <c r="B8763" s="21">
        <f>AVERAGE(B2:B8761)</f>
        <v>1.70204908675799</v>
      </c>
      <c r="C8763" s="22">
        <f>AVERAGE(C2:C8761)</f>
        <v>0.79875799086757837</v>
      </c>
      <c r="D8763" s="23">
        <f>AVERAGE(D2:D8761)</f>
        <v>2.5008070776255762</v>
      </c>
    </row>
    <row r="8764" spans="1:4" ht="13" x14ac:dyDescent="0.3">
      <c r="A8764" s="20" t="s">
        <v>9</v>
      </c>
      <c r="B8764" s="21">
        <f>MAX(B2:B8761)</f>
        <v>22.44</v>
      </c>
      <c r="C8764" s="22">
        <f>MAX(C2:C8761)</f>
        <v>4.8499999999999996</v>
      </c>
      <c r="D8764" s="23">
        <f>MAX(D2:D8761)</f>
        <v>22.44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6"/>
  <sheetViews>
    <sheetView workbookViewId="0">
      <selection activeCell="B1" sqref="B1:B1048576"/>
    </sheetView>
  </sheetViews>
  <sheetFormatPr defaultRowHeight="12.5" x14ac:dyDescent="0.25"/>
  <cols>
    <col min="1" max="1" width="16.81640625" customWidth="1"/>
    <col min="2" max="2" width="22" customWidth="1"/>
    <col min="3" max="3" width="23.81640625" customWidth="1"/>
  </cols>
  <sheetData>
    <row r="1" spans="1:3" ht="13" x14ac:dyDescent="0.3">
      <c r="A1" s="1" t="s">
        <v>0</v>
      </c>
      <c r="B1" s="5" t="s">
        <v>1</v>
      </c>
      <c r="C1" s="3" t="s">
        <v>2</v>
      </c>
    </row>
    <row r="2" spans="1:3" x14ac:dyDescent="0.25">
      <c r="A2" s="2">
        <v>43101</v>
      </c>
      <c r="B2" s="6">
        <v>0.98</v>
      </c>
      <c r="C2" s="7">
        <v>0</v>
      </c>
    </row>
    <row r="3" spans="1:3" x14ac:dyDescent="0.25">
      <c r="A3" s="2">
        <v>43101.041666666664</v>
      </c>
      <c r="B3" s="6">
        <v>0.88</v>
      </c>
      <c r="C3" s="7">
        <v>0</v>
      </c>
    </row>
    <row r="4" spans="1:3" x14ac:dyDescent="0.25">
      <c r="A4" s="2">
        <v>43101.083333333336</v>
      </c>
      <c r="B4" s="6">
        <v>0.89</v>
      </c>
      <c r="C4" s="7">
        <v>0</v>
      </c>
    </row>
    <row r="5" spans="1:3" x14ac:dyDescent="0.25">
      <c r="A5" s="2">
        <v>43101.125</v>
      </c>
      <c r="B5" s="6">
        <v>0.81</v>
      </c>
      <c r="C5" s="7">
        <v>0</v>
      </c>
    </row>
    <row r="6" spans="1:3" x14ac:dyDescent="0.25">
      <c r="A6" s="2">
        <v>43101.166666666664</v>
      </c>
      <c r="B6" s="6">
        <v>0.7</v>
      </c>
      <c r="C6" s="7">
        <v>0</v>
      </c>
    </row>
    <row r="7" spans="1:3" x14ac:dyDescent="0.25">
      <c r="A7" s="2">
        <v>43101.208333333336</v>
      </c>
      <c r="B7" s="6">
        <v>0.94</v>
      </c>
      <c r="C7" s="7">
        <v>0</v>
      </c>
    </row>
    <row r="8" spans="1:3" x14ac:dyDescent="0.25">
      <c r="A8" s="2">
        <v>43101.25</v>
      </c>
      <c r="B8" s="6">
        <v>1.19</v>
      </c>
      <c r="C8" s="7">
        <v>0</v>
      </c>
    </row>
    <row r="9" spans="1:3" x14ac:dyDescent="0.25">
      <c r="A9" s="2">
        <v>43101.291666666664</v>
      </c>
      <c r="B9" s="6">
        <v>1.29</v>
      </c>
      <c r="C9" s="7">
        <v>0</v>
      </c>
    </row>
    <row r="10" spans="1:3" x14ac:dyDescent="0.25">
      <c r="A10" s="2">
        <v>43101.333333333336</v>
      </c>
      <c r="B10" s="6">
        <v>1.08</v>
      </c>
      <c r="C10" s="7">
        <v>0</v>
      </c>
    </row>
    <row r="11" spans="1:3" x14ac:dyDescent="0.25">
      <c r="A11" s="2">
        <v>43101.375</v>
      </c>
      <c r="B11" s="6">
        <v>1.46</v>
      </c>
      <c r="C11" s="7">
        <v>0</v>
      </c>
    </row>
    <row r="12" spans="1:3" x14ac:dyDescent="0.25">
      <c r="A12" s="2">
        <v>43101.416666666664</v>
      </c>
      <c r="B12" s="6">
        <v>0</v>
      </c>
      <c r="C12" s="7">
        <f>0.57+0.31</f>
        <v>0.87999999999999989</v>
      </c>
    </row>
    <row r="13" spans="1:3" x14ac:dyDescent="0.25">
      <c r="A13" s="2">
        <v>43101.458333333336</v>
      </c>
      <c r="B13" s="6">
        <v>0</v>
      </c>
      <c r="C13" s="7">
        <v>0.7</v>
      </c>
    </row>
    <row r="14" spans="1:3" x14ac:dyDescent="0.25">
      <c r="A14" s="2">
        <v>43101.5</v>
      </c>
      <c r="B14" s="6">
        <v>0</v>
      </c>
      <c r="C14" s="7">
        <f>0.44+D14</f>
        <v>0.44</v>
      </c>
    </row>
    <row r="15" spans="1:3" x14ac:dyDescent="0.25">
      <c r="A15" s="2">
        <v>43101.541666666664</v>
      </c>
      <c r="B15" s="6">
        <v>0.95</v>
      </c>
      <c r="C15" s="7">
        <v>0</v>
      </c>
    </row>
    <row r="16" spans="1:3" x14ac:dyDescent="0.25">
      <c r="A16" s="2">
        <v>43101.583333333336</v>
      </c>
      <c r="B16" s="6">
        <v>1.32</v>
      </c>
      <c r="C16" s="7">
        <v>0</v>
      </c>
    </row>
    <row r="17" spans="1:3" x14ac:dyDescent="0.25">
      <c r="A17" s="2">
        <v>43101.625</v>
      </c>
      <c r="B17" s="6">
        <v>1.41</v>
      </c>
      <c r="C17" s="7">
        <v>0</v>
      </c>
    </row>
    <row r="18" spans="1:3" x14ac:dyDescent="0.25">
      <c r="A18" s="2">
        <v>43101.666666666664</v>
      </c>
      <c r="B18" s="6">
        <v>0</v>
      </c>
      <c r="C18" s="7">
        <f>0.61+D18</f>
        <v>0.61</v>
      </c>
    </row>
    <row r="19" spans="1:3" x14ac:dyDescent="0.25">
      <c r="A19" s="2">
        <v>43101.708333333336</v>
      </c>
      <c r="B19" s="6">
        <v>0</v>
      </c>
      <c r="C19" s="7">
        <v>0.96</v>
      </c>
    </row>
    <row r="20" spans="1:3" x14ac:dyDescent="0.25">
      <c r="A20" s="2">
        <v>43101.75</v>
      </c>
      <c r="B20" s="6">
        <v>0</v>
      </c>
      <c r="C20" s="7">
        <f>0.2+D20</f>
        <v>0.2</v>
      </c>
    </row>
    <row r="21" spans="1:3" x14ac:dyDescent="0.25">
      <c r="A21" s="2">
        <v>43101.791666666664</v>
      </c>
      <c r="B21" s="6">
        <v>0.82</v>
      </c>
      <c r="C21" s="7">
        <v>0</v>
      </c>
    </row>
    <row r="22" spans="1:3" x14ac:dyDescent="0.25">
      <c r="A22" s="2">
        <v>43101.833333333336</v>
      </c>
      <c r="B22" s="6">
        <v>1.1000000000000001</v>
      </c>
      <c r="C22" s="7">
        <v>0</v>
      </c>
    </row>
    <row r="23" spans="1:3" x14ac:dyDescent="0.25">
      <c r="A23" s="2">
        <v>43101.875</v>
      </c>
      <c r="B23" s="6">
        <v>0.96</v>
      </c>
      <c r="C23" s="7">
        <v>0</v>
      </c>
    </row>
    <row r="24" spans="1:3" x14ac:dyDescent="0.25">
      <c r="A24" s="2">
        <v>43101.916666666664</v>
      </c>
      <c r="B24" s="6">
        <v>0.95</v>
      </c>
      <c r="C24" s="7">
        <v>0</v>
      </c>
    </row>
    <row r="25" spans="1:3" x14ac:dyDescent="0.25">
      <c r="A25" s="2">
        <v>43101.958333333336</v>
      </c>
      <c r="B25" s="6">
        <v>0.43</v>
      </c>
      <c r="C25" s="7">
        <v>0</v>
      </c>
    </row>
    <row r="26" spans="1:3" x14ac:dyDescent="0.25">
      <c r="A26" s="2">
        <v>43102</v>
      </c>
      <c r="B26" s="6">
        <v>0.55000000000000004</v>
      </c>
      <c r="C26" s="7">
        <v>0</v>
      </c>
    </row>
    <row r="27" spans="1:3" x14ac:dyDescent="0.25">
      <c r="A27" s="2">
        <v>43102.041666666664</v>
      </c>
      <c r="B27" s="6">
        <v>0.38</v>
      </c>
      <c r="C27" s="7">
        <v>0</v>
      </c>
    </row>
    <row r="28" spans="1:3" x14ac:dyDescent="0.25">
      <c r="A28" s="2">
        <v>43102.083333333336</v>
      </c>
      <c r="B28" s="6">
        <v>0.6</v>
      </c>
      <c r="C28" s="7">
        <v>0</v>
      </c>
    </row>
    <row r="29" spans="1:3" x14ac:dyDescent="0.25">
      <c r="A29" s="2">
        <v>43102.125</v>
      </c>
      <c r="B29" s="6">
        <v>0.97</v>
      </c>
      <c r="C29" s="7">
        <v>0</v>
      </c>
    </row>
    <row r="30" spans="1:3" x14ac:dyDescent="0.25">
      <c r="A30" s="2">
        <v>43102.166666666664</v>
      </c>
      <c r="B30" s="6">
        <v>0.82</v>
      </c>
      <c r="C30" s="7">
        <v>0</v>
      </c>
    </row>
    <row r="31" spans="1:3" x14ac:dyDescent="0.25">
      <c r="A31" s="2">
        <v>43102.208333333336</v>
      </c>
      <c r="B31" s="6">
        <v>0.62</v>
      </c>
      <c r="C31" s="7">
        <v>0</v>
      </c>
    </row>
    <row r="32" spans="1:3" x14ac:dyDescent="0.25">
      <c r="A32" s="2">
        <v>43102.25</v>
      </c>
      <c r="B32" s="6">
        <v>0</v>
      </c>
      <c r="C32" s="7">
        <f>0.21+D32</f>
        <v>0.21</v>
      </c>
    </row>
    <row r="33" spans="1:3" x14ac:dyDescent="0.25">
      <c r="A33" s="2">
        <v>43102.291666666664</v>
      </c>
      <c r="B33" s="6">
        <v>0</v>
      </c>
      <c r="C33" s="7">
        <v>0.42</v>
      </c>
    </row>
    <row r="34" spans="1:3" x14ac:dyDescent="0.25">
      <c r="A34" s="2">
        <v>43102.333333333336</v>
      </c>
      <c r="B34" s="6">
        <v>0</v>
      </c>
      <c r="C34" s="7">
        <f>0.06+D34</f>
        <v>0.06</v>
      </c>
    </row>
    <row r="35" spans="1:3" x14ac:dyDescent="0.25">
      <c r="A35" s="2">
        <v>43102.375</v>
      </c>
      <c r="B35" s="6">
        <v>0.57999999999999996</v>
      </c>
      <c r="C35" s="7">
        <v>0</v>
      </c>
    </row>
    <row r="36" spans="1:3" x14ac:dyDescent="0.25">
      <c r="A36" s="2">
        <v>43102.416666666664</v>
      </c>
      <c r="B36" s="6">
        <v>0.57999999999999996</v>
      </c>
      <c r="C36" s="7">
        <v>0</v>
      </c>
    </row>
    <row r="37" spans="1:3" x14ac:dyDescent="0.25">
      <c r="A37" s="2">
        <v>43102.458333333336</v>
      </c>
      <c r="B37" s="6">
        <v>0.59</v>
      </c>
      <c r="C37" s="7">
        <v>0</v>
      </c>
    </row>
    <row r="38" spans="1:3" x14ac:dyDescent="0.25">
      <c r="A38" s="2">
        <v>43102.5</v>
      </c>
      <c r="B38" s="6">
        <v>0</v>
      </c>
      <c r="C38" s="7">
        <f>0.44+D38</f>
        <v>0.44</v>
      </c>
    </row>
    <row r="39" spans="1:3" x14ac:dyDescent="0.25">
      <c r="A39" s="2">
        <v>43102.541666666664</v>
      </c>
      <c r="B39" s="6">
        <v>0</v>
      </c>
      <c r="C39" s="7">
        <v>1.08</v>
      </c>
    </row>
    <row r="40" spans="1:3" x14ac:dyDescent="0.25">
      <c r="A40" s="2">
        <v>43102.583333333336</v>
      </c>
      <c r="B40" s="6">
        <v>0</v>
      </c>
      <c r="C40" s="7">
        <f>0.71+D40</f>
        <v>0.71</v>
      </c>
    </row>
    <row r="41" spans="1:3" x14ac:dyDescent="0.25">
      <c r="A41" s="2">
        <v>43102.625</v>
      </c>
      <c r="B41" s="6">
        <v>1.26</v>
      </c>
      <c r="C41" s="7">
        <v>0</v>
      </c>
    </row>
    <row r="42" spans="1:3" x14ac:dyDescent="0.25">
      <c r="A42" s="2">
        <v>43102.666666666664</v>
      </c>
      <c r="B42" s="6">
        <v>1.08</v>
      </c>
      <c r="C42" s="7">
        <v>0</v>
      </c>
    </row>
    <row r="43" spans="1:3" x14ac:dyDescent="0.25">
      <c r="A43" s="2">
        <v>43102.708333333336</v>
      </c>
      <c r="B43" s="6">
        <v>0.92</v>
      </c>
      <c r="C43" s="7">
        <v>0</v>
      </c>
    </row>
    <row r="44" spans="1:3" x14ac:dyDescent="0.25">
      <c r="A44" s="2">
        <v>43102.75</v>
      </c>
      <c r="B44" s="6">
        <v>0</v>
      </c>
      <c r="C44" s="7">
        <f>0.8+D44</f>
        <v>0.8</v>
      </c>
    </row>
    <row r="45" spans="1:3" x14ac:dyDescent="0.25">
      <c r="A45" s="2">
        <v>43102.791666666664</v>
      </c>
      <c r="B45" s="6">
        <v>0</v>
      </c>
      <c r="C45" s="7">
        <v>2.17</v>
      </c>
    </row>
    <row r="46" spans="1:3" x14ac:dyDescent="0.25">
      <c r="A46" s="2">
        <v>43102.833333333336</v>
      </c>
      <c r="B46" s="6">
        <v>0</v>
      </c>
      <c r="C46" s="7">
        <f>0.56+D46</f>
        <v>0.56000000000000005</v>
      </c>
    </row>
    <row r="47" spans="1:3" x14ac:dyDescent="0.25">
      <c r="A47" s="2">
        <v>43102.875</v>
      </c>
      <c r="B47" s="6">
        <v>1.93</v>
      </c>
      <c r="C47" s="7">
        <v>0</v>
      </c>
    </row>
    <row r="48" spans="1:3" x14ac:dyDescent="0.25">
      <c r="A48" s="2">
        <v>43102.916666666664</v>
      </c>
      <c r="B48" s="6">
        <v>1.04</v>
      </c>
      <c r="C48" s="7">
        <v>0</v>
      </c>
    </row>
    <row r="49" spans="1:3" x14ac:dyDescent="0.25">
      <c r="A49" s="2">
        <v>43102.958333333336</v>
      </c>
      <c r="B49" s="6">
        <v>0.64</v>
      </c>
      <c r="C49" s="7">
        <v>0</v>
      </c>
    </row>
    <row r="50" spans="1:3" x14ac:dyDescent="0.25">
      <c r="A50" s="2">
        <v>43103</v>
      </c>
      <c r="B50" s="6">
        <v>0.34</v>
      </c>
      <c r="C50" s="7">
        <v>0</v>
      </c>
    </row>
    <row r="51" spans="1:3" x14ac:dyDescent="0.25">
      <c r="A51" s="2">
        <v>43103.041666666664</v>
      </c>
      <c r="B51" s="6">
        <v>0.68</v>
      </c>
      <c r="C51" s="7">
        <v>0</v>
      </c>
    </row>
    <row r="52" spans="1:3" x14ac:dyDescent="0.25">
      <c r="A52" s="2">
        <v>43103.083333333336</v>
      </c>
      <c r="B52" s="6">
        <v>0.7</v>
      </c>
      <c r="C52" s="7">
        <v>0</v>
      </c>
    </row>
    <row r="53" spans="1:3" x14ac:dyDescent="0.25">
      <c r="A53" s="2">
        <v>43103.125</v>
      </c>
      <c r="B53" s="6">
        <v>1.02</v>
      </c>
      <c r="C53" s="7">
        <v>0</v>
      </c>
    </row>
    <row r="54" spans="1:3" x14ac:dyDescent="0.25">
      <c r="A54" s="2">
        <v>43103.166666666664</v>
      </c>
      <c r="B54" s="6">
        <v>0.96</v>
      </c>
      <c r="C54" s="7">
        <v>0</v>
      </c>
    </row>
    <row r="55" spans="1:3" x14ac:dyDescent="0.25">
      <c r="A55" s="2">
        <v>43103.208333333336</v>
      </c>
      <c r="B55" s="6">
        <v>0.78</v>
      </c>
      <c r="C55" s="7">
        <v>0</v>
      </c>
    </row>
    <row r="56" spans="1:3" x14ac:dyDescent="0.25">
      <c r="A56" s="2">
        <v>43103.25</v>
      </c>
      <c r="B56" s="6">
        <v>0.86</v>
      </c>
      <c r="C56" s="7">
        <v>0</v>
      </c>
    </row>
    <row r="57" spans="1:3" x14ac:dyDescent="0.25">
      <c r="A57" s="2">
        <v>43103.291666666664</v>
      </c>
      <c r="B57" s="6">
        <v>0.52</v>
      </c>
      <c r="C57" s="7">
        <v>0</v>
      </c>
    </row>
    <row r="58" spans="1:3" x14ac:dyDescent="0.25">
      <c r="A58" s="2">
        <v>43103.333333333336</v>
      </c>
      <c r="B58" s="6">
        <v>0.38</v>
      </c>
      <c r="C58" s="7">
        <v>0</v>
      </c>
    </row>
    <row r="59" spans="1:3" x14ac:dyDescent="0.25">
      <c r="A59" s="2">
        <v>43103.375</v>
      </c>
      <c r="B59" s="6">
        <v>0.54</v>
      </c>
      <c r="C59" s="7">
        <v>0</v>
      </c>
    </row>
    <row r="60" spans="1:3" x14ac:dyDescent="0.25">
      <c r="A60" s="2">
        <v>43103.416666666664</v>
      </c>
      <c r="B60" s="6">
        <v>0.68</v>
      </c>
      <c r="C60" s="7">
        <v>0</v>
      </c>
    </row>
    <row r="61" spans="1:3" x14ac:dyDescent="0.25">
      <c r="A61" s="2">
        <v>43103.458333333336</v>
      </c>
      <c r="B61" s="6">
        <v>0.9</v>
      </c>
      <c r="C61" s="7">
        <v>0</v>
      </c>
    </row>
    <row r="62" spans="1:3" x14ac:dyDescent="0.25">
      <c r="A62" s="2">
        <v>43103.5</v>
      </c>
      <c r="B62" s="6">
        <v>0</v>
      </c>
      <c r="C62" s="7">
        <f>0.76+D62</f>
        <v>0.76</v>
      </c>
    </row>
    <row r="63" spans="1:3" x14ac:dyDescent="0.25">
      <c r="A63" s="2">
        <v>43103.541666666664</v>
      </c>
      <c r="B63" s="6">
        <v>0</v>
      </c>
      <c r="C63" s="7">
        <v>1.6</v>
      </c>
    </row>
    <row r="64" spans="1:3" x14ac:dyDescent="0.25">
      <c r="A64" s="2">
        <v>43103.583333333336</v>
      </c>
      <c r="B64" s="6">
        <v>0</v>
      </c>
      <c r="C64" s="7">
        <f>0.33+D64</f>
        <v>0.33</v>
      </c>
    </row>
    <row r="65" spans="1:3" x14ac:dyDescent="0.25">
      <c r="A65" s="2">
        <v>43103.625</v>
      </c>
      <c r="B65" s="6">
        <v>2.31</v>
      </c>
      <c r="C65" s="7">
        <v>0</v>
      </c>
    </row>
    <row r="66" spans="1:3" x14ac:dyDescent="0.25">
      <c r="A66" s="2">
        <v>43103.666666666664</v>
      </c>
      <c r="B66" s="6">
        <v>0</v>
      </c>
      <c r="C66" s="7">
        <v>1.17</v>
      </c>
    </row>
    <row r="67" spans="1:3" x14ac:dyDescent="0.25">
      <c r="A67" s="2">
        <v>43103.708333333336</v>
      </c>
      <c r="B67" s="6">
        <v>0</v>
      </c>
      <c r="C67" s="7">
        <v>1.91</v>
      </c>
    </row>
    <row r="68" spans="1:3" x14ac:dyDescent="0.25">
      <c r="A68" s="2">
        <v>43103.75</v>
      </c>
      <c r="B68" s="6">
        <v>0</v>
      </c>
      <c r="C68" s="7">
        <v>0.51</v>
      </c>
    </row>
    <row r="69" spans="1:3" x14ac:dyDescent="0.25">
      <c r="A69" s="2">
        <v>43103.791666666664</v>
      </c>
      <c r="B69" s="6">
        <v>1.1000000000000001</v>
      </c>
      <c r="C69" s="7">
        <v>0</v>
      </c>
    </row>
    <row r="70" spans="1:3" x14ac:dyDescent="0.25">
      <c r="A70" s="2">
        <v>43103.833333333336</v>
      </c>
      <c r="B70" s="6">
        <v>1.46</v>
      </c>
      <c r="C70" s="7">
        <v>0</v>
      </c>
    </row>
    <row r="71" spans="1:3" x14ac:dyDescent="0.25">
      <c r="A71" s="2">
        <v>43103.875</v>
      </c>
      <c r="B71" s="6">
        <v>1.56</v>
      </c>
      <c r="C71" s="7">
        <v>0</v>
      </c>
    </row>
    <row r="72" spans="1:3" x14ac:dyDescent="0.25">
      <c r="A72" s="2">
        <v>43103.916666666664</v>
      </c>
      <c r="B72" s="6">
        <v>1.42</v>
      </c>
      <c r="C72" s="7">
        <v>0</v>
      </c>
    </row>
    <row r="73" spans="1:3" x14ac:dyDescent="0.25">
      <c r="A73" s="2">
        <v>43103.958333333336</v>
      </c>
      <c r="B73" s="6">
        <v>1.1599999999999999</v>
      </c>
      <c r="C73" s="7">
        <v>0</v>
      </c>
    </row>
    <row r="74" spans="1:3" x14ac:dyDescent="0.25">
      <c r="A74" s="2">
        <v>43104</v>
      </c>
      <c r="B74" s="6">
        <v>0.98</v>
      </c>
      <c r="C74" s="7">
        <v>0</v>
      </c>
    </row>
    <row r="75" spans="1:3" x14ac:dyDescent="0.25">
      <c r="A75" s="2">
        <v>43104.041666666664</v>
      </c>
      <c r="B75" s="6">
        <v>0.83</v>
      </c>
      <c r="C75" s="7">
        <v>0</v>
      </c>
    </row>
    <row r="76" spans="1:3" x14ac:dyDescent="0.25">
      <c r="A76" s="2">
        <v>43104.083333333336</v>
      </c>
      <c r="B76" s="6">
        <v>1</v>
      </c>
      <c r="C76" s="7">
        <v>0</v>
      </c>
    </row>
    <row r="77" spans="1:3" x14ac:dyDescent="0.25">
      <c r="A77" s="2">
        <v>43104.125</v>
      </c>
      <c r="B77" s="6">
        <v>1.45</v>
      </c>
      <c r="C77" s="7">
        <v>0</v>
      </c>
    </row>
    <row r="78" spans="1:3" x14ac:dyDescent="0.25">
      <c r="A78" s="2">
        <v>43104.166666666664</v>
      </c>
      <c r="B78" s="6">
        <v>1.43</v>
      </c>
      <c r="C78" s="7">
        <v>0</v>
      </c>
    </row>
    <row r="79" spans="1:3" x14ac:dyDescent="0.25">
      <c r="A79" s="2">
        <v>43104.208333333336</v>
      </c>
      <c r="B79" s="6">
        <v>1.45</v>
      </c>
      <c r="C79" s="7">
        <v>0</v>
      </c>
    </row>
    <row r="80" spans="1:3" x14ac:dyDescent="0.25">
      <c r="A80" s="2">
        <v>43104.25</v>
      </c>
      <c r="B80" s="6">
        <v>1.44</v>
      </c>
      <c r="C80" s="7">
        <v>0</v>
      </c>
    </row>
    <row r="81" spans="1:3" x14ac:dyDescent="0.25">
      <c r="A81" s="2">
        <v>43104.291666666664</v>
      </c>
      <c r="B81" s="6">
        <v>1.17</v>
      </c>
      <c r="C81" s="7">
        <v>0</v>
      </c>
    </row>
    <row r="82" spans="1:3" x14ac:dyDescent="0.25">
      <c r="A82" s="2">
        <v>43104.333333333336</v>
      </c>
      <c r="B82" s="6">
        <v>0</v>
      </c>
      <c r="C82" s="7">
        <v>0.98</v>
      </c>
    </row>
    <row r="83" spans="1:3" x14ac:dyDescent="0.25">
      <c r="A83" s="2">
        <v>43104.375</v>
      </c>
      <c r="B83" s="6">
        <v>0</v>
      </c>
      <c r="C83" s="7">
        <v>1.26</v>
      </c>
    </row>
    <row r="84" spans="1:3" x14ac:dyDescent="0.25">
      <c r="A84" s="2">
        <v>43104.416666666664</v>
      </c>
      <c r="B84" s="6">
        <v>0</v>
      </c>
      <c r="C84" s="7">
        <f>0.49+D84</f>
        <v>0.49</v>
      </c>
    </row>
    <row r="85" spans="1:3" x14ac:dyDescent="0.25">
      <c r="A85" s="2">
        <v>43104.458333333336</v>
      </c>
      <c r="B85" s="6">
        <v>1.46</v>
      </c>
      <c r="C85" s="7">
        <v>0</v>
      </c>
    </row>
    <row r="86" spans="1:3" x14ac:dyDescent="0.25">
      <c r="A86" s="2">
        <v>43104.5</v>
      </c>
      <c r="B86" s="6">
        <v>1.34</v>
      </c>
      <c r="C86" s="7">
        <v>0</v>
      </c>
    </row>
    <row r="87" spans="1:3" x14ac:dyDescent="0.25">
      <c r="A87" s="2">
        <v>43104.541666666664</v>
      </c>
      <c r="B87" s="6">
        <v>1.0900000000000001</v>
      </c>
      <c r="C87" s="7">
        <v>0</v>
      </c>
    </row>
    <row r="88" spans="1:3" x14ac:dyDescent="0.25">
      <c r="A88" s="2">
        <v>43104.583333333336</v>
      </c>
      <c r="B88" s="6">
        <v>1.62</v>
      </c>
      <c r="C88" s="7">
        <v>0</v>
      </c>
    </row>
    <row r="89" spans="1:3" x14ac:dyDescent="0.25">
      <c r="A89" s="2">
        <v>43104.625</v>
      </c>
      <c r="B89" s="6">
        <v>0</v>
      </c>
      <c r="C89" s="7">
        <f>1.08+D89</f>
        <v>1.08</v>
      </c>
    </row>
    <row r="90" spans="1:3" x14ac:dyDescent="0.25">
      <c r="A90" s="2">
        <v>43104.666666666664</v>
      </c>
      <c r="B90" s="6">
        <v>0</v>
      </c>
      <c r="C90" s="7">
        <v>1.49</v>
      </c>
    </row>
    <row r="91" spans="1:3" x14ac:dyDescent="0.25">
      <c r="A91" s="2">
        <v>43104.708333333336</v>
      </c>
      <c r="B91" s="6">
        <v>0</v>
      </c>
      <c r="C91" s="7">
        <f>0.84+D91</f>
        <v>0.84</v>
      </c>
    </row>
    <row r="92" spans="1:3" x14ac:dyDescent="0.25">
      <c r="A92" s="2">
        <v>43104.75</v>
      </c>
      <c r="B92" s="6">
        <v>1.29</v>
      </c>
      <c r="C92" s="7">
        <v>0</v>
      </c>
    </row>
    <row r="93" spans="1:3" x14ac:dyDescent="0.25">
      <c r="A93" s="2">
        <v>43104.791666666664</v>
      </c>
      <c r="B93" s="6">
        <v>1.38</v>
      </c>
      <c r="C93" s="7">
        <v>0</v>
      </c>
    </row>
    <row r="94" spans="1:3" x14ac:dyDescent="0.25">
      <c r="A94" s="2">
        <v>43104.833333333336</v>
      </c>
      <c r="B94" s="6">
        <v>0</v>
      </c>
      <c r="C94" s="7">
        <f>1.11+D94</f>
        <v>1.1100000000000001</v>
      </c>
    </row>
    <row r="95" spans="1:3" x14ac:dyDescent="0.25">
      <c r="A95" s="2">
        <v>43104.875</v>
      </c>
      <c r="B95" s="6">
        <v>0</v>
      </c>
      <c r="C95" s="7">
        <f>1.38+D95</f>
        <v>1.38</v>
      </c>
    </row>
    <row r="96" spans="1:3" x14ac:dyDescent="0.25">
      <c r="A96" s="2">
        <v>43104.916666666664</v>
      </c>
      <c r="B96" s="6">
        <v>1.17</v>
      </c>
      <c r="C96" s="7">
        <v>0</v>
      </c>
    </row>
    <row r="97" spans="1:3" x14ac:dyDescent="0.25">
      <c r="A97" s="2">
        <v>43104.958333333336</v>
      </c>
      <c r="B97" s="6">
        <v>0.89</v>
      </c>
      <c r="C97" s="7">
        <v>0</v>
      </c>
    </row>
    <row r="98" spans="1:3" x14ac:dyDescent="0.25">
      <c r="A98" s="2">
        <v>43105</v>
      </c>
      <c r="B98" s="6">
        <v>1.01</v>
      </c>
      <c r="C98" s="7">
        <v>0</v>
      </c>
    </row>
    <row r="99" spans="1:3" x14ac:dyDescent="0.25">
      <c r="A99" s="2">
        <v>43105.041666666664</v>
      </c>
      <c r="B99" s="6">
        <v>1.26</v>
      </c>
      <c r="C99" s="7">
        <v>0</v>
      </c>
    </row>
    <row r="100" spans="1:3" x14ac:dyDescent="0.25">
      <c r="A100" s="2">
        <v>43105.083333333336</v>
      </c>
      <c r="B100" s="6">
        <v>1.36</v>
      </c>
      <c r="C100" s="7">
        <v>0</v>
      </c>
    </row>
    <row r="101" spans="1:3" x14ac:dyDescent="0.25">
      <c r="A101" s="2">
        <v>43105.125</v>
      </c>
      <c r="B101" s="6">
        <v>1.67</v>
      </c>
      <c r="C101" s="7">
        <v>0</v>
      </c>
    </row>
    <row r="102" spans="1:3" x14ac:dyDescent="0.25">
      <c r="A102" s="2">
        <v>43105.166666666664</v>
      </c>
      <c r="B102" s="6">
        <v>1.4</v>
      </c>
      <c r="C102" s="7">
        <v>0</v>
      </c>
    </row>
    <row r="103" spans="1:3" x14ac:dyDescent="0.25">
      <c r="A103" s="2">
        <v>43105.208333333336</v>
      </c>
      <c r="B103" s="6">
        <v>1.23</v>
      </c>
      <c r="C103" s="7">
        <v>0</v>
      </c>
    </row>
    <row r="104" spans="1:3" x14ac:dyDescent="0.25">
      <c r="A104" s="2">
        <v>43105.25</v>
      </c>
      <c r="B104" s="6">
        <v>1.17</v>
      </c>
      <c r="C104" s="7">
        <v>0</v>
      </c>
    </row>
    <row r="105" spans="1:3" x14ac:dyDescent="0.25">
      <c r="A105" s="2">
        <v>43105.291666666664</v>
      </c>
      <c r="B105" s="6">
        <v>0.96</v>
      </c>
      <c r="C105" s="7">
        <v>0</v>
      </c>
    </row>
    <row r="106" spans="1:3" x14ac:dyDescent="0.25">
      <c r="A106" s="2">
        <v>43105.333333333336</v>
      </c>
      <c r="B106" s="6">
        <v>0</v>
      </c>
      <c r="C106" s="7">
        <f>0.88+D106</f>
        <v>0.88</v>
      </c>
    </row>
    <row r="107" spans="1:3" x14ac:dyDescent="0.25">
      <c r="A107" s="2">
        <v>43105.375</v>
      </c>
      <c r="B107" s="6">
        <v>0</v>
      </c>
      <c r="C107" s="7">
        <v>1.48</v>
      </c>
    </row>
    <row r="108" spans="1:3" x14ac:dyDescent="0.25">
      <c r="A108" s="2">
        <v>43105.416666666664</v>
      </c>
      <c r="B108" s="6">
        <v>0</v>
      </c>
      <c r="C108" s="7">
        <f>0.46+D108</f>
        <v>0.46</v>
      </c>
    </row>
    <row r="109" spans="1:3" x14ac:dyDescent="0.25">
      <c r="A109" s="2">
        <v>43105.458333333336</v>
      </c>
      <c r="B109" s="6">
        <v>1.59</v>
      </c>
      <c r="C109" s="7">
        <v>0</v>
      </c>
    </row>
    <row r="110" spans="1:3" x14ac:dyDescent="0.25">
      <c r="A110" s="2">
        <v>43105.5</v>
      </c>
      <c r="B110" s="6">
        <v>1.5</v>
      </c>
      <c r="C110" s="7">
        <v>0</v>
      </c>
    </row>
    <row r="111" spans="1:3" x14ac:dyDescent="0.25">
      <c r="A111" s="2">
        <v>43105.541666666664</v>
      </c>
      <c r="B111" s="6">
        <v>2.0099999999999998</v>
      </c>
      <c r="C111" s="7">
        <v>0</v>
      </c>
    </row>
    <row r="112" spans="1:3" x14ac:dyDescent="0.25">
      <c r="A112" s="2">
        <v>43105.583333333336</v>
      </c>
      <c r="B112" s="6">
        <v>0</v>
      </c>
      <c r="C112" s="7">
        <f>1.04+D112</f>
        <v>1.04</v>
      </c>
    </row>
    <row r="113" spans="1:3" x14ac:dyDescent="0.25">
      <c r="A113" s="2">
        <v>43105.625</v>
      </c>
      <c r="B113" s="6">
        <v>0</v>
      </c>
      <c r="C113" s="7">
        <v>1.35</v>
      </c>
    </row>
    <row r="114" spans="1:3" x14ac:dyDescent="0.25">
      <c r="A114" s="2">
        <v>43105.666666666664</v>
      </c>
      <c r="B114" s="6">
        <v>0</v>
      </c>
      <c r="C114" s="7">
        <f>0.39+D114</f>
        <v>0.39</v>
      </c>
    </row>
    <row r="115" spans="1:3" x14ac:dyDescent="0.25">
      <c r="A115" s="2">
        <v>43105.708333333336</v>
      </c>
      <c r="B115" s="6">
        <v>1.29</v>
      </c>
      <c r="C115" s="7">
        <v>0</v>
      </c>
    </row>
    <row r="116" spans="1:3" x14ac:dyDescent="0.25">
      <c r="A116" s="2">
        <v>43105.75</v>
      </c>
      <c r="B116" s="6">
        <v>0</v>
      </c>
      <c r="C116" s="7">
        <f>0.7+D116</f>
        <v>0.7</v>
      </c>
    </row>
    <row r="117" spans="1:3" x14ac:dyDescent="0.25">
      <c r="A117" s="2">
        <v>43105.791666666664</v>
      </c>
      <c r="B117" s="6">
        <v>0</v>
      </c>
      <c r="C117" s="7">
        <v>1.31</v>
      </c>
    </row>
    <row r="118" spans="1:3" x14ac:dyDescent="0.25">
      <c r="A118" s="2">
        <v>43105.833333333336</v>
      </c>
      <c r="B118" s="6">
        <v>1.4</v>
      </c>
      <c r="C118" s="7">
        <v>0</v>
      </c>
    </row>
    <row r="119" spans="1:3" x14ac:dyDescent="0.25">
      <c r="A119" s="2">
        <v>43105.875</v>
      </c>
      <c r="B119" s="6">
        <v>1.1299999999999999</v>
      </c>
      <c r="C119" s="7">
        <v>0</v>
      </c>
    </row>
    <row r="120" spans="1:3" x14ac:dyDescent="0.25">
      <c r="A120" s="2">
        <v>43105.916666666664</v>
      </c>
      <c r="B120" s="6">
        <v>1.65</v>
      </c>
      <c r="C120" s="7">
        <v>0</v>
      </c>
    </row>
    <row r="121" spans="1:3" x14ac:dyDescent="0.25">
      <c r="A121" s="2">
        <v>43105.958333333336</v>
      </c>
      <c r="B121" s="6">
        <v>1.34</v>
      </c>
      <c r="C121" s="7">
        <v>0</v>
      </c>
    </row>
    <row r="122" spans="1:3" x14ac:dyDescent="0.25">
      <c r="A122" s="2">
        <v>43106</v>
      </c>
      <c r="B122" s="6">
        <v>1.23</v>
      </c>
      <c r="C122" s="7">
        <v>0</v>
      </c>
    </row>
    <row r="123" spans="1:3" x14ac:dyDescent="0.25">
      <c r="A123" s="2">
        <v>43106.041666666664</v>
      </c>
      <c r="B123" s="6">
        <v>1.36</v>
      </c>
      <c r="C123" s="7">
        <v>0</v>
      </c>
    </row>
    <row r="124" spans="1:3" x14ac:dyDescent="0.25">
      <c r="A124" s="2">
        <v>43106.083333333336</v>
      </c>
      <c r="B124" s="6">
        <v>1.3</v>
      </c>
      <c r="C124" s="7">
        <v>0</v>
      </c>
    </row>
    <row r="125" spans="1:3" x14ac:dyDescent="0.25">
      <c r="A125" s="2">
        <v>43106.125</v>
      </c>
      <c r="B125" s="6">
        <v>1.1499999999999999</v>
      </c>
      <c r="C125" s="7">
        <v>0</v>
      </c>
    </row>
    <row r="126" spans="1:3" x14ac:dyDescent="0.25">
      <c r="A126" s="2">
        <v>43106.166666666664</v>
      </c>
      <c r="B126" s="6">
        <v>1.35</v>
      </c>
      <c r="C126" s="7">
        <v>0</v>
      </c>
    </row>
    <row r="127" spans="1:3" x14ac:dyDescent="0.25">
      <c r="A127" s="2">
        <v>43106.208333333336</v>
      </c>
      <c r="B127" s="6">
        <v>1.29</v>
      </c>
      <c r="C127" s="7">
        <v>0</v>
      </c>
    </row>
    <row r="128" spans="1:3" x14ac:dyDescent="0.25">
      <c r="A128" s="2">
        <v>43106.25</v>
      </c>
      <c r="B128" s="6">
        <v>0.95</v>
      </c>
      <c r="C128" s="7">
        <v>0</v>
      </c>
    </row>
    <row r="129" spans="1:3" x14ac:dyDescent="0.25">
      <c r="A129" s="2">
        <v>43106.291666666664</v>
      </c>
      <c r="B129" s="6">
        <v>0.77</v>
      </c>
      <c r="C129" s="7">
        <v>0</v>
      </c>
    </row>
    <row r="130" spans="1:3" x14ac:dyDescent="0.25">
      <c r="A130" s="2">
        <v>43106.333333333336</v>
      </c>
      <c r="B130" s="6">
        <v>1.7</v>
      </c>
      <c r="C130" s="7">
        <v>0</v>
      </c>
    </row>
    <row r="131" spans="1:3" x14ac:dyDescent="0.25">
      <c r="A131" s="2">
        <v>43106.375</v>
      </c>
      <c r="B131" s="6">
        <v>1.8</v>
      </c>
      <c r="C131" s="7">
        <v>0</v>
      </c>
    </row>
    <row r="132" spans="1:3" x14ac:dyDescent="0.25">
      <c r="A132" s="2">
        <v>43106.416666666664</v>
      </c>
      <c r="B132" s="6">
        <v>0</v>
      </c>
      <c r="C132" s="7">
        <f>1.28+D132</f>
        <v>1.28</v>
      </c>
    </row>
    <row r="133" spans="1:3" x14ac:dyDescent="0.25">
      <c r="A133" s="2">
        <v>43106.458333333336</v>
      </c>
      <c r="B133" s="6">
        <v>0</v>
      </c>
      <c r="C133" s="7">
        <v>1.4</v>
      </c>
    </row>
    <row r="134" spans="1:3" x14ac:dyDescent="0.25">
      <c r="A134" s="2">
        <v>43106.5</v>
      </c>
      <c r="B134" s="6">
        <v>0</v>
      </c>
      <c r="C134" s="7">
        <f>0.41+D134</f>
        <v>0.41</v>
      </c>
    </row>
    <row r="135" spans="1:3" x14ac:dyDescent="0.25">
      <c r="A135" s="2">
        <v>43106.541666666664</v>
      </c>
      <c r="B135" s="6">
        <v>1.93</v>
      </c>
      <c r="C135" s="7">
        <v>0</v>
      </c>
    </row>
    <row r="136" spans="1:3" x14ac:dyDescent="0.25">
      <c r="A136" s="2">
        <v>43106.583333333336</v>
      </c>
      <c r="B136" s="6">
        <v>1.95</v>
      </c>
      <c r="C136" s="7">
        <v>0</v>
      </c>
    </row>
    <row r="137" spans="1:3" x14ac:dyDescent="0.25">
      <c r="A137" s="2">
        <v>43106.625</v>
      </c>
      <c r="B137" s="6">
        <v>1.57</v>
      </c>
      <c r="C137" s="7">
        <v>0</v>
      </c>
    </row>
    <row r="138" spans="1:3" x14ac:dyDescent="0.25">
      <c r="A138" s="2">
        <v>43106.666666666664</v>
      </c>
      <c r="B138" s="6">
        <v>0</v>
      </c>
      <c r="C138" s="7">
        <f>0.95+D138</f>
        <v>0.95</v>
      </c>
    </row>
    <row r="139" spans="1:3" x14ac:dyDescent="0.25">
      <c r="A139" s="2">
        <v>43106.708333333336</v>
      </c>
      <c r="B139" s="6">
        <v>0</v>
      </c>
      <c r="C139" s="7">
        <v>1.32</v>
      </c>
    </row>
    <row r="140" spans="1:3" x14ac:dyDescent="0.25">
      <c r="A140" s="2">
        <v>43106.75</v>
      </c>
      <c r="B140" s="6">
        <v>0</v>
      </c>
      <c r="C140" s="7">
        <f>0.77+D140</f>
        <v>0.77</v>
      </c>
    </row>
    <row r="141" spans="1:3" x14ac:dyDescent="0.25">
      <c r="A141" s="2">
        <v>43106.791666666664</v>
      </c>
      <c r="B141" s="6">
        <v>1.24</v>
      </c>
      <c r="C141" s="7">
        <v>0</v>
      </c>
    </row>
    <row r="142" spans="1:3" x14ac:dyDescent="0.25">
      <c r="A142" s="2">
        <v>43106.833333333336</v>
      </c>
      <c r="B142" s="6">
        <v>0</v>
      </c>
      <c r="C142" s="7">
        <f>0.47+D142</f>
        <v>0.47</v>
      </c>
    </row>
    <row r="143" spans="1:3" x14ac:dyDescent="0.25">
      <c r="A143" s="2">
        <v>43106.875</v>
      </c>
      <c r="B143" s="6">
        <v>0</v>
      </c>
      <c r="C143" s="7">
        <f>0.53+D143</f>
        <v>0.53</v>
      </c>
    </row>
    <row r="144" spans="1:3" x14ac:dyDescent="0.25">
      <c r="A144" s="2">
        <v>43106.916666666664</v>
      </c>
      <c r="B144" s="6">
        <v>1.1599999999999999</v>
      </c>
      <c r="C144" s="7">
        <v>0</v>
      </c>
    </row>
    <row r="145" spans="1:3" x14ac:dyDescent="0.25">
      <c r="A145" s="2">
        <v>43106.958333333336</v>
      </c>
      <c r="B145" s="6">
        <v>1.47</v>
      </c>
      <c r="C145" s="7">
        <v>0</v>
      </c>
    </row>
    <row r="146" spans="1:3" x14ac:dyDescent="0.25">
      <c r="A146" s="2">
        <v>43107</v>
      </c>
      <c r="B146" s="6">
        <v>1.06</v>
      </c>
      <c r="C146" s="7">
        <v>0</v>
      </c>
    </row>
    <row r="147" spans="1:3" x14ac:dyDescent="0.25">
      <c r="A147" s="2">
        <v>43107.041666666664</v>
      </c>
      <c r="B147" s="6">
        <v>1.28</v>
      </c>
      <c r="C147" s="7">
        <v>0</v>
      </c>
    </row>
    <row r="148" spans="1:3" x14ac:dyDescent="0.25">
      <c r="A148" s="2">
        <v>43107.083333333336</v>
      </c>
      <c r="B148" s="6">
        <v>1.33</v>
      </c>
      <c r="C148" s="7">
        <v>0</v>
      </c>
    </row>
    <row r="149" spans="1:3" x14ac:dyDescent="0.25">
      <c r="A149" s="2">
        <v>43107.125</v>
      </c>
      <c r="B149" s="6">
        <v>1.3</v>
      </c>
      <c r="C149" s="7">
        <v>0</v>
      </c>
    </row>
    <row r="150" spans="1:3" x14ac:dyDescent="0.25">
      <c r="A150" s="2">
        <v>43107.166666666664</v>
      </c>
      <c r="B150" s="6">
        <v>1.3</v>
      </c>
      <c r="C150" s="7">
        <v>0</v>
      </c>
    </row>
    <row r="151" spans="1:3" x14ac:dyDescent="0.25">
      <c r="A151" s="2">
        <v>43107.208333333336</v>
      </c>
      <c r="B151" s="6">
        <v>0.76</v>
      </c>
      <c r="C151" s="7">
        <v>0</v>
      </c>
    </row>
    <row r="152" spans="1:3" x14ac:dyDescent="0.25">
      <c r="A152" s="2">
        <v>43107.25</v>
      </c>
      <c r="B152" s="6">
        <v>0.93</v>
      </c>
      <c r="C152" s="7">
        <v>0</v>
      </c>
    </row>
    <row r="153" spans="1:3" x14ac:dyDescent="0.25">
      <c r="A153" s="2">
        <v>43107.291666666664</v>
      </c>
      <c r="B153" s="6">
        <v>0.73</v>
      </c>
      <c r="C153" s="7">
        <v>0</v>
      </c>
    </row>
    <row r="154" spans="1:3" x14ac:dyDescent="0.25">
      <c r="A154" s="2">
        <v>43107.333333333336</v>
      </c>
      <c r="B154" s="6">
        <v>0</v>
      </c>
      <c r="C154" s="7">
        <f>0.57+D154</f>
        <v>0.56999999999999995</v>
      </c>
    </row>
    <row r="155" spans="1:3" x14ac:dyDescent="0.25">
      <c r="A155" s="2">
        <v>43107.375</v>
      </c>
      <c r="B155" s="6">
        <v>0</v>
      </c>
      <c r="C155" s="7">
        <v>0.75</v>
      </c>
    </row>
    <row r="156" spans="1:3" x14ac:dyDescent="0.25">
      <c r="A156" s="2">
        <v>43107.416666666664</v>
      </c>
      <c r="B156" s="6">
        <v>0</v>
      </c>
      <c r="C156" s="7">
        <f>0.27+D156</f>
        <v>0.27</v>
      </c>
    </row>
    <row r="157" spans="1:3" x14ac:dyDescent="0.25">
      <c r="A157" s="2">
        <v>43107.458333333336</v>
      </c>
      <c r="B157" s="6">
        <v>0.83</v>
      </c>
      <c r="C157" s="7">
        <v>0</v>
      </c>
    </row>
    <row r="158" spans="1:3" x14ac:dyDescent="0.25">
      <c r="A158" s="2">
        <v>43107.5</v>
      </c>
      <c r="B158" s="6">
        <v>0</v>
      </c>
      <c r="C158" s="7">
        <f>0.61+D158</f>
        <v>0.61</v>
      </c>
    </row>
    <row r="159" spans="1:3" x14ac:dyDescent="0.25">
      <c r="A159" s="2">
        <v>43107.541666666664</v>
      </c>
      <c r="B159" s="6">
        <v>0</v>
      </c>
      <c r="C159" s="7">
        <v>1.53</v>
      </c>
    </row>
    <row r="160" spans="1:3" x14ac:dyDescent="0.25">
      <c r="A160" s="2">
        <v>43107.583333333336</v>
      </c>
      <c r="B160" s="6">
        <v>0</v>
      </c>
      <c r="C160" s="7">
        <f>0.35+D160</f>
        <v>0.35</v>
      </c>
    </row>
    <row r="161" spans="1:3" x14ac:dyDescent="0.25">
      <c r="A161" s="2">
        <v>43107.625</v>
      </c>
      <c r="B161" s="6">
        <v>2.31</v>
      </c>
      <c r="C161" s="7">
        <v>0</v>
      </c>
    </row>
    <row r="162" spans="1:3" x14ac:dyDescent="0.25">
      <c r="A162" s="2">
        <v>43107.666666666664</v>
      </c>
      <c r="B162" s="6">
        <v>2.31</v>
      </c>
      <c r="C162" s="7">
        <v>0</v>
      </c>
    </row>
    <row r="163" spans="1:3" x14ac:dyDescent="0.25">
      <c r="A163" s="2">
        <v>43107.708333333336</v>
      </c>
      <c r="B163" s="6">
        <v>0</v>
      </c>
      <c r="C163" s="7">
        <f>1.61+D163</f>
        <v>1.61</v>
      </c>
    </row>
    <row r="164" spans="1:3" x14ac:dyDescent="0.25">
      <c r="A164" s="2">
        <v>43107.75</v>
      </c>
      <c r="B164" s="6">
        <v>0</v>
      </c>
      <c r="C164" s="7">
        <f>0.45+D164</f>
        <v>0.45</v>
      </c>
    </row>
    <row r="165" spans="1:3" x14ac:dyDescent="0.25">
      <c r="A165" s="2">
        <v>43107.791666666664</v>
      </c>
      <c r="B165" s="6">
        <v>1.58</v>
      </c>
      <c r="C165" s="7">
        <v>0</v>
      </c>
    </row>
    <row r="166" spans="1:3" x14ac:dyDescent="0.25">
      <c r="A166" s="2">
        <v>43107.833333333336</v>
      </c>
      <c r="B166" s="6">
        <v>1.62</v>
      </c>
      <c r="C166" s="7">
        <v>0</v>
      </c>
    </row>
    <row r="167" spans="1:3" x14ac:dyDescent="0.25">
      <c r="A167" s="2">
        <v>43107.875</v>
      </c>
      <c r="B167" s="6">
        <v>1.39</v>
      </c>
      <c r="C167" s="7">
        <v>0</v>
      </c>
    </row>
    <row r="168" spans="1:3" x14ac:dyDescent="0.25">
      <c r="A168" s="2">
        <v>43107.916666666664</v>
      </c>
      <c r="B168" s="6">
        <v>1.89</v>
      </c>
      <c r="C168" s="7">
        <v>0</v>
      </c>
    </row>
    <row r="169" spans="1:3" x14ac:dyDescent="0.25">
      <c r="A169" s="2">
        <v>43107.958333333336</v>
      </c>
      <c r="B169" s="6">
        <v>1.29</v>
      </c>
      <c r="C169" s="7">
        <v>0</v>
      </c>
    </row>
    <row r="170" spans="1:3" x14ac:dyDescent="0.25">
      <c r="A170" s="2">
        <v>43108</v>
      </c>
      <c r="B170" s="6">
        <v>1.39</v>
      </c>
      <c r="C170" s="7">
        <v>0</v>
      </c>
    </row>
    <row r="171" spans="1:3" x14ac:dyDescent="0.25">
      <c r="A171" s="2">
        <v>43108.041666666664</v>
      </c>
      <c r="B171" s="6">
        <v>1.35</v>
      </c>
      <c r="C171" s="7">
        <v>0</v>
      </c>
    </row>
    <row r="172" spans="1:3" x14ac:dyDescent="0.25">
      <c r="A172" s="2">
        <v>43108.083333333336</v>
      </c>
      <c r="B172" s="6">
        <v>1.34</v>
      </c>
      <c r="C172" s="7">
        <v>0</v>
      </c>
    </row>
    <row r="173" spans="1:3" x14ac:dyDescent="0.25">
      <c r="A173" s="2">
        <v>43108.125</v>
      </c>
      <c r="B173" s="6">
        <v>1.39</v>
      </c>
      <c r="C173" s="7">
        <v>0</v>
      </c>
    </row>
    <row r="174" spans="1:3" x14ac:dyDescent="0.25">
      <c r="A174" s="2">
        <v>43108.166666666664</v>
      </c>
      <c r="B174" s="6">
        <v>1.08</v>
      </c>
      <c r="C174" s="7">
        <v>0</v>
      </c>
    </row>
    <row r="175" spans="1:3" x14ac:dyDescent="0.25">
      <c r="A175" s="2">
        <v>43108.208333333336</v>
      </c>
      <c r="B175" s="6">
        <v>0.64</v>
      </c>
      <c r="C175" s="7">
        <v>0</v>
      </c>
    </row>
    <row r="176" spans="1:3" x14ac:dyDescent="0.25">
      <c r="A176" s="2">
        <v>43108.25</v>
      </c>
      <c r="B176" s="6">
        <v>0</v>
      </c>
      <c r="C176" s="7">
        <f>0.7+D176</f>
        <v>0.7</v>
      </c>
    </row>
    <row r="177" spans="1:3" x14ac:dyDescent="0.25">
      <c r="A177" s="2">
        <v>43108.291666666664</v>
      </c>
      <c r="B177" s="6">
        <v>0</v>
      </c>
      <c r="C177" s="7">
        <v>0.84</v>
      </c>
    </row>
    <row r="178" spans="1:3" x14ac:dyDescent="0.25">
      <c r="A178" s="2">
        <v>43108.333333333336</v>
      </c>
      <c r="B178" s="6">
        <v>0</v>
      </c>
      <c r="C178" s="7">
        <f>0.42+D178</f>
        <v>0.42</v>
      </c>
    </row>
    <row r="179" spans="1:3" x14ac:dyDescent="0.25">
      <c r="A179" s="2">
        <v>43108.375</v>
      </c>
      <c r="B179" s="6">
        <v>1</v>
      </c>
      <c r="C179" s="7">
        <v>0</v>
      </c>
    </row>
    <row r="180" spans="1:3" x14ac:dyDescent="0.25">
      <c r="A180" s="2">
        <v>43108.416666666664</v>
      </c>
      <c r="B180" s="6">
        <v>0.93</v>
      </c>
      <c r="C180" s="7">
        <v>0</v>
      </c>
    </row>
    <row r="181" spans="1:3" x14ac:dyDescent="0.25">
      <c r="A181" s="2">
        <v>43108.458333333336</v>
      </c>
      <c r="B181" s="6">
        <v>1.19</v>
      </c>
      <c r="C181" s="7">
        <v>0</v>
      </c>
    </row>
    <row r="182" spans="1:3" x14ac:dyDescent="0.25">
      <c r="A182" s="2">
        <v>43108.5</v>
      </c>
      <c r="B182" s="6">
        <v>0</v>
      </c>
      <c r="C182" s="7">
        <f>1.17+D182</f>
        <v>1.17</v>
      </c>
    </row>
    <row r="183" spans="1:3" x14ac:dyDescent="0.25">
      <c r="A183" s="2">
        <v>43108.541666666664</v>
      </c>
      <c r="B183" s="6">
        <v>0</v>
      </c>
      <c r="C183" s="7">
        <v>1.7</v>
      </c>
    </row>
    <row r="184" spans="1:3" x14ac:dyDescent="0.25">
      <c r="A184" s="2">
        <v>43108.583333333336</v>
      </c>
      <c r="B184" s="6">
        <v>0</v>
      </c>
      <c r="C184" s="7">
        <f>0.75+D184</f>
        <v>0.75</v>
      </c>
    </row>
    <row r="185" spans="1:3" x14ac:dyDescent="0.25">
      <c r="A185" s="2">
        <v>43108.625</v>
      </c>
      <c r="B185" s="6">
        <v>1.74</v>
      </c>
      <c r="C185" s="7">
        <v>0</v>
      </c>
    </row>
    <row r="186" spans="1:3" x14ac:dyDescent="0.25">
      <c r="A186" s="2">
        <v>43108.666666666664</v>
      </c>
      <c r="B186" s="6">
        <v>0</v>
      </c>
      <c r="C186" s="7">
        <f>1.06+D186</f>
        <v>1.06</v>
      </c>
    </row>
    <row r="187" spans="1:3" x14ac:dyDescent="0.25">
      <c r="A187" s="2">
        <v>43108.708333333336</v>
      </c>
      <c r="B187" s="6">
        <v>0</v>
      </c>
      <c r="C187" s="7">
        <v>1.56</v>
      </c>
    </row>
    <row r="188" spans="1:3" x14ac:dyDescent="0.25">
      <c r="A188" s="2">
        <v>43108.75</v>
      </c>
      <c r="B188" s="6">
        <v>0</v>
      </c>
      <c r="C188" s="7">
        <f>0.66+D188</f>
        <v>0.66</v>
      </c>
    </row>
    <row r="189" spans="1:3" x14ac:dyDescent="0.25">
      <c r="A189" s="2">
        <v>43108.791666666664</v>
      </c>
      <c r="B189" s="6">
        <v>1.47</v>
      </c>
      <c r="C189" s="7">
        <v>0</v>
      </c>
    </row>
    <row r="190" spans="1:3" x14ac:dyDescent="0.25">
      <c r="A190" s="2">
        <v>43108.833333333336</v>
      </c>
      <c r="B190" s="6">
        <v>0</v>
      </c>
      <c r="C190" s="7">
        <f>0.88+D190</f>
        <v>0.88</v>
      </c>
    </row>
    <row r="191" spans="1:3" x14ac:dyDescent="0.25">
      <c r="A191" s="2">
        <v>43108.875</v>
      </c>
      <c r="B191" s="6">
        <v>0</v>
      </c>
      <c r="C191" s="7">
        <f>1.27+D191</f>
        <v>1.27</v>
      </c>
    </row>
    <row r="192" spans="1:3" x14ac:dyDescent="0.25">
      <c r="A192" s="2">
        <v>43108.916666666664</v>
      </c>
      <c r="B192" s="6">
        <v>1.88</v>
      </c>
      <c r="C192" s="7">
        <v>0</v>
      </c>
    </row>
    <row r="193" spans="1:3" x14ac:dyDescent="0.25">
      <c r="A193" s="2">
        <v>43108.958333333336</v>
      </c>
      <c r="B193" s="6">
        <v>2.2200000000000002</v>
      </c>
      <c r="C193" s="7">
        <v>0</v>
      </c>
    </row>
    <row r="194" spans="1:3" x14ac:dyDescent="0.25">
      <c r="A194" s="2">
        <v>43109</v>
      </c>
      <c r="B194" s="6">
        <v>1.8</v>
      </c>
      <c r="C194" s="7">
        <v>0</v>
      </c>
    </row>
    <row r="195" spans="1:3" x14ac:dyDescent="0.25">
      <c r="A195" s="2">
        <v>43109.041666666664</v>
      </c>
      <c r="B195" s="6">
        <v>1.96</v>
      </c>
      <c r="C195" s="7">
        <v>0</v>
      </c>
    </row>
    <row r="196" spans="1:3" x14ac:dyDescent="0.25">
      <c r="A196" s="2">
        <v>43109.083333333336</v>
      </c>
      <c r="B196" s="6">
        <v>1.92</v>
      </c>
      <c r="C196" s="7">
        <v>0</v>
      </c>
    </row>
    <row r="197" spans="1:3" x14ac:dyDescent="0.25">
      <c r="A197" s="2">
        <v>43109.125</v>
      </c>
      <c r="B197" s="6">
        <v>2.37</v>
      </c>
      <c r="C197" s="7">
        <v>0</v>
      </c>
    </row>
    <row r="198" spans="1:3" x14ac:dyDescent="0.25">
      <c r="A198" s="2">
        <v>43109.166666666664</v>
      </c>
      <c r="B198" s="6">
        <v>1.63</v>
      </c>
      <c r="C198" s="7">
        <v>0</v>
      </c>
    </row>
    <row r="199" spans="1:3" x14ac:dyDescent="0.25">
      <c r="A199" s="2">
        <v>43109.208333333336</v>
      </c>
      <c r="B199" s="6">
        <v>1.63</v>
      </c>
      <c r="C199" s="7">
        <v>0</v>
      </c>
    </row>
    <row r="200" spans="1:3" x14ac:dyDescent="0.25">
      <c r="A200" s="2">
        <v>43109.25</v>
      </c>
      <c r="B200" s="6">
        <v>1.19</v>
      </c>
      <c r="C200" s="7">
        <v>0</v>
      </c>
    </row>
    <row r="201" spans="1:3" x14ac:dyDescent="0.25">
      <c r="A201" s="2">
        <v>43109.291666666664</v>
      </c>
      <c r="B201" s="6">
        <v>1.28</v>
      </c>
      <c r="C201" s="7">
        <v>0</v>
      </c>
    </row>
    <row r="202" spans="1:3" x14ac:dyDescent="0.25">
      <c r="A202" s="2">
        <v>43109.333333333336</v>
      </c>
      <c r="B202" s="6">
        <v>0</v>
      </c>
      <c r="C202" s="7">
        <f>0.79+D202</f>
        <v>0.79</v>
      </c>
    </row>
    <row r="203" spans="1:3" x14ac:dyDescent="0.25">
      <c r="A203" s="2">
        <v>43109.375</v>
      </c>
      <c r="B203" s="6">
        <v>0</v>
      </c>
      <c r="C203" s="7">
        <v>1.45</v>
      </c>
    </row>
    <row r="204" spans="1:3" x14ac:dyDescent="0.25">
      <c r="A204" s="2">
        <v>43109.416666666664</v>
      </c>
      <c r="B204" s="6">
        <v>0</v>
      </c>
      <c r="C204" s="7">
        <f>0.92+D204</f>
        <v>0.92</v>
      </c>
    </row>
    <row r="205" spans="1:3" x14ac:dyDescent="0.25">
      <c r="A205" s="2">
        <v>43109.458333333336</v>
      </c>
      <c r="B205" s="6">
        <v>2.79</v>
      </c>
      <c r="C205" s="7">
        <v>0</v>
      </c>
    </row>
    <row r="206" spans="1:3" x14ac:dyDescent="0.25">
      <c r="A206" s="2">
        <v>43109.5</v>
      </c>
      <c r="B206" s="6">
        <v>0</v>
      </c>
      <c r="C206" s="7">
        <f>0.5+D206</f>
        <v>0.5</v>
      </c>
    </row>
    <row r="207" spans="1:3" x14ac:dyDescent="0.25">
      <c r="A207" s="2">
        <v>43109.541666666664</v>
      </c>
      <c r="B207" s="6">
        <v>0</v>
      </c>
      <c r="C207" s="7">
        <v>0.86</v>
      </c>
    </row>
    <row r="208" spans="1:3" x14ac:dyDescent="0.25">
      <c r="A208" s="2">
        <v>43109.583333333336</v>
      </c>
      <c r="B208" s="6">
        <v>0</v>
      </c>
      <c r="C208" s="7">
        <f>0.61+D208</f>
        <v>0.61</v>
      </c>
    </row>
    <row r="209" spans="1:3" x14ac:dyDescent="0.25">
      <c r="A209" s="2">
        <v>43109.625</v>
      </c>
      <c r="B209" s="6">
        <v>1.62</v>
      </c>
      <c r="C209" s="7">
        <v>0</v>
      </c>
    </row>
    <row r="210" spans="1:3" x14ac:dyDescent="0.25">
      <c r="A210" s="2">
        <v>43109.666666666664</v>
      </c>
      <c r="B210" s="6">
        <v>0</v>
      </c>
      <c r="C210" s="7">
        <f>0.85+D210</f>
        <v>0.85</v>
      </c>
    </row>
    <row r="211" spans="1:3" x14ac:dyDescent="0.25">
      <c r="A211" s="2">
        <v>43109.708333333336</v>
      </c>
      <c r="B211" s="6">
        <v>0</v>
      </c>
      <c r="C211" s="7">
        <v>1.52</v>
      </c>
    </row>
    <row r="212" spans="1:3" x14ac:dyDescent="0.25">
      <c r="A212" s="2">
        <v>43109.75</v>
      </c>
      <c r="B212" s="6">
        <v>0</v>
      </c>
      <c r="C212" s="7">
        <f>1.07+D212</f>
        <v>1.07</v>
      </c>
    </row>
    <row r="213" spans="1:3" x14ac:dyDescent="0.25">
      <c r="A213" s="2">
        <v>43109.791666666664</v>
      </c>
      <c r="B213" s="6">
        <v>1.69</v>
      </c>
      <c r="C213" s="7">
        <v>0</v>
      </c>
    </row>
    <row r="214" spans="1:3" x14ac:dyDescent="0.25">
      <c r="A214" s="2">
        <v>43109.833333333336</v>
      </c>
      <c r="B214" s="6">
        <v>2.17</v>
      </c>
      <c r="C214" s="7">
        <v>0</v>
      </c>
    </row>
    <row r="215" spans="1:3" x14ac:dyDescent="0.25">
      <c r="A215" s="2">
        <v>43109.875</v>
      </c>
      <c r="B215" s="6">
        <v>1.62</v>
      </c>
      <c r="C215" s="7">
        <v>0</v>
      </c>
    </row>
    <row r="216" spans="1:3" x14ac:dyDescent="0.25">
      <c r="A216" s="2">
        <v>43109.916666666664</v>
      </c>
      <c r="B216" s="6">
        <v>1.7</v>
      </c>
      <c r="C216" s="7">
        <v>0</v>
      </c>
    </row>
    <row r="217" spans="1:3" x14ac:dyDescent="0.25">
      <c r="A217" s="2">
        <v>43109.958333333336</v>
      </c>
      <c r="B217" s="6">
        <v>1.75</v>
      </c>
      <c r="C217" s="7">
        <v>0</v>
      </c>
    </row>
    <row r="218" spans="1:3" x14ac:dyDescent="0.25">
      <c r="A218" s="2">
        <v>43110</v>
      </c>
      <c r="B218" s="6">
        <v>2.15</v>
      </c>
      <c r="C218" s="7">
        <v>0</v>
      </c>
    </row>
    <row r="219" spans="1:3" x14ac:dyDescent="0.25">
      <c r="A219" s="2">
        <v>43110.041666666664</v>
      </c>
      <c r="B219" s="6">
        <v>1.88</v>
      </c>
      <c r="C219" s="7">
        <v>0</v>
      </c>
    </row>
    <row r="220" spans="1:3" x14ac:dyDescent="0.25">
      <c r="A220" s="2">
        <v>43110.083333333336</v>
      </c>
      <c r="B220" s="6">
        <v>2.16</v>
      </c>
      <c r="C220" s="7">
        <v>0</v>
      </c>
    </row>
    <row r="221" spans="1:3" x14ac:dyDescent="0.25">
      <c r="A221" s="2">
        <v>43110.125</v>
      </c>
      <c r="B221" s="6">
        <v>0</v>
      </c>
      <c r="C221" s="7">
        <f>0.07+D221</f>
        <v>7.0000000000000007E-2</v>
      </c>
    </row>
    <row r="222" spans="1:3" x14ac:dyDescent="0.25">
      <c r="A222" s="2">
        <v>43110.166666666664</v>
      </c>
      <c r="B222" s="6">
        <v>0</v>
      </c>
      <c r="C222" s="7">
        <v>1.07</v>
      </c>
    </row>
    <row r="223" spans="1:3" x14ac:dyDescent="0.25">
      <c r="A223" s="2">
        <v>43110.208333333336</v>
      </c>
      <c r="B223" s="6">
        <v>0</v>
      </c>
      <c r="C223" s="7">
        <v>0.7</v>
      </c>
    </row>
    <row r="224" spans="1:3" x14ac:dyDescent="0.25">
      <c r="A224" s="2">
        <v>43110.25</v>
      </c>
      <c r="B224" s="6">
        <v>0</v>
      </c>
      <c r="C224" s="7">
        <f>0.27+D224</f>
        <v>0.27</v>
      </c>
    </row>
    <row r="225" spans="1:3" x14ac:dyDescent="0.25">
      <c r="A225" s="2">
        <v>43110.291666666664</v>
      </c>
      <c r="B225" s="6">
        <v>0.75</v>
      </c>
      <c r="C225" s="7">
        <v>0</v>
      </c>
    </row>
    <row r="226" spans="1:3" x14ac:dyDescent="0.25">
      <c r="A226" s="2">
        <v>43110.333333333336</v>
      </c>
      <c r="B226" s="6">
        <v>1.08</v>
      </c>
      <c r="C226" s="7">
        <v>0</v>
      </c>
    </row>
    <row r="227" spans="1:3" x14ac:dyDescent="0.25">
      <c r="A227" s="2">
        <v>43110.375</v>
      </c>
      <c r="B227" s="6">
        <v>0.63</v>
      </c>
      <c r="C227" s="7">
        <v>0</v>
      </c>
    </row>
    <row r="228" spans="1:3" x14ac:dyDescent="0.25">
      <c r="A228" s="2">
        <v>43110.416666666664</v>
      </c>
      <c r="B228" s="6">
        <v>0</v>
      </c>
      <c r="C228" s="7">
        <f>0.48+D228</f>
        <v>0.48</v>
      </c>
    </row>
    <row r="229" spans="1:3" x14ac:dyDescent="0.25">
      <c r="A229" s="2">
        <v>43110.458333333336</v>
      </c>
      <c r="B229" s="6">
        <v>0</v>
      </c>
      <c r="C229" s="7">
        <v>0.83</v>
      </c>
    </row>
    <row r="230" spans="1:3" x14ac:dyDescent="0.25">
      <c r="A230" s="2">
        <v>43110.5</v>
      </c>
      <c r="B230" s="6">
        <v>0</v>
      </c>
      <c r="C230" s="7">
        <f>0.69+D230</f>
        <v>0.69</v>
      </c>
    </row>
    <row r="231" spans="1:3" x14ac:dyDescent="0.25">
      <c r="A231" s="2">
        <v>43110.541666666664</v>
      </c>
      <c r="B231" s="6">
        <v>1.53</v>
      </c>
      <c r="C231" s="7">
        <v>0</v>
      </c>
    </row>
    <row r="232" spans="1:3" x14ac:dyDescent="0.25">
      <c r="A232" s="2">
        <v>43110.583333333336</v>
      </c>
      <c r="B232" s="6">
        <v>0</v>
      </c>
      <c r="C232" s="7">
        <f>1.15+D232</f>
        <v>1.1499999999999999</v>
      </c>
    </row>
    <row r="233" spans="1:3" x14ac:dyDescent="0.25">
      <c r="A233" s="2">
        <v>43110.625</v>
      </c>
      <c r="B233" s="6">
        <v>0</v>
      </c>
      <c r="C233" s="7">
        <v>2.61</v>
      </c>
    </row>
    <row r="234" spans="1:3" x14ac:dyDescent="0.25">
      <c r="A234" s="2">
        <v>43110.666666666664</v>
      </c>
      <c r="B234" s="6">
        <v>0</v>
      </c>
      <c r="C234" s="7">
        <f>1.32+D234</f>
        <v>1.32</v>
      </c>
    </row>
    <row r="235" spans="1:3" x14ac:dyDescent="0.25">
      <c r="A235" s="2">
        <v>43110.708333333336</v>
      </c>
      <c r="B235" s="6">
        <v>2.19</v>
      </c>
      <c r="C235" s="7">
        <v>0</v>
      </c>
    </row>
    <row r="236" spans="1:3" x14ac:dyDescent="0.25">
      <c r="A236" s="2">
        <v>43110.75</v>
      </c>
      <c r="B236" s="6">
        <v>0</v>
      </c>
      <c r="C236" s="7">
        <f>0.72+D236</f>
        <v>0.72</v>
      </c>
    </row>
    <row r="237" spans="1:3" x14ac:dyDescent="0.25">
      <c r="A237" s="2">
        <v>43110.791666666664</v>
      </c>
      <c r="B237" s="6">
        <v>0</v>
      </c>
      <c r="C237" s="7">
        <v>1.38</v>
      </c>
    </row>
    <row r="238" spans="1:3" x14ac:dyDescent="0.25">
      <c r="A238" s="2">
        <v>43110.833333333336</v>
      </c>
      <c r="B238" s="6">
        <v>0</v>
      </c>
      <c r="C238" s="7">
        <f>0.46+D238</f>
        <v>0.46</v>
      </c>
    </row>
    <row r="239" spans="1:3" x14ac:dyDescent="0.25">
      <c r="A239" s="2">
        <v>43110.875</v>
      </c>
      <c r="B239" s="6">
        <v>2.0099999999999998</v>
      </c>
      <c r="C239" s="7">
        <v>0</v>
      </c>
    </row>
    <row r="240" spans="1:3" x14ac:dyDescent="0.25">
      <c r="A240" s="2">
        <v>43110.916666666664</v>
      </c>
      <c r="B240" s="6">
        <v>1.82</v>
      </c>
      <c r="C240" s="7">
        <v>0</v>
      </c>
    </row>
    <row r="241" spans="1:3" x14ac:dyDescent="0.25">
      <c r="A241" s="2">
        <v>43110.958333333336</v>
      </c>
      <c r="B241" s="6">
        <v>1.48</v>
      </c>
      <c r="C241" s="7">
        <v>0</v>
      </c>
    </row>
    <row r="242" spans="1:3" x14ac:dyDescent="0.25">
      <c r="A242" s="2">
        <v>43111</v>
      </c>
      <c r="B242" s="6">
        <v>1.1499999999999999</v>
      </c>
      <c r="C242" s="7">
        <v>0</v>
      </c>
    </row>
    <row r="243" spans="1:3" x14ac:dyDescent="0.25">
      <c r="A243" s="2">
        <v>43111.041666666664</v>
      </c>
      <c r="B243" s="6">
        <v>1.36</v>
      </c>
      <c r="C243" s="7">
        <v>0</v>
      </c>
    </row>
    <row r="244" spans="1:3" x14ac:dyDescent="0.25">
      <c r="A244" s="2">
        <v>43111.083333333336</v>
      </c>
      <c r="B244" s="6">
        <v>1.49</v>
      </c>
      <c r="C244" s="7">
        <v>0</v>
      </c>
    </row>
    <row r="245" spans="1:3" x14ac:dyDescent="0.25">
      <c r="A245" s="2">
        <v>43111.125</v>
      </c>
      <c r="B245" s="6">
        <v>1.55</v>
      </c>
      <c r="C245" s="7">
        <v>0</v>
      </c>
    </row>
    <row r="246" spans="1:3" x14ac:dyDescent="0.25">
      <c r="A246" s="2">
        <v>43111.166666666664</v>
      </c>
      <c r="B246" s="6">
        <v>1.55</v>
      </c>
      <c r="C246" s="7">
        <v>0</v>
      </c>
    </row>
    <row r="247" spans="1:3" x14ac:dyDescent="0.25">
      <c r="A247" s="2">
        <v>43111.208333333336</v>
      </c>
      <c r="B247" s="6">
        <v>1.1299999999999999</v>
      </c>
      <c r="C247" s="7">
        <v>0</v>
      </c>
    </row>
    <row r="248" spans="1:3" x14ac:dyDescent="0.25">
      <c r="A248" s="2">
        <v>43111.25</v>
      </c>
      <c r="B248" s="6">
        <v>0.28000000000000003</v>
      </c>
      <c r="C248" s="7">
        <v>0</v>
      </c>
    </row>
    <row r="249" spans="1:3" x14ac:dyDescent="0.25">
      <c r="A249" s="2">
        <v>43111.291666666664</v>
      </c>
      <c r="B249" s="6">
        <v>0</v>
      </c>
      <c r="C249" s="7">
        <v>0.27</v>
      </c>
    </row>
    <row r="250" spans="1:3" x14ac:dyDescent="0.25">
      <c r="A250" s="2">
        <v>43111.333333333336</v>
      </c>
      <c r="B250" s="6">
        <v>0</v>
      </c>
      <c r="C250" s="7">
        <f>0.38+D250</f>
        <v>0.38</v>
      </c>
    </row>
    <row r="251" spans="1:3" x14ac:dyDescent="0.25">
      <c r="A251" s="2">
        <v>43111.375</v>
      </c>
      <c r="B251" s="6">
        <v>2.14</v>
      </c>
      <c r="C251" s="7">
        <v>0</v>
      </c>
    </row>
    <row r="252" spans="1:3" x14ac:dyDescent="0.25">
      <c r="A252" s="2">
        <v>43111.416666666664</v>
      </c>
      <c r="B252" s="6">
        <v>0</v>
      </c>
      <c r="C252" s="7">
        <f>0.63+D252</f>
        <v>0.63</v>
      </c>
    </row>
    <row r="253" spans="1:3" x14ac:dyDescent="0.25">
      <c r="A253" s="2">
        <v>43111.458333333336</v>
      </c>
      <c r="B253" s="6">
        <v>0</v>
      </c>
      <c r="C253" s="7">
        <v>1.53</v>
      </c>
    </row>
    <row r="254" spans="1:3" x14ac:dyDescent="0.25">
      <c r="A254" s="2">
        <v>43111.5</v>
      </c>
      <c r="B254" s="6">
        <v>0</v>
      </c>
      <c r="C254" s="7">
        <v>1.59</v>
      </c>
    </row>
    <row r="255" spans="1:3" x14ac:dyDescent="0.25">
      <c r="A255" s="2">
        <v>43111.541666666664</v>
      </c>
      <c r="B255" s="6">
        <v>0</v>
      </c>
      <c r="C255" s="7">
        <v>0.36</v>
      </c>
    </row>
    <row r="256" spans="1:3" x14ac:dyDescent="0.25">
      <c r="A256" s="2">
        <v>43111.583333333336</v>
      </c>
      <c r="B256" s="6">
        <v>0</v>
      </c>
      <c r="C256" s="7">
        <f>1.01+D256</f>
        <v>1.01</v>
      </c>
    </row>
    <row r="257" spans="1:3" x14ac:dyDescent="0.25">
      <c r="A257" s="2">
        <v>43111.625</v>
      </c>
      <c r="B257" s="6">
        <v>0</v>
      </c>
      <c r="C257" s="7">
        <v>1.56</v>
      </c>
    </row>
    <row r="258" spans="1:3" x14ac:dyDescent="0.25">
      <c r="A258" s="2">
        <v>43111.666666666664</v>
      </c>
      <c r="B258" s="6">
        <v>0</v>
      </c>
      <c r="C258" s="7">
        <v>1.48</v>
      </c>
    </row>
    <row r="259" spans="1:3" x14ac:dyDescent="0.25">
      <c r="A259" s="2">
        <v>43111.708333333336</v>
      </c>
      <c r="B259" s="6">
        <v>0</v>
      </c>
      <c r="C259" s="7">
        <v>1.45</v>
      </c>
    </row>
    <row r="260" spans="1:3" x14ac:dyDescent="0.25">
      <c r="A260" s="2">
        <v>43111.75</v>
      </c>
      <c r="B260" s="6">
        <v>0</v>
      </c>
      <c r="C260" s="7">
        <f>0.42+D260</f>
        <v>0.42</v>
      </c>
    </row>
    <row r="261" spans="1:3" x14ac:dyDescent="0.25">
      <c r="A261" s="2">
        <v>43111.791666666664</v>
      </c>
      <c r="B261" s="6">
        <v>1.36</v>
      </c>
      <c r="C261" s="7">
        <v>0</v>
      </c>
    </row>
    <row r="262" spans="1:3" x14ac:dyDescent="0.25">
      <c r="A262" s="2">
        <v>43111.833333333336</v>
      </c>
      <c r="B262" s="6">
        <v>0</v>
      </c>
      <c r="C262" s="7">
        <f>0.81+D262</f>
        <v>0.81</v>
      </c>
    </row>
    <row r="263" spans="1:3" x14ac:dyDescent="0.25">
      <c r="A263" s="2">
        <v>43111.875</v>
      </c>
      <c r="B263" s="6">
        <v>0</v>
      </c>
      <c r="C263" s="7">
        <v>1.52</v>
      </c>
    </row>
    <row r="264" spans="1:3" x14ac:dyDescent="0.25">
      <c r="A264" s="2">
        <v>43111.916666666664</v>
      </c>
      <c r="B264" s="6">
        <v>0</v>
      </c>
      <c r="C264" s="7">
        <v>0.38</v>
      </c>
    </row>
    <row r="265" spans="1:3" x14ac:dyDescent="0.25">
      <c r="A265" s="2">
        <v>43111.958333333336</v>
      </c>
      <c r="B265" s="6">
        <v>1.28</v>
      </c>
      <c r="C265" s="7">
        <v>0</v>
      </c>
    </row>
    <row r="266" spans="1:3" x14ac:dyDescent="0.25">
      <c r="A266" s="2">
        <v>43112</v>
      </c>
      <c r="B266" s="6">
        <v>1.48</v>
      </c>
      <c r="C266" s="7">
        <v>0</v>
      </c>
    </row>
    <row r="267" spans="1:3" x14ac:dyDescent="0.25">
      <c r="A267" s="2">
        <v>43112.041666666664</v>
      </c>
      <c r="B267" s="6">
        <v>1.52</v>
      </c>
      <c r="C267" s="7">
        <v>0</v>
      </c>
    </row>
    <row r="268" spans="1:3" x14ac:dyDescent="0.25">
      <c r="A268" s="2">
        <v>43112.083333333336</v>
      </c>
      <c r="B268" s="6">
        <v>1.54</v>
      </c>
      <c r="C268" s="7">
        <v>0</v>
      </c>
    </row>
    <row r="269" spans="1:3" x14ac:dyDescent="0.25">
      <c r="A269" s="2">
        <v>43112.125</v>
      </c>
      <c r="B269" s="6">
        <v>1.27</v>
      </c>
      <c r="C269" s="7">
        <v>0</v>
      </c>
    </row>
    <row r="270" spans="1:3" x14ac:dyDescent="0.25">
      <c r="A270" s="2">
        <v>43112.166666666664</v>
      </c>
      <c r="B270" s="6">
        <v>1.55</v>
      </c>
      <c r="C270" s="7">
        <v>0</v>
      </c>
    </row>
    <row r="271" spans="1:3" x14ac:dyDescent="0.25">
      <c r="A271" s="2">
        <v>43112.208333333336</v>
      </c>
      <c r="B271" s="6">
        <v>1.32</v>
      </c>
      <c r="C271" s="7">
        <v>0</v>
      </c>
    </row>
    <row r="272" spans="1:3" x14ac:dyDescent="0.25">
      <c r="A272" s="2">
        <v>43112.25</v>
      </c>
      <c r="B272" s="6">
        <v>0</v>
      </c>
      <c r="C272" s="7">
        <f>0.65+D272</f>
        <v>0.65</v>
      </c>
    </row>
    <row r="273" spans="1:3" x14ac:dyDescent="0.25">
      <c r="A273" s="2">
        <v>43112.291666666664</v>
      </c>
      <c r="B273" s="6">
        <v>0</v>
      </c>
      <c r="C273" s="7">
        <f>0.62+D273</f>
        <v>0.62</v>
      </c>
    </row>
    <row r="274" spans="1:3" x14ac:dyDescent="0.25">
      <c r="A274" s="2">
        <v>43112.333333333336</v>
      </c>
      <c r="B274" s="6">
        <v>0</v>
      </c>
      <c r="C274" s="7">
        <f>0.64+D274</f>
        <v>0.64</v>
      </c>
    </row>
    <row r="275" spans="1:3" x14ac:dyDescent="0.25">
      <c r="A275" s="2">
        <v>43112.375</v>
      </c>
      <c r="B275" s="6">
        <v>0.99</v>
      </c>
      <c r="C275" s="7">
        <v>0</v>
      </c>
    </row>
    <row r="276" spans="1:3" x14ac:dyDescent="0.25">
      <c r="A276" s="2">
        <v>43112.416666666664</v>
      </c>
      <c r="B276" s="6">
        <v>0</v>
      </c>
      <c r="C276" s="7">
        <f>0.46+D276</f>
        <v>0.46</v>
      </c>
    </row>
    <row r="277" spans="1:3" x14ac:dyDescent="0.25">
      <c r="A277" s="2">
        <v>43112.458333333336</v>
      </c>
      <c r="B277" s="6">
        <v>0</v>
      </c>
      <c r="C277" s="7">
        <v>1.17</v>
      </c>
    </row>
    <row r="278" spans="1:3" x14ac:dyDescent="0.25">
      <c r="A278" s="2">
        <v>43112.5</v>
      </c>
      <c r="B278" s="6">
        <v>0</v>
      </c>
      <c r="C278" s="7">
        <v>1.1200000000000001</v>
      </c>
    </row>
    <row r="279" spans="1:3" x14ac:dyDescent="0.25">
      <c r="A279" s="2">
        <v>43112.541666666664</v>
      </c>
      <c r="B279" s="6">
        <v>0</v>
      </c>
      <c r="C279" s="7">
        <f>0.41+D279</f>
        <v>0.41</v>
      </c>
    </row>
    <row r="280" spans="1:3" x14ac:dyDescent="0.25">
      <c r="A280" s="2">
        <v>43112.583333333336</v>
      </c>
      <c r="B280" s="6">
        <v>1.02</v>
      </c>
      <c r="C280" s="7">
        <v>0</v>
      </c>
    </row>
    <row r="281" spans="1:3" x14ac:dyDescent="0.25">
      <c r="A281" s="2">
        <v>43112.625</v>
      </c>
      <c r="B281" s="6">
        <v>0</v>
      </c>
      <c r="C281" s="7">
        <f>1.3+D281</f>
        <v>1.3</v>
      </c>
    </row>
    <row r="282" spans="1:3" x14ac:dyDescent="0.25">
      <c r="A282" s="2">
        <v>43112.666666666664</v>
      </c>
      <c r="B282" s="6">
        <v>0</v>
      </c>
      <c r="C282" s="7">
        <v>1.41</v>
      </c>
    </row>
    <row r="283" spans="1:3" x14ac:dyDescent="0.25">
      <c r="A283" s="2">
        <v>43112.708333333336</v>
      </c>
      <c r="B283" s="6">
        <v>0</v>
      </c>
      <c r="C283" s="7">
        <v>1.27</v>
      </c>
    </row>
    <row r="284" spans="1:3" x14ac:dyDescent="0.25">
      <c r="A284" s="2">
        <v>43112.75</v>
      </c>
      <c r="B284" s="6">
        <v>0</v>
      </c>
      <c r="C284" s="7">
        <f>0.49+D284</f>
        <v>0.49</v>
      </c>
    </row>
    <row r="285" spans="1:3" x14ac:dyDescent="0.25">
      <c r="A285" s="2">
        <v>43112.791666666664</v>
      </c>
      <c r="B285" s="6">
        <v>1.78</v>
      </c>
      <c r="C285" s="7">
        <v>0</v>
      </c>
    </row>
    <row r="286" spans="1:3" x14ac:dyDescent="0.25">
      <c r="A286" s="2">
        <v>43112.833333333336</v>
      </c>
      <c r="B286" s="6">
        <v>0</v>
      </c>
      <c r="C286" s="7">
        <f>1.19+D286</f>
        <v>1.19</v>
      </c>
    </row>
    <row r="287" spans="1:3" x14ac:dyDescent="0.25">
      <c r="A287" s="2">
        <v>43112.875</v>
      </c>
      <c r="B287" s="6">
        <v>0</v>
      </c>
      <c r="C287" s="7">
        <v>1.83</v>
      </c>
    </row>
    <row r="288" spans="1:3" x14ac:dyDescent="0.25">
      <c r="A288" s="2">
        <v>43112.916666666664</v>
      </c>
      <c r="B288" s="6"/>
      <c r="C288" s="7">
        <f>0.44+D288</f>
        <v>0.44</v>
      </c>
    </row>
    <row r="289" spans="1:3" x14ac:dyDescent="0.25">
      <c r="A289" s="2">
        <v>43112.958333333336</v>
      </c>
      <c r="B289" s="6">
        <v>1.1299999999999999</v>
      </c>
      <c r="C289" s="7">
        <v>0</v>
      </c>
    </row>
    <row r="290" spans="1:3" x14ac:dyDescent="0.25">
      <c r="A290" s="2">
        <v>43113</v>
      </c>
      <c r="B290" s="6">
        <v>1.41</v>
      </c>
      <c r="C290" s="7">
        <v>0</v>
      </c>
    </row>
    <row r="291" spans="1:3" x14ac:dyDescent="0.25">
      <c r="A291" s="2">
        <v>43113.041666666664</v>
      </c>
      <c r="B291" s="6">
        <v>1.29</v>
      </c>
      <c r="C291" s="7">
        <v>0</v>
      </c>
    </row>
    <row r="292" spans="1:3" x14ac:dyDescent="0.25">
      <c r="A292" s="2">
        <v>43113.083333333336</v>
      </c>
      <c r="B292" s="6">
        <v>1.54</v>
      </c>
      <c r="C292" s="7">
        <v>0</v>
      </c>
    </row>
    <row r="293" spans="1:3" x14ac:dyDescent="0.25">
      <c r="A293" s="2">
        <v>43113.125</v>
      </c>
      <c r="B293" s="6">
        <v>1.17</v>
      </c>
      <c r="C293" s="7">
        <v>0</v>
      </c>
    </row>
    <row r="294" spans="1:3" x14ac:dyDescent="0.25">
      <c r="A294" s="2">
        <v>43113.166666666664</v>
      </c>
      <c r="B294" s="6">
        <v>2.2599999999999998</v>
      </c>
      <c r="C294" s="7">
        <v>0</v>
      </c>
    </row>
    <row r="295" spans="1:3" x14ac:dyDescent="0.25">
      <c r="A295" s="2">
        <v>43113.208333333336</v>
      </c>
      <c r="B295" s="6">
        <v>1.49</v>
      </c>
      <c r="C295" s="7">
        <v>0</v>
      </c>
    </row>
    <row r="296" spans="1:3" x14ac:dyDescent="0.25">
      <c r="A296" s="2">
        <v>43113.25</v>
      </c>
      <c r="B296" s="6">
        <v>1.77</v>
      </c>
      <c r="C296" s="7">
        <v>0</v>
      </c>
    </row>
    <row r="297" spans="1:3" x14ac:dyDescent="0.25">
      <c r="A297" s="2">
        <v>43113.291666666664</v>
      </c>
      <c r="B297" s="6">
        <v>0</v>
      </c>
      <c r="C297" s="7">
        <f>0.27+D297</f>
        <v>0.27</v>
      </c>
    </row>
    <row r="298" spans="1:3" x14ac:dyDescent="0.25">
      <c r="A298" s="2">
        <v>43113.333333333336</v>
      </c>
      <c r="B298" s="6">
        <v>0</v>
      </c>
      <c r="C298" s="7">
        <v>1.3</v>
      </c>
    </row>
    <row r="299" spans="1:3" x14ac:dyDescent="0.25">
      <c r="A299" s="2">
        <v>43113.375</v>
      </c>
      <c r="B299" s="6">
        <v>0</v>
      </c>
      <c r="C299" s="7">
        <v>1.21</v>
      </c>
    </row>
    <row r="300" spans="1:3" x14ac:dyDescent="0.25">
      <c r="A300" s="2">
        <v>43113.416666666664</v>
      </c>
      <c r="B300" s="6">
        <v>0</v>
      </c>
      <c r="C300" s="7">
        <f>0.5+D300</f>
        <v>0.5</v>
      </c>
    </row>
    <row r="301" spans="1:3" x14ac:dyDescent="0.25">
      <c r="A301" s="2">
        <v>43113.458333333336</v>
      </c>
      <c r="B301" s="6">
        <v>1.07</v>
      </c>
      <c r="C301" s="7">
        <v>0</v>
      </c>
    </row>
    <row r="302" spans="1:3" x14ac:dyDescent="0.25">
      <c r="A302" s="2">
        <v>43113.5</v>
      </c>
      <c r="B302" s="6">
        <v>0</v>
      </c>
      <c r="C302" s="7">
        <f>0.71+D302</f>
        <v>0.71</v>
      </c>
    </row>
    <row r="303" spans="1:3" x14ac:dyDescent="0.25">
      <c r="A303" s="2">
        <v>43113.541666666664</v>
      </c>
      <c r="B303" s="6">
        <v>0</v>
      </c>
      <c r="C303" s="7">
        <v>1.43</v>
      </c>
    </row>
    <row r="304" spans="1:3" x14ac:dyDescent="0.25">
      <c r="A304" s="2">
        <v>43113.583333333336</v>
      </c>
      <c r="B304" s="6">
        <v>0</v>
      </c>
      <c r="C304" s="7">
        <f>0.92+D304</f>
        <v>0.92</v>
      </c>
    </row>
    <row r="305" spans="1:3" x14ac:dyDescent="0.25">
      <c r="A305" s="2">
        <v>43113.625</v>
      </c>
      <c r="B305" s="6">
        <v>3.36</v>
      </c>
      <c r="C305" s="7">
        <v>0</v>
      </c>
    </row>
    <row r="306" spans="1:3" x14ac:dyDescent="0.25">
      <c r="A306" s="2">
        <v>43113.666666666664</v>
      </c>
      <c r="B306" s="6">
        <v>0</v>
      </c>
      <c r="C306" s="7">
        <f>0.93+D306</f>
        <v>0.93</v>
      </c>
    </row>
    <row r="307" spans="1:3" x14ac:dyDescent="0.25">
      <c r="A307" s="2">
        <v>43113.708333333336</v>
      </c>
      <c r="B307" s="6">
        <v>0</v>
      </c>
      <c r="C307" s="7">
        <v>1.36</v>
      </c>
    </row>
    <row r="308" spans="1:3" x14ac:dyDescent="0.25">
      <c r="A308" s="2">
        <v>43113.75</v>
      </c>
      <c r="B308" s="6">
        <v>0</v>
      </c>
      <c r="C308" s="7">
        <v>1.38</v>
      </c>
    </row>
    <row r="309" spans="1:3" x14ac:dyDescent="0.25">
      <c r="A309" s="2">
        <v>43113.791666666664</v>
      </c>
      <c r="B309" s="6">
        <v>0</v>
      </c>
      <c r="C309" s="7">
        <v>1.41</v>
      </c>
    </row>
    <row r="310" spans="1:3" x14ac:dyDescent="0.25">
      <c r="A310" s="2">
        <v>43113.833333333336</v>
      </c>
      <c r="B310" s="6">
        <v>0</v>
      </c>
      <c r="C310" s="7">
        <f>0.4+D310</f>
        <v>0.4</v>
      </c>
    </row>
    <row r="311" spans="1:3" x14ac:dyDescent="0.25">
      <c r="A311" s="2">
        <v>43113.875</v>
      </c>
      <c r="B311" s="6">
        <v>2</v>
      </c>
      <c r="C311" s="7">
        <v>0</v>
      </c>
    </row>
    <row r="312" spans="1:3" x14ac:dyDescent="0.25">
      <c r="A312" s="2">
        <v>43113.916666666664</v>
      </c>
      <c r="B312" s="6">
        <v>0</v>
      </c>
      <c r="C312" s="7">
        <f>1.17+D312</f>
        <v>1.17</v>
      </c>
    </row>
    <row r="313" spans="1:3" x14ac:dyDescent="0.25">
      <c r="A313" s="2">
        <v>43113.958333333336</v>
      </c>
      <c r="B313" s="6">
        <v>0</v>
      </c>
      <c r="C313" s="7">
        <v>1.93</v>
      </c>
    </row>
    <row r="314" spans="1:3" x14ac:dyDescent="0.25">
      <c r="A314" s="2">
        <v>43114</v>
      </c>
      <c r="B314" s="6">
        <v>0</v>
      </c>
      <c r="C314" s="7">
        <f>0.37+D314</f>
        <v>0.37</v>
      </c>
    </row>
    <row r="315" spans="1:3" x14ac:dyDescent="0.25">
      <c r="A315" s="2">
        <v>43114.041666666664</v>
      </c>
      <c r="B315" s="6">
        <v>2.04</v>
      </c>
      <c r="C315" s="7">
        <v>0</v>
      </c>
    </row>
    <row r="316" spans="1:3" x14ac:dyDescent="0.25">
      <c r="A316" s="2">
        <v>43114.083333333336</v>
      </c>
      <c r="B316" s="6">
        <v>1.8</v>
      </c>
      <c r="C316" s="7">
        <v>0</v>
      </c>
    </row>
    <row r="317" spans="1:3" x14ac:dyDescent="0.25">
      <c r="A317" s="2">
        <v>43114.125</v>
      </c>
      <c r="B317" s="6">
        <v>2.17</v>
      </c>
      <c r="C317" s="7">
        <v>0</v>
      </c>
    </row>
    <row r="318" spans="1:3" x14ac:dyDescent="0.25">
      <c r="A318" s="2">
        <v>43114.166666666664</v>
      </c>
      <c r="B318" s="6">
        <v>1.53</v>
      </c>
      <c r="C318" s="7">
        <v>0</v>
      </c>
    </row>
    <row r="319" spans="1:3" x14ac:dyDescent="0.25">
      <c r="A319" s="2">
        <v>43114.208333333336</v>
      </c>
      <c r="B319" s="6">
        <v>1.07</v>
      </c>
      <c r="C319" s="7">
        <v>0</v>
      </c>
    </row>
    <row r="320" spans="1:3" x14ac:dyDescent="0.25">
      <c r="A320" s="2">
        <v>43114.25</v>
      </c>
      <c r="B320" s="6">
        <v>0</v>
      </c>
      <c r="C320" s="7">
        <f>0.47+D320</f>
        <v>0.47</v>
      </c>
    </row>
    <row r="321" spans="1:3" x14ac:dyDescent="0.25">
      <c r="A321" s="2">
        <v>43114.291666666664</v>
      </c>
      <c r="B321" s="6">
        <v>0</v>
      </c>
      <c r="C321" s="7">
        <v>0.89</v>
      </c>
    </row>
    <row r="322" spans="1:3" x14ac:dyDescent="0.25">
      <c r="A322" s="2">
        <v>43114.333333333336</v>
      </c>
      <c r="B322" s="6">
        <v>0</v>
      </c>
      <c r="C322" s="7">
        <f>0.37+D322</f>
        <v>0.37</v>
      </c>
    </row>
    <row r="323" spans="1:3" x14ac:dyDescent="0.25">
      <c r="A323" s="2">
        <v>43114.375</v>
      </c>
      <c r="B323" s="6">
        <v>0.64</v>
      </c>
      <c r="C323" s="7">
        <v>0</v>
      </c>
    </row>
    <row r="324" spans="1:3" x14ac:dyDescent="0.25">
      <c r="A324" s="2">
        <v>43114.416666666664</v>
      </c>
      <c r="B324" s="6">
        <v>0</v>
      </c>
      <c r="C324" s="7">
        <f>0.55+D324</f>
        <v>0.55000000000000004</v>
      </c>
    </row>
    <row r="325" spans="1:3" x14ac:dyDescent="0.25">
      <c r="A325" s="2">
        <v>43114.458333333336</v>
      </c>
      <c r="B325" s="6">
        <v>0</v>
      </c>
      <c r="C325" s="7">
        <v>0.95</v>
      </c>
    </row>
    <row r="326" spans="1:3" x14ac:dyDescent="0.25">
      <c r="A326" s="2">
        <v>43114.5</v>
      </c>
      <c r="B326" s="6">
        <v>0</v>
      </c>
      <c r="C326" s="7">
        <v>1.35</v>
      </c>
    </row>
    <row r="327" spans="1:3" x14ac:dyDescent="0.25">
      <c r="A327" s="2">
        <v>43114.541666666664</v>
      </c>
      <c r="B327" s="6">
        <v>0</v>
      </c>
      <c r="C327" s="7">
        <v>1.4</v>
      </c>
    </row>
    <row r="328" spans="1:3" x14ac:dyDescent="0.25">
      <c r="A328" s="2">
        <v>43114.583333333336</v>
      </c>
      <c r="B328" s="6">
        <v>0</v>
      </c>
      <c r="C328" s="7">
        <f>0.7+D328</f>
        <v>0.7</v>
      </c>
    </row>
    <row r="329" spans="1:3" x14ac:dyDescent="0.25">
      <c r="A329" s="2">
        <v>43114.625</v>
      </c>
      <c r="B329" s="6">
        <v>1.51</v>
      </c>
      <c r="C329" s="7">
        <v>0</v>
      </c>
    </row>
    <row r="330" spans="1:3" x14ac:dyDescent="0.25">
      <c r="A330" s="2">
        <v>43114.666666666664</v>
      </c>
      <c r="B330" s="6">
        <v>0</v>
      </c>
      <c r="C330" s="7">
        <f>0.65+D330</f>
        <v>0.65</v>
      </c>
    </row>
    <row r="331" spans="1:3" x14ac:dyDescent="0.25">
      <c r="A331" s="2">
        <v>43114.708333333336</v>
      </c>
      <c r="B331" s="6">
        <v>0</v>
      </c>
      <c r="C331" s="7">
        <v>1.36</v>
      </c>
    </row>
    <row r="332" spans="1:3" x14ac:dyDescent="0.25">
      <c r="A332" s="2">
        <v>43114.75</v>
      </c>
      <c r="B332" s="6">
        <v>0</v>
      </c>
      <c r="C332" s="7">
        <f>0.66+D332</f>
        <v>0.66</v>
      </c>
    </row>
    <row r="333" spans="1:3" x14ac:dyDescent="0.25">
      <c r="A333" s="2">
        <v>43114.791666666664</v>
      </c>
      <c r="B333" s="6">
        <v>1.3</v>
      </c>
      <c r="C333" s="7">
        <v>0</v>
      </c>
    </row>
    <row r="334" spans="1:3" x14ac:dyDescent="0.25">
      <c r="A334" s="2">
        <v>43114.833333333336</v>
      </c>
      <c r="B334" s="6">
        <v>0</v>
      </c>
      <c r="C334" s="7">
        <f>0.57+D334</f>
        <v>0.56999999999999995</v>
      </c>
    </row>
    <row r="335" spans="1:3" x14ac:dyDescent="0.25">
      <c r="A335" s="2">
        <v>43114.875</v>
      </c>
      <c r="B335" s="6">
        <v>0</v>
      </c>
      <c r="C335" s="7">
        <v>1.74</v>
      </c>
    </row>
    <row r="336" spans="1:3" x14ac:dyDescent="0.25">
      <c r="A336" s="2">
        <v>43114.916666666664</v>
      </c>
      <c r="B336" s="6">
        <v>0</v>
      </c>
      <c r="C336" s="7">
        <f>0.67+D336</f>
        <v>0.67</v>
      </c>
    </row>
    <row r="337" spans="1:3" x14ac:dyDescent="0.25">
      <c r="A337" s="2">
        <v>43114.958333333336</v>
      </c>
      <c r="B337" s="6">
        <v>1.27</v>
      </c>
      <c r="C337" s="7">
        <v>0</v>
      </c>
    </row>
    <row r="338" spans="1:3" x14ac:dyDescent="0.25">
      <c r="A338" s="2">
        <v>43115</v>
      </c>
      <c r="B338" s="6">
        <v>1.59</v>
      </c>
      <c r="C338" s="7">
        <v>0</v>
      </c>
    </row>
    <row r="339" spans="1:3" x14ac:dyDescent="0.25">
      <c r="A339" s="2">
        <v>43115.041666666664</v>
      </c>
      <c r="B339" s="6">
        <v>1.24</v>
      </c>
      <c r="C339" s="7">
        <v>0</v>
      </c>
    </row>
    <row r="340" spans="1:3" x14ac:dyDescent="0.25">
      <c r="A340" s="2">
        <v>43115.083333333336</v>
      </c>
      <c r="B340" s="6">
        <v>1.45</v>
      </c>
      <c r="C340" s="7">
        <v>0</v>
      </c>
    </row>
    <row r="341" spans="1:3" x14ac:dyDescent="0.25">
      <c r="A341" s="2">
        <v>43115.125</v>
      </c>
      <c r="B341" s="6">
        <v>1.73</v>
      </c>
      <c r="C341" s="7">
        <v>0</v>
      </c>
    </row>
    <row r="342" spans="1:3" x14ac:dyDescent="0.25">
      <c r="A342" s="2">
        <v>43115.166666666664</v>
      </c>
      <c r="B342" s="6">
        <v>1.52</v>
      </c>
      <c r="C342" s="7">
        <v>0</v>
      </c>
    </row>
    <row r="343" spans="1:3" x14ac:dyDescent="0.25">
      <c r="A343" s="2">
        <v>43115.208333333336</v>
      </c>
      <c r="B343" s="6">
        <v>1.47</v>
      </c>
      <c r="C343" s="7">
        <v>0</v>
      </c>
    </row>
    <row r="344" spans="1:3" x14ac:dyDescent="0.25">
      <c r="A344" s="2">
        <v>43115.25</v>
      </c>
      <c r="B344" s="6">
        <v>1.27</v>
      </c>
      <c r="C344" s="7">
        <v>0</v>
      </c>
    </row>
    <row r="345" spans="1:3" x14ac:dyDescent="0.25">
      <c r="A345" s="2">
        <v>43115.291666666664</v>
      </c>
      <c r="B345" s="6">
        <v>0</v>
      </c>
      <c r="C345" s="7">
        <f>0.72+D345</f>
        <v>0.72</v>
      </c>
    </row>
    <row r="346" spans="1:3" x14ac:dyDescent="0.25">
      <c r="A346" s="2">
        <v>43115.333333333336</v>
      </c>
      <c r="B346" s="6">
        <v>0</v>
      </c>
      <c r="C346" s="7">
        <v>0.88</v>
      </c>
    </row>
    <row r="347" spans="1:3" x14ac:dyDescent="0.25">
      <c r="A347" s="2">
        <v>43115.375</v>
      </c>
      <c r="B347" s="6">
        <v>0</v>
      </c>
      <c r="C347" s="7">
        <v>0.84</v>
      </c>
    </row>
    <row r="348" spans="1:3" x14ac:dyDescent="0.25">
      <c r="A348" s="2">
        <v>43115.416666666664</v>
      </c>
      <c r="B348" s="6">
        <v>0</v>
      </c>
      <c r="C348" s="7">
        <f>0.29+D348</f>
        <v>0.28999999999999998</v>
      </c>
    </row>
    <row r="349" spans="1:3" x14ac:dyDescent="0.25">
      <c r="A349" s="2">
        <v>43115.458333333336</v>
      </c>
      <c r="B349" s="6">
        <v>0.86</v>
      </c>
      <c r="C349" s="7">
        <v>0</v>
      </c>
    </row>
    <row r="350" spans="1:3" x14ac:dyDescent="0.25">
      <c r="A350" s="2">
        <v>43115.5</v>
      </c>
      <c r="B350" s="6">
        <v>0</v>
      </c>
      <c r="C350" s="7">
        <f>0.61+D350</f>
        <v>0.61</v>
      </c>
    </row>
    <row r="351" spans="1:3" x14ac:dyDescent="0.25">
      <c r="A351" s="2">
        <v>43115.541666666664</v>
      </c>
      <c r="B351" s="6">
        <v>0</v>
      </c>
      <c r="C351" s="7">
        <v>1.03</v>
      </c>
    </row>
    <row r="352" spans="1:3" x14ac:dyDescent="0.25">
      <c r="A352" s="2">
        <v>43115.583333333336</v>
      </c>
      <c r="B352" s="6">
        <v>0</v>
      </c>
      <c r="C352" s="7">
        <v>1.49</v>
      </c>
    </row>
    <row r="353" spans="1:3" x14ac:dyDescent="0.25">
      <c r="A353" s="2">
        <v>43115.625</v>
      </c>
      <c r="B353" s="6">
        <v>0</v>
      </c>
      <c r="C353" s="7">
        <v>1.61</v>
      </c>
    </row>
    <row r="354" spans="1:3" x14ac:dyDescent="0.25">
      <c r="A354" s="2">
        <v>43115.666666666664</v>
      </c>
      <c r="B354" s="6">
        <v>0</v>
      </c>
      <c r="C354" s="7">
        <f>0.35+D354</f>
        <v>0.35</v>
      </c>
    </row>
    <row r="355" spans="1:3" x14ac:dyDescent="0.25">
      <c r="A355" s="2">
        <v>43115.708333333336</v>
      </c>
      <c r="B355" s="6">
        <v>1.24</v>
      </c>
      <c r="C355" s="7">
        <v>0</v>
      </c>
    </row>
    <row r="356" spans="1:3" x14ac:dyDescent="0.25">
      <c r="A356" s="2">
        <v>43115.75</v>
      </c>
      <c r="B356" s="6">
        <v>0</v>
      </c>
      <c r="C356" s="7">
        <f>1.05+D356</f>
        <v>1.05</v>
      </c>
    </row>
    <row r="357" spans="1:3" x14ac:dyDescent="0.25">
      <c r="A357" s="2">
        <v>43115.791666666664</v>
      </c>
      <c r="B357" s="6">
        <v>0</v>
      </c>
      <c r="C357" s="7">
        <v>1.47</v>
      </c>
    </row>
    <row r="358" spans="1:3" x14ac:dyDescent="0.25">
      <c r="A358" s="2">
        <v>43115.833333333336</v>
      </c>
      <c r="B358" s="6">
        <v>0</v>
      </c>
      <c r="C358" s="7">
        <f>0.25+D358</f>
        <v>0.25</v>
      </c>
    </row>
    <row r="359" spans="1:3" x14ac:dyDescent="0.25">
      <c r="A359" s="2">
        <v>43115.875</v>
      </c>
      <c r="B359" s="6">
        <v>1.19</v>
      </c>
      <c r="C359" s="7">
        <v>0</v>
      </c>
    </row>
    <row r="360" spans="1:3" x14ac:dyDescent="0.25">
      <c r="A360" s="2">
        <v>43115.916666666664</v>
      </c>
      <c r="B360" s="6">
        <v>2.09</v>
      </c>
      <c r="C360" s="7">
        <v>0</v>
      </c>
    </row>
    <row r="361" spans="1:3" x14ac:dyDescent="0.25">
      <c r="A361" s="2">
        <v>43115.958333333336</v>
      </c>
      <c r="B361" s="6">
        <v>1.84</v>
      </c>
      <c r="C361" s="7">
        <v>0</v>
      </c>
    </row>
    <row r="362" spans="1:3" x14ac:dyDescent="0.25">
      <c r="A362" s="2">
        <v>43116</v>
      </c>
      <c r="B362" s="6">
        <v>1.93</v>
      </c>
      <c r="C362" s="7">
        <v>0</v>
      </c>
    </row>
    <row r="363" spans="1:3" x14ac:dyDescent="0.25">
      <c r="A363" s="2">
        <v>43116.041666666664</v>
      </c>
      <c r="B363" s="6">
        <v>1.75</v>
      </c>
      <c r="C363" s="7">
        <v>0</v>
      </c>
    </row>
    <row r="364" spans="1:3" x14ac:dyDescent="0.25">
      <c r="A364" s="2">
        <v>43116.083333333336</v>
      </c>
      <c r="B364" s="6">
        <v>2.27</v>
      </c>
      <c r="C364" s="7">
        <v>0</v>
      </c>
    </row>
    <row r="365" spans="1:3" x14ac:dyDescent="0.25">
      <c r="A365" s="2">
        <v>43116.125</v>
      </c>
      <c r="B365" s="6">
        <v>1.96</v>
      </c>
      <c r="C365" s="7">
        <v>0</v>
      </c>
    </row>
    <row r="366" spans="1:3" x14ac:dyDescent="0.25">
      <c r="A366" s="2">
        <v>43116.166666666664</v>
      </c>
      <c r="B366" s="6">
        <v>0</v>
      </c>
      <c r="C366" s="7">
        <f>1.23+D366</f>
        <v>1.23</v>
      </c>
    </row>
    <row r="367" spans="1:3" x14ac:dyDescent="0.25">
      <c r="A367" s="2">
        <v>43116.208333333336</v>
      </c>
      <c r="B367" s="6">
        <v>0</v>
      </c>
      <c r="C367" s="7">
        <v>2.0099999999999998</v>
      </c>
    </row>
    <row r="368" spans="1:3" x14ac:dyDescent="0.25">
      <c r="A368" s="2">
        <v>43116.25</v>
      </c>
      <c r="B368" s="6">
        <v>0</v>
      </c>
      <c r="C368" s="7">
        <f>0.58+D368</f>
        <v>0.57999999999999996</v>
      </c>
    </row>
    <row r="369" spans="1:3" x14ac:dyDescent="0.25">
      <c r="A369" s="2">
        <v>43116.291666666664</v>
      </c>
      <c r="B369" s="6">
        <v>0.96</v>
      </c>
      <c r="C369" s="7">
        <v>0</v>
      </c>
    </row>
    <row r="370" spans="1:3" x14ac:dyDescent="0.25">
      <c r="A370" s="2">
        <v>43116.333333333336</v>
      </c>
      <c r="B370" s="6">
        <v>1.19</v>
      </c>
      <c r="C370" s="7">
        <v>0</v>
      </c>
    </row>
    <row r="371" spans="1:3" x14ac:dyDescent="0.25">
      <c r="A371" s="2">
        <v>43116.375</v>
      </c>
      <c r="B371" s="6">
        <v>0</v>
      </c>
      <c r="C371" s="7">
        <v>1.0900000000000001</v>
      </c>
    </row>
    <row r="372" spans="1:3" x14ac:dyDescent="0.25">
      <c r="A372" s="2">
        <v>43116.416666666664</v>
      </c>
      <c r="B372" s="6">
        <v>0</v>
      </c>
      <c r="C372" s="7">
        <v>1.06</v>
      </c>
    </row>
    <row r="373" spans="1:3" x14ac:dyDescent="0.25">
      <c r="A373" s="2">
        <v>43116.458333333336</v>
      </c>
      <c r="B373" s="6">
        <v>0</v>
      </c>
      <c r="C373" s="7">
        <v>0.96</v>
      </c>
    </row>
    <row r="374" spans="1:3" x14ac:dyDescent="0.25">
      <c r="A374" s="2">
        <v>43116.5</v>
      </c>
      <c r="B374" s="6">
        <v>0</v>
      </c>
      <c r="C374" s="7">
        <f>0.17+D374</f>
        <v>0.17</v>
      </c>
    </row>
    <row r="375" spans="1:3" x14ac:dyDescent="0.25">
      <c r="A375" s="2">
        <v>43116.541666666664</v>
      </c>
      <c r="B375" s="6">
        <v>2.87</v>
      </c>
      <c r="C375" s="7">
        <v>0</v>
      </c>
    </row>
    <row r="376" spans="1:3" x14ac:dyDescent="0.25">
      <c r="A376" s="2">
        <v>43116.583333333336</v>
      </c>
      <c r="B376" s="6">
        <v>0</v>
      </c>
      <c r="C376" s="7">
        <f>0.85+D376</f>
        <v>0.85</v>
      </c>
    </row>
    <row r="377" spans="1:3" x14ac:dyDescent="0.25">
      <c r="A377" s="2">
        <v>43116.625</v>
      </c>
      <c r="B377" s="6">
        <v>0</v>
      </c>
      <c r="C377" s="7">
        <v>1.1000000000000001</v>
      </c>
    </row>
    <row r="378" spans="1:3" x14ac:dyDescent="0.25">
      <c r="A378" s="2">
        <v>43116.666666666664</v>
      </c>
      <c r="B378" s="6">
        <v>0</v>
      </c>
      <c r="C378" s="7">
        <f>0.48+D378</f>
        <v>0.48</v>
      </c>
    </row>
    <row r="379" spans="1:3" x14ac:dyDescent="0.25">
      <c r="A379" s="2">
        <v>43116.708333333336</v>
      </c>
      <c r="B379" s="6">
        <v>1.1000000000000001</v>
      </c>
      <c r="C379" s="7">
        <v>0</v>
      </c>
    </row>
    <row r="380" spans="1:3" x14ac:dyDescent="0.25">
      <c r="A380" s="2">
        <v>43116.75</v>
      </c>
      <c r="B380" s="6">
        <v>0</v>
      </c>
      <c r="C380" s="7">
        <f>0.8+D380</f>
        <v>0.8</v>
      </c>
    </row>
    <row r="381" spans="1:3" x14ac:dyDescent="0.25">
      <c r="A381" s="2">
        <v>43116.791666666664</v>
      </c>
      <c r="B381" s="6">
        <v>0</v>
      </c>
      <c r="C381" s="7">
        <v>1.26</v>
      </c>
    </row>
    <row r="382" spans="1:3" x14ac:dyDescent="0.25">
      <c r="A382" s="2">
        <v>43116.833333333336</v>
      </c>
      <c r="B382" s="6">
        <v>0</v>
      </c>
      <c r="C382" s="7">
        <v>1.25</v>
      </c>
    </row>
    <row r="383" spans="1:3" x14ac:dyDescent="0.25">
      <c r="A383" s="2">
        <v>43116.875</v>
      </c>
      <c r="B383" s="6">
        <v>0</v>
      </c>
      <c r="C383" s="7">
        <f>1.01+D383</f>
        <v>1.01</v>
      </c>
    </row>
    <row r="384" spans="1:3" x14ac:dyDescent="0.25">
      <c r="A384" s="2">
        <v>43116.916666666664</v>
      </c>
      <c r="B384" s="6">
        <v>1.85</v>
      </c>
      <c r="C384" s="7">
        <v>0</v>
      </c>
    </row>
    <row r="385" spans="1:3" x14ac:dyDescent="0.25">
      <c r="A385" s="2">
        <v>43116.958333333336</v>
      </c>
      <c r="B385" s="6">
        <v>2.0299999999999998</v>
      </c>
      <c r="C385" s="7">
        <v>0</v>
      </c>
    </row>
    <row r="386" spans="1:3" x14ac:dyDescent="0.25">
      <c r="A386" s="2">
        <v>43117</v>
      </c>
      <c r="B386" s="6">
        <v>1.89</v>
      </c>
      <c r="C386" s="7">
        <v>0</v>
      </c>
    </row>
    <row r="387" spans="1:3" x14ac:dyDescent="0.25">
      <c r="A387" s="2">
        <v>43117.041666666664</v>
      </c>
      <c r="B387" s="6">
        <v>1.9</v>
      </c>
      <c r="C387" s="7">
        <v>0</v>
      </c>
    </row>
    <row r="388" spans="1:3" x14ac:dyDescent="0.25">
      <c r="A388" s="2">
        <v>43117.083333333336</v>
      </c>
      <c r="B388" s="6">
        <v>1.63</v>
      </c>
      <c r="C388" s="7">
        <v>0</v>
      </c>
    </row>
    <row r="389" spans="1:3" x14ac:dyDescent="0.25">
      <c r="A389" s="2">
        <v>43117.125</v>
      </c>
      <c r="B389" s="6">
        <v>0</v>
      </c>
      <c r="C389" s="7">
        <v>1.77</v>
      </c>
    </row>
    <row r="390" spans="1:3" x14ac:dyDescent="0.25">
      <c r="A390" s="2">
        <v>43117.166666666664</v>
      </c>
      <c r="B390" s="6">
        <v>0</v>
      </c>
      <c r="C390" s="7">
        <v>1.94</v>
      </c>
    </row>
    <row r="391" spans="1:3" x14ac:dyDescent="0.25">
      <c r="A391" s="2">
        <v>43117.208333333336</v>
      </c>
      <c r="B391" s="6">
        <v>0</v>
      </c>
      <c r="C391" s="7">
        <v>1.9</v>
      </c>
    </row>
    <row r="392" spans="1:3" x14ac:dyDescent="0.25">
      <c r="A392" s="2">
        <v>43117.25</v>
      </c>
      <c r="B392" s="6">
        <v>0</v>
      </c>
      <c r="C392" s="7">
        <f>0.57+D392</f>
        <v>0.56999999999999995</v>
      </c>
    </row>
    <row r="393" spans="1:3" x14ac:dyDescent="0.25">
      <c r="A393" s="2">
        <v>43117.291666666664</v>
      </c>
      <c r="B393" s="6">
        <v>1.35</v>
      </c>
      <c r="C393" s="7">
        <v>0</v>
      </c>
    </row>
    <row r="394" spans="1:3" x14ac:dyDescent="0.25">
      <c r="A394" s="2">
        <v>43117.333333333336</v>
      </c>
      <c r="B394" s="6">
        <v>0</v>
      </c>
      <c r="C394" s="7">
        <f>0.76+D394</f>
        <v>0.76</v>
      </c>
    </row>
    <row r="395" spans="1:3" x14ac:dyDescent="0.25">
      <c r="A395" s="2">
        <v>43117.375</v>
      </c>
      <c r="B395" s="6">
        <v>0</v>
      </c>
      <c r="C395" s="7">
        <v>1.06</v>
      </c>
    </row>
    <row r="396" spans="1:3" x14ac:dyDescent="0.25">
      <c r="A396" s="2">
        <v>43117.416666666664</v>
      </c>
      <c r="B396" s="6">
        <v>0</v>
      </c>
      <c r="C396" s="7">
        <f>0.9+D396</f>
        <v>0.9</v>
      </c>
    </row>
    <row r="397" spans="1:3" x14ac:dyDescent="0.25">
      <c r="A397" s="2">
        <v>43117.458333333336</v>
      </c>
      <c r="B397" s="6">
        <v>0</v>
      </c>
      <c r="C397" s="7">
        <f>0.38+D397</f>
        <v>0.38</v>
      </c>
    </row>
    <row r="398" spans="1:3" x14ac:dyDescent="0.25">
      <c r="A398" s="2">
        <v>43117.5</v>
      </c>
      <c r="B398" s="6">
        <v>0</v>
      </c>
      <c r="C398" s="7">
        <f>0.7+D398</f>
        <v>0.7</v>
      </c>
    </row>
    <row r="399" spans="1:3" x14ac:dyDescent="0.25">
      <c r="A399" s="2">
        <v>43117.541666666664</v>
      </c>
      <c r="B399" s="6">
        <v>0</v>
      </c>
      <c r="C399" s="7">
        <v>1.17</v>
      </c>
    </row>
    <row r="400" spans="1:3" x14ac:dyDescent="0.25">
      <c r="A400" s="2">
        <v>43117.583333333336</v>
      </c>
      <c r="B400" s="6">
        <v>0</v>
      </c>
      <c r="C400" s="7">
        <v>1.0900000000000001</v>
      </c>
    </row>
    <row r="401" spans="1:3" x14ac:dyDescent="0.25">
      <c r="A401" s="2">
        <v>43117.625</v>
      </c>
      <c r="B401" s="6">
        <v>0</v>
      </c>
      <c r="C401" s="7">
        <v>1.3</v>
      </c>
    </row>
    <row r="402" spans="1:3" x14ac:dyDescent="0.25">
      <c r="A402" s="2">
        <v>43117.666666666664</v>
      </c>
      <c r="B402" s="6">
        <v>0</v>
      </c>
      <c r="C402" s="7">
        <f>0.43+D402</f>
        <v>0.43</v>
      </c>
    </row>
    <row r="403" spans="1:3" x14ac:dyDescent="0.25">
      <c r="A403" s="2">
        <v>43117.708333333336</v>
      </c>
      <c r="B403" s="6">
        <v>0</v>
      </c>
      <c r="C403" s="7">
        <f>0.8+D403</f>
        <v>0.8</v>
      </c>
    </row>
    <row r="404" spans="1:3" x14ac:dyDescent="0.25">
      <c r="A404" s="2">
        <v>43117.75</v>
      </c>
      <c r="B404" s="6">
        <v>0</v>
      </c>
      <c r="C404" s="7">
        <v>1.34</v>
      </c>
    </row>
    <row r="405" spans="1:3" x14ac:dyDescent="0.25">
      <c r="A405" s="2">
        <v>43117.791666666664</v>
      </c>
      <c r="B405" s="6">
        <v>0</v>
      </c>
      <c r="C405" s="7">
        <v>1.26</v>
      </c>
    </row>
    <row r="406" spans="1:3" x14ac:dyDescent="0.25">
      <c r="A406" s="2">
        <v>43117.833333333336</v>
      </c>
      <c r="B406" s="6">
        <v>0</v>
      </c>
      <c r="C406" s="7">
        <f>0.42+D406</f>
        <v>0.42</v>
      </c>
    </row>
    <row r="407" spans="1:3" x14ac:dyDescent="0.25">
      <c r="A407" s="2">
        <v>43117.875</v>
      </c>
      <c r="B407" s="6">
        <v>1.86</v>
      </c>
      <c r="C407" s="7">
        <v>0</v>
      </c>
    </row>
    <row r="408" spans="1:3" x14ac:dyDescent="0.25">
      <c r="A408" s="2">
        <v>43117.916666666664</v>
      </c>
      <c r="B408" s="6">
        <v>0</v>
      </c>
      <c r="C408" s="7">
        <f>1.17+D408</f>
        <v>1.17</v>
      </c>
    </row>
    <row r="409" spans="1:3" x14ac:dyDescent="0.25">
      <c r="A409" s="2">
        <v>43117.958333333336</v>
      </c>
      <c r="B409" s="6">
        <v>0</v>
      </c>
      <c r="C409" s="7">
        <v>1.85</v>
      </c>
    </row>
    <row r="410" spans="1:3" x14ac:dyDescent="0.25">
      <c r="A410" s="2">
        <v>43118</v>
      </c>
      <c r="B410" s="6">
        <v>0</v>
      </c>
      <c r="C410" s="7">
        <f>0.53+D410</f>
        <v>0.53</v>
      </c>
    </row>
    <row r="411" spans="1:3" x14ac:dyDescent="0.25">
      <c r="A411" s="2">
        <v>43118.041666666664</v>
      </c>
      <c r="B411" s="6">
        <v>1.84</v>
      </c>
      <c r="C411" s="7">
        <v>0</v>
      </c>
    </row>
    <row r="412" spans="1:3" x14ac:dyDescent="0.25">
      <c r="A412" s="2">
        <v>43118.083333333336</v>
      </c>
      <c r="B412" s="6">
        <v>2.0699999999999998</v>
      </c>
      <c r="C412" s="7">
        <v>0</v>
      </c>
    </row>
    <row r="413" spans="1:3" x14ac:dyDescent="0.25">
      <c r="A413" s="2">
        <v>43118.125</v>
      </c>
      <c r="B413" s="6">
        <v>2.37</v>
      </c>
      <c r="C413" s="7">
        <v>0</v>
      </c>
    </row>
    <row r="414" spans="1:3" x14ac:dyDescent="0.25">
      <c r="A414" s="2">
        <v>43118.166666666664</v>
      </c>
      <c r="B414" s="6">
        <v>2.02</v>
      </c>
      <c r="C414" s="7">
        <v>0</v>
      </c>
    </row>
    <row r="415" spans="1:3" x14ac:dyDescent="0.25">
      <c r="A415" s="2">
        <v>43118.208333333336</v>
      </c>
      <c r="B415" s="6">
        <v>2.0699999999999998</v>
      </c>
      <c r="C415" s="7">
        <v>0</v>
      </c>
    </row>
    <row r="416" spans="1:3" x14ac:dyDescent="0.25">
      <c r="A416" s="2">
        <v>43118.25</v>
      </c>
      <c r="B416" s="6">
        <v>0</v>
      </c>
      <c r="C416" s="7">
        <f>0.96+D416</f>
        <v>0.96</v>
      </c>
    </row>
    <row r="417" spans="1:3" x14ac:dyDescent="0.25">
      <c r="A417" s="2">
        <v>43118.291666666664</v>
      </c>
      <c r="B417" s="6">
        <v>0</v>
      </c>
      <c r="C417" s="7">
        <v>1.1399999999999999</v>
      </c>
    </row>
    <row r="418" spans="1:3" x14ac:dyDescent="0.25">
      <c r="A418" s="2">
        <v>43118.333333333336</v>
      </c>
      <c r="B418" s="6">
        <v>0</v>
      </c>
      <c r="C418" s="7">
        <f>0.29+D418</f>
        <v>0.28999999999999998</v>
      </c>
    </row>
    <row r="419" spans="1:3" x14ac:dyDescent="0.25">
      <c r="A419" s="2">
        <v>43118.375</v>
      </c>
      <c r="B419" s="6">
        <v>0.99</v>
      </c>
      <c r="C419" s="7">
        <v>0</v>
      </c>
    </row>
    <row r="420" spans="1:3" x14ac:dyDescent="0.25">
      <c r="A420" s="2">
        <v>43118.416666666664</v>
      </c>
      <c r="B420" s="6">
        <v>0</v>
      </c>
      <c r="C420" s="7">
        <f>0.6+D420</f>
        <v>0.6</v>
      </c>
    </row>
    <row r="421" spans="1:3" x14ac:dyDescent="0.25">
      <c r="A421" s="2">
        <v>43118.458333333336</v>
      </c>
      <c r="B421" s="6">
        <v>0</v>
      </c>
      <c r="C421" s="7">
        <v>1.08</v>
      </c>
    </row>
    <row r="422" spans="1:3" x14ac:dyDescent="0.25">
      <c r="A422" s="2">
        <v>43118.5</v>
      </c>
      <c r="B422" s="6">
        <v>0</v>
      </c>
      <c r="C422" s="7">
        <f>0.31+D422</f>
        <v>0.31</v>
      </c>
    </row>
    <row r="423" spans="1:3" x14ac:dyDescent="0.25">
      <c r="A423" s="2">
        <v>43118.541666666664</v>
      </c>
      <c r="B423" s="6">
        <v>1.17</v>
      </c>
      <c r="C423" s="7">
        <v>0</v>
      </c>
    </row>
    <row r="424" spans="1:3" x14ac:dyDescent="0.25">
      <c r="A424" s="2">
        <v>43118.583333333336</v>
      </c>
      <c r="B424" s="6">
        <v>0</v>
      </c>
      <c r="C424" s="7">
        <f>0.7+D424</f>
        <v>0.7</v>
      </c>
    </row>
    <row r="425" spans="1:3" x14ac:dyDescent="0.25">
      <c r="A425" s="2">
        <v>43118.625</v>
      </c>
      <c r="B425" s="6">
        <v>0</v>
      </c>
      <c r="C425" s="7">
        <v>1.06</v>
      </c>
    </row>
    <row r="426" spans="1:3" x14ac:dyDescent="0.25">
      <c r="A426" s="2">
        <v>43118.666666666664</v>
      </c>
      <c r="B426" s="6">
        <v>0</v>
      </c>
      <c r="C426" s="7">
        <f>0.64+D426</f>
        <v>0.64</v>
      </c>
    </row>
    <row r="427" spans="1:3" x14ac:dyDescent="0.25">
      <c r="A427" s="2">
        <v>43118.708333333336</v>
      </c>
      <c r="B427" s="6">
        <v>1.1200000000000001</v>
      </c>
      <c r="C427" s="7">
        <v>0</v>
      </c>
    </row>
    <row r="428" spans="1:3" x14ac:dyDescent="0.25">
      <c r="A428" s="2">
        <v>43118.75</v>
      </c>
      <c r="B428" s="6">
        <v>0</v>
      </c>
      <c r="C428" s="7">
        <f>0.77+D428</f>
        <v>0.77</v>
      </c>
    </row>
    <row r="429" spans="1:3" x14ac:dyDescent="0.25">
      <c r="A429" s="2">
        <v>43118.791666666664</v>
      </c>
      <c r="B429" s="6">
        <v>0</v>
      </c>
      <c r="C429" s="7">
        <v>1.34</v>
      </c>
    </row>
    <row r="430" spans="1:3" x14ac:dyDescent="0.25">
      <c r="A430" s="2">
        <v>43118.833333333336</v>
      </c>
      <c r="B430" s="6">
        <v>0</v>
      </c>
      <c r="C430" s="7">
        <v>1.32</v>
      </c>
    </row>
    <row r="431" spans="1:3" x14ac:dyDescent="0.25">
      <c r="A431" s="2">
        <v>43118.875</v>
      </c>
      <c r="B431" s="6">
        <v>0</v>
      </c>
      <c r="C431" s="7">
        <f>0.59+D431</f>
        <v>0.59</v>
      </c>
    </row>
    <row r="432" spans="1:3" x14ac:dyDescent="0.25">
      <c r="A432" s="2">
        <v>43118.916666666664</v>
      </c>
      <c r="B432" s="6">
        <v>1.41</v>
      </c>
      <c r="C432" s="7">
        <v>0</v>
      </c>
    </row>
    <row r="433" spans="1:3" x14ac:dyDescent="0.25">
      <c r="A433" s="2">
        <v>43118.958333333336</v>
      </c>
      <c r="B433" s="6">
        <v>1.61</v>
      </c>
      <c r="C433" s="7">
        <v>0</v>
      </c>
    </row>
    <row r="434" spans="1:3" x14ac:dyDescent="0.25">
      <c r="A434" s="2">
        <v>43119</v>
      </c>
      <c r="B434" s="6">
        <v>1.28</v>
      </c>
      <c r="C434" s="7">
        <v>0</v>
      </c>
    </row>
    <row r="435" spans="1:3" x14ac:dyDescent="0.25">
      <c r="A435" s="2">
        <v>43119.041666666664</v>
      </c>
      <c r="B435" s="6">
        <v>1.39</v>
      </c>
      <c r="C435" s="7">
        <v>0</v>
      </c>
    </row>
    <row r="436" spans="1:3" x14ac:dyDescent="0.25">
      <c r="A436" s="2">
        <v>43119.083333333336</v>
      </c>
      <c r="B436" s="6">
        <v>1.21</v>
      </c>
      <c r="C436" s="7">
        <v>0</v>
      </c>
    </row>
    <row r="437" spans="1:3" x14ac:dyDescent="0.25">
      <c r="A437" s="2">
        <v>43119.125</v>
      </c>
      <c r="B437" s="6">
        <v>1.32</v>
      </c>
      <c r="C437" s="7">
        <v>0</v>
      </c>
    </row>
    <row r="438" spans="1:3" x14ac:dyDescent="0.25">
      <c r="A438" s="2">
        <v>43119.166666666664</v>
      </c>
      <c r="B438" s="6">
        <v>1.37</v>
      </c>
      <c r="C438" s="7">
        <v>0</v>
      </c>
    </row>
    <row r="439" spans="1:3" x14ac:dyDescent="0.25">
      <c r="A439" s="2">
        <v>43119.208333333336</v>
      </c>
      <c r="B439" s="6">
        <v>1.36</v>
      </c>
      <c r="C439" s="7">
        <v>0</v>
      </c>
    </row>
    <row r="440" spans="1:3" x14ac:dyDescent="0.25">
      <c r="A440" s="2">
        <v>43119.25</v>
      </c>
      <c r="B440" s="6">
        <v>1.1599999999999999</v>
      </c>
      <c r="C440" s="7">
        <v>0</v>
      </c>
    </row>
    <row r="441" spans="1:3" x14ac:dyDescent="0.25">
      <c r="A441" s="2">
        <v>43119.291666666664</v>
      </c>
      <c r="B441" s="6">
        <v>0.8</v>
      </c>
      <c r="C441" s="7">
        <v>0</v>
      </c>
    </row>
    <row r="442" spans="1:3" x14ac:dyDescent="0.25">
      <c r="A442" s="2">
        <v>43119.333333333336</v>
      </c>
      <c r="B442" s="6">
        <v>0.82</v>
      </c>
      <c r="C442" s="7">
        <v>0</v>
      </c>
    </row>
    <row r="443" spans="1:3" x14ac:dyDescent="0.25">
      <c r="A443" s="2">
        <v>43119.375</v>
      </c>
      <c r="B443" s="6">
        <v>2.65</v>
      </c>
      <c r="C443" s="7">
        <v>0</v>
      </c>
    </row>
    <row r="444" spans="1:3" x14ac:dyDescent="0.25">
      <c r="A444" s="2">
        <v>43119.416666666664</v>
      </c>
      <c r="B444" s="6">
        <v>1.22</v>
      </c>
      <c r="C444" s="7">
        <v>0</v>
      </c>
    </row>
    <row r="445" spans="1:3" x14ac:dyDescent="0.25">
      <c r="A445" s="2">
        <v>43119.458333333336</v>
      </c>
      <c r="B445" s="6">
        <v>0</v>
      </c>
      <c r="C445" s="7">
        <f>0.76+D445</f>
        <v>0.76</v>
      </c>
    </row>
    <row r="446" spans="1:3" x14ac:dyDescent="0.25">
      <c r="A446" s="2">
        <v>43119.5</v>
      </c>
      <c r="B446" s="6">
        <v>0</v>
      </c>
      <c r="C446" s="7">
        <f>0.65+D446</f>
        <v>0.65</v>
      </c>
    </row>
    <row r="447" spans="1:3" x14ac:dyDescent="0.25">
      <c r="A447" s="2">
        <v>43119.541666666664</v>
      </c>
      <c r="B447" s="6">
        <v>0.89</v>
      </c>
      <c r="C447" s="7">
        <v>0</v>
      </c>
    </row>
    <row r="448" spans="1:3" x14ac:dyDescent="0.25">
      <c r="A448" s="2">
        <v>43119.583333333336</v>
      </c>
      <c r="B448" s="6">
        <v>1.64</v>
      </c>
      <c r="C448" s="7">
        <v>0</v>
      </c>
    </row>
    <row r="449" spans="1:3" x14ac:dyDescent="0.25">
      <c r="A449" s="2">
        <v>43119.625</v>
      </c>
      <c r="B449" s="6">
        <v>0</v>
      </c>
      <c r="C449" s="7">
        <f>0.35+D449</f>
        <v>0.35</v>
      </c>
    </row>
    <row r="450" spans="1:3" x14ac:dyDescent="0.25">
      <c r="A450" s="2">
        <v>43119.666666666664</v>
      </c>
      <c r="B450" s="6">
        <v>0</v>
      </c>
      <c r="C450" s="7">
        <v>1.97</v>
      </c>
    </row>
    <row r="451" spans="1:3" x14ac:dyDescent="0.25">
      <c r="A451" s="2">
        <v>43119.708333333336</v>
      </c>
      <c r="B451" s="6">
        <v>0</v>
      </c>
      <c r="C451" s="7">
        <v>1.62</v>
      </c>
    </row>
    <row r="452" spans="1:3" x14ac:dyDescent="0.25">
      <c r="A452" s="2">
        <v>43119.75</v>
      </c>
      <c r="B452" s="6">
        <v>0</v>
      </c>
      <c r="C452" s="7">
        <f>0.43+D452</f>
        <v>0.43</v>
      </c>
    </row>
    <row r="453" spans="1:3" x14ac:dyDescent="0.25">
      <c r="A453" s="2">
        <v>43119.791666666664</v>
      </c>
      <c r="B453" s="6">
        <v>1.28</v>
      </c>
      <c r="C453" s="7">
        <v>0</v>
      </c>
    </row>
    <row r="454" spans="1:3" x14ac:dyDescent="0.25">
      <c r="A454" s="2">
        <v>43119.833333333336</v>
      </c>
      <c r="B454" s="6">
        <v>0</v>
      </c>
      <c r="C454" s="7">
        <f>0.89+D454</f>
        <v>0.89</v>
      </c>
    </row>
    <row r="455" spans="1:3" x14ac:dyDescent="0.25">
      <c r="A455" s="2">
        <v>43119.875</v>
      </c>
      <c r="B455" s="6">
        <v>0</v>
      </c>
      <c r="C455" s="7">
        <v>1.8</v>
      </c>
    </row>
    <row r="456" spans="1:3" x14ac:dyDescent="0.25">
      <c r="A456" s="2">
        <v>43119.916666666664</v>
      </c>
      <c r="B456" s="6">
        <v>0</v>
      </c>
      <c r="C456" s="7">
        <f>0.54+D456</f>
        <v>0.54</v>
      </c>
    </row>
    <row r="457" spans="1:3" x14ac:dyDescent="0.25">
      <c r="A457" s="2">
        <v>43119.958333333336</v>
      </c>
      <c r="B457" s="6">
        <v>2.27</v>
      </c>
      <c r="C457" s="7">
        <v>0</v>
      </c>
    </row>
    <row r="458" spans="1:3" x14ac:dyDescent="0.25">
      <c r="A458" s="2">
        <v>43120</v>
      </c>
      <c r="B458" s="6">
        <v>1.25</v>
      </c>
      <c r="C458" s="7">
        <v>0</v>
      </c>
    </row>
    <row r="459" spans="1:3" x14ac:dyDescent="0.25">
      <c r="A459" s="2">
        <v>43120.041666666664</v>
      </c>
      <c r="B459" s="6">
        <v>1.36</v>
      </c>
      <c r="C459" s="7">
        <v>0</v>
      </c>
    </row>
    <row r="460" spans="1:3" x14ac:dyDescent="0.25">
      <c r="A460" s="2">
        <v>43120.083333333336</v>
      </c>
      <c r="B460" s="6">
        <v>1.24</v>
      </c>
      <c r="C460" s="7">
        <v>0</v>
      </c>
    </row>
    <row r="461" spans="1:3" x14ac:dyDescent="0.25">
      <c r="A461" s="2">
        <v>43120.125</v>
      </c>
      <c r="B461" s="6">
        <v>1.41</v>
      </c>
      <c r="C461" s="7">
        <v>0</v>
      </c>
    </row>
    <row r="462" spans="1:3" x14ac:dyDescent="0.25">
      <c r="A462" s="2">
        <v>43120.166666666664</v>
      </c>
      <c r="B462" s="6">
        <v>1.4</v>
      </c>
      <c r="C462" s="7">
        <v>0</v>
      </c>
    </row>
    <row r="463" spans="1:3" x14ac:dyDescent="0.25">
      <c r="A463" s="2">
        <v>43120.208333333336</v>
      </c>
      <c r="B463" s="6">
        <v>0</v>
      </c>
      <c r="C463" s="7">
        <f>0.37+D463</f>
        <v>0.37</v>
      </c>
    </row>
    <row r="464" spans="1:3" x14ac:dyDescent="0.25">
      <c r="A464" s="2">
        <v>43120.25</v>
      </c>
      <c r="B464" s="6">
        <v>0</v>
      </c>
      <c r="C464" s="7">
        <f>0.73+D464</f>
        <v>0.73</v>
      </c>
    </row>
    <row r="465" spans="1:3" x14ac:dyDescent="0.25">
      <c r="A465" s="2">
        <v>43120.291666666664</v>
      </c>
      <c r="B465" s="6">
        <v>0</v>
      </c>
      <c r="C465" s="7">
        <v>0.97</v>
      </c>
    </row>
    <row r="466" spans="1:3" x14ac:dyDescent="0.25">
      <c r="A466" s="2">
        <v>43120.333333333336</v>
      </c>
      <c r="B466" s="6">
        <v>0</v>
      </c>
      <c r="C466" s="7">
        <f>0.5+D466</f>
        <v>0.5</v>
      </c>
    </row>
    <row r="467" spans="1:3" x14ac:dyDescent="0.25">
      <c r="A467" s="2">
        <v>43120.375</v>
      </c>
      <c r="B467" s="6">
        <v>1.48</v>
      </c>
      <c r="C467" s="7">
        <v>0</v>
      </c>
    </row>
    <row r="468" spans="1:3" x14ac:dyDescent="0.25">
      <c r="A468" s="2">
        <v>43120.416666666664</v>
      </c>
      <c r="B468" s="6">
        <v>0</v>
      </c>
      <c r="C468" s="7">
        <f>0.78+D468</f>
        <v>0.78</v>
      </c>
    </row>
    <row r="469" spans="1:3" x14ac:dyDescent="0.25">
      <c r="A469" s="2">
        <v>43120.458333333336</v>
      </c>
      <c r="B469" s="6">
        <v>0</v>
      </c>
      <c r="C469" s="7">
        <v>1.1200000000000001</v>
      </c>
    </row>
    <row r="470" spans="1:3" x14ac:dyDescent="0.25">
      <c r="A470" s="2">
        <v>43120.5</v>
      </c>
      <c r="B470" s="6">
        <v>0</v>
      </c>
      <c r="C470" s="7">
        <v>1.18</v>
      </c>
    </row>
    <row r="471" spans="1:3" x14ac:dyDescent="0.25">
      <c r="A471" s="2">
        <v>43120.541666666664</v>
      </c>
      <c r="B471" s="6">
        <v>0</v>
      </c>
      <c r="C471" s="7">
        <f>0.47+D471</f>
        <v>0.47</v>
      </c>
    </row>
    <row r="472" spans="1:3" x14ac:dyDescent="0.25">
      <c r="A472" s="2">
        <v>43120.583333333336</v>
      </c>
      <c r="B472" s="6">
        <v>2.41</v>
      </c>
      <c r="C472" s="7">
        <v>0</v>
      </c>
    </row>
    <row r="473" spans="1:3" x14ac:dyDescent="0.25">
      <c r="A473" s="2">
        <v>43120.625</v>
      </c>
      <c r="B473" s="6">
        <v>2.4900000000000002</v>
      </c>
      <c r="C473" s="7">
        <v>0</v>
      </c>
    </row>
    <row r="474" spans="1:3" x14ac:dyDescent="0.25">
      <c r="A474" s="2">
        <v>43120.666666666664</v>
      </c>
      <c r="B474" s="6">
        <v>0</v>
      </c>
      <c r="C474" s="7">
        <f>0.95+D474</f>
        <v>0.95</v>
      </c>
    </row>
    <row r="475" spans="1:3" x14ac:dyDescent="0.25">
      <c r="A475" s="2">
        <v>43120.708333333336</v>
      </c>
      <c r="B475" s="6">
        <v>0</v>
      </c>
      <c r="C475" s="7">
        <v>1.88</v>
      </c>
    </row>
    <row r="476" spans="1:3" x14ac:dyDescent="0.25">
      <c r="A476" s="2">
        <v>43120.75</v>
      </c>
      <c r="B476" s="6">
        <v>0</v>
      </c>
      <c r="C476" s="7">
        <v>1.55</v>
      </c>
    </row>
    <row r="477" spans="1:3" x14ac:dyDescent="0.25">
      <c r="A477" s="2">
        <v>43120.791666666664</v>
      </c>
      <c r="B477" s="6">
        <v>0</v>
      </c>
      <c r="C477" s="7">
        <f>0.65+D477</f>
        <v>0.65</v>
      </c>
    </row>
    <row r="478" spans="1:3" x14ac:dyDescent="0.25">
      <c r="A478" s="2">
        <v>43120.833333333336</v>
      </c>
      <c r="B478" s="6">
        <v>1.9</v>
      </c>
      <c r="C478" s="7">
        <v>0</v>
      </c>
    </row>
    <row r="479" spans="1:3" x14ac:dyDescent="0.25">
      <c r="A479" s="2">
        <v>43120.875</v>
      </c>
      <c r="B479" s="6">
        <v>2.38</v>
      </c>
      <c r="C479" s="7">
        <v>0</v>
      </c>
    </row>
    <row r="480" spans="1:3" x14ac:dyDescent="0.25">
      <c r="A480" s="2">
        <v>43120.916666666664</v>
      </c>
      <c r="B480" s="6">
        <v>0</v>
      </c>
      <c r="C480" s="7">
        <f>0.46+D480</f>
        <v>0.46</v>
      </c>
    </row>
    <row r="481" spans="1:3" x14ac:dyDescent="0.25">
      <c r="A481" s="2">
        <v>43120.958333333336</v>
      </c>
      <c r="B481" s="6">
        <v>2.06</v>
      </c>
      <c r="C481" s="7">
        <v>0</v>
      </c>
    </row>
    <row r="482" spans="1:3" x14ac:dyDescent="0.25">
      <c r="A482" s="2">
        <v>43121</v>
      </c>
      <c r="B482" s="6">
        <v>1.92</v>
      </c>
      <c r="C482" s="7">
        <v>0</v>
      </c>
    </row>
    <row r="483" spans="1:3" x14ac:dyDescent="0.25">
      <c r="A483" s="2">
        <v>43121.041666666664</v>
      </c>
      <c r="B483" s="6">
        <v>2.21</v>
      </c>
      <c r="C483" s="7">
        <v>0</v>
      </c>
    </row>
    <row r="484" spans="1:3" x14ac:dyDescent="0.25">
      <c r="A484" s="2">
        <v>43121.083333333336</v>
      </c>
      <c r="B484" s="6">
        <v>1.91</v>
      </c>
      <c r="C484" s="7">
        <v>0</v>
      </c>
    </row>
    <row r="485" spans="1:3" x14ac:dyDescent="0.25">
      <c r="A485" s="2">
        <v>43121.125</v>
      </c>
      <c r="B485" s="6">
        <v>2.4300000000000002</v>
      </c>
      <c r="C485" s="7">
        <v>0</v>
      </c>
    </row>
    <row r="486" spans="1:3" x14ac:dyDescent="0.25">
      <c r="A486" s="2">
        <v>43121.166666666664</v>
      </c>
      <c r="B486" s="6">
        <v>1.31</v>
      </c>
      <c r="C486" s="7">
        <v>0</v>
      </c>
    </row>
    <row r="487" spans="1:3" x14ac:dyDescent="0.25">
      <c r="A487" s="2">
        <v>43121.208333333336</v>
      </c>
      <c r="B487" s="6">
        <v>0.75</v>
      </c>
      <c r="C487" s="7">
        <v>0</v>
      </c>
    </row>
    <row r="488" spans="1:3" x14ac:dyDescent="0.25">
      <c r="A488" s="2">
        <v>43121.25</v>
      </c>
      <c r="B488" s="6">
        <v>0</v>
      </c>
      <c r="C488" s="7">
        <f>0.27+D488</f>
        <v>0.27</v>
      </c>
    </row>
    <row r="489" spans="1:3" x14ac:dyDescent="0.25">
      <c r="A489" s="2">
        <v>43121.291666666664</v>
      </c>
      <c r="B489" s="6">
        <v>0</v>
      </c>
      <c r="C489" s="7">
        <v>0.67</v>
      </c>
    </row>
    <row r="490" spans="1:3" x14ac:dyDescent="0.25">
      <c r="A490" s="2">
        <v>43121.333333333336</v>
      </c>
      <c r="B490" s="6">
        <v>0</v>
      </c>
      <c r="C490" s="7">
        <f>0.41+D490</f>
        <v>0.41</v>
      </c>
    </row>
    <row r="491" spans="1:3" x14ac:dyDescent="0.25">
      <c r="A491" s="2">
        <v>43121.375</v>
      </c>
      <c r="B491" s="6">
        <v>0.83</v>
      </c>
      <c r="C491" s="7">
        <v>0</v>
      </c>
    </row>
    <row r="492" spans="1:3" x14ac:dyDescent="0.25">
      <c r="A492" s="2">
        <v>43121.416666666664</v>
      </c>
      <c r="B492" s="6">
        <v>0.64</v>
      </c>
      <c r="C492" s="7">
        <v>1.3</v>
      </c>
    </row>
    <row r="493" spans="1:3" x14ac:dyDescent="0.25">
      <c r="A493" s="2">
        <v>43121.458333333336</v>
      </c>
      <c r="B493" s="6">
        <v>0</v>
      </c>
      <c r="C493" s="7">
        <v>2.06</v>
      </c>
    </row>
    <row r="494" spans="1:3" x14ac:dyDescent="0.25">
      <c r="A494" s="2">
        <v>43121.5</v>
      </c>
      <c r="B494" s="6">
        <v>0</v>
      </c>
      <c r="C494" s="7">
        <f>0.72+D494</f>
        <v>0.72</v>
      </c>
    </row>
    <row r="495" spans="1:3" x14ac:dyDescent="0.25">
      <c r="A495" s="2">
        <v>43121.541666666664</v>
      </c>
      <c r="B495" s="6">
        <v>1.57</v>
      </c>
      <c r="C495" s="7">
        <v>0</v>
      </c>
    </row>
    <row r="496" spans="1:3" x14ac:dyDescent="0.25">
      <c r="A496" s="2">
        <v>43121.583333333336</v>
      </c>
      <c r="B496" s="6">
        <v>0</v>
      </c>
      <c r="C496" s="7">
        <f>1.37+D496</f>
        <v>1.37</v>
      </c>
    </row>
    <row r="497" spans="1:3" x14ac:dyDescent="0.25">
      <c r="A497" s="2">
        <v>43121.625</v>
      </c>
      <c r="B497" s="6">
        <v>0</v>
      </c>
      <c r="C497" s="7">
        <v>1.94</v>
      </c>
    </row>
    <row r="498" spans="1:3" x14ac:dyDescent="0.25">
      <c r="A498" s="2">
        <v>43121.666666666664</v>
      </c>
      <c r="B498" s="6">
        <v>0</v>
      </c>
      <c r="C498" s="7">
        <v>1.86</v>
      </c>
    </row>
    <row r="499" spans="1:3" x14ac:dyDescent="0.25">
      <c r="A499" s="2">
        <v>43121.708333333336</v>
      </c>
      <c r="B499" s="6">
        <v>0</v>
      </c>
      <c r="C499" s="7">
        <v>1.66</v>
      </c>
    </row>
    <row r="500" spans="1:3" x14ac:dyDescent="0.25">
      <c r="A500" s="2">
        <v>43121.75</v>
      </c>
      <c r="B500" s="6">
        <v>0</v>
      </c>
      <c r="C500" s="7">
        <f>0.27+D500</f>
        <v>0.27</v>
      </c>
    </row>
    <row r="501" spans="1:3" x14ac:dyDescent="0.25">
      <c r="A501" s="2">
        <v>43121.791666666664</v>
      </c>
      <c r="B501" s="6">
        <v>1.54</v>
      </c>
      <c r="C501" s="7">
        <v>0</v>
      </c>
    </row>
    <row r="502" spans="1:3" x14ac:dyDescent="0.25">
      <c r="A502" s="2">
        <v>43121.833333333336</v>
      </c>
      <c r="B502" s="6">
        <v>0</v>
      </c>
      <c r="C502" s="7">
        <f>0.94+D502</f>
        <v>0.94</v>
      </c>
    </row>
    <row r="503" spans="1:3" x14ac:dyDescent="0.25">
      <c r="A503" s="2">
        <v>43121.875</v>
      </c>
      <c r="B503" s="6">
        <v>0</v>
      </c>
      <c r="C503" s="7">
        <v>1.48</v>
      </c>
    </row>
    <row r="504" spans="1:3" x14ac:dyDescent="0.25">
      <c r="A504" s="2">
        <v>43121.916666666664</v>
      </c>
      <c r="B504" s="6">
        <v>0</v>
      </c>
      <c r="C504" s="7">
        <f>0.52+D504</f>
        <v>0.52</v>
      </c>
    </row>
    <row r="505" spans="1:3" x14ac:dyDescent="0.25">
      <c r="A505" s="2">
        <v>43121.958333333336</v>
      </c>
      <c r="B505" s="6">
        <v>2.4900000000000002</v>
      </c>
      <c r="C505" s="7">
        <v>0</v>
      </c>
    </row>
    <row r="506" spans="1:3" x14ac:dyDescent="0.25">
      <c r="A506" s="2">
        <v>43122</v>
      </c>
      <c r="B506" s="6">
        <v>2.2599999999999998</v>
      </c>
      <c r="C506" s="7">
        <v>0</v>
      </c>
    </row>
    <row r="507" spans="1:3" x14ac:dyDescent="0.25">
      <c r="A507" s="2">
        <v>43122.041666666664</v>
      </c>
      <c r="B507" s="6">
        <v>2.0099999999999998</v>
      </c>
      <c r="C507" s="7">
        <v>0</v>
      </c>
    </row>
    <row r="508" spans="1:3" x14ac:dyDescent="0.25">
      <c r="A508" s="2">
        <v>43122.083333333336</v>
      </c>
      <c r="B508" s="6">
        <v>0</v>
      </c>
      <c r="C508" s="7">
        <f>0.19+D508</f>
        <v>0.19</v>
      </c>
    </row>
    <row r="509" spans="1:3" x14ac:dyDescent="0.25">
      <c r="A509" s="2">
        <v>43122.125</v>
      </c>
      <c r="B509" s="6">
        <v>0</v>
      </c>
      <c r="C509" s="7">
        <v>2.11</v>
      </c>
    </row>
    <row r="510" spans="1:3" x14ac:dyDescent="0.25">
      <c r="A510" s="2">
        <v>43122.166666666664</v>
      </c>
      <c r="B510" s="6">
        <v>0</v>
      </c>
      <c r="C510" s="7">
        <f>0.48+D510</f>
        <v>0.48</v>
      </c>
    </row>
    <row r="511" spans="1:3" x14ac:dyDescent="0.25">
      <c r="A511" s="2">
        <v>43122.208333333336</v>
      </c>
      <c r="B511" s="6">
        <v>1.1299999999999999</v>
      </c>
      <c r="C511" s="7">
        <v>0</v>
      </c>
    </row>
    <row r="512" spans="1:3" x14ac:dyDescent="0.25">
      <c r="A512" s="2">
        <v>43122.25</v>
      </c>
      <c r="B512" s="6">
        <v>0</v>
      </c>
      <c r="C512" s="7">
        <f>0.37+D512</f>
        <v>0.37</v>
      </c>
    </row>
    <row r="513" spans="1:3" x14ac:dyDescent="0.25">
      <c r="A513" s="2">
        <v>43122.291666666664</v>
      </c>
      <c r="B513" s="6">
        <v>0</v>
      </c>
      <c r="C513" s="7">
        <v>0.69</v>
      </c>
    </row>
    <row r="514" spans="1:3" x14ac:dyDescent="0.25">
      <c r="A514" s="2">
        <v>43122.333333333336</v>
      </c>
      <c r="B514" s="6">
        <v>0</v>
      </c>
      <c r="C514" s="7">
        <v>0.89</v>
      </c>
    </row>
    <row r="515" spans="1:3" x14ac:dyDescent="0.25">
      <c r="A515" s="2">
        <v>43122.375</v>
      </c>
      <c r="B515" s="6">
        <v>0</v>
      </c>
      <c r="C515" s="7">
        <v>1.68</v>
      </c>
    </row>
    <row r="516" spans="1:3" x14ac:dyDescent="0.25">
      <c r="A516" s="2">
        <v>43122.416666666664</v>
      </c>
      <c r="B516" s="6">
        <v>0</v>
      </c>
      <c r="C516" s="7">
        <f>1.33+D516</f>
        <v>1.33</v>
      </c>
    </row>
    <row r="517" spans="1:3" x14ac:dyDescent="0.25">
      <c r="A517" s="2">
        <v>43122.458333333336</v>
      </c>
      <c r="B517" s="6">
        <v>2.2000000000000002</v>
      </c>
      <c r="C517" s="7">
        <v>0</v>
      </c>
    </row>
    <row r="518" spans="1:3" x14ac:dyDescent="0.25">
      <c r="A518" s="2">
        <v>43122.5</v>
      </c>
      <c r="B518" s="6">
        <v>0</v>
      </c>
      <c r="C518" s="7">
        <f>1.02+D518</f>
        <v>1.02</v>
      </c>
    </row>
    <row r="519" spans="1:3" x14ac:dyDescent="0.25">
      <c r="A519" s="2">
        <v>43122.541666666664</v>
      </c>
      <c r="B519" s="6">
        <v>0</v>
      </c>
      <c r="C519" s="7">
        <v>1.28</v>
      </c>
    </row>
    <row r="520" spans="1:3" x14ac:dyDescent="0.25">
      <c r="A520" s="2">
        <v>43122.583333333336</v>
      </c>
      <c r="B520" s="6">
        <v>0</v>
      </c>
      <c r="C520" s="7">
        <v>1.31</v>
      </c>
    </row>
    <row r="521" spans="1:3" x14ac:dyDescent="0.25">
      <c r="A521" s="2">
        <v>43122.625</v>
      </c>
      <c r="B521" s="6">
        <v>0</v>
      </c>
      <c r="C521" s="7">
        <f>0.59+D521</f>
        <v>0.59</v>
      </c>
    </row>
    <row r="522" spans="1:3" x14ac:dyDescent="0.25">
      <c r="A522" s="2">
        <v>43122.666666666664</v>
      </c>
      <c r="B522" s="6">
        <v>0</v>
      </c>
      <c r="C522" s="7">
        <f>0.92+D522</f>
        <v>0.92</v>
      </c>
    </row>
    <row r="523" spans="1:3" x14ac:dyDescent="0.25">
      <c r="A523" s="2">
        <v>43122.708333333336</v>
      </c>
      <c r="B523" s="6">
        <v>0</v>
      </c>
      <c r="C523" s="7">
        <v>1.45</v>
      </c>
    </row>
    <row r="524" spans="1:3" x14ac:dyDescent="0.25">
      <c r="A524" s="2">
        <v>43122.75</v>
      </c>
      <c r="B524" s="6">
        <v>0</v>
      </c>
      <c r="C524" s="7">
        <v>2.2400000000000002</v>
      </c>
    </row>
    <row r="525" spans="1:3" x14ac:dyDescent="0.25">
      <c r="A525" s="2">
        <v>43122.791666666664</v>
      </c>
      <c r="B525" s="6">
        <v>0</v>
      </c>
      <c r="C525" s="7">
        <v>2.17</v>
      </c>
    </row>
    <row r="526" spans="1:3" x14ac:dyDescent="0.25">
      <c r="A526" s="2">
        <v>43122.833333333336</v>
      </c>
      <c r="B526" s="6">
        <v>0</v>
      </c>
      <c r="C526" s="7">
        <f>0.86+D526</f>
        <v>0.86</v>
      </c>
    </row>
    <row r="527" spans="1:3" x14ac:dyDescent="0.25">
      <c r="A527" s="2">
        <v>43122.875</v>
      </c>
      <c r="B527" s="6">
        <v>2.35</v>
      </c>
      <c r="C527" s="7">
        <v>0</v>
      </c>
    </row>
    <row r="528" spans="1:3" x14ac:dyDescent="0.25">
      <c r="A528" s="2">
        <v>43122.916666666664</v>
      </c>
      <c r="B528" s="6">
        <v>0</v>
      </c>
      <c r="C528" s="7">
        <v>0.8</v>
      </c>
    </row>
    <row r="529" spans="1:3" x14ac:dyDescent="0.25">
      <c r="A529" s="2">
        <v>43122.958333333336</v>
      </c>
      <c r="B529" s="6">
        <v>0</v>
      </c>
      <c r="C529" s="7">
        <f>1.26+D529</f>
        <v>1.26</v>
      </c>
    </row>
    <row r="530" spans="1:3" x14ac:dyDescent="0.25">
      <c r="A530" s="2">
        <v>43123</v>
      </c>
      <c r="B530" s="6">
        <v>2.04</v>
      </c>
      <c r="C530" s="7">
        <v>0</v>
      </c>
    </row>
    <row r="531" spans="1:3" x14ac:dyDescent="0.25">
      <c r="A531" s="2">
        <v>43123.041666666664</v>
      </c>
      <c r="B531" s="6">
        <v>1.85</v>
      </c>
      <c r="C531" s="7">
        <v>0</v>
      </c>
    </row>
    <row r="532" spans="1:3" x14ac:dyDescent="0.25">
      <c r="A532" s="2">
        <v>43123.083333333336</v>
      </c>
      <c r="B532" s="6">
        <v>2.21</v>
      </c>
      <c r="C532" s="7">
        <v>0</v>
      </c>
    </row>
    <row r="533" spans="1:3" x14ac:dyDescent="0.25">
      <c r="A533" s="2">
        <v>43123.125</v>
      </c>
      <c r="B533" s="6">
        <v>2.62</v>
      </c>
      <c r="C533" s="7">
        <v>0</v>
      </c>
    </row>
    <row r="534" spans="1:3" x14ac:dyDescent="0.25">
      <c r="A534" s="2">
        <v>43123.166666666664</v>
      </c>
      <c r="B534" s="6">
        <v>1.38</v>
      </c>
      <c r="C534" s="7">
        <v>0</v>
      </c>
    </row>
    <row r="535" spans="1:3" x14ac:dyDescent="0.25">
      <c r="A535" s="2">
        <v>43123.208333333336</v>
      </c>
      <c r="B535" s="6">
        <v>0.86</v>
      </c>
      <c r="C535" s="7">
        <v>0</v>
      </c>
    </row>
    <row r="536" spans="1:3" x14ac:dyDescent="0.25">
      <c r="A536" s="2">
        <v>43123.25</v>
      </c>
      <c r="B536" s="6">
        <v>0</v>
      </c>
      <c r="C536" s="7">
        <f>0.47+D536</f>
        <v>0.47</v>
      </c>
    </row>
    <row r="537" spans="1:3" x14ac:dyDescent="0.25">
      <c r="A537" s="2">
        <v>43123.291666666664</v>
      </c>
      <c r="B537" s="6">
        <v>0</v>
      </c>
      <c r="C537" s="7">
        <v>0.89</v>
      </c>
    </row>
    <row r="538" spans="1:3" x14ac:dyDescent="0.25">
      <c r="A538" s="2">
        <v>43123.333333333336</v>
      </c>
      <c r="B538" s="6">
        <v>0</v>
      </c>
      <c r="C538" s="7">
        <f>0.4+D538</f>
        <v>0.4</v>
      </c>
    </row>
    <row r="539" spans="1:3" x14ac:dyDescent="0.25">
      <c r="A539" s="2">
        <v>43123.375</v>
      </c>
      <c r="B539" s="6">
        <v>1.75</v>
      </c>
      <c r="C539" s="7">
        <v>0</v>
      </c>
    </row>
    <row r="540" spans="1:3" x14ac:dyDescent="0.25">
      <c r="A540" s="2">
        <v>43123.416666666664</v>
      </c>
      <c r="B540" s="6">
        <v>0</v>
      </c>
      <c r="C540" s="7">
        <f>1.39+D540</f>
        <v>1.39</v>
      </c>
    </row>
    <row r="541" spans="1:3" x14ac:dyDescent="0.25">
      <c r="A541" s="2">
        <v>43123.458333333336</v>
      </c>
      <c r="B541" s="6">
        <v>0</v>
      </c>
      <c r="C541" s="7">
        <v>2.04</v>
      </c>
    </row>
    <row r="542" spans="1:3" x14ac:dyDescent="0.25">
      <c r="A542" s="2">
        <v>43123.5</v>
      </c>
      <c r="B542" s="6">
        <v>0</v>
      </c>
      <c r="C542" s="7">
        <f>0.74+D542</f>
        <v>0.74</v>
      </c>
    </row>
    <row r="543" spans="1:3" x14ac:dyDescent="0.25">
      <c r="A543" s="2">
        <v>43123.541666666664</v>
      </c>
      <c r="B543" s="6">
        <v>0</v>
      </c>
      <c r="C543" s="7">
        <f>1.73+D543</f>
        <v>1.73</v>
      </c>
    </row>
    <row r="544" spans="1:3" x14ac:dyDescent="0.25">
      <c r="A544" s="2">
        <v>43123.583333333336</v>
      </c>
      <c r="B544" s="6">
        <v>0</v>
      </c>
      <c r="C544" s="7">
        <v>2.59</v>
      </c>
    </row>
    <row r="545" spans="1:3" x14ac:dyDescent="0.25">
      <c r="A545" s="2">
        <v>43123.625</v>
      </c>
      <c r="B545" s="6">
        <v>0</v>
      </c>
      <c r="C545" s="7">
        <v>2.33</v>
      </c>
    </row>
    <row r="546" spans="1:3" x14ac:dyDescent="0.25">
      <c r="A546" s="2">
        <v>43123.666666666664</v>
      </c>
      <c r="B546" s="6">
        <v>0</v>
      </c>
      <c r="C546" s="7">
        <f>0.57+D546</f>
        <v>0.56999999999999995</v>
      </c>
    </row>
    <row r="547" spans="1:3" x14ac:dyDescent="0.25">
      <c r="A547" s="2">
        <v>43123.708333333336</v>
      </c>
      <c r="B547" s="6">
        <v>0</v>
      </c>
      <c r="C547" s="7">
        <f>1.4+D547</f>
        <v>1.4</v>
      </c>
    </row>
    <row r="548" spans="1:3" x14ac:dyDescent="0.25">
      <c r="A548" s="2">
        <v>43123.75</v>
      </c>
      <c r="B548" s="6">
        <v>0</v>
      </c>
      <c r="C548" s="7">
        <v>2.0499999999999998</v>
      </c>
    </row>
    <row r="549" spans="1:3" x14ac:dyDescent="0.25">
      <c r="A549" s="2">
        <v>43123.791666666664</v>
      </c>
      <c r="B549" s="6">
        <v>0</v>
      </c>
      <c r="C549" s="7">
        <v>2.48</v>
      </c>
    </row>
    <row r="550" spans="1:3" x14ac:dyDescent="0.25">
      <c r="A550" s="2">
        <v>43123.833333333336</v>
      </c>
      <c r="B550" s="6">
        <v>0</v>
      </c>
      <c r="C550" s="7">
        <f>0.59+D550</f>
        <v>0.59</v>
      </c>
    </row>
    <row r="551" spans="1:3" x14ac:dyDescent="0.25">
      <c r="A551" s="2">
        <v>43123.875</v>
      </c>
      <c r="B551" s="6">
        <v>2.46</v>
      </c>
      <c r="C551" s="7">
        <v>0</v>
      </c>
    </row>
    <row r="552" spans="1:3" x14ac:dyDescent="0.25">
      <c r="A552" s="2">
        <v>43123.916666666664</v>
      </c>
      <c r="B552" s="6">
        <v>2.06</v>
      </c>
      <c r="C552" s="7">
        <v>0</v>
      </c>
    </row>
    <row r="553" spans="1:3" x14ac:dyDescent="0.25">
      <c r="A553" s="2">
        <v>43123.958333333336</v>
      </c>
      <c r="B553" s="6">
        <v>1.78</v>
      </c>
      <c r="C553" s="7">
        <v>0</v>
      </c>
    </row>
    <row r="554" spans="1:3" x14ac:dyDescent="0.25">
      <c r="A554" s="2">
        <v>43124</v>
      </c>
      <c r="B554" s="6">
        <v>2.29</v>
      </c>
      <c r="C554" s="7">
        <v>0</v>
      </c>
    </row>
    <row r="555" spans="1:3" x14ac:dyDescent="0.25">
      <c r="A555" s="2">
        <v>43124.041666666664</v>
      </c>
      <c r="B555" s="6">
        <v>1.78</v>
      </c>
      <c r="C555" s="7">
        <v>0</v>
      </c>
    </row>
    <row r="556" spans="1:3" x14ac:dyDescent="0.25">
      <c r="A556" s="2">
        <v>43124.083333333336</v>
      </c>
      <c r="B556" s="6">
        <v>2.2200000000000002</v>
      </c>
      <c r="C556" s="7">
        <v>0</v>
      </c>
    </row>
    <row r="557" spans="1:3" x14ac:dyDescent="0.25">
      <c r="A557" s="2">
        <v>43124.125</v>
      </c>
      <c r="B557" s="6">
        <v>0.63</v>
      </c>
      <c r="C557" s="7">
        <v>0</v>
      </c>
    </row>
    <row r="558" spans="1:3" x14ac:dyDescent="0.25">
      <c r="A558" s="2">
        <v>43124.166666666664</v>
      </c>
      <c r="B558" s="6">
        <v>2.3199999999999998</v>
      </c>
      <c r="C558" s="7">
        <v>0</v>
      </c>
    </row>
    <row r="559" spans="1:3" x14ac:dyDescent="0.25">
      <c r="A559" s="2">
        <v>43124.208333333336</v>
      </c>
      <c r="B559" s="6">
        <v>2.39</v>
      </c>
      <c r="C559" s="7">
        <v>0</v>
      </c>
    </row>
    <row r="560" spans="1:3" x14ac:dyDescent="0.25">
      <c r="A560" s="2">
        <v>43124.25</v>
      </c>
      <c r="B560" s="6">
        <v>2.0499999999999998</v>
      </c>
      <c r="C560" s="7">
        <v>0</v>
      </c>
    </row>
    <row r="561" spans="1:3" x14ac:dyDescent="0.25">
      <c r="A561" s="2">
        <v>43124.291666666664</v>
      </c>
      <c r="B561" s="6">
        <v>1.62</v>
      </c>
      <c r="C561" s="7">
        <v>0</v>
      </c>
    </row>
    <row r="562" spans="1:3" x14ac:dyDescent="0.25">
      <c r="A562" s="2">
        <v>43124.333333333336</v>
      </c>
      <c r="B562" s="6">
        <v>0.4</v>
      </c>
      <c r="C562" s="7">
        <v>0</v>
      </c>
    </row>
    <row r="563" spans="1:3" x14ac:dyDescent="0.25">
      <c r="A563" s="2">
        <v>43124.375</v>
      </c>
      <c r="B563" s="6">
        <v>1.1000000000000001</v>
      </c>
      <c r="C563" s="7">
        <v>0</v>
      </c>
    </row>
    <row r="564" spans="1:3" x14ac:dyDescent="0.25">
      <c r="A564" s="2">
        <v>43124.416666666664</v>
      </c>
      <c r="B564" s="6">
        <v>0.43</v>
      </c>
      <c r="C564" s="7">
        <v>0</v>
      </c>
    </row>
    <row r="565" spans="1:3" x14ac:dyDescent="0.25">
      <c r="A565" s="2">
        <v>43124.458333333336</v>
      </c>
      <c r="B565" s="6">
        <v>0.43</v>
      </c>
      <c r="C565" s="7">
        <v>0</v>
      </c>
    </row>
    <row r="566" spans="1:3" x14ac:dyDescent="0.25">
      <c r="A566" s="2">
        <v>43124.5</v>
      </c>
      <c r="B566" s="6">
        <v>1.31</v>
      </c>
      <c r="C566" s="7">
        <v>0</v>
      </c>
    </row>
    <row r="567" spans="1:3" x14ac:dyDescent="0.25">
      <c r="A567" s="2">
        <v>43124.541666666664</v>
      </c>
      <c r="B567" s="6">
        <v>1.96</v>
      </c>
      <c r="C567" s="7">
        <v>0</v>
      </c>
    </row>
    <row r="568" spans="1:3" x14ac:dyDescent="0.25">
      <c r="A568" s="2">
        <v>43124.583333333336</v>
      </c>
      <c r="B568" s="6">
        <v>0</v>
      </c>
      <c r="C568" s="7">
        <f>1.05+D568</f>
        <v>1.05</v>
      </c>
    </row>
    <row r="569" spans="1:3" x14ac:dyDescent="0.25">
      <c r="A569" s="2">
        <v>43124.625</v>
      </c>
      <c r="B569" s="6">
        <v>0</v>
      </c>
      <c r="C569" s="7">
        <v>2.19</v>
      </c>
    </row>
    <row r="570" spans="1:3" x14ac:dyDescent="0.25">
      <c r="A570" s="2">
        <v>43124.666666666664</v>
      </c>
      <c r="B570" s="6">
        <v>0</v>
      </c>
      <c r="C570" s="7">
        <f>1.07+D570</f>
        <v>1.07</v>
      </c>
    </row>
    <row r="571" spans="1:3" x14ac:dyDescent="0.25">
      <c r="A571" s="2">
        <v>43124.708333333336</v>
      </c>
      <c r="B571" s="6">
        <v>0</v>
      </c>
      <c r="C571" s="7">
        <v>1.95</v>
      </c>
    </row>
    <row r="572" spans="1:3" x14ac:dyDescent="0.25">
      <c r="A572" s="2">
        <v>43124.75</v>
      </c>
      <c r="B572" s="6">
        <v>0</v>
      </c>
      <c r="C572" s="7">
        <f>0.95+D572</f>
        <v>0.95</v>
      </c>
    </row>
    <row r="573" spans="1:3" x14ac:dyDescent="0.25">
      <c r="A573" s="2">
        <v>43124.791666666664</v>
      </c>
      <c r="B573" s="6">
        <v>1.85</v>
      </c>
      <c r="C573" s="7">
        <v>0</v>
      </c>
    </row>
    <row r="574" spans="1:3" x14ac:dyDescent="0.25">
      <c r="A574" s="2">
        <v>43124.833333333336</v>
      </c>
      <c r="B574" s="6">
        <v>0</v>
      </c>
      <c r="C574" s="7">
        <f>1.18+D574</f>
        <v>1.18</v>
      </c>
    </row>
    <row r="575" spans="1:3" x14ac:dyDescent="0.25">
      <c r="A575" s="2">
        <v>43124.875</v>
      </c>
      <c r="B575" s="6">
        <v>0</v>
      </c>
      <c r="C575" s="7">
        <v>2.02</v>
      </c>
    </row>
    <row r="576" spans="1:3" x14ac:dyDescent="0.25">
      <c r="A576" s="2">
        <v>43124.916666666664</v>
      </c>
      <c r="B576" s="6">
        <v>0</v>
      </c>
      <c r="C576" s="7">
        <f>0.72+D576</f>
        <v>0.72</v>
      </c>
    </row>
    <row r="577" spans="1:3" x14ac:dyDescent="0.25">
      <c r="A577" s="2">
        <v>43124.958333333336</v>
      </c>
      <c r="B577" s="6">
        <v>2.11</v>
      </c>
      <c r="C577" s="7">
        <v>0</v>
      </c>
    </row>
    <row r="578" spans="1:3" x14ac:dyDescent="0.25">
      <c r="A578" s="2">
        <v>43125</v>
      </c>
      <c r="B578" s="6">
        <v>1.81</v>
      </c>
      <c r="C578" s="7">
        <v>0</v>
      </c>
    </row>
    <row r="579" spans="1:3" x14ac:dyDescent="0.25">
      <c r="A579" s="2">
        <v>43125.041666666664</v>
      </c>
      <c r="B579" s="6">
        <v>1.79</v>
      </c>
      <c r="C579" s="7">
        <v>0</v>
      </c>
    </row>
    <row r="580" spans="1:3" x14ac:dyDescent="0.25">
      <c r="A580" s="2">
        <v>43125.083333333336</v>
      </c>
      <c r="B580" s="6">
        <v>1.99</v>
      </c>
      <c r="C580" s="7">
        <v>0</v>
      </c>
    </row>
    <row r="581" spans="1:3" x14ac:dyDescent="0.25">
      <c r="A581" s="2">
        <v>43125.125</v>
      </c>
      <c r="B581" s="6">
        <v>2.48</v>
      </c>
      <c r="C581" s="7">
        <v>0</v>
      </c>
    </row>
    <row r="582" spans="1:3" x14ac:dyDescent="0.25">
      <c r="A582" s="2">
        <v>43125.166666666664</v>
      </c>
      <c r="B582" s="6">
        <v>0</v>
      </c>
      <c r="C582" s="7">
        <v>0.48</v>
      </c>
    </row>
    <row r="583" spans="1:3" x14ac:dyDescent="0.25">
      <c r="A583" s="2">
        <v>43125.208333333336</v>
      </c>
      <c r="B583" s="6">
        <v>0</v>
      </c>
      <c r="C583" s="7">
        <v>0.84</v>
      </c>
    </row>
    <row r="584" spans="1:3" x14ac:dyDescent="0.25">
      <c r="A584" s="2">
        <v>43125.25</v>
      </c>
      <c r="B584" s="6">
        <v>0</v>
      </c>
      <c r="C584" s="7">
        <v>0.27</v>
      </c>
    </row>
    <row r="585" spans="1:3" x14ac:dyDescent="0.25">
      <c r="A585" s="2">
        <v>43125.291666666664</v>
      </c>
      <c r="B585" s="6">
        <v>0.72</v>
      </c>
      <c r="C585" s="7">
        <v>0</v>
      </c>
    </row>
    <row r="586" spans="1:3" x14ac:dyDescent="0.25">
      <c r="A586" s="2">
        <v>43125.333333333336</v>
      </c>
      <c r="B586" s="6">
        <v>0.72</v>
      </c>
      <c r="C586" s="7">
        <v>0</v>
      </c>
    </row>
    <row r="587" spans="1:3" x14ac:dyDescent="0.25">
      <c r="A587" s="2">
        <v>43125.375</v>
      </c>
      <c r="B587" s="6">
        <v>0</v>
      </c>
      <c r="C587" s="7">
        <v>0.96</v>
      </c>
    </row>
    <row r="588" spans="1:3" x14ac:dyDescent="0.25">
      <c r="A588" s="2">
        <v>43125.416666666664</v>
      </c>
      <c r="B588" s="6">
        <v>0</v>
      </c>
      <c r="C588" s="7">
        <v>1.23</v>
      </c>
    </row>
    <row r="589" spans="1:3" x14ac:dyDescent="0.25">
      <c r="A589" s="2">
        <v>43125.458333333336</v>
      </c>
      <c r="B589" s="6">
        <v>0</v>
      </c>
      <c r="C589" s="7">
        <v>1.18</v>
      </c>
    </row>
    <row r="590" spans="1:3" x14ac:dyDescent="0.25">
      <c r="A590" s="2">
        <v>43125.5</v>
      </c>
      <c r="B590" s="6">
        <v>0</v>
      </c>
      <c r="C590" s="7">
        <v>0.53</v>
      </c>
    </row>
    <row r="591" spans="1:3" x14ac:dyDescent="0.25">
      <c r="A591" s="2">
        <v>43125.541666666664</v>
      </c>
      <c r="B591" s="6">
        <v>1.8</v>
      </c>
      <c r="C591" s="7">
        <v>0</v>
      </c>
    </row>
    <row r="592" spans="1:3" x14ac:dyDescent="0.25">
      <c r="A592" s="2">
        <v>43125.583333333336</v>
      </c>
      <c r="B592" s="6">
        <v>0</v>
      </c>
      <c r="C592" s="7">
        <v>1.54</v>
      </c>
    </row>
    <row r="593" spans="1:3" x14ac:dyDescent="0.25">
      <c r="A593" s="2">
        <v>43125.625</v>
      </c>
      <c r="B593" s="6">
        <v>0</v>
      </c>
      <c r="C593" s="7">
        <v>1.92</v>
      </c>
    </row>
    <row r="594" spans="1:3" x14ac:dyDescent="0.25">
      <c r="A594" s="2">
        <v>43125.666666666664</v>
      </c>
      <c r="B594" s="6">
        <v>0</v>
      </c>
      <c r="C594" s="7">
        <v>1.79</v>
      </c>
    </row>
    <row r="595" spans="1:3" x14ac:dyDescent="0.25">
      <c r="A595" s="2">
        <v>43125.708333333336</v>
      </c>
      <c r="B595" s="6">
        <v>0</v>
      </c>
      <c r="C595" s="7">
        <v>0.68</v>
      </c>
    </row>
    <row r="596" spans="1:3" x14ac:dyDescent="0.25">
      <c r="A596" s="2">
        <v>43125.75</v>
      </c>
      <c r="B596" s="6">
        <v>0</v>
      </c>
      <c r="C596" s="7">
        <v>0.9</v>
      </c>
    </row>
    <row r="597" spans="1:3" x14ac:dyDescent="0.25">
      <c r="A597" s="2">
        <v>43125.791666666664</v>
      </c>
      <c r="B597" s="6">
        <v>0</v>
      </c>
      <c r="C597" s="7">
        <v>1.95</v>
      </c>
    </row>
    <row r="598" spans="1:3" x14ac:dyDescent="0.25">
      <c r="A598" s="2">
        <v>43125.833333333336</v>
      </c>
      <c r="B598" s="6">
        <v>0</v>
      </c>
      <c r="C598" s="7">
        <v>1.52</v>
      </c>
    </row>
    <row r="599" spans="1:3" x14ac:dyDescent="0.25">
      <c r="A599" s="2">
        <v>43125.875</v>
      </c>
      <c r="B599" s="6">
        <v>1.44</v>
      </c>
      <c r="C599" s="7">
        <v>0</v>
      </c>
    </row>
    <row r="600" spans="1:3" x14ac:dyDescent="0.25">
      <c r="A600" s="2">
        <v>43125.916666666664</v>
      </c>
      <c r="B600" s="6">
        <v>2.12</v>
      </c>
      <c r="C600" s="7">
        <v>0</v>
      </c>
    </row>
    <row r="601" spans="1:3" x14ac:dyDescent="0.25">
      <c r="A601" s="2">
        <v>43125.958333333336</v>
      </c>
      <c r="B601" s="6">
        <v>1.57</v>
      </c>
      <c r="C601" s="7">
        <v>0</v>
      </c>
    </row>
    <row r="602" spans="1:3" x14ac:dyDescent="0.25">
      <c r="A602" s="2">
        <v>43126</v>
      </c>
      <c r="B602" s="6">
        <v>1.78</v>
      </c>
      <c r="C602" s="7">
        <v>0</v>
      </c>
    </row>
    <row r="603" spans="1:3" x14ac:dyDescent="0.25">
      <c r="A603" s="2">
        <v>43126.041666666664</v>
      </c>
      <c r="B603" s="6">
        <v>1.92</v>
      </c>
      <c r="C603" s="7">
        <v>0</v>
      </c>
    </row>
    <row r="604" spans="1:3" x14ac:dyDescent="0.25">
      <c r="A604" s="2">
        <v>43126.083333333336</v>
      </c>
      <c r="B604" s="6">
        <v>1.58</v>
      </c>
      <c r="C604" s="7">
        <v>0</v>
      </c>
    </row>
    <row r="605" spans="1:3" x14ac:dyDescent="0.25">
      <c r="A605" s="2">
        <v>43126.125</v>
      </c>
      <c r="B605" s="6">
        <v>1.91</v>
      </c>
      <c r="C605" s="7">
        <v>0</v>
      </c>
    </row>
    <row r="606" spans="1:3" x14ac:dyDescent="0.25">
      <c r="A606" s="2">
        <v>43126.166666666664</v>
      </c>
      <c r="B606" s="6">
        <v>0</v>
      </c>
      <c r="C606" s="7">
        <v>0.57999999999999996</v>
      </c>
    </row>
    <row r="607" spans="1:3" x14ac:dyDescent="0.25">
      <c r="A607" s="2">
        <v>43126.208333333336</v>
      </c>
      <c r="B607" s="6">
        <v>0</v>
      </c>
      <c r="C607" s="7">
        <v>0.94</v>
      </c>
    </row>
    <row r="608" spans="1:3" x14ac:dyDescent="0.25">
      <c r="A608" s="4">
        <v>43126.25</v>
      </c>
      <c r="B608" s="6">
        <v>0</v>
      </c>
      <c r="C608" s="7">
        <v>0.36</v>
      </c>
    </row>
    <row r="609" spans="1:3" x14ac:dyDescent="0.25">
      <c r="A609" s="4">
        <v>43126.291666666664</v>
      </c>
      <c r="B609" s="6">
        <v>1.32</v>
      </c>
      <c r="C609" s="7">
        <v>0</v>
      </c>
    </row>
    <row r="610" spans="1:3" x14ac:dyDescent="0.25">
      <c r="A610" s="4">
        <v>43126.333333333336</v>
      </c>
      <c r="B610" s="6">
        <v>0</v>
      </c>
      <c r="C610" s="7">
        <v>1.08</v>
      </c>
    </row>
    <row r="611" spans="1:3" x14ac:dyDescent="0.25">
      <c r="A611" s="4">
        <v>43126.375</v>
      </c>
      <c r="B611" s="6">
        <v>0</v>
      </c>
      <c r="C611" s="7">
        <v>1.69</v>
      </c>
    </row>
    <row r="612" spans="1:3" x14ac:dyDescent="0.25">
      <c r="A612" s="4">
        <v>43126.416666666664</v>
      </c>
      <c r="B612" s="6">
        <v>0</v>
      </c>
      <c r="C612" s="7">
        <v>1.55</v>
      </c>
    </row>
    <row r="613" spans="1:3" x14ac:dyDescent="0.25">
      <c r="A613" s="2">
        <v>43126.458333333336</v>
      </c>
      <c r="B613" s="6">
        <v>1.33</v>
      </c>
      <c r="C613" s="7">
        <v>0</v>
      </c>
    </row>
    <row r="614" spans="1:3" x14ac:dyDescent="0.25">
      <c r="A614" s="2">
        <v>43126.5</v>
      </c>
      <c r="B614" s="6">
        <v>0</v>
      </c>
      <c r="C614" s="7">
        <v>0.76</v>
      </c>
    </row>
    <row r="615" spans="1:3" x14ac:dyDescent="0.25">
      <c r="A615" s="2">
        <v>43126.541666666664</v>
      </c>
      <c r="B615" s="6">
        <v>0</v>
      </c>
      <c r="C615" s="7">
        <v>1.4</v>
      </c>
    </row>
    <row r="616" spans="1:3" x14ac:dyDescent="0.25">
      <c r="A616" s="2">
        <v>43126.583333333336</v>
      </c>
      <c r="B616" s="6">
        <v>0</v>
      </c>
      <c r="C616" s="7">
        <v>1.79</v>
      </c>
    </row>
    <row r="617" spans="1:3" x14ac:dyDescent="0.25">
      <c r="A617" s="2">
        <v>43126.625</v>
      </c>
      <c r="B617" s="6">
        <v>0</v>
      </c>
      <c r="C617" s="7">
        <v>2.0099999999999998</v>
      </c>
    </row>
    <row r="618" spans="1:3" x14ac:dyDescent="0.25">
      <c r="A618" s="2">
        <v>43126.666666666664</v>
      </c>
      <c r="B618" s="6">
        <v>0</v>
      </c>
      <c r="C618" s="7">
        <v>0.5</v>
      </c>
    </row>
    <row r="619" spans="1:3" x14ac:dyDescent="0.25">
      <c r="A619" s="2">
        <v>43126.708333333336</v>
      </c>
      <c r="B619" s="6">
        <v>2.5499999999999998</v>
      </c>
      <c r="C619" s="7">
        <v>0</v>
      </c>
    </row>
    <row r="620" spans="1:3" x14ac:dyDescent="0.25">
      <c r="A620" s="2">
        <v>43126.75</v>
      </c>
      <c r="B620" s="6">
        <v>0</v>
      </c>
      <c r="C620" s="7">
        <v>0.91</v>
      </c>
    </row>
    <row r="621" spans="1:3" x14ac:dyDescent="0.25">
      <c r="A621" s="2">
        <v>43126.791666666664</v>
      </c>
      <c r="B621" s="6">
        <v>0</v>
      </c>
      <c r="C621" s="7">
        <v>1.84</v>
      </c>
    </row>
    <row r="622" spans="1:3" x14ac:dyDescent="0.25">
      <c r="A622" s="2">
        <v>43126.833333333336</v>
      </c>
      <c r="B622" s="6">
        <v>0</v>
      </c>
      <c r="C622" s="7">
        <v>0.97</v>
      </c>
    </row>
    <row r="623" spans="1:3" x14ac:dyDescent="0.25">
      <c r="A623" s="2">
        <v>43126.875</v>
      </c>
      <c r="B623" s="6">
        <v>1.92</v>
      </c>
      <c r="C623" s="7">
        <v>0</v>
      </c>
    </row>
    <row r="624" spans="1:3" x14ac:dyDescent="0.25">
      <c r="A624" s="2">
        <v>43126.916666666664</v>
      </c>
      <c r="B624" s="6">
        <v>1.57</v>
      </c>
      <c r="C624" s="7">
        <v>0</v>
      </c>
    </row>
    <row r="625" spans="1:3" x14ac:dyDescent="0.25">
      <c r="A625" s="2">
        <v>43126.958333333336</v>
      </c>
      <c r="B625" s="6">
        <v>1.2</v>
      </c>
      <c r="C625" s="7">
        <v>0</v>
      </c>
    </row>
    <row r="626" spans="1:3" x14ac:dyDescent="0.25">
      <c r="A626" s="2">
        <v>43127</v>
      </c>
      <c r="B626" s="6">
        <v>1.76</v>
      </c>
      <c r="C626" s="7">
        <v>0</v>
      </c>
    </row>
    <row r="627" spans="1:3" x14ac:dyDescent="0.25">
      <c r="A627" s="2">
        <v>43127.041666666664</v>
      </c>
      <c r="B627" s="6">
        <v>1.6</v>
      </c>
      <c r="C627" s="7">
        <v>0</v>
      </c>
    </row>
    <row r="628" spans="1:3" x14ac:dyDescent="0.25">
      <c r="A628" s="2">
        <v>43127.083333333336</v>
      </c>
      <c r="B628" s="6">
        <v>1.49</v>
      </c>
      <c r="C628" s="7">
        <v>0</v>
      </c>
    </row>
    <row r="629" spans="1:3" x14ac:dyDescent="0.25">
      <c r="A629" s="2">
        <v>43127.125</v>
      </c>
      <c r="B629" s="6">
        <v>2.06</v>
      </c>
      <c r="C629" s="7">
        <v>0</v>
      </c>
    </row>
    <row r="630" spans="1:3" x14ac:dyDescent="0.25">
      <c r="A630" s="2">
        <v>43127.166666666664</v>
      </c>
      <c r="B630" s="6">
        <v>0</v>
      </c>
      <c r="C630" s="7">
        <f>0.45+D630</f>
        <v>0.45</v>
      </c>
    </row>
    <row r="631" spans="1:3" x14ac:dyDescent="0.25">
      <c r="A631" s="2">
        <v>43127.208333333336</v>
      </c>
      <c r="B631" s="6">
        <v>0</v>
      </c>
      <c r="C631" s="7">
        <v>0.74</v>
      </c>
    </row>
    <row r="632" spans="1:3" x14ac:dyDescent="0.25">
      <c r="A632" s="2">
        <v>43127.25</v>
      </c>
      <c r="B632" s="6">
        <v>0</v>
      </c>
      <c r="C632" s="7">
        <f>0.36+D632</f>
        <v>0.36</v>
      </c>
    </row>
    <row r="633" spans="1:3" x14ac:dyDescent="0.25">
      <c r="A633" s="2">
        <v>43127.291666666664</v>
      </c>
      <c r="B633" s="6">
        <v>1.32</v>
      </c>
      <c r="C633" s="7">
        <v>0</v>
      </c>
    </row>
    <row r="634" spans="1:3" x14ac:dyDescent="0.25">
      <c r="A634" s="2">
        <v>43127.333333333336</v>
      </c>
      <c r="B634" s="6">
        <v>0</v>
      </c>
      <c r="C634" s="7">
        <f>1.08+D634</f>
        <v>1.08</v>
      </c>
    </row>
    <row r="635" spans="1:3" x14ac:dyDescent="0.25">
      <c r="A635" s="2">
        <v>43127.375</v>
      </c>
      <c r="B635" s="6">
        <v>0</v>
      </c>
      <c r="C635" s="7">
        <v>1.69</v>
      </c>
    </row>
    <row r="636" spans="1:3" x14ac:dyDescent="0.25">
      <c r="A636" s="2">
        <v>43127.416666666664</v>
      </c>
      <c r="B636" s="6">
        <v>0</v>
      </c>
      <c r="C636" s="7">
        <v>1.55</v>
      </c>
    </row>
    <row r="637" spans="1:3" x14ac:dyDescent="0.25">
      <c r="A637" s="2">
        <v>43127.458333333336</v>
      </c>
      <c r="B637" s="6">
        <v>0</v>
      </c>
      <c r="C637" s="7">
        <f>0.36+D637</f>
        <v>0.36</v>
      </c>
    </row>
    <row r="638" spans="1:3" x14ac:dyDescent="0.25">
      <c r="A638" s="2">
        <v>43127.5</v>
      </c>
      <c r="B638" s="6">
        <v>0</v>
      </c>
      <c r="C638" s="7">
        <f>1.44+D638</f>
        <v>1.44</v>
      </c>
    </row>
    <row r="639" spans="1:3" x14ac:dyDescent="0.25">
      <c r="A639" s="2">
        <v>43127.541666666664</v>
      </c>
      <c r="B639" s="6">
        <v>0</v>
      </c>
      <c r="C639" s="7">
        <v>1.74</v>
      </c>
    </row>
    <row r="640" spans="1:3" x14ac:dyDescent="0.25">
      <c r="A640" s="2">
        <v>43127.583333333336</v>
      </c>
      <c r="B640" s="6">
        <v>0</v>
      </c>
      <c r="C640" s="7">
        <v>2.04</v>
      </c>
    </row>
    <row r="641" spans="1:3" x14ac:dyDescent="0.25">
      <c r="A641" s="2">
        <v>43127.625</v>
      </c>
      <c r="B641" s="6">
        <v>0</v>
      </c>
      <c r="C641" s="7">
        <v>2.2999999999999998</v>
      </c>
    </row>
    <row r="642" spans="1:3" x14ac:dyDescent="0.25">
      <c r="A642" s="2">
        <v>43127.666666666664</v>
      </c>
      <c r="B642" s="6">
        <v>0</v>
      </c>
      <c r="C642" s="7">
        <f>0.65+D642</f>
        <v>0.65</v>
      </c>
    </row>
    <row r="643" spans="1:3" x14ac:dyDescent="0.25">
      <c r="A643" s="2">
        <v>43127.708333333336</v>
      </c>
      <c r="B643" s="6">
        <v>0</v>
      </c>
      <c r="C643" s="7">
        <f>1.2+D643</f>
        <v>1.2</v>
      </c>
    </row>
    <row r="644" spans="1:3" x14ac:dyDescent="0.25">
      <c r="A644" s="2">
        <v>43127.75</v>
      </c>
      <c r="B644" s="6">
        <v>0</v>
      </c>
      <c r="C644" s="7">
        <v>1.77</v>
      </c>
    </row>
    <row r="645" spans="1:3" x14ac:dyDescent="0.25">
      <c r="A645" s="2">
        <v>43127.791666666664</v>
      </c>
      <c r="B645" s="6">
        <v>0</v>
      </c>
      <c r="C645" s="7">
        <v>2.12</v>
      </c>
    </row>
    <row r="646" spans="1:3" x14ac:dyDescent="0.25">
      <c r="A646" s="2">
        <v>43127.833333333336</v>
      </c>
      <c r="B646" s="6">
        <v>0</v>
      </c>
      <c r="C646" s="7">
        <f>0.61+D646</f>
        <v>0.61</v>
      </c>
    </row>
    <row r="647" spans="1:3" x14ac:dyDescent="0.25">
      <c r="A647" s="2">
        <v>43127.875</v>
      </c>
      <c r="B647" s="6">
        <v>2.27</v>
      </c>
      <c r="C647" s="7">
        <v>0</v>
      </c>
    </row>
    <row r="648" spans="1:3" x14ac:dyDescent="0.25">
      <c r="A648" s="2">
        <v>43127.916666666664</v>
      </c>
      <c r="B648" s="6">
        <v>1.61</v>
      </c>
      <c r="C648" s="7">
        <v>0</v>
      </c>
    </row>
    <row r="649" spans="1:3" x14ac:dyDescent="0.25">
      <c r="A649" s="2">
        <v>43127.958333333336</v>
      </c>
      <c r="B649" s="6">
        <v>2.21</v>
      </c>
      <c r="C649" s="7">
        <v>0</v>
      </c>
    </row>
    <row r="650" spans="1:3" x14ac:dyDescent="0.25">
      <c r="A650" s="2">
        <v>43128</v>
      </c>
      <c r="B650" s="6">
        <v>1.86</v>
      </c>
      <c r="C650" s="7">
        <v>0</v>
      </c>
    </row>
    <row r="651" spans="1:3" x14ac:dyDescent="0.25">
      <c r="A651" s="2">
        <v>43128.041666666664</v>
      </c>
      <c r="B651" s="6">
        <v>1.93</v>
      </c>
      <c r="C651" s="7">
        <v>0</v>
      </c>
    </row>
    <row r="652" spans="1:3" x14ac:dyDescent="0.25">
      <c r="A652" s="2">
        <v>43128.083333333336</v>
      </c>
      <c r="B652" s="6">
        <v>1.82</v>
      </c>
      <c r="C652" s="7">
        <v>0</v>
      </c>
    </row>
    <row r="653" spans="1:3" x14ac:dyDescent="0.25">
      <c r="A653" s="2">
        <v>43128.125</v>
      </c>
      <c r="B653" s="6">
        <v>0</v>
      </c>
      <c r="C653" s="7">
        <f>1.19+D653</f>
        <v>1.19</v>
      </c>
    </row>
    <row r="654" spans="1:3" x14ac:dyDescent="0.25">
      <c r="A654" s="2">
        <v>43128.166666666664</v>
      </c>
      <c r="B654" s="6">
        <v>0</v>
      </c>
      <c r="C654" s="7">
        <f>0.73+D654</f>
        <v>0.73</v>
      </c>
    </row>
    <row r="655" spans="1:3" x14ac:dyDescent="0.25">
      <c r="A655" s="2">
        <v>43128.208333333336</v>
      </c>
      <c r="B655" s="6">
        <v>1.1399999999999999</v>
      </c>
      <c r="C655" s="7">
        <v>0</v>
      </c>
    </row>
    <row r="656" spans="1:3" x14ac:dyDescent="0.25">
      <c r="A656" s="2">
        <v>43128.25</v>
      </c>
      <c r="B656" s="6">
        <v>0</v>
      </c>
      <c r="C656" s="7">
        <f>0.37+D656</f>
        <v>0.37</v>
      </c>
    </row>
    <row r="657" spans="1:3" x14ac:dyDescent="0.25">
      <c r="A657" s="2">
        <v>43128.291666666664</v>
      </c>
      <c r="B657" s="6">
        <v>0</v>
      </c>
      <c r="C657" s="7">
        <v>0.82</v>
      </c>
    </row>
    <row r="658" spans="1:3" x14ac:dyDescent="0.25">
      <c r="A658" s="2">
        <v>43128.333333333336</v>
      </c>
      <c r="B658" s="6">
        <v>0</v>
      </c>
      <c r="C658" s="7">
        <v>0.93</v>
      </c>
    </row>
    <row r="659" spans="1:3" x14ac:dyDescent="0.25">
      <c r="A659" s="2">
        <v>43128.375</v>
      </c>
      <c r="B659" s="6">
        <v>0</v>
      </c>
      <c r="C659" s="7">
        <f>0.45+D659</f>
        <v>0.45</v>
      </c>
    </row>
    <row r="660" spans="1:3" x14ac:dyDescent="0.25">
      <c r="A660" s="2">
        <v>43128.416666666664</v>
      </c>
      <c r="B660" s="6">
        <v>0</v>
      </c>
      <c r="C660" s="7">
        <f>0.8+D660</f>
        <v>0.8</v>
      </c>
    </row>
    <row r="661" spans="1:3" x14ac:dyDescent="0.25">
      <c r="A661" s="2">
        <v>43128.458333333336</v>
      </c>
      <c r="B661" s="6">
        <v>0</v>
      </c>
      <c r="C661" s="7">
        <v>1.37</v>
      </c>
    </row>
    <row r="662" spans="1:3" x14ac:dyDescent="0.25">
      <c r="A662" s="2">
        <v>43128.5</v>
      </c>
      <c r="B662" s="6">
        <v>0</v>
      </c>
      <c r="C662" s="7">
        <v>1.46</v>
      </c>
    </row>
    <row r="663" spans="1:3" x14ac:dyDescent="0.25">
      <c r="A663" s="2">
        <v>43128.541666666664</v>
      </c>
      <c r="B663" s="6">
        <v>0</v>
      </c>
      <c r="C663" s="7">
        <v>0.93</v>
      </c>
    </row>
    <row r="664" spans="1:3" x14ac:dyDescent="0.25">
      <c r="A664" s="2">
        <v>43128.583333333336</v>
      </c>
      <c r="B664" s="6">
        <v>0</v>
      </c>
      <c r="C664" s="7">
        <f>0.35+D664</f>
        <v>0.35</v>
      </c>
    </row>
    <row r="665" spans="1:3" x14ac:dyDescent="0.25">
      <c r="A665" s="2">
        <v>43128.625</v>
      </c>
      <c r="B665" s="6">
        <v>0.88</v>
      </c>
      <c r="C665" s="7">
        <v>0</v>
      </c>
    </row>
    <row r="666" spans="1:3" x14ac:dyDescent="0.25">
      <c r="A666" s="2">
        <v>43128.666666666664</v>
      </c>
      <c r="B666" s="6">
        <v>0</v>
      </c>
      <c r="C666" s="7">
        <f>1.58+D666</f>
        <v>1.58</v>
      </c>
    </row>
    <row r="667" spans="1:3" x14ac:dyDescent="0.25">
      <c r="A667" s="2">
        <v>43128.708333333336</v>
      </c>
      <c r="B667" s="6">
        <v>0</v>
      </c>
      <c r="C667" s="7">
        <v>2.1800000000000002</v>
      </c>
    </row>
    <row r="668" spans="1:3" x14ac:dyDescent="0.25">
      <c r="A668" s="2">
        <v>43128.75</v>
      </c>
      <c r="B668" s="6">
        <v>0</v>
      </c>
      <c r="C668" s="7">
        <v>1.74</v>
      </c>
    </row>
    <row r="669" spans="1:3" x14ac:dyDescent="0.25">
      <c r="A669" s="2">
        <v>43128.791666666664</v>
      </c>
      <c r="B669" s="6">
        <v>0</v>
      </c>
      <c r="C669" s="7">
        <v>2.0699999999999998</v>
      </c>
    </row>
    <row r="670" spans="1:3" x14ac:dyDescent="0.25">
      <c r="A670" s="2">
        <v>43128.833333333336</v>
      </c>
      <c r="B670" s="6">
        <v>0</v>
      </c>
      <c r="C670" s="7">
        <f>0.63+D670</f>
        <v>0.63</v>
      </c>
    </row>
    <row r="671" spans="1:3" x14ac:dyDescent="0.25">
      <c r="A671" s="2">
        <v>43128.875</v>
      </c>
      <c r="B671" s="6">
        <v>4.76</v>
      </c>
      <c r="C671" s="7">
        <v>0</v>
      </c>
    </row>
    <row r="672" spans="1:3" x14ac:dyDescent="0.25">
      <c r="A672" s="2">
        <v>43128.916666666664</v>
      </c>
      <c r="B672" s="6">
        <v>0</v>
      </c>
      <c r="C672" s="7">
        <f>0.73+D672</f>
        <v>0.73</v>
      </c>
    </row>
    <row r="673" spans="1:3" x14ac:dyDescent="0.25">
      <c r="A673" s="2">
        <v>43128.958333333336</v>
      </c>
      <c r="B673" s="6">
        <v>0</v>
      </c>
      <c r="C673" s="7">
        <f>1.32+D673</f>
        <v>1.32</v>
      </c>
    </row>
    <row r="674" spans="1:3" x14ac:dyDescent="0.25">
      <c r="A674" s="2">
        <v>43129</v>
      </c>
      <c r="B674" s="6">
        <v>2.06</v>
      </c>
      <c r="C674" s="7">
        <v>0</v>
      </c>
    </row>
    <row r="675" spans="1:3" x14ac:dyDescent="0.25">
      <c r="A675" s="2">
        <v>43129.041666666664</v>
      </c>
      <c r="B675" s="6">
        <v>2.2799999999999998</v>
      </c>
      <c r="C675" s="7">
        <v>0</v>
      </c>
    </row>
    <row r="676" spans="1:3" x14ac:dyDescent="0.25">
      <c r="A676" s="2">
        <v>43129.083333333336</v>
      </c>
      <c r="B676" s="6">
        <v>2.12</v>
      </c>
      <c r="C676" s="7">
        <v>0</v>
      </c>
    </row>
    <row r="677" spans="1:3" x14ac:dyDescent="0.25">
      <c r="A677" s="2">
        <v>43129.125</v>
      </c>
      <c r="B677" s="6">
        <v>3.11</v>
      </c>
      <c r="C677" s="7">
        <v>0</v>
      </c>
    </row>
    <row r="678" spans="1:3" x14ac:dyDescent="0.25">
      <c r="A678" s="2">
        <v>43129.166666666664</v>
      </c>
      <c r="B678" s="6">
        <v>0</v>
      </c>
      <c r="C678" s="7">
        <f>0.65+D678</f>
        <v>0.65</v>
      </c>
    </row>
    <row r="679" spans="1:3" x14ac:dyDescent="0.25">
      <c r="A679" s="2">
        <v>43129.208333333336</v>
      </c>
      <c r="B679" s="6">
        <v>0</v>
      </c>
      <c r="C679" s="7">
        <v>1.25</v>
      </c>
    </row>
    <row r="680" spans="1:3" x14ac:dyDescent="0.25">
      <c r="A680" s="2">
        <v>43129.25</v>
      </c>
      <c r="B680" s="6">
        <v>0</v>
      </c>
      <c r="C680" s="7">
        <v>1.08</v>
      </c>
    </row>
    <row r="681" spans="1:3" x14ac:dyDescent="0.25">
      <c r="A681" s="2">
        <v>43129.291666666664</v>
      </c>
      <c r="B681" s="6">
        <v>0</v>
      </c>
      <c r="C681" s="7">
        <v>1.03</v>
      </c>
    </row>
    <row r="682" spans="1:3" x14ac:dyDescent="0.25">
      <c r="A682" s="2">
        <v>43129.333333333336</v>
      </c>
      <c r="B682" s="6">
        <v>0</v>
      </c>
      <c r="C682" s="7">
        <v>1.24</v>
      </c>
    </row>
    <row r="683" spans="1:3" x14ac:dyDescent="0.25">
      <c r="A683" s="2">
        <v>43129.375</v>
      </c>
      <c r="B683" s="6">
        <v>0</v>
      </c>
      <c r="C683" s="7">
        <v>1.17</v>
      </c>
    </row>
    <row r="684" spans="1:3" x14ac:dyDescent="0.25">
      <c r="A684" s="2">
        <v>43129.416666666664</v>
      </c>
      <c r="B684" s="6">
        <v>2.09</v>
      </c>
      <c r="C684" s="7">
        <v>0</v>
      </c>
    </row>
    <row r="685" spans="1:3" x14ac:dyDescent="0.25">
      <c r="A685" s="2">
        <v>43129.458333333336</v>
      </c>
      <c r="B685" s="6">
        <v>1.82</v>
      </c>
      <c r="C685" s="7">
        <v>0</v>
      </c>
    </row>
    <row r="686" spans="1:3" x14ac:dyDescent="0.25">
      <c r="A686" s="2">
        <v>43129.5</v>
      </c>
      <c r="B686" s="6">
        <v>0</v>
      </c>
      <c r="C686" s="7">
        <v>1.31</v>
      </c>
    </row>
    <row r="687" spans="1:3" x14ac:dyDescent="0.25">
      <c r="A687" s="2">
        <v>43129.541666666664</v>
      </c>
      <c r="B687" s="6">
        <v>0</v>
      </c>
      <c r="C687" s="7">
        <v>2.2000000000000002</v>
      </c>
    </row>
    <row r="688" spans="1:3" x14ac:dyDescent="0.25">
      <c r="A688" s="2">
        <v>43129.583333333336</v>
      </c>
      <c r="B688" s="6">
        <v>0</v>
      </c>
      <c r="C688" s="7">
        <v>2.21</v>
      </c>
    </row>
    <row r="689" spans="1:3" x14ac:dyDescent="0.25">
      <c r="A689" s="2">
        <v>43129.625</v>
      </c>
      <c r="B689" s="6">
        <v>0</v>
      </c>
      <c r="C689" s="7">
        <v>0.91</v>
      </c>
    </row>
    <row r="690" spans="1:3" x14ac:dyDescent="0.25">
      <c r="A690" s="2">
        <v>43129.666666666664</v>
      </c>
      <c r="B690" s="6">
        <v>0</v>
      </c>
      <c r="C690" s="7">
        <v>1.38</v>
      </c>
    </row>
    <row r="691" spans="1:3" x14ac:dyDescent="0.25">
      <c r="A691" s="2">
        <v>43129.708333333336</v>
      </c>
      <c r="B691" s="6">
        <v>0</v>
      </c>
      <c r="C691" s="7">
        <v>2.2999999999999998</v>
      </c>
    </row>
    <row r="692" spans="1:3" x14ac:dyDescent="0.25">
      <c r="A692" s="2">
        <v>43129.75</v>
      </c>
      <c r="B692" s="6">
        <v>0</v>
      </c>
      <c r="C692" s="7">
        <v>2.29</v>
      </c>
    </row>
    <row r="693" spans="1:3" x14ac:dyDescent="0.25">
      <c r="A693" s="2">
        <v>43129.791666666664</v>
      </c>
      <c r="B693" s="6">
        <v>0</v>
      </c>
      <c r="C693" s="7">
        <v>2.1</v>
      </c>
    </row>
    <row r="694" spans="1:3" x14ac:dyDescent="0.25">
      <c r="A694" s="2">
        <v>43129.833333333336</v>
      </c>
      <c r="B694" s="6">
        <v>0</v>
      </c>
      <c r="C694" s="7">
        <v>0.79</v>
      </c>
    </row>
    <row r="695" spans="1:3" x14ac:dyDescent="0.25">
      <c r="A695" s="2">
        <v>43129.875</v>
      </c>
      <c r="B695" s="6">
        <v>1.95</v>
      </c>
      <c r="C695" s="7">
        <v>0</v>
      </c>
    </row>
    <row r="696" spans="1:3" x14ac:dyDescent="0.25">
      <c r="A696" s="2">
        <v>43129.916666666664</v>
      </c>
      <c r="B696" s="6">
        <v>0</v>
      </c>
      <c r="C696" s="7">
        <v>0.92</v>
      </c>
    </row>
    <row r="697" spans="1:3" x14ac:dyDescent="0.25">
      <c r="A697" s="2">
        <v>43129.958333333336</v>
      </c>
      <c r="B697" s="6">
        <v>1.67</v>
      </c>
      <c r="C697" s="7">
        <v>0</v>
      </c>
    </row>
    <row r="698" spans="1:3" x14ac:dyDescent="0.25">
      <c r="A698" s="2">
        <v>43130</v>
      </c>
      <c r="B698" s="6">
        <v>1.47</v>
      </c>
      <c r="C698" s="7">
        <v>0</v>
      </c>
    </row>
    <row r="699" spans="1:3" x14ac:dyDescent="0.25">
      <c r="A699" s="2">
        <v>43130.041666666664</v>
      </c>
      <c r="B699" s="6">
        <v>1.81</v>
      </c>
      <c r="C699" s="7">
        <v>0</v>
      </c>
    </row>
    <row r="700" spans="1:3" x14ac:dyDescent="0.25">
      <c r="A700" s="2">
        <v>43130.083333333336</v>
      </c>
      <c r="B700" s="6">
        <v>2.31</v>
      </c>
      <c r="C700" s="7">
        <v>0</v>
      </c>
    </row>
    <row r="701" spans="1:3" x14ac:dyDescent="0.25">
      <c r="A701" s="2">
        <v>43130.125</v>
      </c>
      <c r="B701" s="6">
        <v>3.53</v>
      </c>
      <c r="C701" s="7">
        <v>0</v>
      </c>
    </row>
    <row r="702" spans="1:3" x14ac:dyDescent="0.25">
      <c r="A702" s="2">
        <v>43130.166666666664</v>
      </c>
      <c r="B702" s="6">
        <v>0</v>
      </c>
      <c r="C702" s="7">
        <f>0.68+D702</f>
        <v>0.68</v>
      </c>
    </row>
    <row r="703" spans="1:3" x14ac:dyDescent="0.25">
      <c r="A703" s="2">
        <v>43130.208333333336</v>
      </c>
      <c r="B703" s="6">
        <v>0</v>
      </c>
      <c r="C703" s="7">
        <v>0.93</v>
      </c>
    </row>
    <row r="704" spans="1:3" x14ac:dyDescent="0.25">
      <c r="A704" s="2">
        <v>43130.25</v>
      </c>
      <c r="B704" s="6">
        <v>0</v>
      </c>
      <c r="C704" s="7">
        <v>0.71</v>
      </c>
    </row>
    <row r="705" spans="1:3" x14ac:dyDescent="0.25">
      <c r="A705" s="2">
        <v>43130.291666666664</v>
      </c>
      <c r="B705" s="6">
        <v>0</v>
      </c>
      <c r="C705" s="7">
        <v>0.75</v>
      </c>
    </row>
    <row r="706" spans="1:3" x14ac:dyDescent="0.25">
      <c r="A706" s="2">
        <v>43130.333333333336</v>
      </c>
      <c r="B706" s="6">
        <v>0</v>
      </c>
      <c r="C706" s="7">
        <v>0.92</v>
      </c>
    </row>
    <row r="707" spans="1:3" x14ac:dyDescent="0.25">
      <c r="A707" s="2">
        <v>43130.375</v>
      </c>
      <c r="B707" s="6">
        <v>0</v>
      </c>
      <c r="C707" s="7">
        <f>0.11+D707</f>
        <v>0.11</v>
      </c>
    </row>
    <row r="708" spans="1:3" x14ac:dyDescent="0.25">
      <c r="A708" s="2">
        <v>43130.416666666664</v>
      </c>
      <c r="B708" s="6">
        <v>0</v>
      </c>
      <c r="C708" s="7">
        <f>0.92+D708</f>
        <v>0.92</v>
      </c>
    </row>
    <row r="709" spans="1:3" x14ac:dyDescent="0.25">
      <c r="A709" s="2">
        <v>43130.458333333336</v>
      </c>
      <c r="B709" s="6">
        <v>0</v>
      </c>
      <c r="C709" s="7">
        <v>1.32</v>
      </c>
    </row>
    <row r="710" spans="1:3" x14ac:dyDescent="0.25">
      <c r="A710" s="2">
        <v>43130.5</v>
      </c>
      <c r="B710" s="6">
        <v>0</v>
      </c>
      <c r="C710" s="7">
        <v>1.4</v>
      </c>
    </row>
    <row r="711" spans="1:3" x14ac:dyDescent="0.25">
      <c r="A711" s="2">
        <v>43130.541666666664</v>
      </c>
      <c r="B711" s="6">
        <v>0</v>
      </c>
      <c r="C711" s="7">
        <v>1.41</v>
      </c>
    </row>
    <row r="712" spans="1:3" x14ac:dyDescent="0.25">
      <c r="A712" s="2">
        <v>43130.583333333336</v>
      </c>
      <c r="B712" s="6">
        <v>0</v>
      </c>
      <c r="C712" s="7">
        <v>0.77</v>
      </c>
    </row>
    <row r="713" spans="1:3" x14ac:dyDescent="0.25">
      <c r="A713" s="2">
        <v>43130.625</v>
      </c>
      <c r="B713" s="6">
        <v>0</v>
      </c>
      <c r="C713" s="7">
        <f>0.8+D713</f>
        <v>0.8</v>
      </c>
    </row>
    <row r="714" spans="1:3" x14ac:dyDescent="0.25">
      <c r="A714" s="2">
        <v>43130.666666666664</v>
      </c>
      <c r="B714" s="6">
        <v>0</v>
      </c>
      <c r="C714" s="7">
        <f>1.56+D714</f>
        <v>1.56</v>
      </c>
    </row>
    <row r="715" spans="1:3" x14ac:dyDescent="0.25">
      <c r="A715" s="2">
        <v>43130.708333333336</v>
      </c>
      <c r="B715" s="6">
        <v>0</v>
      </c>
      <c r="C715" s="7">
        <v>2.2400000000000002</v>
      </c>
    </row>
    <row r="716" spans="1:3" x14ac:dyDescent="0.25">
      <c r="A716" s="2">
        <v>43130.75</v>
      </c>
      <c r="B716" s="6">
        <v>0</v>
      </c>
      <c r="C716" s="7">
        <v>2.21</v>
      </c>
    </row>
    <row r="717" spans="1:3" x14ac:dyDescent="0.25">
      <c r="A717" s="2">
        <v>43130.791666666664</v>
      </c>
      <c r="B717" s="6">
        <v>0</v>
      </c>
      <c r="C717" s="7">
        <v>2.2200000000000002</v>
      </c>
    </row>
    <row r="718" spans="1:3" x14ac:dyDescent="0.25">
      <c r="A718" s="2">
        <v>43130.833333333336</v>
      </c>
      <c r="B718" s="6">
        <v>0</v>
      </c>
      <c r="C718" s="7">
        <v>1.78</v>
      </c>
    </row>
    <row r="719" spans="1:3" x14ac:dyDescent="0.25">
      <c r="A719" s="2">
        <v>43130.875</v>
      </c>
      <c r="B719" s="6">
        <v>0</v>
      </c>
      <c r="C719" s="7">
        <v>1.94</v>
      </c>
    </row>
    <row r="720" spans="1:3" x14ac:dyDescent="0.25">
      <c r="A720" s="2">
        <v>43130.916666666664</v>
      </c>
      <c r="B720" s="6">
        <v>0</v>
      </c>
      <c r="C720" s="7">
        <f>0.63+D720</f>
        <v>0.63</v>
      </c>
    </row>
    <row r="721" spans="1:3" x14ac:dyDescent="0.25">
      <c r="A721" s="2">
        <v>43130.958333333336</v>
      </c>
      <c r="B721" s="6">
        <v>2.04</v>
      </c>
      <c r="C721" s="7">
        <v>0</v>
      </c>
    </row>
    <row r="722" spans="1:3" x14ac:dyDescent="0.25">
      <c r="A722" s="2">
        <v>43131</v>
      </c>
      <c r="B722" s="6">
        <v>0</v>
      </c>
      <c r="C722" s="7">
        <f>0.72+D722</f>
        <v>0.72</v>
      </c>
    </row>
    <row r="723" spans="1:3" x14ac:dyDescent="0.25">
      <c r="A723" s="2">
        <v>43131.041666666664</v>
      </c>
      <c r="B723" s="6">
        <v>0</v>
      </c>
      <c r="C723" s="7">
        <f>0.82+D723</f>
        <v>0.82</v>
      </c>
    </row>
    <row r="724" spans="1:3" x14ac:dyDescent="0.25">
      <c r="A724" s="2">
        <v>43131.083333333336</v>
      </c>
      <c r="B724" s="6">
        <v>1.72</v>
      </c>
      <c r="C724" s="7">
        <v>0</v>
      </c>
    </row>
    <row r="725" spans="1:3" x14ac:dyDescent="0.25">
      <c r="A725" s="2">
        <v>43131.125</v>
      </c>
      <c r="B725" s="6">
        <v>2.59</v>
      </c>
      <c r="C725" s="7">
        <v>0</v>
      </c>
    </row>
    <row r="726" spans="1:3" x14ac:dyDescent="0.25">
      <c r="A726" s="2">
        <v>43131.166666666664</v>
      </c>
      <c r="B726" s="6">
        <v>0</v>
      </c>
      <c r="C726" s="7">
        <f>0.7+D726</f>
        <v>0.7</v>
      </c>
    </row>
    <row r="727" spans="1:3" x14ac:dyDescent="0.25">
      <c r="A727" s="2">
        <v>43131.208333333336</v>
      </c>
      <c r="B727" s="6">
        <v>0</v>
      </c>
      <c r="C727" s="7">
        <v>0.86</v>
      </c>
    </row>
    <row r="728" spans="1:3" x14ac:dyDescent="0.25">
      <c r="A728" s="2">
        <v>43131.25</v>
      </c>
      <c r="B728" s="6">
        <v>0</v>
      </c>
      <c r="C728" s="7">
        <v>0.71</v>
      </c>
    </row>
    <row r="729" spans="1:3" x14ac:dyDescent="0.25">
      <c r="A729" s="2">
        <v>43131.291666666664</v>
      </c>
      <c r="B729" s="6">
        <v>0</v>
      </c>
      <c r="C729" s="7">
        <f>0.26+D729</f>
        <v>0.26</v>
      </c>
    </row>
    <row r="730" spans="1:3" x14ac:dyDescent="0.25">
      <c r="A730" s="2">
        <v>43131.333333333336</v>
      </c>
      <c r="B730" s="6">
        <v>0</v>
      </c>
      <c r="C730" s="7">
        <f>0.6+D730</f>
        <v>0.6</v>
      </c>
    </row>
    <row r="731" spans="1:3" x14ac:dyDescent="0.25">
      <c r="A731" s="2">
        <v>43131.375</v>
      </c>
      <c r="B731" s="6">
        <v>0</v>
      </c>
      <c r="C731" s="7">
        <v>0.92</v>
      </c>
    </row>
    <row r="732" spans="1:3" x14ac:dyDescent="0.25">
      <c r="A732" s="2">
        <v>43131.416666666664</v>
      </c>
      <c r="B732" s="6">
        <v>0</v>
      </c>
      <c r="C732" s="7">
        <v>1.2</v>
      </c>
    </row>
    <row r="733" spans="1:3" x14ac:dyDescent="0.25">
      <c r="A733" s="2">
        <v>43131.458333333336</v>
      </c>
      <c r="B733" s="6">
        <v>0</v>
      </c>
      <c r="C733" s="7">
        <v>1.3</v>
      </c>
    </row>
    <row r="734" spans="1:3" x14ac:dyDescent="0.25">
      <c r="A734" s="2">
        <v>43131.5</v>
      </c>
      <c r="B734" s="6">
        <v>0</v>
      </c>
      <c r="C734" s="7">
        <v>1.33</v>
      </c>
    </row>
    <row r="735" spans="1:3" x14ac:dyDescent="0.25">
      <c r="A735" s="2">
        <v>43131.541666666664</v>
      </c>
      <c r="B735" s="6">
        <f>1.53+D735</f>
        <v>1.53</v>
      </c>
      <c r="C735" s="7">
        <v>0</v>
      </c>
    </row>
    <row r="736" spans="1:3" x14ac:dyDescent="0.25">
      <c r="A736" s="2">
        <v>43131.583333333336</v>
      </c>
      <c r="B736" s="6">
        <f>0.34+D736</f>
        <v>0.34</v>
      </c>
      <c r="C736" s="7">
        <v>0</v>
      </c>
    </row>
    <row r="737" spans="1:3" x14ac:dyDescent="0.25">
      <c r="A737" s="2">
        <v>43131.625</v>
      </c>
      <c r="B737" s="6">
        <v>0</v>
      </c>
      <c r="C737" s="7">
        <v>1.3</v>
      </c>
    </row>
    <row r="738" spans="1:3" x14ac:dyDescent="0.25">
      <c r="A738" s="2">
        <v>43131.666666666664</v>
      </c>
      <c r="B738" s="6">
        <v>0</v>
      </c>
      <c r="C738" s="7">
        <v>1.21</v>
      </c>
    </row>
    <row r="739" spans="1:3" x14ac:dyDescent="0.25">
      <c r="A739" s="2">
        <v>43131.708333333336</v>
      </c>
      <c r="B739" s="6">
        <v>0</v>
      </c>
      <c r="C739" s="7">
        <v>1.17</v>
      </c>
    </row>
    <row r="740" spans="1:3" x14ac:dyDescent="0.25">
      <c r="A740" s="2">
        <v>43131.75</v>
      </c>
      <c r="B740" s="6">
        <v>0</v>
      </c>
      <c r="C740" s="7">
        <v>1.24</v>
      </c>
    </row>
    <row r="741" spans="1:3" x14ac:dyDescent="0.25">
      <c r="A741" s="2">
        <v>43131.791666666664</v>
      </c>
      <c r="B741" s="6">
        <f>1.12+D741</f>
        <v>1.1200000000000001</v>
      </c>
      <c r="C741" s="7">
        <v>0</v>
      </c>
    </row>
    <row r="742" spans="1:3" x14ac:dyDescent="0.25">
      <c r="A742" s="2">
        <v>43131.833333333336</v>
      </c>
      <c r="B742" s="6">
        <f>0.69+D742</f>
        <v>0.69</v>
      </c>
      <c r="C742" s="7">
        <v>0</v>
      </c>
    </row>
    <row r="743" spans="1:3" x14ac:dyDescent="0.25">
      <c r="A743" s="2">
        <v>43131.875</v>
      </c>
      <c r="B743" s="6">
        <v>0</v>
      </c>
      <c r="C743" s="7">
        <v>1.23</v>
      </c>
    </row>
    <row r="744" spans="1:3" x14ac:dyDescent="0.25">
      <c r="A744" s="2">
        <v>43131.916666666664</v>
      </c>
      <c r="B744" s="6">
        <v>1.04</v>
      </c>
      <c r="C744" s="7">
        <v>0.53</v>
      </c>
    </row>
    <row r="745" spans="1:3" x14ac:dyDescent="0.25">
      <c r="A745" s="2">
        <v>43131.958333333336</v>
      </c>
      <c r="B745" s="6">
        <v>1.71</v>
      </c>
      <c r="C745" s="7">
        <v>0</v>
      </c>
    </row>
    <row r="746" spans="1:3" x14ac:dyDescent="0.25">
      <c r="A746" s="2">
        <v>43132</v>
      </c>
      <c r="B746" s="6">
        <v>0.03</v>
      </c>
      <c r="C746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8B75-E934-4C61-9FC6-C2CAA372884F}">
  <dimension ref="A1:C8761"/>
  <sheetViews>
    <sheetView tabSelected="1" topLeftCell="B1" workbookViewId="0">
      <selection activeCell="C1" activeCellId="1" sqref="B1:B1048576 C1:C1048576"/>
    </sheetView>
  </sheetViews>
  <sheetFormatPr defaultRowHeight="12.5" x14ac:dyDescent="0.25"/>
  <cols>
    <col min="1" max="1" width="15.08984375" bestFit="1" customWidth="1"/>
    <col min="2" max="2" width="17.90625" bestFit="1" customWidth="1"/>
    <col min="3" max="3" width="23.6328125" bestFit="1" customWidth="1"/>
  </cols>
  <sheetData>
    <row r="1" spans="1:3" ht="13" x14ac:dyDescent="0.3">
      <c r="A1" s="27" t="s">
        <v>3</v>
      </c>
      <c r="B1" s="27" t="s">
        <v>4</v>
      </c>
      <c r="C1" s="27" t="s">
        <v>23</v>
      </c>
    </row>
    <row r="2" spans="1:3" x14ac:dyDescent="0.25">
      <c r="A2" s="15">
        <f>Sheet1!A2</f>
        <v>43101</v>
      </c>
      <c r="B2">
        <f>Sheet1!B2</f>
        <v>0.98</v>
      </c>
      <c r="C2">
        <f>IF(Sheet1!B2&gt;0,1,0)</f>
        <v>1</v>
      </c>
    </row>
    <row r="3" spans="1:3" x14ac:dyDescent="0.25">
      <c r="A3" s="15">
        <f>Sheet1!A3</f>
        <v>43101.041666666664</v>
      </c>
      <c r="B3">
        <f>Sheet1!B3</f>
        <v>0.88</v>
      </c>
      <c r="C3">
        <f>IF(Sheet1!B3&gt;0,1,0)</f>
        <v>1</v>
      </c>
    </row>
    <row r="4" spans="1:3" x14ac:dyDescent="0.25">
      <c r="A4" s="15">
        <f>Sheet1!A4</f>
        <v>43101.083333333336</v>
      </c>
      <c r="B4">
        <f>Sheet1!B4</f>
        <v>0.89</v>
      </c>
      <c r="C4">
        <f>IF(Sheet1!B4&gt;0,1,0)</f>
        <v>1</v>
      </c>
    </row>
    <row r="5" spans="1:3" x14ac:dyDescent="0.25">
      <c r="A5" s="15">
        <f>Sheet1!A5</f>
        <v>43101.125</v>
      </c>
      <c r="B5">
        <f>Sheet1!B5</f>
        <v>0.81</v>
      </c>
      <c r="C5">
        <f>IF(Sheet1!B5&gt;0,1,0)</f>
        <v>1</v>
      </c>
    </row>
    <row r="6" spans="1:3" x14ac:dyDescent="0.25">
      <c r="A6" s="15">
        <f>Sheet1!A6</f>
        <v>43101.166666666664</v>
      </c>
      <c r="B6">
        <f>Sheet1!B6</f>
        <v>0.7</v>
      </c>
      <c r="C6">
        <f>IF(Sheet1!B6&gt;0,1,0)</f>
        <v>1</v>
      </c>
    </row>
    <row r="7" spans="1:3" x14ac:dyDescent="0.25">
      <c r="A7" s="15">
        <f>Sheet1!A7</f>
        <v>43101.208333333336</v>
      </c>
      <c r="B7">
        <f>Sheet1!B7</f>
        <v>0.94</v>
      </c>
      <c r="C7">
        <f>IF(Sheet1!B7&gt;0,1,0)</f>
        <v>1</v>
      </c>
    </row>
    <row r="8" spans="1:3" x14ac:dyDescent="0.25">
      <c r="A8" s="15">
        <f>Sheet1!A8</f>
        <v>43101.25</v>
      </c>
      <c r="B8">
        <f>Sheet1!B8</f>
        <v>1.19</v>
      </c>
      <c r="C8">
        <f>IF(Sheet1!B8&gt;0,1,0)</f>
        <v>1</v>
      </c>
    </row>
    <row r="9" spans="1:3" x14ac:dyDescent="0.25">
      <c r="A9" s="15">
        <f>Sheet1!A9</f>
        <v>43101.291666666664</v>
      </c>
      <c r="B9">
        <f>Sheet1!B9</f>
        <v>1.29</v>
      </c>
      <c r="C9">
        <f>IF(Sheet1!B9&gt;0,1,0)</f>
        <v>1</v>
      </c>
    </row>
    <row r="10" spans="1:3" x14ac:dyDescent="0.25">
      <c r="A10" s="15">
        <f>Sheet1!A10</f>
        <v>43101.333333333336</v>
      </c>
      <c r="B10">
        <f>Sheet1!B10</f>
        <v>1.08</v>
      </c>
      <c r="C10">
        <f>IF(Sheet1!B10&gt;0,1,0)</f>
        <v>1</v>
      </c>
    </row>
    <row r="11" spans="1:3" x14ac:dyDescent="0.25">
      <c r="A11" s="15">
        <f>Sheet1!A11</f>
        <v>43101.375</v>
      </c>
      <c r="B11">
        <f>Sheet1!B11</f>
        <v>1.46</v>
      </c>
      <c r="C11">
        <f>IF(Sheet1!B11&gt;0,1,0)</f>
        <v>1</v>
      </c>
    </row>
    <row r="12" spans="1:3" x14ac:dyDescent="0.25">
      <c r="A12" s="15">
        <f>Sheet1!A12</f>
        <v>43101.416666666664</v>
      </c>
      <c r="B12">
        <f>Sheet1!B12</f>
        <v>0</v>
      </c>
      <c r="C12">
        <f>IF(Sheet1!B12&gt;0,1,0)</f>
        <v>0</v>
      </c>
    </row>
    <row r="13" spans="1:3" x14ac:dyDescent="0.25">
      <c r="A13" s="15">
        <f>Sheet1!A13</f>
        <v>43101.458333333336</v>
      </c>
      <c r="B13">
        <f>Sheet1!B13</f>
        <v>0</v>
      </c>
      <c r="C13">
        <f>IF(Sheet1!B13&gt;0,1,0)</f>
        <v>0</v>
      </c>
    </row>
    <row r="14" spans="1:3" x14ac:dyDescent="0.25">
      <c r="A14" s="15">
        <f>Sheet1!A14</f>
        <v>43101.5</v>
      </c>
      <c r="B14">
        <f>Sheet1!B14</f>
        <v>0</v>
      </c>
      <c r="C14">
        <f>IF(Sheet1!B14&gt;0,1,0)</f>
        <v>0</v>
      </c>
    </row>
    <row r="15" spans="1:3" x14ac:dyDescent="0.25">
      <c r="A15" s="15">
        <f>Sheet1!A15</f>
        <v>43101.541666666664</v>
      </c>
      <c r="B15">
        <f>Sheet1!B15</f>
        <v>0.95</v>
      </c>
      <c r="C15">
        <f>IF(Sheet1!B15&gt;0,1,0)</f>
        <v>1</v>
      </c>
    </row>
    <row r="16" spans="1:3" x14ac:dyDescent="0.25">
      <c r="A16" s="15">
        <f>Sheet1!A16</f>
        <v>43101.583333333336</v>
      </c>
      <c r="B16">
        <f>Sheet1!B16</f>
        <v>1.32</v>
      </c>
      <c r="C16">
        <f>IF(Sheet1!B16&gt;0,1,0)</f>
        <v>1</v>
      </c>
    </row>
    <row r="17" spans="1:3" x14ac:dyDescent="0.25">
      <c r="A17" s="15">
        <f>Sheet1!A17</f>
        <v>43101.625</v>
      </c>
      <c r="B17">
        <f>Sheet1!B17</f>
        <v>1.41</v>
      </c>
      <c r="C17">
        <f>IF(Sheet1!B17&gt;0,1,0)</f>
        <v>1</v>
      </c>
    </row>
    <row r="18" spans="1:3" x14ac:dyDescent="0.25">
      <c r="A18" s="15">
        <f>Sheet1!A18</f>
        <v>43101.666666666664</v>
      </c>
      <c r="B18">
        <f>Sheet1!B18</f>
        <v>0</v>
      </c>
      <c r="C18">
        <f>IF(Sheet1!B18&gt;0,1,0)</f>
        <v>0</v>
      </c>
    </row>
    <row r="19" spans="1:3" x14ac:dyDescent="0.25">
      <c r="A19" s="15">
        <f>Sheet1!A19</f>
        <v>43101.708333333336</v>
      </c>
      <c r="B19">
        <f>Sheet1!B19</f>
        <v>0</v>
      </c>
      <c r="C19">
        <f>IF(Sheet1!B19&gt;0,1,0)</f>
        <v>0</v>
      </c>
    </row>
    <row r="20" spans="1:3" x14ac:dyDescent="0.25">
      <c r="A20" s="15">
        <f>Sheet1!A20</f>
        <v>43101.75</v>
      </c>
      <c r="B20">
        <f>Sheet1!B20</f>
        <v>0</v>
      </c>
      <c r="C20">
        <f>IF(Sheet1!B20&gt;0,1,0)</f>
        <v>0</v>
      </c>
    </row>
    <row r="21" spans="1:3" x14ac:dyDescent="0.25">
      <c r="A21" s="15">
        <f>Sheet1!A21</f>
        <v>43101.791666666664</v>
      </c>
      <c r="B21">
        <f>Sheet1!B21</f>
        <v>0.82</v>
      </c>
      <c r="C21">
        <f>IF(Sheet1!B21&gt;0,1,0)</f>
        <v>1</v>
      </c>
    </row>
    <row r="22" spans="1:3" x14ac:dyDescent="0.25">
      <c r="A22" s="15">
        <f>Sheet1!A22</f>
        <v>43101.833333333336</v>
      </c>
      <c r="B22">
        <f>Sheet1!B22</f>
        <v>1.1000000000000001</v>
      </c>
      <c r="C22">
        <f>IF(Sheet1!B22&gt;0,1,0)</f>
        <v>1</v>
      </c>
    </row>
    <row r="23" spans="1:3" x14ac:dyDescent="0.25">
      <c r="A23" s="15">
        <f>Sheet1!A23</f>
        <v>43101.875</v>
      </c>
      <c r="B23">
        <f>Sheet1!B23</f>
        <v>0.96</v>
      </c>
      <c r="C23">
        <f>IF(Sheet1!B23&gt;0,1,0)</f>
        <v>1</v>
      </c>
    </row>
    <row r="24" spans="1:3" x14ac:dyDescent="0.25">
      <c r="A24" s="15">
        <f>Sheet1!A24</f>
        <v>43101.916666666664</v>
      </c>
      <c r="B24">
        <f>Sheet1!B24</f>
        <v>0.95</v>
      </c>
      <c r="C24">
        <f>IF(Sheet1!B24&gt;0,1,0)</f>
        <v>1</v>
      </c>
    </row>
    <row r="25" spans="1:3" x14ac:dyDescent="0.25">
      <c r="A25" s="15">
        <f>Sheet1!A25</f>
        <v>43101.958333333336</v>
      </c>
      <c r="B25">
        <f>Sheet1!B25</f>
        <v>0.43</v>
      </c>
      <c r="C25">
        <f>IF(Sheet1!B25&gt;0,1,0)</f>
        <v>1</v>
      </c>
    </row>
    <row r="26" spans="1:3" x14ac:dyDescent="0.25">
      <c r="A26" s="15">
        <f>Sheet1!A26</f>
        <v>43102</v>
      </c>
      <c r="B26">
        <f>Sheet1!B26</f>
        <v>0.55000000000000004</v>
      </c>
      <c r="C26">
        <f>IF(Sheet1!B26&gt;0,1,0)</f>
        <v>1</v>
      </c>
    </row>
    <row r="27" spans="1:3" x14ac:dyDescent="0.25">
      <c r="A27" s="15">
        <f>Sheet1!A27</f>
        <v>43102.041666666664</v>
      </c>
      <c r="B27">
        <f>Sheet1!B27</f>
        <v>0.38</v>
      </c>
      <c r="C27">
        <f>IF(Sheet1!B27&gt;0,1,0)</f>
        <v>1</v>
      </c>
    </row>
    <row r="28" spans="1:3" x14ac:dyDescent="0.25">
      <c r="A28" s="15">
        <f>Sheet1!A28</f>
        <v>43102.083333333336</v>
      </c>
      <c r="B28">
        <f>Sheet1!B28</f>
        <v>0.6</v>
      </c>
      <c r="C28">
        <f>IF(Sheet1!B28&gt;0,1,0)</f>
        <v>1</v>
      </c>
    </row>
    <row r="29" spans="1:3" x14ac:dyDescent="0.25">
      <c r="A29" s="15">
        <f>Sheet1!A29</f>
        <v>43102.125</v>
      </c>
      <c r="B29">
        <f>Sheet1!B29</f>
        <v>0.97</v>
      </c>
      <c r="C29">
        <f>IF(Sheet1!B29&gt;0,1,0)</f>
        <v>1</v>
      </c>
    </row>
    <row r="30" spans="1:3" x14ac:dyDescent="0.25">
      <c r="A30" s="15">
        <f>Sheet1!A30</f>
        <v>43102.166666666664</v>
      </c>
      <c r="B30">
        <f>Sheet1!B30</f>
        <v>0.82</v>
      </c>
      <c r="C30">
        <f>IF(Sheet1!B30&gt;0,1,0)</f>
        <v>1</v>
      </c>
    </row>
    <row r="31" spans="1:3" x14ac:dyDescent="0.25">
      <c r="A31" s="15">
        <f>Sheet1!A31</f>
        <v>43102.208333333336</v>
      </c>
      <c r="B31">
        <f>Sheet1!B31</f>
        <v>0.62</v>
      </c>
      <c r="C31">
        <f>IF(Sheet1!B31&gt;0,1,0)</f>
        <v>1</v>
      </c>
    </row>
    <row r="32" spans="1:3" x14ac:dyDescent="0.25">
      <c r="A32" s="15">
        <f>Sheet1!A32</f>
        <v>43102.25</v>
      </c>
      <c r="B32">
        <f>Sheet1!B32</f>
        <v>0</v>
      </c>
      <c r="C32">
        <f>IF(Sheet1!B32&gt;0,1,0)</f>
        <v>0</v>
      </c>
    </row>
    <row r="33" spans="1:3" x14ac:dyDescent="0.25">
      <c r="A33" s="15">
        <f>Sheet1!A33</f>
        <v>43102.291666666664</v>
      </c>
      <c r="B33">
        <f>Sheet1!B33</f>
        <v>0</v>
      </c>
      <c r="C33">
        <f>IF(Sheet1!B33&gt;0,1,0)</f>
        <v>0</v>
      </c>
    </row>
    <row r="34" spans="1:3" x14ac:dyDescent="0.25">
      <c r="A34" s="15">
        <f>Sheet1!A34</f>
        <v>43102.333333333336</v>
      </c>
      <c r="B34">
        <f>Sheet1!B34</f>
        <v>0.28000000000000003</v>
      </c>
      <c r="C34">
        <f>IF(Sheet1!B34&gt;0,1,0)</f>
        <v>1</v>
      </c>
    </row>
    <row r="35" spans="1:3" x14ac:dyDescent="0.25">
      <c r="A35" s="15">
        <f>Sheet1!A35</f>
        <v>43102.375</v>
      </c>
      <c r="B35">
        <f>Sheet1!B35</f>
        <v>0.57999999999999996</v>
      </c>
      <c r="C35">
        <f>IF(Sheet1!B35&gt;0,1,0)</f>
        <v>1</v>
      </c>
    </row>
    <row r="36" spans="1:3" x14ac:dyDescent="0.25">
      <c r="A36" s="15">
        <f>Sheet1!A36</f>
        <v>43102.416666666664</v>
      </c>
      <c r="B36">
        <f>Sheet1!B36</f>
        <v>0.57999999999999996</v>
      </c>
      <c r="C36">
        <f>IF(Sheet1!B36&gt;0,1,0)</f>
        <v>1</v>
      </c>
    </row>
    <row r="37" spans="1:3" x14ac:dyDescent="0.25">
      <c r="A37" s="15">
        <f>Sheet1!A37</f>
        <v>43102.458333333336</v>
      </c>
      <c r="B37">
        <f>Sheet1!B37</f>
        <v>0.59</v>
      </c>
      <c r="C37">
        <f>IF(Sheet1!B37&gt;0,1,0)</f>
        <v>1</v>
      </c>
    </row>
    <row r="38" spans="1:3" x14ac:dyDescent="0.25">
      <c r="A38" s="15">
        <f>Sheet1!A38</f>
        <v>43102.5</v>
      </c>
      <c r="B38">
        <f>Sheet1!B38</f>
        <v>0</v>
      </c>
      <c r="C38">
        <f>IF(Sheet1!B38&gt;0,1,0)</f>
        <v>0</v>
      </c>
    </row>
    <row r="39" spans="1:3" x14ac:dyDescent="0.25">
      <c r="A39" s="15">
        <f>Sheet1!A39</f>
        <v>43102.541666666664</v>
      </c>
      <c r="B39">
        <f>Sheet1!B39</f>
        <v>0</v>
      </c>
      <c r="C39">
        <f>IF(Sheet1!B39&gt;0,1,0)</f>
        <v>0</v>
      </c>
    </row>
    <row r="40" spans="1:3" x14ac:dyDescent="0.25">
      <c r="A40" s="15">
        <f>Sheet1!A40</f>
        <v>43102.583333333336</v>
      </c>
      <c r="B40">
        <f>Sheet1!B40</f>
        <v>0</v>
      </c>
      <c r="C40">
        <f>IF(Sheet1!B40&gt;0,1,0)</f>
        <v>0</v>
      </c>
    </row>
    <row r="41" spans="1:3" x14ac:dyDescent="0.25">
      <c r="A41" s="15">
        <f>Sheet1!A41</f>
        <v>43102.625</v>
      </c>
      <c r="B41">
        <f>Sheet1!B41</f>
        <v>1.26</v>
      </c>
      <c r="C41">
        <f>IF(Sheet1!B41&gt;0,1,0)</f>
        <v>1</v>
      </c>
    </row>
    <row r="42" spans="1:3" x14ac:dyDescent="0.25">
      <c r="A42" s="15">
        <f>Sheet1!A42</f>
        <v>43102.666666666664</v>
      </c>
      <c r="B42">
        <f>Sheet1!B42</f>
        <v>1.08</v>
      </c>
      <c r="C42">
        <f>IF(Sheet1!B42&gt;0,1,0)</f>
        <v>1</v>
      </c>
    </row>
    <row r="43" spans="1:3" x14ac:dyDescent="0.25">
      <c r="A43" s="15">
        <f>Sheet1!A43</f>
        <v>43102.708333333336</v>
      </c>
      <c r="B43">
        <f>Sheet1!B43</f>
        <v>0.92</v>
      </c>
      <c r="C43">
        <f>IF(Sheet1!B43&gt;0,1,0)</f>
        <v>1</v>
      </c>
    </row>
    <row r="44" spans="1:3" x14ac:dyDescent="0.25">
      <c r="A44" s="15">
        <f>Sheet1!A44</f>
        <v>43102.75</v>
      </c>
      <c r="B44">
        <f>Sheet1!B44</f>
        <v>0</v>
      </c>
      <c r="C44">
        <f>IF(Sheet1!B44&gt;0,1,0)</f>
        <v>0</v>
      </c>
    </row>
    <row r="45" spans="1:3" x14ac:dyDescent="0.25">
      <c r="A45" s="15">
        <f>Sheet1!A45</f>
        <v>43102.791666666664</v>
      </c>
      <c r="B45">
        <f>Sheet1!B45</f>
        <v>0</v>
      </c>
      <c r="C45">
        <f>IF(Sheet1!B45&gt;0,1,0)</f>
        <v>0</v>
      </c>
    </row>
    <row r="46" spans="1:3" x14ac:dyDescent="0.25">
      <c r="A46" s="15">
        <f>Sheet1!A46</f>
        <v>43102.833333333336</v>
      </c>
      <c r="B46">
        <f>Sheet1!B46</f>
        <v>0</v>
      </c>
      <c r="C46">
        <f>IF(Sheet1!B46&gt;0,1,0)</f>
        <v>0</v>
      </c>
    </row>
    <row r="47" spans="1:3" x14ac:dyDescent="0.25">
      <c r="A47" s="15">
        <f>Sheet1!A47</f>
        <v>43102.875</v>
      </c>
      <c r="B47">
        <f>Sheet1!B47</f>
        <v>1.93</v>
      </c>
      <c r="C47">
        <f>IF(Sheet1!B47&gt;0,1,0)</f>
        <v>1</v>
      </c>
    </row>
    <row r="48" spans="1:3" x14ac:dyDescent="0.25">
      <c r="A48" s="15">
        <f>Sheet1!A48</f>
        <v>43102.916666666664</v>
      </c>
      <c r="B48">
        <f>Sheet1!B48</f>
        <v>1.04</v>
      </c>
      <c r="C48">
        <f>IF(Sheet1!B48&gt;0,1,0)</f>
        <v>1</v>
      </c>
    </row>
    <row r="49" spans="1:3" x14ac:dyDescent="0.25">
      <c r="A49" s="15">
        <f>Sheet1!A49</f>
        <v>43102.958333333336</v>
      </c>
      <c r="B49">
        <f>Sheet1!B49</f>
        <v>0.64</v>
      </c>
      <c r="C49">
        <f>IF(Sheet1!B49&gt;0,1,0)</f>
        <v>1</v>
      </c>
    </row>
    <row r="50" spans="1:3" x14ac:dyDescent="0.25">
      <c r="A50" s="15">
        <f>Sheet1!A50</f>
        <v>43103</v>
      </c>
      <c r="B50">
        <f>Sheet1!B50</f>
        <v>0.34</v>
      </c>
      <c r="C50">
        <f>IF(Sheet1!B50&gt;0,1,0)</f>
        <v>1</v>
      </c>
    </row>
    <row r="51" spans="1:3" x14ac:dyDescent="0.25">
      <c r="A51" s="15">
        <f>Sheet1!A51</f>
        <v>43103.041666666664</v>
      </c>
      <c r="B51">
        <f>Sheet1!B51</f>
        <v>0.68</v>
      </c>
      <c r="C51">
        <f>IF(Sheet1!B51&gt;0,1,0)</f>
        <v>1</v>
      </c>
    </row>
    <row r="52" spans="1:3" x14ac:dyDescent="0.25">
      <c r="A52" s="15">
        <f>Sheet1!A52</f>
        <v>43103.083333333336</v>
      </c>
      <c r="B52">
        <f>Sheet1!B52</f>
        <v>0.7</v>
      </c>
      <c r="C52">
        <f>IF(Sheet1!B52&gt;0,1,0)</f>
        <v>1</v>
      </c>
    </row>
    <row r="53" spans="1:3" x14ac:dyDescent="0.25">
      <c r="A53" s="15">
        <f>Sheet1!A53</f>
        <v>43103.125</v>
      </c>
      <c r="B53">
        <f>Sheet1!B53</f>
        <v>1.02</v>
      </c>
      <c r="C53">
        <f>IF(Sheet1!B53&gt;0,1,0)</f>
        <v>1</v>
      </c>
    </row>
    <row r="54" spans="1:3" x14ac:dyDescent="0.25">
      <c r="A54" s="15">
        <f>Sheet1!A54</f>
        <v>43103.166666666664</v>
      </c>
      <c r="B54">
        <f>Sheet1!B54</f>
        <v>0.96</v>
      </c>
      <c r="C54">
        <f>IF(Sheet1!B54&gt;0,1,0)</f>
        <v>1</v>
      </c>
    </row>
    <row r="55" spans="1:3" x14ac:dyDescent="0.25">
      <c r="A55" s="15">
        <f>Sheet1!A55</f>
        <v>43103.208333333336</v>
      </c>
      <c r="B55">
        <f>Sheet1!B55</f>
        <v>0.78</v>
      </c>
      <c r="C55">
        <f>IF(Sheet1!B55&gt;0,1,0)</f>
        <v>1</v>
      </c>
    </row>
    <row r="56" spans="1:3" x14ac:dyDescent="0.25">
      <c r="A56" s="15">
        <f>Sheet1!A56</f>
        <v>43103.25</v>
      </c>
      <c r="B56">
        <f>Sheet1!B56</f>
        <v>0.86</v>
      </c>
      <c r="C56">
        <f>IF(Sheet1!B56&gt;0,1,0)</f>
        <v>1</v>
      </c>
    </row>
    <row r="57" spans="1:3" x14ac:dyDescent="0.25">
      <c r="A57" s="15">
        <f>Sheet1!A57</f>
        <v>43103.291666666664</v>
      </c>
      <c r="B57">
        <f>Sheet1!B57</f>
        <v>0.52</v>
      </c>
      <c r="C57">
        <f>IF(Sheet1!B57&gt;0,1,0)</f>
        <v>1</v>
      </c>
    </row>
    <row r="58" spans="1:3" x14ac:dyDescent="0.25">
      <c r="A58" s="15">
        <f>Sheet1!A58</f>
        <v>43103.333333333336</v>
      </c>
      <c r="B58">
        <f>Sheet1!B58</f>
        <v>0.38</v>
      </c>
      <c r="C58">
        <f>IF(Sheet1!B58&gt;0,1,0)</f>
        <v>1</v>
      </c>
    </row>
    <row r="59" spans="1:3" x14ac:dyDescent="0.25">
      <c r="A59" s="15">
        <f>Sheet1!A59</f>
        <v>43103.375</v>
      </c>
      <c r="B59">
        <f>Sheet1!B59</f>
        <v>0.54</v>
      </c>
      <c r="C59">
        <f>IF(Sheet1!B59&gt;0,1,0)</f>
        <v>1</v>
      </c>
    </row>
    <row r="60" spans="1:3" x14ac:dyDescent="0.25">
      <c r="A60" s="15">
        <f>Sheet1!A60</f>
        <v>43103.416666666664</v>
      </c>
      <c r="B60">
        <f>Sheet1!B60</f>
        <v>0.68</v>
      </c>
      <c r="C60">
        <f>IF(Sheet1!B60&gt;0,1,0)</f>
        <v>1</v>
      </c>
    </row>
    <row r="61" spans="1:3" x14ac:dyDescent="0.25">
      <c r="A61" s="15">
        <f>Sheet1!A61</f>
        <v>43103.458333333336</v>
      </c>
      <c r="B61">
        <f>Sheet1!B61</f>
        <v>0.9</v>
      </c>
      <c r="C61">
        <f>IF(Sheet1!B61&gt;0,1,0)</f>
        <v>1</v>
      </c>
    </row>
    <row r="62" spans="1:3" x14ac:dyDescent="0.25">
      <c r="A62" s="15">
        <f>Sheet1!A62</f>
        <v>43103.5</v>
      </c>
      <c r="B62">
        <f>Sheet1!B62</f>
        <v>0</v>
      </c>
      <c r="C62">
        <f>IF(Sheet1!B62&gt;0,1,0)</f>
        <v>0</v>
      </c>
    </row>
    <row r="63" spans="1:3" x14ac:dyDescent="0.25">
      <c r="A63" s="15">
        <f>Sheet1!A63</f>
        <v>43103.541666666664</v>
      </c>
      <c r="B63">
        <f>Sheet1!B63</f>
        <v>0</v>
      </c>
      <c r="C63">
        <f>IF(Sheet1!B63&gt;0,1,0)</f>
        <v>0</v>
      </c>
    </row>
    <row r="64" spans="1:3" x14ac:dyDescent="0.25">
      <c r="A64" s="15">
        <f>Sheet1!A64</f>
        <v>43103.583333333336</v>
      </c>
      <c r="B64">
        <f>Sheet1!B64</f>
        <v>0</v>
      </c>
      <c r="C64">
        <f>IF(Sheet1!B64&gt;0,1,0)</f>
        <v>0</v>
      </c>
    </row>
    <row r="65" spans="1:3" x14ac:dyDescent="0.25">
      <c r="A65" s="15">
        <f>Sheet1!A65</f>
        <v>43103.625</v>
      </c>
      <c r="B65">
        <f>Sheet1!B65</f>
        <v>2.31</v>
      </c>
      <c r="C65">
        <f>IF(Sheet1!B65&gt;0,1,0)</f>
        <v>1</v>
      </c>
    </row>
    <row r="66" spans="1:3" x14ac:dyDescent="0.25">
      <c r="A66" s="15">
        <f>Sheet1!A66</f>
        <v>43103.666666666664</v>
      </c>
      <c r="B66">
        <f>Sheet1!B66</f>
        <v>0</v>
      </c>
      <c r="C66">
        <f>IF(Sheet1!B66&gt;0,1,0)</f>
        <v>0</v>
      </c>
    </row>
    <row r="67" spans="1:3" x14ac:dyDescent="0.25">
      <c r="A67" s="15">
        <f>Sheet1!A67</f>
        <v>43103.708333333336</v>
      </c>
      <c r="B67">
        <f>Sheet1!B67</f>
        <v>0</v>
      </c>
      <c r="C67">
        <f>IF(Sheet1!B67&gt;0,1,0)</f>
        <v>0</v>
      </c>
    </row>
    <row r="68" spans="1:3" x14ac:dyDescent="0.25">
      <c r="A68" s="15">
        <f>Sheet1!A68</f>
        <v>43103.75</v>
      </c>
      <c r="B68">
        <f>Sheet1!B68</f>
        <v>0</v>
      </c>
      <c r="C68">
        <f>IF(Sheet1!B68&gt;0,1,0)</f>
        <v>0</v>
      </c>
    </row>
    <row r="69" spans="1:3" x14ac:dyDescent="0.25">
      <c r="A69" s="15">
        <f>Sheet1!A69</f>
        <v>43103.791666666664</v>
      </c>
      <c r="B69">
        <f>Sheet1!B69</f>
        <v>1.1000000000000001</v>
      </c>
      <c r="C69">
        <f>IF(Sheet1!B69&gt;0,1,0)</f>
        <v>1</v>
      </c>
    </row>
    <row r="70" spans="1:3" x14ac:dyDescent="0.25">
      <c r="A70" s="15">
        <f>Sheet1!A70</f>
        <v>43103.833333333336</v>
      </c>
      <c r="B70">
        <f>Sheet1!B70</f>
        <v>1.46</v>
      </c>
      <c r="C70">
        <f>IF(Sheet1!B70&gt;0,1,0)</f>
        <v>1</v>
      </c>
    </row>
    <row r="71" spans="1:3" x14ac:dyDescent="0.25">
      <c r="A71" s="15">
        <f>Sheet1!A71</f>
        <v>43103.875</v>
      </c>
      <c r="B71">
        <f>Sheet1!B71</f>
        <v>1.56</v>
      </c>
      <c r="C71">
        <f>IF(Sheet1!B71&gt;0,1,0)</f>
        <v>1</v>
      </c>
    </row>
    <row r="72" spans="1:3" x14ac:dyDescent="0.25">
      <c r="A72" s="15">
        <f>Sheet1!A72</f>
        <v>43103.916666666664</v>
      </c>
      <c r="B72">
        <f>Sheet1!B72</f>
        <v>1.42</v>
      </c>
      <c r="C72">
        <f>IF(Sheet1!B72&gt;0,1,0)</f>
        <v>1</v>
      </c>
    </row>
    <row r="73" spans="1:3" x14ac:dyDescent="0.25">
      <c r="A73" s="15">
        <f>Sheet1!A73</f>
        <v>43103.958333333336</v>
      </c>
      <c r="B73">
        <f>Sheet1!B73</f>
        <v>1.1599999999999999</v>
      </c>
      <c r="C73">
        <f>IF(Sheet1!B73&gt;0,1,0)</f>
        <v>1</v>
      </c>
    </row>
    <row r="74" spans="1:3" x14ac:dyDescent="0.25">
      <c r="A74" s="15">
        <f>Sheet1!A74</f>
        <v>43104</v>
      </c>
      <c r="B74">
        <f>Sheet1!B74</f>
        <v>0.98</v>
      </c>
      <c r="C74">
        <f>IF(Sheet1!B74&gt;0,1,0)</f>
        <v>1</v>
      </c>
    </row>
    <row r="75" spans="1:3" x14ac:dyDescent="0.25">
      <c r="A75" s="15">
        <f>Sheet1!A75</f>
        <v>43104.041666666664</v>
      </c>
      <c r="B75">
        <f>Sheet1!B75</f>
        <v>0.83</v>
      </c>
      <c r="C75">
        <f>IF(Sheet1!B75&gt;0,1,0)</f>
        <v>1</v>
      </c>
    </row>
    <row r="76" spans="1:3" x14ac:dyDescent="0.25">
      <c r="A76" s="15">
        <f>Sheet1!A76</f>
        <v>43104.083333333336</v>
      </c>
      <c r="B76">
        <f>Sheet1!B76</f>
        <v>1</v>
      </c>
      <c r="C76">
        <f>IF(Sheet1!B76&gt;0,1,0)</f>
        <v>1</v>
      </c>
    </row>
    <row r="77" spans="1:3" x14ac:dyDescent="0.25">
      <c r="A77" s="15">
        <f>Sheet1!A77</f>
        <v>43104.125</v>
      </c>
      <c r="B77">
        <f>Sheet1!B77</f>
        <v>1.45</v>
      </c>
      <c r="C77">
        <f>IF(Sheet1!B77&gt;0,1,0)</f>
        <v>1</v>
      </c>
    </row>
    <row r="78" spans="1:3" x14ac:dyDescent="0.25">
      <c r="A78" s="15">
        <f>Sheet1!A78</f>
        <v>43104.166666666664</v>
      </c>
      <c r="B78">
        <f>Sheet1!B78</f>
        <v>1.43</v>
      </c>
      <c r="C78">
        <f>IF(Sheet1!B78&gt;0,1,0)</f>
        <v>1</v>
      </c>
    </row>
    <row r="79" spans="1:3" x14ac:dyDescent="0.25">
      <c r="A79" s="15">
        <f>Sheet1!A79</f>
        <v>43104.208333333336</v>
      </c>
      <c r="B79">
        <f>Sheet1!B79</f>
        <v>1.45</v>
      </c>
      <c r="C79">
        <f>IF(Sheet1!B79&gt;0,1,0)</f>
        <v>1</v>
      </c>
    </row>
    <row r="80" spans="1:3" x14ac:dyDescent="0.25">
      <c r="A80" s="15">
        <f>Sheet1!A80</f>
        <v>43104.25</v>
      </c>
      <c r="B80">
        <f>Sheet1!B80</f>
        <v>1.44</v>
      </c>
      <c r="C80">
        <f>IF(Sheet1!B80&gt;0,1,0)</f>
        <v>1</v>
      </c>
    </row>
    <row r="81" spans="1:3" x14ac:dyDescent="0.25">
      <c r="A81" s="15">
        <f>Sheet1!A81</f>
        <v>43104.291666666664</v>
      </c>
      <c r="B81">
        <f>Sheet1!B81</f>
        <v>1.17</v>
      </c>
      <c r="C81">
        <f>IF(Sheet1!B81&gt;0,1,0)</f>
        <v>1</v>
      </c>
    </row>
    <row r="82" spans="1:3" x14ac:dyDescent="0.25">
      <c r="A82" s="15">
        <f>Sheet1!A82</f>
        <v>43104.333333333336</v>
      </c>
      <c r="B82">
        <f>Sheet1!B82</f>
        <v>0</v>
      </c>
      <c r="C82">
        <f>IF(Sheet1!B82&gt;0,1,0)</f>
        <v>0</v>
      </c>
    </row>
    <row r="83" spans="1:3" x14ac:dyDescent="0.25">
      <c r="A83" s="15">
        <f>Sheet1!A83</f>
        <v>43104.375</v>
      </c>
      <c r="B83">
        <f>Sheet1!B83</f>
        <v>0</v>
      </c>
      <c r="C83">
        <f>IF(Sheet1!B83&gt;0,1,0)</f>
        <v>0</v>
      </c>
    </row>
    <row r="84" spans="1:3" x14ac:dyDescent="0.25">
      <c r="A84" s="15">
        <f>Sheet1!A84</f>
        <v>43104.416666666664</v>
      </c>
      <c r="B84">
        <f>Sheet1!B84</f>
        <v>0</v>
      </c>
      <c r="C84">
        <f>IF(Sheet1!B84&gt;0,1,0)</f>
        <v>0</v>
      </c>
    </row>
    <row r="85" spans="1:3" x14ac:dyDescent="0.25">
      <c r="A85" s="15">
        <f>Sheet1!A85</f>
        <v>43104.458333333336</v>
      </c>
      <c r="B85">
        <f>Sheet1!B85</f>
        <v>1.46</v>
      </c>
      <c r="C85">
        <f>IF(Sheet1!B85&gt;0,1,0)</f>
        <v>1</v>
      </c>
    </row>
    <row r="86" spans="1:3" x14ac:dyDescent="0.25">
      <c r="A86" s="15">
        <f>Sheet1!A86</f>
        <v>43104.5</v>
      </c>
      <c r="B86">
        <f>Sheet1!B86</f>
        <v>1.34</v>
      </c>
      <c r="C86">
        <f>IF(Sheet1!B86&gt;0,1,0)</f>
        <v>1</v>
      </c>
    </row>
    <row r="87" spans="1:3" x14ac:dyDescent="0.25">
      <c r="A87" s="15">
        <f>Sheet1!A87</f>
        <v>43104.541666666664</v>
      </c>
      <c r="B87">
        <f>Sheet1!B87</f>
        <v>1.0900000000000001</v>
      </c>
      <c r="C87">
        <f>IF(Sheet1!B87&gt;0,1,0)</f>
        <v>1</v>
      </c>
    </row>
    <row r="88" spans="1:3" x14ac:dyDescent="0.25">
      <c r="A88" s="15">
        <f>Sheet1!A88</f>
        <v>43104.583333333336</v>
      </c>
      <c r="B88">
        <f>Sheet1!B88</f>
        <v>1.62</v>
      </c>
      <c r="C88">
        <f>IF(Sheet1!B88&gt;0,1,0)</f>
        <v>1</v>
      </c>
    </row>
    <row r="89" spans="1:3" x14ac:dyDescent="0.25">
      <c r="A89" s="15">
        <f>Sheet1!A89</f>
        <v>43104.625</v>
      </c>
      <c r="B89">
        <f>Sheet1!B89</f>
        <v>0</v>
      </c>
      <c r="C89">
        <f>IF(Sheet1!B89&gt;0,1,0)</f>
        <v>0</v>
      </c>
    </row>
    <row r="90" spans="1:3" x14ac:dyDescent="0.25">
      <c r="A90" s="15">
        <f>Sheet1!A90</f>
        <v>43104.666666666664</v>
      </c>
      <c r="B90">
        <f>Sheet1!B90</f>
        <v>0</v>
      </c>
      <c r="C90">
        <f>IF(Sheet1!B90&gt;0,1,0)</f>
        <v>0</v>
      </c>
    </row>
    <row r="91" spans="1:3" x14ac:dyDescent="0.25">
      <c r="A91" s="15">
        <f>Sheet1!A91</f>
        <v>43104.708333333336</v>
      </c>
      <c r="B91">
        <f>Sheet1!B91</f>
        <v>0</v>
      </c>
      <c r="C91">
        <f>IF(Sheet1!B91&gt;0,1,0)</f>
        <v>0</v>
      </c>
    </row>
    <row r="92" spans="1:3" x14ac:dyDescent="0.25">
      <c r="A92" s="15">
        <f>Sheet1!A92</f>
        <v>43104.75</v>
      </c>
      <c r="B92">
        <f>Sheet1!B92</f>
        <v>1.29</v>
      </c>
      <c r="C92">
        <f>IF(Sheet1!B92&gt;0,1,0)</f>
        <v>1</v>
      </c>
    </row>
    <row r="93" spans="1:3" x14ac:dyDescent="0.25">
      <c r="A93" s="15">
        <f>Sheet1!A93</f>
        <v>43104.791666666664</v>
      </c>
      <c r="B93">
        <f>Sheet1!B93</f>
        <v>1.38</v>
      </c>
      <c r="C93">
        <f>IF(Sheet1!B93&gt;0,1,0)</f>
        <v>1</v>
      </c>
    </row>
    <row r="94" spans="1:3" x14ac:dyDescent="0.25">
      <c r="A94" s="15">
        <f>Sheet1!A94</f>
        <v>43104.833333333336</v>
      </c>
      <c r="B94">
        <f>Sheet1!B94</f>
        <v>0</v>
      </c>
      <c r="C94">
        <f>IF(Sheet1!B94&gt;0,1,0)</f>
        <v>0</v>
      </c>
    </row>
    <row r="95" spans="1:3" x14ac:dyDescent="0.25">
      <c r="A95" s="15">
        <f>Sheet1!A95</f>
        <v>43104.875</v>
      </c>
      <c r="B95">
        <f>Sheet1!B95</f>
        <v>0</v>
      </c>
      <c r="C95">
        <f>IF(Sheet1!B95&gt;0,1,0)</f>
        <v>0</v>
      </c>
    </row>
    <row r="96" spans="1:3" x14ac:dyDescent="0.25">
      <c r="A96" s="15">
        <f>Sheet1!A96</f>
        <v>43104.916666666664</v>
      </c>
      <c r="B96">
        <f>Sheet1!B96</f>
        <v>1.17</v>
      </c>
      <c r="C96">
        <f>IF(Sheet1!B96&gt;0,1,0)</f>
        <v>1</v>
      </c>
    </row>
    <row r="97" spans="1:3" x14ac:dyDescent="0.25">
      <c r="A97" s="15">
        <f>Sheet1!A97</f>
        <v>43104.958333333336</v>
      </c>
      <c r="B97">
        <f>Sheet1!B97</f>
        <v>0.89</v>
      </c>
      <c r="C97">
        <f>IF(Sheet1!B97&gt;0,1,0)</f>
        <v>1</v>
      </c>
    </row>
    <row r="98" spans="1:3" x14ac:dyDescent="0.25">
      <c r="A98" s="15">
        <f>Sheet1!A98</f>
        <v>43105</v>
      </c>
      <c r="B98">
        <f>Sheet1!B98</f>
        <v>1.01</v>
      </c>
      <c r="C98">
        <f>IF(Sheet1!B98&gt;0,1,0)</f>
        <v>1</v>
      </c>
    </row>
    <row r="99" spans="1:3" x14ac:dyDescent="0.25">
      <c r="A99" s="15">
        <f>Sheet1!A99</f>
        <v>43105.041666666664</v>
      </c>
      <c r="B99">
        <f>Sheet1!B99</f>
        <v>1.26</v>
      </c>
      <c r="C99">
        <f>IF(Sheet1!B99&gt;0,1,0)</f>
        <v>1</v>
      </c>
    </row>
    <row r="100" spans="1:3" x14ac:dyDescent="0.25">
      <c r="A100" s="15">
        <f>Sheet1!A100</f>
        <v>43105.083333333336</v>
      </c>
      <c r="B100">
        <f>Sheet1!B100</f>
        <v>1.36</v>
      </c>
      <c r="C100">
        <f>IF(Sheet1!B100&gt;0,1,0)</f>
        <v>1</v>
      </c>
    </row>
    <row r="101" spans="1:3" x14ac:dyDescent="0.25">
      <c r="A101" s="15">
        <f>Sheet1!A101</f>
        <v>43105.125</v>
      </c>
      <c r="B101">
        <f>Sheet1!B101</f>
        <v>1.67</v>
      </c>
      <c r="C101">
        <f>IF(Sheet1!B101&gt;0,1,0)</f>
        <v>1</v>
      </c>
    </row>
    <row r="102" spans="1:3" x14ac:dyDescent="0.25">
      <c r="A102" s="15">
        <f>Sheet1!A102</f>
        <v>43105.166666666664</v>
      </c>
      <c r="B102">
        <f>Sheet1!B102</f>
        <v>1.4</v>
      </c>
      <c r="C102">
        <f>IF(Sheet1!B102&gt;0,1,0)</f>
        <v>1</v>
      </c>
    </row>
    <row r="103" spans="1:3" x14ac:dyDescent="0.25">
      <c r="A103" s="15">
        <f>Sheet1!A103</f>
        <v>43105.208333333336</v>
      </c>
      <c r="B103">
        <f>Sheet1!B103</f>
        <v>1.23</v>
      </c>
      <c r="C103">
        <f>IF(Sheet1!B103&gt;0,1,0)</f>
        <v>1</v>
      </c>
    </row>
    <row r="104" spans="1:3" x14ac:dyDescent="0.25">
      <c r="A104" s="15">
        <f>Sheet1!A104</f>
        <v>43105.25</v>
      </c>
      <c r="B104">
        <f>Sheet1!B104</f>
        <v>1.17</v>
      </c>
      <c r="C104">
        <f>IF(Sheet1!B104&gt;0,1,0)</f>
        <v>1</v>
      </c>
    </row>
    <row r="105" spans="1:3" x14ac:dyDescent="0.25">
      <c r="A105" s="15">
        <f>Sheet1!A105</f>
        <v>43105.291666666664</v>
      </c>
      <c r="B105">
        <f>Sheet1!B105</f>
        <v>0.96</v>
      </c>
      <c r="C105">
        <f>IF(Sheet1!B105&gt;0,1,0)</f>
        <v>1</v>
      </c>
    </row>
    <row r="106" spans="1:3" x14ac:dyDescent="0.25">
      <c r="A106" s="15">
        <f>Sheet1!A106</f>
        <v>43105.333333333336</v>
      </c>
      <c r="B106">
        <f>Sheet1!B106</f>
        <v>0</v>
      </c>
      <c r="C106">
        <f>IF(Sheet1!B106&gt;0,1,0)</f>
        <v>0</v>
      </c>
    </row>
    <row r="107" spans="1:3" x14ac:dyDescent="0.25">
      <c r="A107" s="15">
        <f>Sheet1!A107</f>
        <v>43105.375</v>
      </c>
      <c r="B107">
        <f>Sheet1!B107</f>
        <v>0</v>
      </c>
      <c r="C107">
        <f>IF(Sheet1!B107&gt;0,1,0)</f>
        <v>0</v>
      </c>
    </row>
    <row r="108" spans="1:3" x14ac:dyDescent="0.25">
      <c r="A108" s="15">
        <f>Sheet1!A108</f>
        <v>43105.416666666664</v>
      </c>
      <c r="B108">
        <f>Sheet1!B108</f>
        <v>0</v>
      </c>
      <c r="C108">
        <f>IF(Sheet1!B108&gt;0,1,0)</f>
        <v>0</v>
      </c>
    </row>
    <row r="109" spans="1:3" x14ac:dyDescent="0.25">
      <c r="A109" s="15">
        <f>Sheet1!A109</f>
        <v>43105.458333333336</v>
      </c>
      <c r="B109">
        <f>Sheet1!B109</f>
        <v>1.59</v>
      </c>
      <c r="C109">
        <f>IF(Sheet1!B109&gt;0,1,0)</f>
        <v>1</v>
      </c>
    </row>
    <row r="110" spans="1:3" x14ac:dyDescent="0.25">
      <c r="A110" s="15">
        <f>Sheet1!A110</f>
        <v>43105.5</v>
      </c>
      <c r="B110">
        <f>Sheet1!B110</f>
        <v>1.5</v>
      </c>
      <c r="C110">
        <f>IF(Sheet1!B110&gt;0,1,0)</f>
        <v>1</v>
      </c>
    </row>
    <row r="111" spans="1:3" x14ac:dyDescent="0.25">
      <c r="A111" s="15">
        <f>Sheet1!A111</f>
        <v>43105.541666666664</v>
      </c>
      <c r="B111">
        <f>Sheet1!B111</f>
        <v>2.0099999999999998</v>
      </c>
      <c r="C111">
        <f>IF(Sheet1!B111&gt;0,1,0)</f>
        <v>1</v>
      </c>
    </row>
    <row r="112" spans="1:3" x14ac:dyDescent="0.25">
      <c r="A112" s="15">
        <f>Sheet1!A112</f>
        <v>43105.583333333336</v>
      </c>
      <c r="B112">
        <f>Sheet1!B112</f>
        <v>0</v>
      </c>
      <c r="C112">
        <f>IF(Sheet1!B112&gt;0,1,0)</f>
        <v>0</v>
      </c>
    </row>
    <row r="113" spans="1:3" x14ac:dyDescent="0.25">
      <c r="A113" s="15">
        <f>Sheet1!A113</f>
        <v>43105.625</v>
      </c>
      <c r="B113">
        <f>Sheet1!B113</f>
        <v>0</v>
      </c>
      <c r="C113">
        <f>IF(Sheet1!B113&gt;0,1,0)</f>
        <v>0</v>
      </c>
    </row>
    <row r="114" spans="1:3" x14ac:dyDescent="0.25">
      <c r="A114" s="15">
        <f>Sheet1!A114</f>
        <v>43105.666666666664</v>
      </c>
      <c r="B114">
        <f>Sheet1!B114</f>
        <v>0</v>
      </c>
      <c r="C114">
        <f>IF(Sheet1!B114&gt;0,1,0)</f>
        <v>0</v>
      </c>
    </row>
    <row r="115" spans="1:3" x14ac:dyDescent="0.25">
      <c r="A115" s="15">
        <f>Sheet1!A115</f>
        <v>43105.708333333336</v>
      </c>
      <c r="B115">
        <f>Sheet1!B115</f>
        <v>1.29</v>
      </c>
      <c r="C115">
        <f>IF(Sheet1!B115&gt;0,1,0)</f>
        <v>1</v>
      </c>
    </row>
    <row r="116" spans="1:3" x14ac:dyDescent="0.25">
      <c r="A116" s="15">
        <f>Sheet1!A116</f>
        <v>43105.75</v>
      </c>
      <c r="B116">
        <f>Sheet1!B116</f>
        <v>0</v>
      </c>
      <c r="C116">
        <f>IF(Sheet1!B116&gt;0,1,0)</f>
        <v>0</v>
      </c>
    </row>
    <row r="117" spans="1:3" x14ac:dyDescent="0.25">
      <c r="A117" s="15">
        <f>Sheet1!A117</f>
        <v>43105.791666666664</v>
      </c>
      <c r="B117">
        <f>Sheet1!B117</f>
        <v>0</v>
      </c>
      <c r="C117">
        <f>IF(Sheet1!B117&gt;0,1,0)</f>
        <v>0</v>
      </c>
    </row>
    <row r="118" spans="1:3" x14ac:dyDescent="0.25">
      <c r="A118" s="15">
        <f>Sheet1!A118</f>
        <v>43105.833333333336</v>
      </c>
      <c r="B118">
        <f>Sheet1!B118</f>
        <v>0</v>
      </c>
      <c r="C118">
        <f>IF(Sheet1!B118&gt;0,1,0)</f>
        <v>0</v>
      </c>
    </row>
    <row r="119" spans="1:3" x14ac:dyDescent="0.25">
      <c r="A119" s="15">
        <f>Sheet1!A119</f>
        <v>43105.875</v>
      </c>
      <c r="B119">
        <f>Sheet1!B119</f>
        <v>1.1299999999999999</v>
      </c>
      <c r="C119">
        <f>IF(Sheet1!B119&gt;0,1,0)</f>
        <v>1</v>
      </c>
    </row>
    <row r="120" spans="1:3" x14ac:dyDescent="0.25">
      <c r="A120" s="15">
        <f>Sheet1!A120</f>
        <v>43105.916666666664</v>
      </c>
      <c r="B120">
        <f>Sheet1!B120</f>
        <v>1.65</v>
      </c>
      <c r="C120">
        <f>IF(Sheet1!B120&gt;0,1,0)</f>
        <v>1</v>
      </c>
    </row>
    <row r="121" spans="1:3" x14ac:dyDescent="0.25">
      <c r="A121" s="15">
        <f>Sheet1!A121</f>
        <v>43105.958333333336</v>
      </c>
      <c r="B121">
        <f>Sheet1!B121</f>
        <v>1.34</v>
      </c>
      <c r="C121">
        <f>IF(Sheet1!B121&gt;0,1,0)</f>
        <v>1</v>
      </c>
    </row>
    <row r="122" spans="1:3" x14ac:dyDescent="0.25">
      <c r="A122" s="15">
        <f>Sheet1!A122</f>
        <v>43106</v>
      </c>
      <c r="B122">
        <f>Sheet1!B122</f>
        <v>1.23</v>
      </c>
      <c r="C122">
        <f>IF(Sheet1!B122&gt;0,1,0)</f>
        <v>1</v>
      </c>
    </row>
    <row r="123" spans="1:3" x14ac:dyDescent="0.25">
      <c r="A123" s="15">
        <f>Sheet1!A123</f>
        <v>43106.041666666664</v>
      </c>
      <c r="B123">
        <f>Sheet1!B123</f>
        <v>1.36</v>
      </c>
      <c r="C123">
        <f>IF(Sheet1!B123&gt;0,1,0)</f>
        <v>1</v>
      </c>
    </row>
    <row r="124" spans="1:3" x14ac:dyDescent="0.25">
      <c r="A124" s="15">
        <f>Sheet1!A124</f>
        <v>43106.083333333336</v>
      </c>
      <c r="B124">
        <f>Sheet1!B124</f>
        <v>1.3</v>
      </c>
      <c r="C124">
        <f>IF(Sheet1!B124&gt;0,1,0)</f>
        <v>1</v>
      </c>
    </row>
    <row r="125" spans="1:3" x14ac:dyDescent="0.25">
      <c r="A125" s="15">
        <f>Sheet1!A125</f>
        <v>43106.125</v>
      </c>
      <c r="B125">
        <f>Sheet1!B125</f>
        <v>1.1499999999999999</v>
      </c>
      <c r="C125">
        <f>IF(Sheet1!B125&gt;0,1,0)</f>
        <v>1</v>
      </c>
    </row>
    <row r="126" spans="1:3" x14ac:dyDescent="0.25">
      <c r="A126" s="15">
        <f>Sheet1!A126</f>
        <v>43106.166666666664</v>
      </c>
      <c r="B126">
        <f>Sheet1!B126</f>
        <v>1.35</v>
      </c>
      <c r="C126">
        <f>IF(Sheet1!B126&gt;0,1,0)</f>
        <v>1</v>
      </c>
    </row>
    <row r="127" spans="1:3" x14ac:dyDescent="0.25">
      <c r="A127" s="15">
        <f>Sheet1!A127</f>
        <v>43106.208333333336</v>
      </c>
      <c r="B127">
        <f>Sheet1!B127</f>
        <v>1.29</v>
      </c>
      <c r="C127">
        <f>IF(Sheet1!B127&gt;0,1,0)</f>
        <v>1</v>
      </c>
    </row>
    <row r="128" spans="1:3" x14ac:dyDescent="0.25">
      <c r="A128" s="15">
        <f>Sheet1!A128</f>
        <v>43106.25</v>
      </c>
      <c r="B128">
        <f>Sheet1!B128</f>
        <v>0.95</v>
      </c>
      <c r="C128">
        <f>IF(Sheet1!B128&gt;0,1,0)</f>
        <v>1</v>
      </c>
    </row>
    <row r="129" spans="1:3" x14ac:dyDescent="0.25">
      <c r="A129" s="15">
        <f>Sheet1!A129</f>
        <v>43106.291666666664</v>
      </c>
      <c r="B129">
        <f>Sheet1!B129</f>
        <v>0.77</v>
      </c>
      <c r="C129">
        <f>IF(Sheet1!B129&gt;0,1,0)</f>
        <v>1</v>
      </c>
    </row>
    <row r="130" spans="1:3" x14ac:dyDescent="0.25">
      <c r="A130" s="15">
        <f>Sheet1!A130</f>
        <v>43106.333333333336</v>
      </c>
      <c r="B130">
        <f>Sheet1!B130</f>
        <v>1.7</v>
      </c>
      <c r="C130">
        <f>IF(Sheet1!B130&gt;0,1,0)</f>
        <v>1</v>
      </c>
    </row>
    <row r="131" spans="1:3" x14ac:dyDescent="0.25">
      <c r="A131" s="15">
        <f>Sheet1!A131</f>
        <v>43106.375</v>
      </c>
      <c r="B131">
        <f>Sheet1!B131</f>
        <v>1.8</v>
      </c>
      <c r="C131">
        <f>IF(Sheet1!B131&gt;0,1,0)</f>
        <v>1</v>
      </c>
    </row>
    <row r="132" spans="1:3" x14ac:dyDescent="0.25">
      <c r="A132" s="15">
        <f>Sheet1!A132</f>
        <v>43106.416666666664</v>
      </c>
      <c r="B132">
        <f>Sheet1!B132</f>
        <v>0</v>
      </c>
      <c r="C132">
        <f>IF(Sheet1!B132&gt;0,1,0)</f>
        <v>0</v>
      </c>
    </row>
    <row r="133" spans="1:3" x14ac:dyDescent="0.25">
      <c r="A133" s="15">
        <f>Sheet1!A133</f>
        <v>43106.458333333336</v>
      </c>
      <c r="B133">
        <f>Sheet1!B133</f>
        <v>0</v>
      </c>
      <c r="C133">
        <f>IF(Sheet1!B133&gt;0,1,0)</f>
        <v>0</v>
      </c>
    </row>
    <row r="134" spans="1:3" x14ac:dyDescent="0.25">
      <c r="A134" s="15">
        <f>Sheet1!A134</f>
        <v>43106.5</v>
      </c>
      <c r="B134">
        <f>Sheet1!B134</f>
        <v>0</v>
      </c>
      <c r="C134">
        <f>IF(Sheet1!B134&gt;0,1,0)</f>
        <v>0</v>
      </c>
    </row>
    <row r="135" spans="1:3" x14ac:dyDescent="0.25">
      <c r="A135" s="15">
        <f>Sheet1!A135</f>
        <v>43106.541666666664</v>
      </c>
      <c r="B135">
        <f>Sheet1!B135</f>
        <v>1.93</v>
      </c>
      <c r="C135">
        <f>IF(Sheet1!B135&gt;0,1,0)</f>
        <v>1</v>
      </c>
    </row>
    <row r="136" spans="1:3" x14ac:dyDescent="0.25">
      <c r="A136" s="15">
        <f>Sheet1!A136</f>
        <v>43106.583333333336</v>
      </c>
      <c r="B136">
        <f>Sheet1!B136</f>
        <v>1.95</v>
      </c>
      <c r="C136">
        <f>IF(Sheet1!B136&gt;0,1,0)</f>
        <v>1</v>
      </c>
    </row>
    <row r="137" spans="1:3" x14ac:dyDescent="0.25">
      <c r="A137" s="15">
        <f>Sheet1!A137</f>
        <v>43106.625</v>
      </c>
      <c r="B137">
        <f>Sheet1!B137</f>
        <v>1.57</v>
      </c>
      <c r="C137">
        <f>IF(Sheet1!B137&gt;0,1,0)</f>
        <v>1</v>
      </c>
    </row>
    <row r="138" spans="1:3" x14ac:dyDescent="0.25">
      <c r="A138" s="15">
        <f>Sheet1!A138</f>
        <v>43106.666666666664</v>
      </c>
      <c r="B138">
        <f>Sheet1!B138</f>
        <v>0</v>
      </c>
      <c r="C138">
        <f>IF(Sheet1!B138&gt;0,1,0)</f>
        <v>0</v>
      </c>
    </row>
    <row r="139" spans="1:3" x14ac:dyDescent="0.25">
      <c r="A139" s="15">
        <f>Sheet1!A139</f>
        <v>43106.708333333336</v>
      </c>
      <c r="B139">
        <f>Sheet1!B139</f>
        <v>0</v>
      </c>
      <c r="C139">
        <f>IF(Sheet1!B139&gt;0,1,0)</f>
        <v>0</v>
      </c>
    </row>
    <row r="140" spans="1:3" x14ac:dyDescent="0.25">
      <c r="A140" s="15">
        <f>Sheet1!A140</f>
        <v>43106.75</v>
      </c>
      <c r="B140">
        <f>Sheet1!B140</f>
        <v>0</v>
      </c>
      <c r="C140">
        <f>IF(Sheet1!B140&gt;0,1,0)</f>
        <v>0</v>
      </c>
    </row>
    <row r="141" spans="1:3" x14ac:dyDescent="0.25">
      <c r="A141" s="15">
        <f>Sheet1!A141</f>
        <v>43106.791666666664</v>
      </c>
      <c r="B141">
        <f>Sheet1!B141</f>
        <v>1.24</v>
      </c>
      <c r="C141">
        <f>IF(Sheet1!B141&gt;0,1,0)</f>
        <v>1</v>
      </c>
    </row>
    <row r="142" spans="1:3" x14ac:dyDescent="0.25">
      <c r="A142" s="15">
        <f>Sheet1!A142</f>
        <v>43106.833333333336</v>
      </c>
      <c r="B142">
        <f>Sheet1!B142</f>
        <v>0</v>
      </c>
      <c r="C142">
        <f>IF(Sheet1!B142&gt;0,1,0)</f>
        <v>0</v>
      </c>
    </row>
    <row r="143" spans="1:3" x14ac:dyDescent="0.25">
      <c r="A143" s="15">
        <f>Sheet1!A143</f>
        <v>43106.875</v>
      </c>
      <c r="B143">
        <f>Sheet1!B143</f>
        <v>0</v>
      </c>
      <c r="C143">
        <f>IF(Sheet1!B143&gt;0,1,0)</f>
        <v>0</v>
      </c>
    </row>
    <row r="144" spans="1:3" x14ac:dyDescent="0.25">
      <c r="A144" s="15">
        <f>Sheet1!A144</f>
        <v>43106.916666666664</v>
      </c>
      <c r="B144">
        <f>Sheet1!B144</f>
        <v>1.1599999999999999</v>
      </c>
      <c r="C144">
        <f>IF(Sheet1!B144&gt;0,1,0)</f>
        <v>1</v>
      </c>
    </row>
    <row r="145" spans="1:3" x14ac:dyDescent="0.25">
      <c r="A145" s="15">
        <f>Sheet1!A145</f>
        <v>43106.958333333336</v>
      </c>
      <c r="B145">
        <f>Sheet1!B145</f>
        <v>1.47</v>
      </c>
      <c r="C145">
        <f>IF(Sheet1!B145&gt;0,1,0)</f>
        <v>1</v>
      </c>
    </row>
    <row r="146" spans="1:3" x14ac:dyDescent="0.25">
      <c r="A146" s="15">
        <f>Sheet1!A146</f>
        <v>43107</v>
      </c>
      <c r="B146">
        <f>Sheet1!B146</f>
        <v>1.06</v>
      </c>
      <c r="C146">
        <f>IF(Sheet1!B146&gt;0,1,0)</f>
        <v>1</v>
      </c>
    </row>
    <row r="147" spans="1:3" x14ac:dyDescent="0.25">
      <c r="A147" s="15">
        <f>Sheet1!A147</f>
        <v>43107.041666666664</v>
      </c>
      <c r="B147">
        <f>Sheet1!B147</f>
        <v>1.28</v>
      </c>
      <c r="C147">
        <f>IF(Sheet1!B147&gt;0,1,0)</f>
        <v>1</v>
      </c>
    </row>
    <row r="148" spans="1:3" x14ac:dyDescent="0.25">
      <c r="A148" s="15">
        <f>Sheet1!A148</f>
        <v>43107.083333333336</v>
      </c>
      <c r="B148">
        <f>Sheet1!B148</f>
        <v>1.33</v>
      </c>
      <c r="C148">
        <f>IF(Sheet1!B148&gt;0,1,0)</f>
        <v>1</v>
      </c>
    </row>
    <row r="149" spans="1:3" x14ac:dyDescent="0.25">
      <c r="A149" s="15">
        <f>Sheet1!A149</f>
        <v>43107.125</v>
      </c>
      <c r="B149">
        <f>Sheet1!B149</f>
        <v>1.3</v>
      </c>
      <c r="C149">
        <f>IF(Sheet1!B149&gt;0,1,0)</f>
        <v>1</v>
      </c>
    </row>
    <row r="150" spans="1:3" x14ac:dyDescent="0.25">
      <c r="A150" s="15">
        <f>Sheet1!A150</f>
        <v>43107.166666666664</v>
      </c>
      <c r="B150">
        <f>Sheet1!B150</f>
        <v>1.3</v>
      </c>
      <c r="C150">
        <f>IF(Sheet1!B150&gt;0,1,0)</f>
        <v>1</v>
      </c>
    </row>
    <row r="151" spans="1:3" x14ac:dyDescent="0.25">
      <c r="A151" s="15">
        <f>Sheet1!A151</f>
        <v>43107.208333333336</v>
      </c>
      <c r="B151">
        <f>Sheet1!B151</f>
        <v>0.76</v>
      </c>
      <c r="C151">
        <f>IF(Sheet1!B151&gt;0,1,0)</f>
        <v>1</v>
      </c>
    </row>
    <row r="152" spans="1:3" x14ac:dyDescent="0.25">
      <c r="A152" s="15">
        <f>Sheet1!A152</f>
        <v>43107.25</v>
      </c>
      <c r="B152">
        <f>Sheet1!B152</f>
        <v>0.93</v>
      </c>
      <c r="C152">
        <f>IF(Sheet1!B152&gt;0,1,0)</f>
        <v>1</v>
      </c>
    </row>
    <row r="153" spans="1:3" x14ac:dyDescent="0.25">
      <c r="A153" s="15">
        <f>Sheet1!A153</f>
        <v>43107.291666666664</v>
      </c>
      <c r="B153">
        <f>Sheet1!B153</f>
        <v>0.73</v>
      </c>
      <c r="C153">
        <f>IF(Sheet1!B153&gt;0,1,0)</f>
        <v>1</v>
      </c>
    </row>
    <row r="154" spans="1:3" x14ac:dyDescent="0.25">
      <c r="A154" s="15">
        <f>Sheet1!A154</f>
        <v>43107.333333333336</v>
      </c>
      <c r="B154">
        <f>Sheet1!B154</f>
        <v>0</v>
      </c>
      <c r="C154">
        <f>IF(Sheet1!B154&gt;0,1,0)</f>
        <v>0</v>
      </c>
    </row>
    <row r="155" spans="1:3" x14ac:dyDescent="0.25">
      <c r="A155" s="15">
        <f>Sheet1!A155</f>
        <v>43107.375</v>
      </c>
      <c r="B155">
        <f>Sheet1!B155</f>
        <v>0</v>
      </c>
      <c r="C155">
        <f>IF(Sheet1!B155&gt;0,1,0)</f>
        <v>0</v>
      </c>
    </row>
    <row r="156" spans="1:3" x14ac:dyDescent="0.25">
      <c r="A156" s="15">
        <f>Sheet1!A156</f>
        <v>43107.416666666664</v>
      </c>
      <c r="B156">
        <f>Sheet1!B156</f>
        <v>0</v>
      </c>
      <c r="C156">
        <f>IF(Sheet1!B156&gt;0,1,0)</f>
        <v>0</v>
      </c>
    </row>
    <row r="157" spans="1:3" x14ac:dyDescent="0.25">
      <c r="A157" s="15">
        <f>Sheet1!A157</f>
        <v>43107.458333333336</v>
      </c>
      <c r="B157">
        <f>Sheet1!B157</f>
        <v>0.83</v>
      </c>
      <c r="C157">
        <f>IF(Sheet1!B157&gt;0,1,0)</f>
        <v>1</v>
      </c>
    </row>
    <row r="158" spans="1:3" x14ac:dyDescent="0.25">
      <c r="A158" s="15">
        <f>Sheet1!A158</f>
        <v>43107.5</v>
      </c>
      <c r="B158">
        <f>Sheet1!B158</f>
        <v>0</v>
      </c>
      <c r="C158">
        <f>IF(Sheet1!B158&gt;0,1,0)</f>
        <v>0</v>
      </c>
    </row>
    <row r="159" spans="1:3" x14ac:dyDescent="0.25">
      <c r="A159" s="15">
        <f>Sheet1!A159</f>
        <v>43107.541666666664</v>
      </c>
      <c r="B159">
        <f>Sheet1!B159</f>
        <v>0</v>
      </c>
      <c r="C159">
        <f>IF(Sheet1!B159&gt;0,1,0)</f>
        <v>0</v>
      </c>
    </row>
    <row r="160" spans="1:3" x14ac:dyDescent="0.25">
      <c r="A160" s="15">
        <f>Sheet1!A160</f>
        <v>43107.583333333336</v>
      </c>
      <c r="B160">
        <f>Sheet1!B160</f>
        <v>0</v>
      </c>
      <c r="C160">
        <f>IF(Sheet1!B160&gt;0,1,0)</f>
        <v>0</v>
      </c>
    </row>
    <row r="161" spans="1:3" x14ac:dyDescent="0.25">
      <c r="A161" s="15">
        <f>Sheet1!A161</f>
        <v>43107.625</v>
      </c>
      <c r="B161">
        <f>Sheet1!B161</f>
        <v>2.31</v>
      </c>
      <c r="C161">
        <f>IF(Sheet1!B161&gt;0,1,0)</f>
        <v>1</v>
      </c>
    </row>
    <row r="162" spans="1:3" x14ac:dyDescent="0.25">
      <c r="A162" s="15">
        <f>Sheet1!A162</f>
        <v>43107.666666666664</v>
      </c>
      <c r="B162">
        <f>Sheet1!B162</f>
        <v>2.31</v>
      </c>
      <c r="C162">
        <f>IF(Sheet1!B162&gt;0,1,0)</f>
        <v>1</v>
      </c>
    </row>
    <row r="163" spans="1:3" x14ac:dyDescent="0.25">
      <c r="A163" s="15">
        <f>Sheet1!A163</f>
        <v>43107.708333333336</v>
      </c>
      <c r="B163">
        <f>Sheet1!B163</f>
        <v>0</v>
      </c>
      <c r="C163">
        <f>IF(Sheet1!B163&gt;0,1,0)</f>
        <v>0</v>
      </c>
    </row>
    <row r="164" spans="1:3" x14ac:dyDescent="0.25">
      <c r="A164" s="15">
        <f>Sheet1!A164</f>
        <v>43107.75</v>
      </c>
      <c r="B164">
        <f>Sheet1!B164</f>
        <v>0</v>
      </c>
      <c r="C164">
        <f>IF(Sheet1!B164&gt;0,1,0)</f>
        <v>0</v>
      </c>
    </row>
    <row r="165" spans="1:3" x14ac:dyDescent="0.25">
      <c r="A165" s="15">
        <f>Sheet1!A165</f>
        <v>43107.791666666664</v>
      </c>
      <c r="B165">
        <f>Sheet1!B165</f>
        <v>1.58</v>
      </c>
      <c r="C165">
        <f>IF(Sheet1!B165&gt;0,1,0)</f>
        <v>1</v>
      </c>
    </row>
    <row r="166" spans="1:3" x14ac:dyDescent="0.25">
      <c r="A166" s="15">
        <f>Sheet1!A166</f>
        <v>43107.833333333336</v>
      </c>
      <c r="B166">
        <f>Sheet1!B166</f>
        <v>1.62</v>
      </c>
      <c r="C166">
        <f>IF(Sheet1!B166&gt;0,1,0)</f>
        <v>1</v>
      </c>
    </row>
    <row r="167" spans="1:3" x14ac:dyDescent="0.25">
      <c r="A167" s="15">
        <f>Sheet1!A167</f>
        <v>43107.875</v>
      </c>
      <c r="B167">
        <f>Sheet1!B167</f>
        <v>1.39</v>
      </c>
      <c r="C167">
        <f>IF(Sheet1!B167&gt;0,1,0)</f>
        <v>1</v>
      </c>
    </row>
    <row r="168" spans="1:3" x14ac:dyDescent="0.25">
      <c r="A168" s="15">
        <f>Sheet1!A168</f>
        <v>43107.916666666664</v>
      </c>
      <c r="B168">
        <f>Sheet1!B168</f>
        <v>1.89</v>
      </c>
      <c r="C168">
        <f>IF(Sheet1!B168&gt;0,1,0)</f>
        <v>1</v>
      </c>
    </row>
    <row r="169" spans="1:3" x14ac:dyDescent="0.25">
      <c r="A169" s="15">
        <f>Sheet1!A169</f>
        <v>43107.958333333336</v>
      </c>
      <c r="B169">
        <f>Sheet1!B169</f>
        <v>1.29</v>
      </c>
      <c r="C169">
        <f>IF(Sheet1!B169&gt;0,1,0)</f>
        <v>1</v>
      </c>
    </row>
    <row r="170" spans="1:3" x14ac:dyDescent="0.25">
      <c r="A170" s="15">
        <f>Sheet1!A170</f>
        <v>43108</v>
      </c>
      <c r="B170">
        <f>Sheet1!B170</f>
        <v>1.39</v>
      </c>
      <c r="C170">
        <f>IF(Sheet1!B170&gt;0,1,0)</f>
        <v>1</v>
      </c>
    </row>
    <row r="171" spans="1:3" x14ac:dyDescent="0.25">
      <c r="A171" s="15">
        <f>Sheet1!A171</f>
        <v>43108.041666666664</v>
      </c>
      <c r="B171">
        <f>Sheet1!B171</f>
        <v>1.35</v>
      </c>
      <c r="C171">
        <f>IF(Sheet1!B171&gt;0,1,0)</f>
        <v>1</v>
      </c>
    </row>
    <row r="172" spans="1:3" x14ac:dyDescent="0.25">
      <c r="A172" s="15">
        <f>Sheet1!A172</f>
        <v>43108.083333333336</v>
      </c>
      <c r="B172">
        <f>Sheet1!B172</f>
        <v>1.34</v>
      </c>
      <c r="C172">
        <f>IF(Sheet1!B172&gt;0,1,0)</f>
        <v>1</v>
      </c>
    </row>
    <row r="173" spans="1:3" x14ac:dyDescent="0.25">
      <c r="A173" s="15">
        <f>Sheet1!A173</f>
        <v>43108.125</v>
      </c>
      <c r="B173">
        <f>Sheet1!B173</f>
        <v>1.39</v>
      </c>
      <c r="C173">
        <f>IF(Sheet1!B173&gt;0,1,0)</f>
        <v>1</v>
      </c>
    </row>
    <row r="174" spans="1:3" x14ac:dyDescent="0.25">
      <c r="A174" s="15">
        <f>Sheet1!A174</f>
        <v>43108.166666666664</v>
      </c>
      <c r="B174">
        <f>Sheet1!B174</f>
        <v>1.08</v>
      </c>
      <c r="C174">
        <f>IF(Sheet1!B174&gt;0,1,0)</f>
        <v>1</v>
      </c>
    </row>
    <row r="175" spans="1:3" x14ac:dyDescent="0.25">
      <c r="A175" s="15">
        <f>Sheet1!A175</f>
        <v>43108.208333333336</v>
      </c>
      <c r="B175">
        <f>Sheet1!B175</f>
        <v>0.64</v>
      </c>
      <c r="C175">
        <f>IF(Sheet1!B175&gt;0,1,0)</f>
        <v>1</v>
      </c>
    </row>
    <row r="176" spans="1:3" x14ac:dyDescent="0.25">
      <c r="A176" s="15">
        <f>Sheet1!A176</f>
        <v>43108.25</v>
      </c>
      <c r="B176">
        <f>Sheet1!B176</f>
        <v>0</v>
      </c>
      <c r="C176">
        <f>IF(Sheet1!B176&gt;0,1,0)</f>
        <v>0</v>
      </c>
    </row>
    <row r="177" spans="1:3" x14ac:dyDescent="0.25">
      <c r="A177" s="15">
        <f>Sheet1!A177</f>
        <v>43108.291666666664</v>
      </c>
      <c r="B177">
        <f>Sheet1!B177</f>
        <v>0</v>
      </c>
      <c r="C177">
        <f>IF(Sheet1!B177&gt;0,1,0)</f>
        <v>0</v>
      </c>
    </row>
    <row r="178" spans="1:3" x14ac:dyDescent="0.25">
      <c r="A178" s="15">
        <f>Sheet1!A178</f>
        <v>43108.333333333336</v>
      </c>
      <c r="B178">
        <f>Sheet1!B178</f>
        <v>0</v>
      </c>
      <c r="C178">
        <f>IF(Sheet1!B178&gt;0,1,0)</f>
        <v>0</v>
      </c>
    </row>
    <row r="179" spans="1:3" x14ac:dyDescent="0.25">
      <c r="A179" s="15">
        <f>Sheet1!A179</f>
        <v>43108.375</v>
      </c>
      <c r="B179">
        <f>Sheet1!B179</f>
        <v>1</v>
      </c>
      <c r="C179">
        <f>IF(Sheet1!B179&gt;0,1,0)</f>
        <v>1</v>
      </c>
    </row>
    <row r="180" spans="1:3" x14ac:dyDescent="0.25">
      <c r="A180" s="15">
        <f>Sheet1!A180</f>
        <v>43108.416666666664</v>
      </c>
      <c r="B180">
        <f>Sheet1!B180</f>
        <v>0.93</v>
      </c>
      <c r="C180">
        <f>IF(Sheet1!B180&gt;0,1,0)</f>
        <v>1</v>
      </c>
    </row>
    <row r="181" spans="1:3" x14ac:dyDescent="0.25">
      <c r="A181" s="15">
        <f>Sheet1!A181</f>
        <v>43108.458333333336</v>
      </c>
      <c r="B181">
        <f>Sheet1!B181</f>
        <v>1.19</v>
      </c>
      <c r="C181">
        <f>IF(Sheet1!B181&gt;0,1,0)</f>
        <v>1</v>
      </c>
    </row>
    <row r="182" spans="1:3" x14ac:dyDescent="0.25">
      <c r="A182" s="15">
        <f>Sheet1!A182</f>
        <v>43108.5</v>
      </c>
      <c r="B182">
        <f>Sheet1!B182</f>
        <v>0</v>
      </c>
      <c r="C182">
        <f>IF(Sheet1!B182&gt;0,1,0)</f>
        <v>0</v>
      </c>
    </row>
    <row r="183" spans="1:3" x14ac:dyDescent="0.25">
      <c r="A183" s="15">
        <f>Sheet1!A183</f>
        <v>43108.541666666664</v>
      </c>
      <c r="B183">
        <f>Sheet1!B183</f>
        <v>0</v>
      </c>
      <c r="C183">
        <f>IF(Sheet1!B183&gt;0,1,0)</f>
        <v>0</v>
      </c>
    </row>
    <row r="184" spans="1:3" x14ac:dyDescent="0.25">
      <c r="A184" s="15">
        <f>Sheet1!A184</f>
        <v>43108.583333333336</v>
      </c>
      <c r="B184">
        <f>Sheet1!B184</f>
        <v>0</v>
      </c>
      <c r="C184">
        <f>IF(Sheet1!B184&gt;0,1,0)</f>
        <v>0</v>
      </c>
    </row>
    <row r="185" spans="1:3" x14ac:dyDescent="0.25">
      <c r="A185" s="15">
        <f>Sheet1!A185</f>
        <v>43108.625</v>
      </c>
      <c r="B185">
        <f>Sheet1!B185</f>
        <v>1.74</v>
      </c>
      <c r="C185">
        <f>IF(Sheet1!B185&gt;0,1,0)</f>
        <v>1</v>
      </c>
    </row>
    <row r="186" spans="1:3" x14ac:dyDescent="0.25">
      <c r="A186" s="15">
        <f>Sheet1!A186</f>
        <v>43108.666666666664</v>
      </c>
      <c r="B186">
        <f>Sheet1!B186</f>
        <v>0</v>
      </c>
      <c r="C186">
        <f>IF(Sheet1!B186&gt;0,1,0)</f>
        <v>0</v>
      </c>
    </row>
    <row r="187" spans="1:3" x14ac:dyDescent="0.25">
      <c r="A187" s="15">
        <f>Sheet1!A187</f>
        <v>43108.708333333336</v>
      </c>
      <c r="B187">
        <f>Sheet1!B187</f>
        <v>0</v>
      </c>
      <c r="C187">
        <f>IF(Sheet1!B187&gt;0,1,0)</f>
        <v>0</v>
      </c>
    </row>
    <row r="188" spans="1:3" x14ac:dyDescent="0.25">
      <c r="A188" s="15">
        <f>Sheet1!A188</f>
        <v>43108.75</v>
      </c>
      <c r="B188">
        <f>Sheet1!B188</f>
        <v>0</v>
      </c>
      <c r="C188">
        <f>IF(Sheet1!B188&gt;0,1,0)</f>
        <v>0</v>
      </c>
    </row>
    <row r="189" spans="1:3" x14ac:dyDescent="0.25">
      <c r="A189" s="15">
        <f>Sheet1!A189</f>
        <v>43108.791666666664</v>
      </c>
      <c r="B189">
        <f>Sheet1!B189</f>
        <v>1.47</v>
      </c>
      <c r="C189">
        <f>IF(Sheet1!B189&gt;0,1,0)</f>
        <v>1</v>
      </c>
    </row>
    <row r="190" spans="1:3" x14ac:dyDescent="0.25">
      <c r="A190" s="15">
        <f>Sheet1!A190</f>
        <v>43108.833333333336</v>
      </c>
      <c r="B190">
        <f>Sheet1!B190</f>
        <v>0</v>
      </c>
      <c r="C190">
        <f>IF(Sheet1!B190&gt;0,1,0)</f>
        <v>0</v>
      </c>
    </row>
    <row r="191" spans="1:3" x14ac:dyDescent="0.25">
      <c r="A191" s="15">
        <f>Sheet1!A191</f>
        <v>43108.875</v>
      </c>
      <c r="B191">
        <f>Sheet1!B191</f>
        <v>0</v>
      </c>
      <c r="C191">
        <f>IF(Sheet1!B191&gt;0,1,0)</f>
        <v>0</v>
      </c>
    </row>
    <row r="192" spans="1:3" x14ac:dyDescent="0.25">
      <c r="A192" s="15">
        <f>Sheet1!A192</f>
        <v>43108.916666666664</v>
      </c>
      <c r="B192">
        <f>Sheet1!B192</f>
        <v>1.88</v>
      </c>
      <c r="C192">
        <f>IF(Sheet1!B192&gt;0,1,0)</f>
        <v>1</v>
      </c>
    </row>
    <row r="193" spans="1:3" x14ac:dyDescent="0.25">
      <c r="A193" s="15">
        <f>Sheet1!A193</f>
        <v>43108.958333333336</v>
      </c>
      <c r="B193">
        <f>Sheet1!B193</f>
        <v>2.2200000000000002</v>
      </c>
      <c r="C193">
        <f>IF(Sheet1!B193&gt;0,1,0)</f>
        <v>1</v>
      </c>
    </row>
    <row r="194" spans="1:3" x14ac:dyDescent="0.25">
      <c r="A194" s="15">
        <f>Sheet1!A194</f>
        <v>43109</v>
      </c>
      <c r="B194">
        <f>Sheet1!B194</f>
        <v>1.8</v>
      </c>
      <c r="C194">
        <f>IF(Sheet1!B194&gt;0,1,0)</f>
        <v>1</v>
      </c>
    </row>
    <row r="195" spans="1:3" x14ac:dyDescent="0.25">
      <c r="A195" s="15">
        <f>Sheet1!A195</f>
        <v>43109.041666666664</v>
      </c>
      <c r="B195">
        <f>Sheet1!B195</f>
        <v>1.96</v>
      </c>
      <c r="C195">
        <f>IF(Sheet1!B195&gt;0,1,0)</f>
        <v>1</v>
      </c>
    </row>
    <row r="196" spans="1:3" x14ac:dyDescent="0.25">
      <c r="A196" s="15">
        <f>Sheet1!A196</f>
        <v>43109.083333333336</v>
      </c>
      <c r="B196">
        <f>Sheet1!B196</f>
        <v>1.92</v>
      </c>
      <c r="C196">
        <f>IF(Sheet1!B196&gt;0,1,0)</f>
        <v>1</v>
      </c>
    </row>
    <row r="197" spans="1:3" x14ac:dyDescent="0.25">
      <c r="A197" s="15">
        <f>Sheet1!A197</f>
        <v>43109.125</v>
      </c>
      <c r="B197">
        <f>Sheet1!B197</f>
        <v>2.37</v>
      </c>
      <c r="C197">
        <f>IF(Sheet1!B197&gt;0,1,0)</f>
        <v>1</v>
      </c>
    </row>
    <row r="198" spans="1:3" x14ac:dyDescent="0.25">
      <c r="A198" s="15">
        <f>Sheet1!A198</f>
        <v>43109.166666666664</v>
      </c>
      <c r="B198">
        <f>Sheet1!B198</f>
        <v>1.63</v>
      </c>
      <c r="C198">
        <f>IF(Sheet1!B198&gt;0,1,0)</f>
        <v>1</v>
      </c>
    </row>
    <row r="199" spans="1:3" x14ac:dyDescent="0.25">
      <c r="A199" s="15">
        <f>Sheet1!A199</f>
        <v>43109.208333333336</v>
      </c>
      <c r="B199">
        <f>Sheet1!B199</f>
        <v>1.63</v>
      </c>
      <c r="C199">
        <f>IF(Sheet1!B199&gt;0,1,0)</f>
        <v>1</v>
      </c>
    </row>
    <row r="200" spans="1:3" x14ac:dyDescent="0.25">
      <c r="A200" s="15">
        <f>Sheet1!A200</f>
        <v>43109.25</v>
      </c>
      <c r="B200">
        <f>Sheet1!B200</f>
        <v>1.19</v>
      </c>
      <c r="C200">
        <f>IF(Sheet1!B200&gt;0,1,0)</f>
        <v>1</v>
      </c>
    </row>
    <row r="201" spans="1:3" x14ac:dyDescent="0.25">
      <c r="A201" s="15">
        <f>Sheet1!A201</f>
        <v>43109.291666666664</v>
      </c>
      <c r="B201">
        <f>Sheet1!B201</f>
        <v>1.28</v>
      </c>
      <c r="C201">
        <f>IF(Sheet1!B201&gt;0,1,0)</f>
        <v>1</v>
      </c>
    </row>
    <row r="202" spans="1:3" x14ac:dyDescent="0.25">
      <c r="A202" s="15">
        <f>Sheet1!A202</f>
        <v>43109.333333333336</v>
      </c>
      <c r="B202">
        <f>Sheet1!B202</f>
        <v>0</v>
      </c>
      <c r="C202">
        <f>IF(Sheet1!B202&gt;0,1,0)</f>
        <v>0</v>
      </c>
    </row>
    <row r="203" spans="1:3" x14ac:dyDescent="0.25">
      <c r="A203" s="15">
        <f>Sheet1!A203</f>
        <v>43109.375</v>
      </c>
      <c r="B203">
        <f>Sheet1!B203</f>
        <v>0</v>
      </c>
      <c r="C203">
        <f>IF(Sheet1!B203&gt;0,1,0)</f>
        <v>0</v>
      </c>
    </row>
    <row r="204" spans="1:3" x14ac:dyDescent="0.25">
      <c r="A204" s="15">
        <f>Sheet1!A204</f>
        <v>43109.416666666664</v>
      </c>
      <c r="B204">
        <f>Sheet1!B204</f>
        <v>0</v>
      </c>
      <c r="C204">
        <f>IF(Sheet1!B204&gt;0,1,0)</f>
        <v>0</v>
      </c>
    </row>
    <row r="205" spans="1:3" x14ac:dyDescent="0.25">
      <c r="A205" s="15">
        <f>Sheet1!A205</f>
        <v>43109.458333333336</v>
      </c>
      <c r="B205">
        <f>Sheet1!B205</f>
        <v>2.79</v>
      </c>
      <c r="C205">
        <f>IF(Sheet1!B205&gt;0,1,0)</f>
        <v>1</v>
      </c>
    </row>
    <row r="206" spans="1:3" x14ac:dyDescent="0.25">
      <c r="A206" s="15">
        <f>Sheet1!A206</f>
        <v>43109.5</v>
      </c>
      <c r="B206">
        <f>Sheet1!B206</f>
        <v>0</v>
      </c>
      <c r="C206">
        <f>IF(Sheet1!B206&gt;0,1,0)</f>
        <v>0</v>
      </c>
    </row>
    <row r="207" spans="1:3" x14ac:dyDescent="0.25">
      <c r="A207" s="15">
        <f>Sheet1!A207</f>
        <v>43109.541666666664</v>
      </c>
      <c r="B207">
        <f>Sheet1!B207</f>
        <v>0</v>
      </c>
      <c r="C207">
        <f>IF(Sheet1!B207&gt;0,1,0)</f>
        <v>0</v>
      </c>
    </row>
    <row r="208" spans="1:3" x14ac:dyDescent="0.25">
      <c r="A208" s="15">
        <f>Sheet1!A208</f>
        <v>43109.583333333336</v>
      </c>
      <c r="B208">
        <f>Sheet1!B208</f>
        <v>0</v>
      </c>
      <c r="C208">
        <f>IF(Sheet1!B208&gt;0,1,0)</f>
        <v>0</v>
      </c>
    </row>
    <row r="209" spans="1:3" x14ac:dyDescent="0.25">
      <c r="A209" s="15">
        <f>Sheet1!A209</f>
        <v>43109.625</v>
      </c>
      <c r="B209">
        <f>Sheet1!B209</f>
        <v>1.62</v>
      </c>
      <c r="C209">
        <f>IF(Sheet1!B209&gt;0,1,0)</f>
        <v>1</v>
      </c>
    </row>
    <row r="210" spans="1:3" x14ac:dyDescent="0.25">
      <c r="A210" s="15">
        <f>Sheet1!A210</f>
        <v>43109.666666666664</v>
      </c>
      <c r="B210">
        <f>Sheet1!B210</f>
        <v>0</v>
      </c>
      <c r="C210">
        <f>IF(Sheet1!B210&gt;0,1,0)</f>
        <v>0</v>
      </c>
    </row>
    <row r="211" spans="1:3" x14ac:dyDescent="0.25">
      <c r="A211" s="15">
        <f>Sheet1!A211</f>
        <v>43109.708333333336</v>
      </c>
      <c r="B211">
        <f>Sheet1!B211</f>
        <v>0</v>
      </c>
      <c r="C211">
        <f>IF(Sheet1!B211&gt;0,1,0)</f>
        <v>0</v>
      </c>
    </row>
    <row r="212" spans="1:3" x14ac:dyDescent="0.25">
      <c r="A212" s="15">
        <f>Sheet1!A212</f>
        <v>43109.75</v>
      </c>
      <c r="B212">
        <f>Sheet1!B212</f>
        <v>0</v>
      </c>
      <c r="C212">
        <f>IF(Sheet1!B212&gt;0,1,0)</f>
        <v>0</v>
      </c>
    </row>
    <row r="213" spans="1:3" x14ac:dyDescent="0.25">
      <c r="A213" s="15">
        <f>Sheet1!A213</f>
        <v>43109.791666666664</v>
      </c>
      <c r="B213">
        <f>Sheet1!B213</f>
        <v>1.69</v>
      </c>
      <c r="C213">
        <f>IF(Sheet1!B213&gt;0,1,0)</f>
        <v>1</v>
      </c>
    </row>
    <row r="214" spans="1:3" x14ac:dyDescent="0.25">
      <c r="A214" s="15">
        <f>Sheet1!A214</f>
        <v>43109.833333333336</v>
      </c>
      <c r="B214">
        <f>Sheet1!B214</f>
        <v>2.17</v>
      </c>
      <c r="C214">
        <f>IF(Sheet1!B214&gt;0,1,0)</f>
        <v>1</v>
      </c>
    </row>
    <row r="215" spans="1:3" x14ac:dyDescent="0.25">
      <c r="A215" s="15">
        <f>Sheet1!A215</f>
        <v>43109.875</v>
      </c>
      <c r="B215">
        <f>Sheet1!B215</f>
        <v>1.62</v>
      </c>
      <c r="C215">
        <f>IF(Sheet1!B215&gt;0,1,0)</f>
        <v>1</v>
      </c>
    </row>
    <row r="216" spans="1:3" x14ac:dyDescent="0.25">
      <c r="A216" s="15">
        <f>Sheet1!A216</f>
        <v>43109.916666666664</v>
      </c>
      <c r="B216">
        <f>Sheet1!B216</f>
        <v>1.7</v>
      </c>
      <c r="C216">
        <f>IF(Sheet1!B216&gt;0,1,0)</f>
        <v>1</v>
      </c>
    </row>
    <row r="217" spans="1:3" x14ac:dyDescent="0.25">
      <c r="A217" s="15">
        <f>Sheet1!A217</f>
        <v>43109.958333333336</v>
      </c>
      <c r="B217">
        <f>Sheet1!B217</f>
        <v>1.75</v>
      </c>
      <c r="C217">
        <f>IF(Sheet1!B217&gt;0,1,0)</f>
        <v>1</v>
      </c>
    </row>
    <row r="218" spans="1:3" x14ac:dyDescent="0.25">
      <c r="A218" s="15">
        <f>Sheet1!A218</f>
        <v>43110</v>
      </c>
      <c r="B218">
        <f>Sheet1!B218</f>
        <v>2.15</v>
      </c>
      <c r="C218">
        <f>IF(Sheet1!B218&gt;0,1,0)</f>
        <v>1</v>
      </c>
    </row>
    <row r="219" spans="1:3" x14ac:dyDescent="0.25">
      <c r="A219" s="15">
        <f>Sheet1!A219</f>
        <v>43110.041666666664</v>
      </c>
      <c r="B219">
        <f>Sheet1!B219</f>
        <v>1.88</v>
      </c>
      <c r="C219">
        <f>IF(Sheet1!B219&gt;0,1,0)</f>
        <v>1</v>
      </c>
    </row>
    <row r="220" spans="1:3" x14ac:dyDescent="0.25">
      <c r="A220" s="15">
        <f>Sheet1!A220</f>
        <v>43110.083333333336</v>
      </c>
      <c r="B220">
        <f>Sheet1!B220</f>
        <v>2.16</v>
      </c>
      <c r="C220">
        <f>IF(Sheet1!B220&gt;0,1,0)</f>
        <v>1</v>
      </c>
    </row>
    <row r="221" spans="1:3" x14ac:dyDescent="0.25">
      <c r="A221" s="15">
        <f>Sheet1!A221</f>
        <v>43110.125</v>
      </c>
      <c r="B221">
        <f>Sheet1!B221</f>
        <v>1.83</v>
      </c>
      <c r="C221">
        <f>IF(Sheet1!B221&gt;0,1,0)</f>
        <v>1</v>
      </c>
    </row>
    <row r="222" spans="1:3" x14ac:dyDescent="0.25">
      <c r="A222" s="15">
        <f>Sheet1!A222</f>
        <v>43110.166666666664</v>
      </c>
      <c r="B222">
        <f>Sheet1!B222</f>
        <v>0</v>
      </c>
      <c r="C222">
        <f>IF(Sheet1!B222&gt;0,1,0)</f>
        <v>0</v>
      </c>
    </row>
    <row r="223" spans="1:3" x14ac:dyDescent="0.25">
      <c r="A223" s="15">
        <f>Sheet1!A223</f>
        <v>43110.208333333336</v>
      </c>
      <c r="B223">
        <f>Sheet1!B223</f>
        <v>0</v>
      </c>
      <c r="C223">
        <f>IF(Sheet1!B223&gt;0,1,0)</f>
        <v>0</v>
      </c>
    </row>
    <row r="224" spans="1:3" x14ac:dyDescent="0.25">
      <c r="A224" s="15">
        <f>Sheet1!A224</f>
        <v>43110.25</v>
      </c>
      <c r="B224">
        <f>Sheet1!B224</f>
        <v>0</v>
      </c>
      <c r="C224">
        <f>IF(Sheet1!B224&gt;0,1,0)</f>
        <v>0</v>
      </c>
    </row>
    <row r="225" spans="1:3" x14ac:dyDescent="0.25">
      <c r="A225" s="15">
        <f>Sheet1!A225</f>
        <v>43110.291666666664</v>
      </c>
      <c r="B225">
        <f>Sheet1!B225</f>
        <v>0.75</v>
      </c>
      <c r="C225">
        <f>IF(Sheet1!B225&gt;0,1,0)</f>
        <v>1</v>
      </c>
    </row>
    <row r="226" spans="1:3" x14ac:dyDescent="0.25">
      <c r="A226" s="15">
        <f>Sheet1!A226</f>
        <v>43110.333333333336</v>
      </c>
      <c r="B226">
        <f>Sheet1!B226</f>
        <v>1.08</v>
      </c>
      <c r="C226">
        <f>IF(Sheet1!B226&gt;0,1,0)</f>
        <v>1</v>
      </c>
    </row>
    <row r="227" spans="1:3" x14ac:dyDescent="0.25">
      <c r="A227" s="15">
        <f>Sheet1!A227</f>
        <v>43110.375</v>
      </c>
      <c r="B227">
        <f>Sheet1!B227</f>
        <v>0.63</v>
      </c>
      <c r="C227">
        <f>IF(Sheet1!B227&gt;0,1,0)</f>
        <v>1</v>
      </c>
    </row>
    <row r="228" spans="1:3" x14ac:dyDescent="0.25">
      <c r="A228" s="15">
        <f>Sheet1!A228</f>
        <v>43110.416666666664</v>
      </c>
      <c r="B228">
        <f>Sheet1!B228</f>
        <v>0</v>
      </c>
      <c r="C228">
        <f>IF(Sheet1!B228&gt;0,1,0)</f>
        <v>0</v>
      </c>
    </row>
    <row r="229" spans="1:3" x14ac:dyDescent="0.25">
      <c r="A229" s="15">
        <f>Sheet1!A229</f>
        <v>43110.458333333336</v>
      </c>
      <c r="B229">
        <f>Sheet1!B229</f>
        <v>0</v>
      </c>
      <c r="C229">
        <f>IF(Sheet1!B229&gt;0,1,0)</f>
        <v>0</v>
      </c>
    </row>
    <row r="230" spans="1:3" x14ac:dyDescent="0.25">
      <c r="A230" s="15">
        <f>Sheet1!A230</f>
        <v>43110.5</v>
      </c>
      <c r="B230">
        <f>Sheet1!B230</f>
        <v>0</v>
      </c>
      <c r="C230">
        <f>IF(Sheet1!B230&gt;0,1,0)</f>
        <v>0</v>
      </c>
    </row>
    <row r="231" spans="1:3" x14ac:dyDescent="0.25">
      <c r="A231" s="15">
        <f>Sheet1!A231</f>
        <v>43110.541666666664</v>
      </c>
      <c r="B231">
        <f>Sheet1!B231</f>
        <v>1.53</v>
      </c>
      <c r="C231">
        <f>IF(Sheet1!B231&gt;0,1,0)</f>
        <v>1</v>
      </c>
    </row>
    <row r="232" spans="1:3" x14ac:dyDescent="0.25">
      <c r="A232" s="15">
        <f>Sheet1!A232</f>
        <v>43110.583333333336</v>
      </c>
      <c r="B232">
        <f>Sheet1!B232</f>
        <v>0</v>
      </c>
      <c r="C232">
        <f>IF(Sheet1!B232&gt;0,1,0)</f>
        <v>0</v>
      </c>
    </row>
    <row r="233" spans="1:3" x14ac:dyDescent="0.25">
      <c r="A233" s="15">
        <f>Sheet1!A233</f>
        <v>43110.625</v>
      </c>
      <c r="B233">
        <f>Sheet1!B233</f>
        <v>0</v>
      </c>
      <c r="C233">
        <f>IF(Sheet1!B233&gt;0,1,0)</f>
        <v>0</v>
      </c>
    </row>
    <row r="234" spans="1:3" x14ac:dyDescent="0.25">
      <c r="A234" s="15">
        <f>Sheet1!A234</f>
        <v>43110.666666666664</v>
      </c>
      <c r="B234">
        <f>Sheet1!B234</f>
        <v>0</v>
      </c>
      <c r="C234">
        <f>IF(Sheet1!B234&gt;0,1,0)</f>
        <v>0</v>
      </c>
    </row>
    <row r="235" spans="1:3" x14ac:dyDescent="0.25">
      <c r="A235" s="15">
        <f>Sheet1!A235</f>
        <v>43110.708333333336</v>
      </c>
      <c r="B235">
        <f>Sheet1!B235</f>
        <v>2.19</v>
      </c>
      <c r="C235">
        <f>IF(Sheet1!B235&gt;0,1,0)</f>
        <v>1</v>
      </c>
    </row>
    <row r="236" spans="1:3" x14ac:dyDescent="0.25">
      <c r="A236" s="15">
        <f>Sheet1!A236</f>
        <v>43110.75</v>
      </c>
      <c r="B236">
        <f>Sheet1!B236</f>
        <v>0</v>
      </c>
      <c r="C236">
        <f>IF(Sheet1!B236&gt;0,1,0)</f>
        <v>0</v>
      </c>
    </row>
    <row r="237" spans="1:3" x14ac:dyDescent="0.25">
      <c r="A237" s="15">
        <f>Sheet1!A237</f>
        <v>43110.791666666664</v>
      </c>
      <c r="B237">
        <f>Sheet1!B237</f>
        <v>0</v>
      </c>
      <c r="C237">
        <f>IF(Sheet1!B237&gt;0,1,0)</f>
        <v>0</v>
      </c>
    </row>
    <row r="238" spans="1:3" x14ac:dyDescent="0.25">
      <c r="A238" s="15">
        <f>Sheet1!A238</f>
        <v>43110.833333333336</v>
      </c>
      <c r="B238">
        <f>Sheet1!B238</f>
        <v>0</v>
      </c>
      <c r="C238">
        <f>IF(Sheet1!B238&gt;0,1,0)</f>
        <v>0</v>
      </c>
    </row>
    <row r="239" spans="1:3" x14ac:dyDescent="0.25">
      <c r="A239" s="15">
        <f>Sheet1!A239</f>
        <v>43110.875</v>
      </c>
      <c r="B239">
        <f>Sheet1!B239</f>
        <v>2.0099999999999998</v>
      </c>
      <c r="C239">
        <f>IF(Sheet1!B239&gt;0,1,0)</f>
        <v>1</v>
      </c>
    </row>
    <row r="240" spans="1:3" x14ac:dyDescent="0.25">
      <c r="A240" s="15">
        <f>Sheet1!A240</f>
        <v>43110.916666666664</v>
      </c>
      <c r="B240">
        <f>Sheet1!B240</f>
        <v>1.82</v>
      </c>
      <c r="C240">
        <f>IF(Sheet1!B240&gt;0,1,0)</f>
        <v>1</v>
      </c>
    </row>
    <row r="241" spans="1:3" x14ac:dyDescent="0.25">
      <c r="A241" s="15">
        <f>Sheet1!A241</f>
        <v>43110.958333333336</v>
      </c>
      <c r="B241">
        <f>Sheet1!B241</f>
        <v>1.48</v>
      </c>
      <c r="C241">
        <f>IF(Sheet1!B241&gt;0,1,0)</f>
        <v>1</v>
      </c>
    </row>
    <row r="242" spans="1:3" x14ac:dyDescent="0.25">
      <c r="A242" s="15">
        <f>Sheet1!A242</f>
        <v>43111</v>
      </c>
      <c r="B242">
        <f>Sheet1!B242</f>
        <v>1.1499999999999999</v>
      </c>
      <c r="C242">
        <f>IF(Sheet1!B242&gt;0,1,0)</f>
        <v>1</v>
      </c>
    </row>
    <row r="243" spans="1:3" x14ac:dyDescent="0.25">
      <c r="A243" s="15">
        <f>Sheet1!A243</f>
        <v>43111.041666666664</v>
      </c>
      <c r="B243">
        <f>Sheet1!B243</f>
        <v>1.36</v>
      </c>
      <c r="C243">
        <f>IF(Sheet1!B243&gt;0,1,0)</f>
        <v>1</v>
      </c>
    </row>
    <row r="244" spans="1:3" x14ac:dyDescent="0.25">
      <c r="A244" s="15">
        <f>Sheet1!A244</f>
        <v>43111.083333333336</v>
      </c>
      <c r="B244">
        <f>Sheet1!B244</f>
        <v>1.49</v>
      </c>
      <c r="C244">
        <f>IF(Sheet1!B244&gt;0,1,0)</f>
        <v>1</v>
      </c>
    </row>
    <row r="245" spans="1:3" x14ac:dyDescent="0.25">
      <c r="A245" s="15">
        <f>Sheet1!A245</f>
        <v>43111.125</v>
      </c>
      <c r="B245">
        <f>Sheet1!B245</f>
        <v>1.55</v>
      </c>
      <c r="C245">
        <f>IF(Sheet1!B245&gt;0,1,0)</f>
        <v>1</v>
      </c>
    </row>
    <row r="246" spans="1:3" x14ac:dyDescent="0.25">
      <c r="A246" s="15">
        <f>Sheet1!A246</f>
        <v>43111.166666666664</v>
      </c>
      <c r="B246">
        <f>Sheet1!B246</f>
        <v>1.55</v>
      </c>
      <c r="C246">
        <f>IF(Sheet1!B246&gt;0,1,0)</f>
        <v>1</v>
      </c>
    </row>
    <row r="247" spans="1:3" x14ac:dyDescent="0.25">
      <c r="A247" s="15">
        <f>Sheet1!A247</f>
        <v>43111.208333333336</v>
      </c>
      <c r="B247">
        <f>Sheet1!B247</f>
        <v>1.1299999999999999</v>
      </c>
      <c r="C247">
        <f>IF(Sheet1!B247&gt;0,1,0)</f>
        <v>1</v>
      </c>
    </row>
    <row r="248" spans="1:3" x14ac:dyDescent="0.25">
      <c r="A248" s="15">
        <f>Sheet1!A248</f>
        <v>43111.25</v>
      </c>
      <c r="B248">
        <f>Sheet1!B248</f>
        <v>0.28000000000000003</v>
      </c>
      <c r="C248">
        <f>IF(Sheet1!B248&gt;0,1,0)</f>
        <v>1</v>
      </c>
    </row>
    <row r="249" spans="1:3" x14ac:dyDescent="0.25">
      <c r="A249" s="15">
        <f>Sheet1!A249</f>
        <v>43111.291666666664</v>
      </c>
      <c r="B249">
        <f>Sheet1!B249</f>
        <v>0</v>
      </c>
      <c r="C249">
        <f>IF(Sheet1!B249&gt;0,1,0)</f>
        <v>0</v>
      </c>
    </row>
    <row r="250" spans="1:3" x14ac:dyDescent="0.25">
      <c r="A250" s="15">
        <f>Sheet1!A250</f>
        <v>43111.333333333336</v>
      </c>
      <c r="B250">
        <f>Sheet1!B250</f>
        <v>0</v>
      </c>
      <c r="C250">
        <f>IF(Sheet1!B250&gt;0,1,0)</f>
        <v>0</v>
      </c>
    </row>
    <row r="251" spans="1:3" x14ac:dyDescent="0.25">
      <c r="A251" s="15">
        <f>Sheet1!A251</f>
        <v>43111.375</v>
      </c>
      <c r="B251">
        <f>Sheet1!B251</f>
        <v>2.14</v>
      </c>
      <c r="C251">
        <f>IF(Sheet1!B251&gt;0,1,0)</f>
        <v>1</v>
      </c>
    </row>
    <row r="252" spans="1:3" x14ac:dyDescent="0.25">
      <c r="A252" s="15">
        <f>Sheet1!A252</f>
        <v>43111.416666666664</v>
      </c>
      <c r="B252">
        <f>Sheet1!B252</f>
        <v>0</v>
      </c>
      <c r="C252">
        <f>IF(Sheet1!B252&gt;0,1,0)</f>
        <v>0</v>
      </c>
    </row>
    <row r="253" spans="1:3" x14ac:dyDescent="0.25">
      <c r="A253" s="15">
        <f>Sheet1!A253</f>
        <v>43111.458333333336</v>
      </c>
      <c r="B253">
        <f>Sheet1!B253</f>
        <v>0</v>
      </c>
      <c r="C253">
        <f>IF(Sheet1!B253&gt;0,1,0)</f>
        <v>0</v>
      </c>
    </row>
    <row r="254" spans="1:3" x14ac:dyDescent="0.25">
      <c r="A254" s="15">
        <f>Sheet1!A254</f>
        <v>43111.5</v>
      </c>
      <c r="B254">
        <f>Sheet1!B254</f>
        <v>0</v>
      </c>
      <c r="C254">
        <f>IF(Sheet1!B254&gt;0,1,0)</f>
        <v>0</v>
      </c>
    </row>
    <row r="255" spans="1:3" x14ac:dyDescent="0.25">
      <c r="A255" s="15">
        <f>Sheet1!A255</f>
        <v>43111.541666666664</v>
      </c>
      <c r="B255">
        <f>Sheet1!B255</f>
        <v>0</v>
      </c>
      <c r="C255">
        <f>IF(Sheet1!B255&gt;0,1,0)</f>
        <v>0</v>
      </c>
    </row>
    <row r="256" spans="1:3" x14ac:dyDescent="0.25">
      <c r="A256" s="15">
        <f>Sheet1!A256</f>
        <v>43111.583333333336</v>
      </c>
      <c r="B256">
        <f>Sheet1!B256</f>
        <v>0</v>
      </c>
      <c r="C256">
        <f>IF(Sheet1!B256&gt;0,1,0)</f>
        <v>0</v>
      </c>
    </row>
    <row r="257" spans="1:3" x14ac:dyDescent="0.25">
      <c r="A257" s="15">
        <f>Sheet1!A257</f>
        <v>43111.625</v>
      </c>
      <c r="B257">
        <f>Sheet1!B257</f>
        <v>0</v>
      </c>
      <c r="C257">
        <f>IF(Sheet1!B257&gt;0,1,0)</f>
        <v>0</v>
      </c>
    </row>
    <row r="258" spans="1:3" x14ac:dyDescent="0.25">
      <c r="A258" s="15">
        <f>Sheet1!A258</f>
        <v>43111.666666666664</v>
      </c>
      <c r="B258">
        <f>Sheet1!B258</f>
        <v>0</v>
      </c>
      <c r="C258">
        <f>IF(Sheet1!B258&gt;0,1,0)</f>
        <v>0</v>
      </c>
    </row>
    <row r="259" spans="1:3" x14ac:dyDescent="0.25">
      <c r="A259" s="15">
        <f>Sheet1!A259</f>
        <v>43111.708333333336</v>
      </c>
      <c r="B259">
        <f>Sheet1!B259</f>
        <v>0</v>
      </c>
      <c r="C259">
        <f>IF(Sheet1!B259&gt;0,1,0)</f>
        <v>0</v>
      </c>
    </row>
    <row r="260" spans="1:3" x14ac:dyDescent="0.25">
      <c r="A260" s="15">
        <f>Sheet1!A260</f>
        <v>43111.75</v>
      </c>
      <c r="B260">
        <f>Sheet1!B260</f>
        <v>0</v>
      </c>
      <c r="C260">
        <f>IF(Sheet1!B260&gt;0,1,0)</f>
        <v>0</v>
      </c>
    </row>
    <row r="261" spans="1:3" x14ac:dyDescent="0.25">
      <c r="A261" s="15">
        <f>Sheet1!A261</f>
        <v>43111.791666666664</v>
      </c>
      <c r="B261">
        <f>Sheet1!B261</f>
        <v>1.36</v>
      </c>
      <c r="C261">
        <f>IF(Sheet1!B261&gt;0,1,0)</f>
        <v>1</v>
      </c>
    </row>
    <row r="262" spans="1:3" x14ac:dyDescent="0.25">
      <c r="A262" s="15">
        <f>Sheet1!A262</f>
        <v>43111.833333333336</v>
      </c>
      <c r="B262">
        <f>Sheet1!B262</f>
        <v>0</v>
      </c>
      <c r="C262">
        <f>IF(Sheet1!B262&gt;0,1,0)</f>
        <v>0</v>
      </c>
    </row>
    <row r="263" spans="1:3" x14ac:dyDescent="0.25">
      <c r="A263" s="15">
        <f>Sheet1!A263</f>
        <v>43111.875</v>
      </c>
      <c r="B263">
        <f>Sheet1!B263</f>
        <v>0</v>
      </c>
      <c r="C263">
        <f>IF(Sheet1!B263&gt;0,1,0)</f>
        <v>0</v>
      </c>
    </row>
    <row r="264" spans="1:3" x14ac:dyDescent="0.25">
      <c r="A264" s="15">
        <f>Sheet1!A264</f>
        <v>43111.916666666664</v>
      </c>
      <c r="B264">
        <f>Sheet1!B264</f>
        <v>0</v>
      </c>
      <c r="C264">
        <f>IF(Sheet1!B264&gt;0,1,0)</f>
        <v>0</v>
      </c>
    </row>
    <row r="265" spans="1:3" x14ac:dyDescent="0.25">
      <c r="A265" s="15">
        <f>Sheet1!A265</f>
        <v>43111.958333333336</v>
      </c>
      <c r="B265">
        <f>Sheet1!B265</f>
        <v>1.28</v>
      </c>
      <c r="C265">
        <f>IF(Sheet1!B265&gt;0,1,0)</f>
        <v>1</v>
      </c>
    </row>
    <row r="266" spans="1:3" x14ac:dyDescent="0.25">
      <c r="A266" s="15">
        <f>Sheet1!A266</f>
        <v>43112</v>
      </c>
      <c r="B266">
        <f>Sheet1!B266</f>
        <v>1.48</v>
      </c>
      <c r="C266">
        <f>IF(Sheet1!B266&gt;0,1,0)</f>
        <v>1</v>
      </c>
    </row>
    <row r="267" spans="1:3" x14ac:dyDescent="0.25">
      <c r="A267" s="15">
        <f>Sheet1!A267</f>
        <v>43112.041666666664</v>
      </c>
      <c r="B267">
        <f>Sheet1!B267</f>
        <v>1.52</v>
      </c>
      <c r="C267">
        <f>IF(Sheet1!B267&gt;0,1,0)</f>
        <v>1</v>
      </c>
    </row>
    <row r="268" spans="1:3" x14ac:dyDescent="0.25">
      <c r="A268" s="15">
        <f>Sheet1!A268</f>
        <v>43112.083333333336</v>
      </c>
      <c r="B268">
        <f>Sheet1!B268</f>
        <v>1.54</v>
      </c>
      <c r="C268">
        <f>IF(Sheet1!B268&gt;0,1,0)</f>
        <v>1</v>
      </c>
    </row>
    <row r="269" spans="1:3" x14ac:dyDescent="0.25">
      <c r="A269" s="15">
        <f>Sheet1!A269</f>
        <v>43112.125</v>
      </c>
      <c r="B269">
        <f>Sheet1!B269</f>
        <v>1.27</v>
      </c>
      <c r="C269">
        <f>IF(Sheet1!B269&gt;0,1,0)</f>
        <v>1</v>
      </c>
    </row>
    <row r="270" spans="1:3" x14ac:dyDescent="0.25">
      <c r="A270" s="15">
        <f>Sheet1!A270</f>
        <v>43112.166666666664</v>
      </c>
      <c r="B270">
        <f>Sheet1!B270</f>
        <v>1.55</v>
      </c>
      <c r="C270">
        <f>IF(Sheet1!B270&gt;0,1,0)</f>
        <v>1</v>
      </c>
    </row>
    <row r="271" spans="1:3" x14ac:dyDescent="0.25">
      <c r="A271" s="15">
        <f>Sheet1!A271</f>
        <v>43112.208333333336</v>
      </c>
      <c r="B271">
        <f>Sheet1!B271</f>
        <v>1.32</v>
      </c>
      <c r="C271">
        <f>IF(Sheet1!B271&gt;0,1,0)</f>
        <v>1</v>
      </c>
    </row>
    <row r="272" spans="1:3" x14ac:dyDescent="0.25">
      <c r="A272" s="15">
        <f>Sheet1!A272</f>
        <v>43112.25</v>
      </c>
      <c r="B272">
        <f>Sheet1!B272</f>
        <v>0</v>
      </c>
      <c r="C272">
        <f>IF(Sheet1!B272&gt;0,1,0)</f>
        <v>0</v>
      </c>
    </row>
    <row r="273" spans="1:3" x14ac:dyDescent="0.25">
      <c r="A273" s="15">
        <f>Sheet1!A273</f>
        <v>43112.291666666664</v>
      </c>
      <c r="B273">
        <f>Sheet1!B273</f>
        <v>0</v>
      </c>
      <c r="C273">
        <f>IF(Sheet1!B273&gt;0,1,0)</f>
        <v>0</v>
      </c>
    </row>
    <row r="274" spans="1:3" x14ac:dyDescent="0.25">
      <c r="A274" s="15">
        <f>Sheet1!A274</f>
        <v>43112.333333333336</v>
      </c>
      <c r="B274">
        <f>Sheet1!B274</f>
        <v>0</v>
      </c>
      <c r="C274">
        <f>IF(Sheet1!B274&gt;0,1,0)</f>
        <v>0</v>
      </c>
    </row>
    <row r="275" spans="1:3" x14ac:dyDescent="0.25">
      <c r="A275" s="15">
        <f>Sheet1!A275</f>
        <v>43112.375</v>
      </c>
      <c r="B275">
        <f>Sheet1!B275</f>
        <v>0.99</v>
      </c>
      <c r="C275">
        <f>IF(Sheet1!B275&gt;0,1,0)</f>
        <v>1</v>
      </c>
    </row>
    <row r="276" spans="1:3" x14ac:dyDescent="0.25">
      <c r="A276" s="15">
        <f>Sheet1!A276</f>
        <v>43112.416666666664</v>
      </c>
      <c r="B276">
        <f>Sheet1!B276</f>
        <v>0</v>
      </c>
      <c r="C276">
        <f>IF(Sheet1!B276&gt;0,1,0)</f>
        <v>0</v>
      </c>
    </row>
    <row r="277" spans="1:3" x14ac:dyDescent="0.25">
      <c r="A277" s="15">
        <f>Sheet1!A277</f>
        <v>43112.458333333336</v>
      </c>
      <c r="B277">
        <f>Sheet1!B277</f>
        <v>0</v>
      </c>
      <c r="C277">
        <f>IF(Sheet1!B277&gt;0,1,0)</f>
        <v>0</v>
      </c>
    </row>
    <row r="278" spans="1:3" x14ac:dyDescent="0.25">
      <c r="A278" s="15">
        <f>Sheet1!A278</f>
        <v>43112.5</v>
      </c>
      <c r="B278">
        <f>Sheet1!B278</f>
        <v>0</v>
      </c>
      <c r="C278">
        <f>IF(Sheet1!B278&gt;0,1,0)</f>
        <v>0</v>
      </c>
    </row>
    <row r="279" spans="1:3" x14ac:dyDescent="0.25">
      <c r="A279" s="15">
        <f>Sheet1!A279</f>
        <v>43112.541666666664</v>
      </c>
      <c r="B279">
        <f>Sheet1!B279</f>
        <v>0</v>
      </c>
      <c r="C279">
        <f>IF(Sheet1!B279&gt;0,1,0)</f>
        <v>0</v>
      </c>
    </row>
    <row r="280" spans="1:3" x14ac:dyDescent="0.25">
      <c r="A280" s="15">
        <f>Sheet1!A280</f>
        <v>43112.583333333336</v>
      </c>
      <c r="B280">
        <f>Sheet1!B280</f>
        <v>1.02</v>
      </c>
      <c r="C280">
        <f>IF(Sheet1!B280&gt;0,1,0)</f>
        <v>1</v>
      </c>
    </row>
    <row r="281" spans="1:3" x14ac:dyDescent="0.25">
      <c r="A281" s="15">
        <f>Sheet1!A281</f>
        <v>43112.625</v>
      </c>
      <c r="B281">
        <f>Sheet1!B281</f>
        <v>0</v>
      </c>
      <c r="C281">
        <f>IF(Sheet1!B281&gt;0,1,0)</f>
        <v>0</v>
      </c>
    </row>
    <row r="282" spans="1:3" x14ac:dyDescent="0.25">
      <c r="A282" s="15">
        <f>Sheet1!A282</f>
        <v>43112.666666666664</v>
      </c>
      <c r="B282">
        <f>Sheet1!B282</f>
        <v>0</v>
      </c>
      <c r="C282">
        <f>IF(Sheet1!B282&gt;0,1,0)</f>
        <v>0</v>
      </c>
    </row>
    <row r="283" spans="1:3" x14ac:dyDescent="0.25">
      <c r="A283" s="15">
        <f>Sheet1!A283</f>
        <v>43112.708333333336</v>
      </c>
      <c r="B283">
        <f>Sheet1!B283</f>
        <v>0</v>
      </c>
      <c r="C283">
        <f>IF(Sheet1!B283&gt;0,1,0)</f>
        <v>0</v>
      </c>
    </row>
    <row r="284" spans="1:3" x14ac:dyDescent="0.25">
      <c r="A284" s="15">
        <f>Sheet1!A284</f>
        <v>43112.75</v>
      </c>
      <c r="B284">
        <f>Sheet1!B284</f>
        <v>0</v>
      </c>
      <c r="C284">
        <f>IF(Sheet1!B284&gt;0,1,0)</f>
        <v>0</v>
      </c>
    </row>
    <row r="285" spans="1:3" x14ac:dyDescent="0.25">
      <c r="A285" s="15">
        <f>Sheet1!A285</f>
        <v>43112.791666666664</v>
      </c>
      <c r="B285">
        <f>Sheet1!B285</f>
        <v>1.78</v>
      </c>
      <c r="C285">
        <f>IF(Sheet1!B285&gt;0,1,0)</f>
        <v>1</v>
      </c>
    </row>
    <row r="286" spans="1:3" x14ac:dyDescent="0.25">
      <c r="A286" s="15">
        <f>Sheet1!A286</f>
        <v>43112.833333333336</v>
      </c>
      <c r="B286">
        <f>Sheet1!B286</f>
        <v>0</v>
      </c>
      <c r="C286">
        <f>IF(Sheet1!B286&gt;0,1,0)</f>
        <v>0</v>
      </c>
    </row>
    <row r="287" spans="1:3" x14ac:dyDescent="0.25">
      <c r="A287" s="15">
        <f>Sheet1!A287</f>
        <v>43112.875</v>
      </c>
      <c r="B287">
        <f>Sheet1!B287</f>
        <v>0</v>
      </c>
      <c r="C287">
        <f>IF(Sheet1!B287&gt;0,1,0)</f>
        <v>0</v>
      </c>
    </row>
    <row r="288" spans="1:3" x14ac:dyDescent="0.25">
      <c r="A288" s="15">
        <f>Sheet1!A288</f>
        <v>43112.916666666664</v>
      </c>
      <c r="B288">
        <f>Sheet1!B288</f>
        <v>0</v>
      </c>
      <c r="C288">
        <f>IF(Sheet1!B288&gt;0,1,0)</f>
        <v>0</v>
      </c>
    </row>
    <row r="289" spans="1:3" x14ac:dyDescent="0.25">
      <c r="A289" s="15">
        <f>Sheet1!A289</f>
        <v>43112.958333333336</v>
      </c>
      <c r="B289">
        <f>Sheet1!B289</f>
        <v>1.1299999999999999</v>
      </c>
      <c r="C289">
        <f>IF(Sheet1!B289&gt;0,1,0)</f>
        <v>1</v>
      </c>
    </row>
    <row r="290" spans="1:3" x14ac:dyDescent="0.25">
      <c r="A290" s="15">
        <f>Sheet1!A290</f>
        <v>43113</v>
      </c>
      <c r="B290">
        <f>Sheet1!B290</f>
        <v>1.41</v>
      </c>
      <c r="C290">
        <f>IF(Sheet1!B290&gt;0,1,0)</f>
        <v>1</v>
      </c>
    </row>
    <row r="291" spans="1:3" x14ac:dyDescent="0.25">
      <c r="A291" s="15">
        <f>Sheet1!A291</f>
        <v>43113.041666666664</v>
      </c>
      <c r="B291">
        <f>Sheet1!B291</f>
        <v>1.29</v>
      </c>
      <c r="C291">
        <f>IF(Sheet1!B291&gt;0,1,0)</f>
        <v>1</v>
      </c>
    </row>
    <row r="292" spans="1:3" x14ac:dyDescent="0.25">
      <c r="A292" s="15">
        <f>Sheet1!A292</f>
        <v>43113.083333333336</v>
      </c>
      <c r="B292">
        <f>Sheet1!B292</f>
        <v>1.54</v>
      </c>
      <c r="C292">
        <f>IF(Sheet1!B292&gt;0,1,0)</f>
        <v>1</v>
      </c>
    </row>
    <row r="293" spans="1:3" x14ac:dyDescent="0.25">
      <c r="A293" s="15">
        <f>Sheet1!A293</f>
        <v>43113.125</v>
      </c>
      <c r="B293">
        <f>Sheet1!B293</f>
        <v>1.17</v>
      </c>
      <c r="C293">
        <f>IF(Sheet1!B293&gt;0,1,0)</f>
        <v>1</v>
      </c>
    </row>
    <row r="294" spans="1:3" x14ac:dyDescent="0.25">
      <c r="A294" s="15">
        <f>Sheet1!A294</f>
        <v>43113.166666666664</v>
      </c>
      <c r="B294">
        <f>Sheet1!B294</f>
        <v>2.2599999999999998</v>
      </c>
      <c r="C294">
        <f>IF(Sheet1!B294&gt;0,1,0)</f>
        <v>1</v>
      </c>
    </row>
    <row r="295" spans="1:3" x14ac:dyDescent="0.25">
      <c r="A295" s="15">
        <f>Sheet1!A295</f>
        <v>43113.208333333336</v>
      </c>
      <c r="B295">
        <f>Sheet1!B295</f>
        <v>1.49</v>
      </c>
      <c r="C295">
        <f>IF(Sheet1!B295&gt;0,1,0)</f>
        <v>1</v>
      </c>
    </row>
    <row r="296" spans="1:3" x14ac:dyDescent="0.25">
      <c r="A296" s="15">
        <f>Sheet1!A296</f>
        <v>43113.25</v>
      </c>
      <c r="B296">
        <f>Sheet1!B296</f>
        <v>1.77</v>
      </c>
      <c r="C296">
        <f>IF(Sheet1!B296&gt;0,1,0)</f>
        <v>1</v>
      </c>
    </row>
    <row r="297" spans="1:3" x14ac:dyDescent="0.25">
      <c r="A297" s="15">
        <f>Sheet1!A297</f>
        <v>43113.291666666664</v>
      </c>
      <c r="B297">
        <f>Sheet1!B297</f>
        <v>0</v>
      </c>
      <c r="C297">
        <f>IF(Sheet1!B297&gt;0,1,0)</f>
        <v>0</v>
      </c>
    </row>
    <row r="298" spans="1:3" x14ac:dyDescent="0.25">
      <c r="A298" s="15">
        <f>Sheet1!A298</f>
        <v>43113.333333333336</v>
      </c>
      <c r="B298">
        <f>Sheet1!B298</f>
        <v>0</v>
      </c>
      <c r="C298">
        <f>IF(Sheet1!B298&gt;0,1,0)</f>
        <v>0</v>
      </c>
    </row>
    <row r="299" spans="1:3" x14ac:dyDescent="0.25">
      <c r="A299" s="15">
        <f>Sheet1!A299</f>
        <v>43113.375</v>
      </c>
      <c r="B299">
        <f>Sheet1!B299</f>
        <v>0</v>
      </c>
      <c r="C299">
        <f>IF(Sheet1!B299&gt;0,1,0)</f>
        <v>0</v>
      </c>
    </row>
    <row r="300" spans="1:3" x14ac:dyDescent="0.25">
      <c r="A300" s="15">
        <f>Sheet1!A300</f>
        <v>43113.416666666664</v>
      </c>
      <c r="B300">
        <f>Sheet1!B300</f>
        <v>0</v>
      </c>
      <c r="C300">
        <f>IF(Sheet1!B300&gt;0,1,0)</f>
        <v>0</v>
      </c>
    </row>
    <row r="301" spans="1:3" x14ac:dyDescent="0.25">
      <c r="A301" s="15">
        <f>Sheet1!A301</f>
        <v>43113.458333333336</v>
      </c>
      <c r="B301">
        <f>Sheet1!B301</f>
        <v>1.07</v>
      </c>
      <c r="C301">
        <f>IF(Sheet1!B301&gt;0,1,0)</f>
        <v>1</v>
      </c>
    </row>
    <row r="302" spans="1:3" x14ac:dyDescent="0.25">
      <c r="A302" s="15">
        <f>Sheet1!A302</f>
        <v>43113.5</v>
      </c>
      <c r="B302">
        <f>Sheet1!B302</f>
        <v>0</v>
      </c>
      <c r="C302">
        <f>IF(Sheet1!B302&gt;0,1,0)</f>
        <v>0</v>
      </c>
    </row>
    <row r="303" spans="1:3" x14ac:dyDescent="0.25">
      <c r="A303" s="15">
        <f>Sheet1!A303</f>
        <v>43113.541666666664</v>
      </c>
      <c r="B303">
        <f>Sheet1!B303</f>
        <v>0</v>
      </c>
      <c r="C303">
        <f>IF(Sheet1!B303&gt;0,1,0)</f>
        <v>0</v>
      </c>
    </row>
    <row r="304" spans="1:3" x14ac:dyDescent="0.25">
      <c r="A304" s="15">
        <f>Sheet1!A304</f>
        <v>43113.583333333336</v>
      </c>
      <c r="B304">
        <f>Sheet1!B304</f>
        <v>0</v>
      </c>
      <c r="C304">
        <f>IF(Sheet1!B304&gt;0,1,0)</f>
        <v>0</v>
      </c>
    </row>
    <row r="305" spans="1:3" x14ac:dyDescent="0.25">
      <c r="A305" s="15">
        <f>Sheet1!A305</f>
        <v>43113.625</v>
      </c>
      <c r="B305">
        <f>Sheet1!B305</f>
        <v>3.36</v>
      </c>
      <c r="C305">
        <f>IF(Sheet1!B305&gt;0,1,0)</f>
        <v>1</v>
      </c>
    </row>
    <row r="306" spans="1:3" x14ac:dyDescent="0.25">
      <c r="A306" s="15">
        <f>Sheet1!A306</f>
        <v>43113.666666666664</v>
      </c>
      <c r="B306">
        <f>Sheet1!B306</f>
        <v>0</v>
      </c>
      <c r="C306">
        <f>IF(Sheet1!B306&gt;0,1,0)</f>
        <v>0</v>
      </c>
    </row>
    <row r="307" spans="1:3" x14ac:dyDescent="0.25">
      <c r="A307" s="15">
        <f>Sheet1!A307</f>
        <v>43113.708333333336</v>
      </c>
      <c r="B307">
        <f>Sheet1!B307</f>
        <v>0</v>
      </c>
      <c r="C307">
        <f>IF(Sheet1!B307&gt;0,1,0)</f>
        <v>0</v>
      </c>
    </row>
    <row r="308" spans="1:3" x14ac:dyDescent="0.25">
      <c r="A308" s="15">
        <f>Sheet1!A308</f>
        <v>43113.75</v>
      </c>
      <c r="B308">
        <f>Sheet1!B308</f>
        <v>0</v>
      </c>
      <c r="C308">
        <f>IF(Sheet1!B308&gt;0,1,0)</f>
        <v>0</v>
      </c>
    </row>
    <row r="309" spans="1:3" x14ac:dyDescent="0.25">
      <c r="A309" s="15">
        <f>Sheet1!A309</f>
        <v>43113.791666666664</v>
      </c>
      <c r="B309">
        <f>Sheet1!B309</f>
        <v>0</v>
      </c>
      <c r="C309">
        <f>IF(Sheet1!B309&gt;0,1,0)</f>
        <v>0</v>
      </c>
    </row>
    <row r="310" spans="1:3" x14ac:dyDescent="0.25">
      <c r="A310" s="15">
        <f>Sheet1!A310</f>
        <v>43113.833333333336</v>
      </c>
      <c r="B310">
        <f>Sheet1!B310</f>
        <v>0</v>
      </c>
      <c r="C310">
        <f>IF(Sheet1!B310&gt;0,1,0)</f>
        <v>0</v>
      </c>
    </row>
    <row r="311" spans="1:3" x14ac:dyDescent="0.25">
      <c r="A311" s="15">
        <f>Sheet1!A311</f>
        <v>43113.875</v>
      </c>
      <c r="B311">
        <f>Sheet1!B311</f>
        <v>2</v>
      </c>
      <c r="C311">
        <f>IF(Sheet1!B311&gt;0,1,0)</f>
        <v>1</v>
      </c>
    </row>
    <row r="312" spans="1:3" x14ac:dyDescent="0.25">
      <c r="A312" s="15">
        <f>Sheet1!A312</f>
        <v>43113.916666666664</v>
      </c>
      <c r="B312">
        <f>Sheet1!B312</f>
        <v>0</v>
      </c>
      <c r="C312">
        <f>IF(Sheet1!B312&gt;0,1,0)</f>
        <v>0</v>
      </c>
    </row>
    <row r="313" spans="1:3" x14ac:dyDescent="0.25">
      <c r="A313" s="15">
        <f>Sheet1!A313</f>
        <v>43113.958333333336</v>
      </c>
      <c r="B313">
        <f>Sheet1!B313</f>
        <v>0</v>
      </c>
      <c r="C313">
        <f>IF(Sheet1!B313&gt;0,1,0)</f>
        <v>0</v>
      </c>
    </row>
    <row r="314" spans="1:3" x14ac:dyDescent="0.25">
      <c r="A314" s="15">
        <f>Sheet1!A314</f>
        <v>43114</v>
      </c>
      <c r="B314">
        <f>Sheet1!B314</f>
        <v>0</v>
      </c>
      <c r="C314">
        <f>IF(Sheet1!B314&gt;0,1,0)</f>
        <v>0</v>
      </c>
    </row>
    <row r="315" spans="1:3" x14ac:dyDescent="0.25">
      <c r="A315" s="15">
        <f>Sheet1!A315</f>
        <v>43114.041666666664</v>
      </c>
      <c r="B315">
        <f>Sheet1!B315</f>
        <v>2.04</v>
      </c>
      <c r="C315">
        <f>IF(Sheet1!B315&gt;0,1,0)</f>
        <v>1</v>
      </c>
    </row>
    <row r="316" spans="1:3" x14ac:dyDescent="0.25">
      <c r="A316" s="15">
        <f>Sheet1!A316</f>
        <v>43114.083333333336</v>
      </c>
      <c r="B316">
        <f>Sheet1!B316</f>
        <v>1.8</v>
      </c>
      <c r="C316">
        <f>IF(Sheet1!B316&gt;0,1,0)</f>
        <v>1</v>
      </c>
    </row>
    <row r="317" spans="1:3" x14ac:dyDescent="0.25">
      <c r="A317" s="15">
        <f>Sheet1!A317</f>
        <v>43114.125</v>
      </c>
      <c r="B317">
        <f>Sheet1!B317</f>
        <v>2.17</v>
      </c>
      <c r="C317">
        <f>IF(Sheet1!B317&gt;0,1,0)</f>
        <v>1</v>
      </c>
    </row>
    <row r="318" spans="1:3" x14ac:dyDescent="0.25">
      <c r="A318" s="15">
        <f>Sheet1!A318</f>
        <v>43114.166666666664</v>
      </c>
      <c r="B318">
        <f>Sheet1!B318</f>
        <v>1.53</v>
      </c>
      <c r="C318">
        <f>IF(Sheet1!B318&gt;0,1,0)</f>
        <v>1</v>
      </c>
    </row>
    <row r="319" spans="1:3" x14ac:dyDescent="0.25">
      <c r="A319" s="15">
        <f>Sheet1!A319</f>
        <v>43114.208333333336</v>
      </c>
      <c r="B319">
        <f>Sheet1!B319</f>
        <v>1.07</v>
      </c>
      <c r="C319">
        <f>IF(Sheet1!B319&gt;0,1,0)</f>
        <v>1</v>
      </c>
    </row>
    <row r="320" spans="1:3" x14ac:dyDescent="0.25">
      <c r="A320" s="15">
        <f>Sheet1!A320</f>
        <v>43114.25</v>
      </c>
      <c r="B320">
        <f>Sheet1!B320</f>
        <v>0</v>
      </c>
      <c r="C320">
        <f>IF(Sheet1!B320&gt;0,1,0)</f>
        <v>0</v>
      </c>
    </row>
    <row r="321" spans="1:3" x14ac:dyDescent="0.25">
      <c r="A321" s="15">
        <f>Sheet1!A321</f>
        <v>43114.291666666664</v>
      </c>
      <c r="B321">
        <f>Sheet1!B321</f>
        <v>0</v>
      </c>
      <c r="C321">
        <f>IF(Sheet1!B321&gt;0,1,0)</f>
        <v>0</v>
      </c>
    </row>
    <row r="322" spans="1:3" x14ac:dyDescent="0.25">
      <c r="A322" s="15">
        <f>Sheet1!A322</f>
        <v>43114.333333333336</v>
      </c>
      <c r="B322">
        <f>Sheet1!B322</f>
        <v>0</v>
      </c>
      <c r="C322">
        <f>IF(Sheet1!B322&gt;0,1,0)</f>
        <v>0</v>
      </c>
    </row>
    <row r="323" spans="1:3" x14ac:dyDescent="0.25">
      <c r="A323" s="15">
        <f>Sheet1!A323</f>
        <v>43114.375</v>
      </c>
      <c r="B323">
        <f>Sheet1!B323</f>
        <v>0.64</v>
      </c>
      <c r="C323">
        <f>IF(Sheet1!B323&gt;0,1,0)</f>
        <v>1</v>
      </c>
    </row>
    <row r="324" spans="1:3" x14ac:dyDescent="0.25">
      <c r="A324" s="15">
        <f>Sheet1!A324</f>
        <v>43114.416666666664</v>
      </c>
      <c r="B324">
        <f>Sheet1!B324</f>
        <v>0</v>
      </c>
      <c r="C324">
        <f>IF(Sheet1!B324&gt;0,1,0)</f>
        <v>0</v>
      </c>
    </row>
    <row r="325" spans="1:3" x14ac:dyDescent="0.25">
      <c r="A325" s="15">
        <f>Sheet1!A325</f>
        <v>43114.458333333336</v>
      </c>
      <c r="B325">
        <f>Sheet1!B325</f>
        <v>0</v>
      </c>
      <c r="C325">
        <f>IF(Sheet1!B325&gt;0,1,0)</f>
        <v>0</v>
      </c>
    </row>
    <row r="326" spans="1:3" x14ac:dyDescent="0.25">
      <c r="A326" s="15">
        <f>Sheet1!A326</f>
        <v>43114.5</v>
      </c>
      <c r="B326">
        <f>Sheet1!B326</f>
        <v>0</v>
      </c>
      <c r="C326">
        <f>IF(Sheet1!B326&gt;0,1,0)</f>
        <v>0</v>
      </c>
    </row>
    <row r="327" spans="1:3" x14ac:dyDescent="0.25">
      <c r="A327" s="15">
        <f>Sheet1!A327</f>
        <v>43114.541666666664</v>
      </c>
      <c r="B327">
        <f>Sheet1!B327</f>
        <v>0</v>
      </c>
      <c r="C327">
        <f>IF(Sheet1!B327&gt;0,1,0)</f>
        <v>0</v>
      </c>
    </row>
    <row r="328" spans="1:3" x14ac:dyDescent="0.25">
      <c r="A328" s="15">
        <f>Sheet1!A328</f>
        <v>43114.583333333336</v>
      </c>
      <c r="B328">
        <f>Sheet1!B328</f>
        <v>0</v>
      </c>
      <c r="C328">
        <f>IF(Sheet1!B328&gt;0,1,0)</f>
        <v>0</v>
      </c>
    </row>
    <row r="329" spans="1:3" x14ac:dyDescent="0.25">
      <c r="A329" s="15">
        <f>Sheet1!A329</f>
        <v>43114.625</v>
      </c>
      <c r="B329">
        <f>Sheet1!B329</f>
        <v>1.51</v>
      </c>
      <c r="C329">
        <f>IF(Sheet1!B329&gt;0,1,0)</f>
        <v>1</v>
      </c>
    </row>
    <row r="330" spans="1:3" x14ac:dyDescent="0.25">
      <c r="A330" s="15">
        <f>Sheet1!A330</f>
        <v>43114.666666666664</v>
      </c>
      <c r="B330">
        <f>Sheet1!B330</f>
        <v>0</v>
      </c>
      <c r="C330">
        <f>IF(Sheet1!B330&gt;0,1,0)</f>
        <v>0</v>
      </c>
    </row>
    <row r="331" spans="1:3" x14ac:dyDescent="0.25">
      <c r="A331" s="15">
        <f>Sheet1!A331</f>
        <v>43114.708333333336</v>
      </c>
      <c r="B331">
        <f>Sheet1!B331</f>
        <v>0</v>
      </c>
      <c r="C331">
        <f>IF(Sheet1!B331&gt;0,1,0)</f>
        <v>0</v>
      </c>
    </row>
    <row r="332" spans="1:3" x14ac:dyDescent="0.25">
      <c r="A332" s="15">
        <f>Sheet1!A332</f>
        <v>43114.75</v>
      </c>
      <c r="B332">
        <f>Sheet1!B332</f>
        <v>0</v>
      </c>
      <c r="C332">
        <f>IF(Sheet1!B332&gt;0,1,0)</f>
        <v>0</v>
      </c>
    </row>
    <row r="333" spans="1:3" x14ac:dyDescent="0.25">
      <c r="A333" s="15">
        <f>Sheet1!A333</f>
        <v>43114.791666666664</v>
      </c>
      <c r="B333">
        <f>Sheet1!B333</f>
        <v>1.3</v>
      </c>
      <c r="C333">
        <f>IF(Sheet1!B333&gt;0,1,0)</f>
        <v>1</v>
      </c>
    </row>
    <row r="334" spans="1:3" x14ac:dyDescent="0.25">
      <c r="A334" s="15">
        <f>Sheet1!A334</f>
        <v>43114.833333333336</v>
      </c>
      <c r="B334">
        <f>Sheet1!B334</f>
        <v>0</v>
      </c>
      <c r="C334">
        <f>IF(Sheet1!B334&gt;0,1,0)</f>
        <v>0</v>
      </c>
    </row>
    <row r="335" spans="1:3" x14ac:dyDescent="0.25">
      <c r="A335" s="15">
        <f>Sheet1!A335</f>
        <v>43114.875</v>
      </c>
      <c r="B335">
        <f>Sheet1!B335</f>
        <v>0</v>
      </c>
      <c r="C335">
        <f>IF(Sheet1!B335&gt;0,1,0)</f>
        <v>0</v>
      </c>
    </row>
    <row r="336" spans="1:3" x14ac:dyDescent="0.25">
      <c r="A336" s="15">
        <f>Sheet1!A336</f>
        <v>43114.916666666664</v>
      </c>
      <c r="B336">
        <f>Sheet1!B336</f>
        <v>0</v>
      </c>
      <c r="C336">
        <f>IF(Sheet1!B336&gt;0,1,0)</f>
        <v>0</v>
      </c>
    </row>
    <row r="337" spans="1:3" x14ac:dyDescent="0.25">
      <c r="A337" s="15">
        <f>Sheet1!A337</f>
        <v>43114.958333333336</v>
      </c>
      <c r="B337">
        <f>Sheet1!B337</f>
        <v>1.27</v>
      </c>
      <c r="C337">
        <f>IF(Sheet1!B337&gt;0,1,0)</f>
        <v>1</v>
      </c>
    </row>
    <row r="338" spans="1:3" x14ac:dyDescent="0.25">
      <c r="A338" s="15">
        <f>Sheet1!A338</f>
        <v>43115</v>
      </c>
      <c r="B338">
        <f>Sheet1!B338</f>
        <v>1.59</v>
      </c>
      <c r="C338">
        <f>IF(Sheet1!B338&gt;0,1,0)</f>
        <v>1</v>
      </c>
    </row>
    <row r="339" spans="1:3" x14ac:dyDescent="0.25">
      <c r="A339" s="15">
        <f>Sheet1!A339</f>
        <v>43115.041666666664</v>
      </c>
      <c r="B339">
        <f>Sheet1!B339</f>
        <v>1.24</v>
      </c>
      <c r="C339">
        <f>IF(Sheet1!B339&gt;0,1,0)</f>
        <v>1</v>
      </c>
    </row>
    <row r="340" spans="1:3" x14ac:dyDescent="0.25">
      <c r="A340" s="15">
        <f>Sheet1!A340</f>
        <v>43115.083333333336</v>
      </c>
      <c r="B340">
        <f>Sheet1!B340</f>
        <v>1.45</v>
      </c>
      <c r="C340">
        <f>IF(Sheet1!B340&gt;0,1,0)</f>
        <v>1</v>
      </c>
    </row>
    <row r="341" spans="1:3" x14ac:dyDescent="0.25">
      <c r="A341" s="15">
        <f>Sheet1!A341</f>
        <v>43115.125</v>
      </c>
      <c r="B341">
        <f>Sheet1!B341</f>
        <v>1.73</v>
      </c>
      <c r="C341">
        <f>IF(Sheet1!B341&gt;0,1,0)</f>
        <v>1</v>
      </c>
    </row>
    <row r="342" spans="1:3" x14ac:dyDescent="0.25">
      <c r="A342" s="15">
        <f>Sheet1!A342</f>
        <v>43115.166666666664</v>
      </c>
      <c r="B342">
        <f>Sheet1!B342</f>
        <v>1.52</v>
      </c>
      <c r="C342">
        <f>IF(Sheet1!B342&gt;0,1,0)</f>
        <v>1</v>
      </c>
    </row>
    <row r="343" spans="1:3" x14ac:dyDescent="0.25">
      <c r="A343" s="15">
        <f>Sheet1!A343</f>
        <v>43115.208333333336</v>
      </c>
      <c r="B343">
        <f>Sheet1!B343</f>
        <v>1.47</v>
      </c>
      <c r="C343">
        <f>IF(Sheet1!B343&gt;0,1,0)</f>
        <v>1</v>
      </c>
    </row>
    <row r="344" spans="1:3" x14ac:dyDescent="0.25">
      <c r="A344" s="15">
        <f>Sheet1!A344</f>
        <v>43115.25</v>
      </c>
      <c r="B344">
        <f>Sheet1!B344</f>
        <v>1.27</v>
      </c>
      <c r="C344">
        <f>IF(Sheet1!B344&gt;0,1,0)</f>
        <v>1</v>
      </c>
    </row>
    <row r="345" spans="1:3" x14ac:dyDescent="0.25">
      <c r="A345" s="15">
        <f>Sheet1!A345</f>
        <v>43115.291666666664</v>
      </c>
      <c r="B345">
        <f>Sheet1!B345</f>
        <v>0</v>
      </c>
      <c r="C345">
        <f>IF(Sheet1!B345&gt;0,1,0)</f>
        <v>0</v>
      </c>
    </row>
    <row r="346" spans="1:3" x14ac:dyDescent="0.25">
      <c r="A346" s="15">
        <f>Sheet1!A346</f>
        <v>43115.333333333336</v>
      </c>
      <c r="B346">
        <f>Sheet1!B346</f>
        <v>0</v>
      </c>
      <c r="C346">
        <f>IF(Sheet1!B346&gt;0,1,0)</f>
        <v>0</v>
      </c>
    </row>
    <row r="347" spans="1:3" x14ac:dyDescent="0.25">
      <c r="A347" s="15">
        <f>Sheet1!A347</f>
        <v>43115.375</v>
      </c>
      <c r="B347">
        <f>Sheet1!B347</f>
        <v>0</v>
      </c>
      <c r="C347">
        <f>IF(Sheet1!B347&gt;0,1,0)</f>
        <v>0</v>
      </c>
    </row>
    <row r="348" spans="1:3" x14ac:dyDescent="0.25">
      <c r="A348" s="15">
        <f>Sheet1!A348</f>
        <v>43115.416666666664</v>
      </c>
      <c r="B348">
        <f>Sheet1!B348</f>
        <v>0</v>
      </c>
      <c r="C348">
        <f>IF(Sheet1!B348&gt;0,1,0)</f>
        <v>0</v>
      </c>
    </row>
    <row r="349" spans="1:3" x14ac:dyDescent="0.25">
      <c r="A349" s="15">
        <f>Sheet1!A349</f>
        <v>43115.458333333336</v>
      </c>
      <c r="B349">
        <f>Sheet1!B349</f>
        <v>0.86</v>
      </c>
      <c r="C349">
        <f>IF(Sheet1!B349&gt;0,1,0)</f>
        <v>1</v>
      </c>
    </row>
    <row r="350" spans="1:3" x14ac:dyDescent="0.25">
      <c r="A350" s="15">
        <f>Sheet1!A350</f>
        <v>43115.5</v>
      </c>
      <c r="B350">
        <f>Sheet1!B350</f>
        <v>0</v>
      </c>
      <c r="C350">
        <f>IF(Sheet1!B350&gt;0,1,0)</f>
        <v>0</v>
      </c>
    </row>
    <row r="351" spans="1:3" x14ac:dyDescent="0.25">
      <c r="A351" s="15">
        <f>Sheet1!A351</f>
        <v>43115.541666666664</v>
      </c>
      <c r="B351">
        <f>Sheet1!B351</f>
        <v>0</v>
      </c>
      <c r="C351">
        <f>IF(Sheet1!B351&gt;0,1,0)</f>
        <v>0</v>
      </c>
    </row>
    <row r="352" spans="1:3" x14ac:dyDescent="0.25">
      <c r="A352" s="15">
        <f>Sheet1!A352</f>
        <v>43115.583333333336</v>
      </c>
      <c r="B352">
        <f>Sheet1!B352</f>
        <v>0</v>
      </c>
      <c r="C352">
        <f>IF(Sheet1!B352&gt;0,1,0)</f>
        <v>0</v>
      </c>
    </row>
    <row r="353" spans="1:3" x14ac:dyDescent="0.25">
      <c r="A353" s="15">
        <f>Sheet1!A353</f>
        <v>43115.625</v>
      </c>
      <c r="B353">
        <f>Sheet1!B353</f>
        <v>0</v>
      </c>
      <c r="C353">
        <f>IF(Sheet1!B353&gt;0,1,0)</f>
        <v>0</v>
      </c>
    </row>
    <row r="354" spans="1:3" x14ac:dyDescent="0.25">
      <c r="A354" s="15">
        <f>Sheet1!A354</f>
        <v>43115.666666666664</v>
      </c>
      <c r="B354">
        <f>Sheet1!B354</f>
        <v>0</v>
      </c>
      <c r="C354">
        <f>IF(Sheet1!B354&gt;0,1,0)</f>
        <v>0</v>
      </c>
    </row>
    <row r="355" spans="1:3" x14ac:dyDescent="0.25">
      <c r="A355" s="15">
        <f>Sheet1!A355</f>
        <v>43115.708333333336</v>
      </c>
      <c r="B355">
        <f>Sheet1!B355</f>
        <v>1.24</v>
      </c>
      <c r="C355">
        <f>IF(Sheet1!B355&gt;0,1,0)</f>
        <v>1</v>
      </c>
    </row>
    <row r="356" spans="1:3" x14ac:dyDescent="0.25">
      <c r="A356" s="15">
        <f>Sheet1!A356</f>
        <v>43115.75</v>
      </c>
      <c r="B356">
        <f>Sheet1!B356</f>
        <v>0</v>
      </c>
      <c r="C356">
        <f>IF(Sheet1!B356&gt;0,1,0)</f>
        <v>0</v>
      </c>
    </row>
    <row r="357" spans="1:3" x14ac:dyDescent="0.25">
      <c r="A357" s="15">
        <f>Sheet1!A357</f>
        <v>43115.791666666664</v>
      </c>
      <c r="B357">
        <f>Sheet1!B357</f>
        <v>0</v>
      </c>
      <c r="C357">
        <f>IF(Sheet1!B357&gt;0,1,0)</f>
        <v>0</v>
      </c>
    </row>
    <row r="358" spans="1:3" x14ac:dyDescent="0.25">
      <c r="A358" s="15">
        <f>Sheet1!A358</f>
        <v>43115.833333333336</v>
      </c>
      <c r="B358">
        <f>Sheet1!B358</f>
        <v>0</v>
      </c>
      <c r="C358">
        <f>IF(Sheet1!B358&gt;0,1,0)</f>
        <v>0</v>
      </c>
    </row>
    <row r="359" spans="1:3" x14ac:dyDescent="0.25">
      <c r="A359" s="15">
        <f>Sheet1!A359</f>
        <v>43115.875</v>
      </c>
      <c r="B359">
        <f>Sheet1!B359</f>
        <v>1.19</v>
      </c>
      <c r="C359">
        <f>IF(Sheet1!B359&gt;0,1,0)</f>
        <v>1</v>
      </c>
    </row>
    <row r="360" spans="1:3" x14ac:dyDescent="0.25">
      <c r="A360" s="15">
        <f>Sheet1!A360</f>
        <v>43115.916666666664</v>
      </c>
      <c r="B360">
        <f>Sheet1!B360</f>
        <v>2.09</v>
      </c>
      <c r="C360">
        <f>IF(Sheet1!B360&gt;0,1,0)</f>
        <v>1</v>
      </c>
    </row>
    <row r="361" spans="1:3" x14ac:dyDescent="0.25">
      <c r="A361" s="15">
        <f>Sheet1!A361</f>
        <v>43115.958333333336</v>
      </c>
      <c r="B361">
        <f>Sheet1!B361</f>
        <v>1.84</v>
      </c>
      <c r="C361">
        <f>IF(Sheet1!B361&gt;0,1,0)</f>
        <v>1</v>
      </c>
    </row>
    <row r="362" spans="1:3" x14ac:dyDescent="0.25">
      <c r="A362" s="15">
        <f>Sheet1!A362</f>
        <v>43116</v>
      </c>
      <c r="B362">
        <f>Sheet1!B362</f>
        <v>1.93</v>
      </c>
      <c r="C362">
        <f>IF(Sheet1!B362&gt;0,1,0)</f>
        <v>1</v>
      </c>
    </row>
    <row r="363" spans="1:3" x14ac:dyDescent="0.25">
      <c r="A363" s="15">
        <f>Sheet1!A363</f>
        <v>43116.041666666664</v>
      </c>
      <c r="B363">
        <f>Sheet1!B363</f>
        <v>1.75</v>
      </c>
      <c r="C363">
        <f>IF(Sheet1!B363&gt;0,1,0)</f>
        <v>1</v>
      </c>
    </row>
    <row r="364" spans="1:3" x14ac:dyDescent="0.25">
      <c r="A364" s="15">
        <f>Sheet1!A364</f>
        <v>43116.083333333336</v>
      </c>
      <c r="B364">
        <f>Sheet1!B364</f>
        <v>2.27</v>
      </c>
      <c r="C364">
        <f>IF(Sheet1!B364&gt;0,1,0)</f>
        <v>1</v>
      </c>
    </row>
    <row r="365" spans="1:3" x14ac:dyDescent="0.25">
      <c r="A365" s="15">
        <f>Sheet1!A365</f>
        <v>43116.125</v>
      </c>
      <c r="B365">
        <f>Sheet1!B365</f>
        <v>1.96</v>
      </c>
      <c r="C365">
        <f>IF(Sheet1!B365&gt;0,1,0)</f>
        <v>1</v>
      </c>
    </row>
    <row r="366" spans="1:3" x14ac:dyDescent="0.25">
      <c r="A366" s="15">
        <f>Sheet1!A366</f>
        <v>43116.166666666664</v>
      </c>
      <c r="B366">
        <f>Sheet1!B366</f>
        <v>0</v>
      </c>
      <c r="C366">
        <f>IF(Sheet1!B366&gt;0,1,0)</f>
        <v>0</v>
      </c>
    </row>
    <row r="367" spans="1:3" x14ac:dyDescent="0.25">
      <c r="A367" s="15">
        <f>Sheet1!A367</f>
        <v>43116.208333333336</v>
      </c>
      <c r="B367">
        <f>Sheet1!B367</f>
        <v>0</v>
      </c>
      <c r="C367">
        <f>IF(Sheet1!B367&gt;0,1,0)</f>
        <v>0</v>
      </c>
    </row>
    <row r="368" spans="1:3" x14ac:dyDescent="0.25">
      <c r="A368" s="15">
        <f>Sheet1!A368</f>
        <v>43116.25</v>
      </c>
      <c r="B368">
        <f>Sheet1!B368</f>
        <v>0</v>
      </c>
      <c r="C368">
        <f>IF(Sheet1!B368&gt;0,1,0)</f>
        <v>0</v>
      </c>
    </row>
    <row r="369" spans="1:3" x14ac:dyDescent="0.25">
      <c r="A369" s="15">
        <f>Sheet1!A369</f>
        <v>43116.291666666664</v>
      </c>
      <c r="B369">
        <f>Sheet1!B369</f>
        <v>0.96</v>
      </c>
      <c r="C369">
        <f>IF(Sheet1!B369&gt;0,1,0)</f>
        <v>1</v>
      </c>
    </row>
    <row r="370" spans="1:3" x14ac:dyDescent="0.25">
      <c r="A370" s="15">
        <f>Sheet1!A370</f>
        <v>43116.333333333336</v>
      </c>
      <c r="B370">
        <f>Sheet1!B370</f>
        <v>1.19</v>
      </c>
      <c r="C370">
        <f>IF(Sheet1!B370&gt;0,1,0)</f>
        <v>1</v>
      </c>
    </row>
    <row r="371" spans="1:3" x14ac:dyDescent="0.25">
      <c r="A371" s="15">
        <f>Sheet1!A371</f>
        <v>43116.375</v>
      </c>
      <c r="B371">
        <f>Sheet1!B371</f>
        <v>0</v>
      </c>
      <c r="C371">
        <f>IF(Sheet1!B371&gt;0,1,0)</f>
        <v>0</v>
      </c>
    </row>
    <row r="372" spans="1:3" x14ac:dyDescent="0.25">
      <c r="A372" s="15">
        <f>Sheet1!A372</f>
        <v>43116.416666666664</v>
      </c>
      <c r="B372">
        <f>Sheet1!B372</f>
        <v>0</v>
      </c>
      <c r="C372">
        <f>IF(Sheet1!B372&gt;0,1,0)</f>
        <v>0</v>
      </c>
    </row>
    <row r="373" spans="1:3" x14ac:dyDescent="0.25">
      <c r="A373" s="15">
        <f>Sheet1!A373</f>
        <v>43116.458333333336</v>
      </c>
      <c r="B373">
        <f>Sheet1!B373</f>
        <v>0</v>
      </c>
      <c r="C373">
        <f>IF(Sheet1!B373&gt;0,1,0)</f>
        <v>0</v>
      </c>
    </row>
    <row r="374" spans="1:3" x14ac:dyDescent="0.25">
      <c r="A374" s="15">
        <f>Sheet1!A374</f>
        <v>43116.5</v>
      </c>
      <c r="B374">
        <f>Sheet1!B374</f>
        <v>2.5499999999999998</v>
      </c>
      <c r="C374">
        <f>IF(Sheet1!B374&gt;0,1,0)</f>
        <v>1</v>
      </c>
    </row>
    <row r="375" spans="1:3" x14ac:dyDescent="0.25">
      <c r="A375" s="15">
        <f>Sheet1!A375</f>
        <v>43116.541666666664</v>
      </c>
      <c r="B375">
        <f>Sheet1!B375</f>
        <v>2.87</v>
      </c>
      <c r="C375">
        <f>IF(Sheet1!B375&gt;0,1,0)</f>
        <v>1</v>
      </c>
    </row>
    <row r="376" spans="1:3" x14ac:dyDescent="0.25">
      <c r="A376" s="15">
        <f>Sheet1!A376</f>
        <v>43116.583333333336</v>
      </c>
      <c r="B376">
        <f>Sheet1!B376</f>
        <v>0</v>
      </c>
      <c r="C376">
        <f>IF(Sheet1!B376&gt;0,1,0)</f>
        <v>0</v>
      </c>
    </row>
    <row r="377" spans="1:3" x14ac:dyDescent="0.25">
      <c r="A377" s="15">
        <f>Sheet1!A377</f>
        <v>43116.625</v>
      </c>
      <c r="B377">
        <f>Sheet1!B377</f>
        <v>0</v>
      </c>
      <c r="C377">
        <f>IF(Sheet1!B377&gt;0,1,0)</f>
        <v>0</v>
      </c>
    </row>
    <row r="378" spans="1:3" x14ac:dyDescent="0.25">
      <c r="A378" s="15">
        <f>Sheet1!A378</f>
        <v>43116.666666666664</v>
      </c>
      <c r="B378">
        <f>Sheet1!B378</f>
        <v>0</v>
      </c>
      <c r="C378">
        <f>IF(Sheet1!B378&gt;0,1,0)</f>
        <v>0</v>
      </c>
    </row>
    <row r="379" spans="1:3" x14ac:dyDescent="0.25">
      <c r="A379" s="15">
        <f>Sheet1!A379</f>
        <v>43116.708333333336</v>
      </c>
      <c r="B379">
        <f>Sheet1!B379</f>
        <v>1.1000000000000001</v>
      </c>
      <c r="C379">
        <f>IF(Sheet1!B379&gt;0,1,0)</f>
        <v>1</v>
      </c>
    </row>
    <row r="380" spans="1:3" x14ac:dyDescent="0.25">
      <c r="A380" s="15">
        <f>Sheet1!A380</f>
        <v>43116.75</v>
      </c>
      <c r="B380">
        <f>Sheet1!B380</f>
        <v>0</v>
      </c>
      <c r="C380">
        <f>IF(Sheet1!B380&gt;0,1,0)</f>
        <v>0</v>
      </c>
    </row>
    <row r="381" spans="1:3" x14ac:dyDescent="0.25">
      <c r="A381" s="15">
        <f>Sheet1!A381</f>
        <v>43116.791666666664</v>
      </c>
      <c r="B381">
        <f>Sheet1!B381</f>
        <v>0</v>
      </c>
      <c r="C381">
        <f>IF(Sheet1!B381&gt;0,1,0)</f>
        <v>0</v>
      </c>
    </row>
    <row r="382" spans="1:3" x14ac:dyDescent="0.25">
      <c r="A382" s="15">
        <f>Sheet1!A382</f>
        <v>43116.833333333336</v>
      </c>
      <c r="B382">
        <f>Sheet1!B382</f>
        <v>0</v>
      </c>
      <c r="C382">
        <f>IF(Sheet1!B382&gt;0,1,0)</f>
        <v>0</v>
      </c>
    </row>
    <row r="383" spans="1:3" x14ac:dyDescent="0.25">
      <c r="A383" s="15">
        <f>Sheet1!A383</f>
        <v>43116.875</v>
      </c>
      <c r="B383">
        <f>Sheet1!B383</f>
        <v>0</v>
      </c>
      <c r="C383">
        <f>IF(Sheet1!B383&gt;0,1,0)</f>
        <v>0</v>
      </c>
    </row>
    <row r="384" spans="1:3" x14ac:dyDescent="0.25">
      <c r="A384" s="15">
        <f>Sheet1!A384</f>
        <v>43116.916666666664</v>
      </c>
      <c r="B384">
        <f>Sheet1!B384</f>
        <v>1.85</v>
      </c>
      <c r="C384">
        <f>IF(Sheet1!B384&gt;0,1,0)</f>
        <v>1</v>
      </c>
    </row>
    <row r="385" spans="1:3" x14ac:dyDescent="0.25">
      <c r="A385" s="15">
        <f>Sheet1!A385</f>
        <v>43116.958333333336</v>
      </c>
      <c r="B385">
        <f>Sheet1!B385</f>
        <v>2.0299999999999998</v>
      </c>
      <c r="C385">
        <f>IF(Sheet1!B385&gt;0,1,0)</f>
        <v>1</v>
      </c>
    </row>
    <row r="386" spans="1:3" x14ac:dyDescent="0.25">
      <c r="A386" s="15">
        <f>Sheet1!A386</f>
        <v>43117</v>
      </c>
      <c r="B386">
        <f>Sheet1!B386</f>
        <v>1.89</v>
      </c>
      <c r="C386">
        <f>IF(Sheet1!B386&gt;0,1,0)</f>
        <v>1</v>
      </c>
    </row>
    <row r="387" spans="1:3" x14ac:dyDescent="0.25">
      <c r="A387" s="15">
        <f>Sheet1!A387</f>
        <v>43117.041666666664</v>
      </c>
      <c r="B387">
        <f>Sheet1!B387</f>
        <v>1.9</v>
      </c>
      <c r="C387">
        <f>IF(Sheet1!B387&gt;0,1,0)</f>
        <v>1</v>
      </c>
    </row>
    <row r="388" spans="1:3" x14ac:dyDescent="0.25">
      <c r="A388" s="15">
        <f>Sheet1!A388</f>
        <v>43117.083333333336</v>
      </c>
      <c r="B388">
        <f>Sheet1!B388</f>
        <v>1.63</v>
      </c>
      <c r="C388">
        <f>IF(Sheet1!B388&gt;0,1,0)</f>
        <v>1</v>
      </c>
    </row>
    <row r="389" spans="1:3" x14ac:dyDescent="0.25">
      <c r="A389" s="15">
        <f>Sheet1!A389</f>
        <v>43117.125</v>
      </c>
      <c r="B389">
        <f>Sheet1!B389</f>
        <v>0</v>
      </c>
      <c r="C389">
        <f>IF(Sheet1!B389&gt;0,1,0)</f>
        <v>0</v>
      </c>
    </row>
    <row r="390" spans="1:3" x14ac:dyDescent="0.25">
      <c r="A390" s="15">
        <f>Sheet1!A390</f>
        <v>43117.166666666664</v>
      </c>
      <c r="B390">
        <f>Sheet1!B390</f>
        <v>0</v>
      </c>
      <c r="C390">
        <f>IF(Sheet1!B390&gt;0,1,0)</f>
        <v>0</v>
      </c>
    </row>
    <row r="391" spans="1:3" x14ac:dyDescent="0.25">
      <c r="A391" s="15">
        <f>Sheet1!A391</f>
        <v>43117.208333333336</v>
      </c>
      <c r="B391">
        <f>Sheet1!B391</f>
        <v>0</v>
      </c>
      <c r="C391">
        <f>IF(Sheet1!B391&gt;0,1,0)</f>
        <v>0</v>
      </c>
    </row>
    <row r="392" spans="1:3" x14ac:dyDescent="0.25">
      <c r="A392" s="15">
        <f>Sheet1!A392</f>
        <v>43117.25</v>
      </c>
      <c r="B392">
        <f>Sheet1!B392</f>
        <v>0</v>
      </c>
      <c r="C392">
        <f>IF(Sheet1!B392&gt;0,1,0)</f>
        <v>0</v>
      </c>
    </row>
    <row r="393" spans="1:3" x14ac:dyDescent="0.25">
      <c r="A393" s="15">
        <f>Sheet1!A393</f>
        <v>43117.291666666664</v>
      </c>
      <c r="B393">
        <f>Sheet1!B393</f>
        <v>1.35</v>
      </c>
      <c r="C393">
        <f>IF(Sheet1!B393&gt;0,1,0)</f>
        <v>1</v>
      </c>
    </row>
    <row r="394" spans="1:3" x14ac:dyDescent="0.25">
      <c r="A394" s="15">
        <f>Sheet1!A394</f>
        <v>43117.333333333336</v>
      </c>
      <c r="B394">
        <f>Sheet1!B394</f>
        <v>0</v>
      </c>
      <c r="C394">
        <f>IF(Sheet1!B394&gt;0,1,0)</f>
        <v>0</v>
      </c>
    </row>
    <row r="395" spans="1:3" x14ac:dyDescent="0.25">
      <c r="A395" s="15">
        <f>Sheet1!A395</f>
        <v>43117.375</v>
      </c>
      <c r="B395">
        <f>Sheet1!B395</f>
        <v>0</v>
      </c>
      <c r="C395">
        <f>IF(Sheet1!B395&gt;0,1,0)</f>
        <v>0</v>
      </c>
    </row>
    <row r="396" spans="1:3" x14ac:dyDescent="0.25">
      <c r="A396" s="15">
        <f>Sheet1!A396</f>
        <v>43117.416666666664</v>
      </c>
      <c r="B396">
        <f>Sheet1!B396</f>
        <v>0</v>
      </c>
      <c r="C396">
        <f>IF(Sheet1!B396&gt;0,1,0)</f>
        <v>0</v>
      </c>
    </row>
    <row r="397" spans="1:3" x14ac:dyDescent="0.25">
      <c r="A397" s="15">
        <f>Sheet1!A397</f>
        <v>43117.458333333336</v>
      </c>
      <c r="B397">
        <f>Sheet1!B397</f>
        <v>0</v>
      </c>
      <c r="C397">
        <f>IF(Sheet1!B397&gt;0,1,0)</f>
        <v>0</v>
      </c>
    </row>
    <row r="398" spans="1:3" x14ac:dyDescent="0.25">
      <c r="A398" s="15">
        <f>Sheet1!A398</f>
        <v>43117.5</v>
      </c>
      <c r="B398">
        <f>Sheet1!B398</f>
        <v>0</v>
      </c>
      <c r="C398">
        <f>IF(Sheet1!B398&gt;0,1,0)</f>
        <v>0</v>
      </c>
    </row>
    <row r="399" spans="1:3" x14ac:dyDescent="0.25">
      <c r="A399" s="15">
        <f>Sheet1!A399</f>
        <v>43117.541666666664</v>
      </c>
      <c r="B399">
        <f>Sheet1!B399</f>
        <v>0</v>
      </c>
      <c r="C399">
        <f>IF(Sheet1!B399&gt;0,1,0)</f>
        <v>0</v>
      </c>
    </row>
    <row r="400" spans="1:3" x14ac:dyDescent="0.25">
      <c r="A400" s="15">
        <f>Sheet1!A400</f>
        <v>43117.583333333336</v>
      </c>
      <c r="B400">
        <f>Sheet1!B400</f>
        <v>0</v>
      </c>
      <c r="C400">
        <f>IF(Sheet1!B400&gt;0,1,0)</f>
        <v>0</v>
      </c>
    </row>
    <row r="401" spans="1:3" x14ac:dyDescent="0.25">
      <c r="A401" s="15">
        <f>Sheet1!A401</f>
        <v>43117.625</v>
      </c>
      <c r="B401">
        <f>Sheet1!B401</f>
        <v>0</v>
      </c>
      <c r="C401">
        <f>IF(Sheet1!B401&gt;0,1,0)</f>
        <v>0</v>
      </c>
    </row>
    <row r="402" spans="1:3" x14ac:dyDescent="0.25">
      <c r="A402" s="15">
        <f>Sheet1!A402</f>
        <v>43117.666666666664</v>
      </c>
      <c r="B402">
        <f>Sheet1!B402</f>
        <v>0</v>
      </c>
      <c r="C402">
        <f>IF(Sheet1!B402&gt;0,1,0)</f>
        <v>0</v>
      </c>
    </row>
    <row r="403" spans="1:3" x14ac:dyDescent="0.25">
      <c r="A403" s="15">
        <f>Sheet1!A403</f>
        <v>43117.708333333336</v>
      </c>
      <c r="B403">
        <f>Sheet1!B403</f>
        <v>0</v>
      </c>
      <c r="C403">
        <f>IF(Sheet1!B403&gt;0,1,0)</f>
        <v>0</v>
      </c>
    </row>
    <row r="404" spans="1:3" x14ac:dyDescent="0.25">
      <c r="A404" s="15">
        <f>Sheet1!A404</f>
        <v>43117.75</v>
      </c>
      <c r="B404">
        <f>Sheet1!B404</f>
        <v>0</v>
      </c>
      <c r="C404">
        <f>IF(Sheet1!B404&gt;0,1,0)</f>
        <v>0</v>
      </c>
    </row>
    <row r="405" spans="1:3" x14ac:dyDescent="0.25">
      <c r="A405" s="15">
        <f>Sheet1!A405</f>
        <v>43117.791666666664</v>
      </c>
      <c r="B405">
        <f>Sheet1!B405</f>
        <v>0</v>
      </c>
      <c r="C405">
        <f>IF(Sheet1!B405&gt;0,1,0)</f>
        <v>0</v>
      </c>
    </row>
    <row r="406" spans="1:3" x14ac:dyDescent="0.25">
      <c r="A406" s="15">
        <f>Sheet1!A406</f>
        <v>43117.833333333336</v>
      </c>
      <c r="B406">
        <f>Sheet1!B406</f>
        <v>0</v>
      </c>
      <c r="C406">
        <f>IF(Sheet1!B406&gt;0,1,0)</f>
        <v>0</v>
      </c>
    </row>
    <row r="407" spans="1:3" x14ac:dyDescent="0.25">
      <c r="A407" s="15">
        <f>Sheet1!A407</f>
        <v>43117.875</v>
      </c>
      <c r="B407">
        <f>Sheet1!B407</f>
        <v>1.86</v>
      </c>
      <c r="C407">
        <f>IF(Sheet1!B407&gt;0,1,0)</f>
        <v>1</v>
      </c>
    </row>
    <row r="408" spans="1:3" x14ac:dyDescent="0.25">
      <c r="A408" s="15">
        <f>Sheet1!A408</f>
        <v>43117.916666666664</v>
      </c>
      <c r="B408">
        <f>Sheet1!B408</f>
        <v>0</v>
      </c>
      <c r="C408">
        <f>IF(Sheet1!B408&gt;0,1,0)</f>
        <v>0</v>
      </c>
    </row>
    <row r="409" spans="1:3" x14ac:dyDescent="0.25">
      <c r="A409" s="15">
        <f>Sheet1!A409</f>
        <v>43117.958333333336</v>
      </c>
      <c r="B409">
        <f>Sheet1!B409</f>
        <v>0</v>
      </c>
      <c r="C409">
        <f>IF(Sheet1!B409&gt;0,1,0)</f>
        <v>0</v>
      </c>
    </row>
    <row r="410" spans="1:3" x14ac:dyDescent="0.25">
      <c r="A410" s="15">
        <f>Sheet1!A410</f>
        <v>43118</v>
      </c>
      <c r="B410">
        <f>Sheet1!B410</f>
        <v>0</v>
      </c>
      <c r="C410">
        <f>IF(Sheet1!B410&gt;0,1,0)</f>
        <v>0</v>
      </c>
    </row>
    <row r="411" spans="1:3" x14ac:dyDescent="0.25">
      <c r="A411" s="15">
        <f>Sheet1!A411</f>
        <v>43118.041666666664</v>
      </c>
      <c r="B411">
        <f>Sheet1!B411</f>
        <v>1.84</v>
      </c>
      <c r="C411">
        <f>IF(Sheet1!B411&gt;0,1,0)</f>
        <v>1</v>
      </c>
    </row>
    <row r="412" spans="1:3" x14ac:dyDescent="0.25">
      <c r="A412" s="15">
        <f>Sheet1!A412</f>
        <v>43118.083333333336</v>
      </c>
      <c r="B412">
        <f>Sheet1!B412</f>
        <v>2.0699999999999998</v>
      </c>
      <c r="C412">
        <f>IF(Sheet1!B412&gt;0,1,0)</f>
        <v>1</v>
      </c>
    </row>
    <row r="413" spans="1:3" x14ac:dyDescent="0.25">
      <c r="A413" s="15">
        <f>Sheet1!A413</f>
        <v>43118.125</v>
      </c>
      <c r="B413">
        <f>Sheet1!B413</f>
        <v>2.37</v>
      </c>
      <c r="C413">
        <f>IF(Sheet1!B413&gt;0,1,0)</f>
        <v>1</v>
      </c>
    </row>
    <row r="414" spans="1:3" x14ac:dyDescent="0.25">
      <c r="A414" s="15">
        <f>Sheet1!A414</f>
        <v>43118.166666666664</v>
      </c>
      <c r="B414">
        <f>Sheet1!B414</f>
        <v>2.02</v>
      </c>
      <c r="C414">
        <f>IF(Sheet1!B414&gt;0,1,0)</f>
        <v>1</v>
      </c>
    </row>
    <row r="415" spans="1:3" x14ac:dyDescent="0.25">
      <c r="A415" s="15">
        <f>Sheet1!A415</f>
        <v>43118.208333333336</v>
      </c>
      <c r="B415">
        <f>Sheet1!B415</f>
        <v>2.0699999999999998</v>
      </c>
      <c r="C415">
        <f>IF(Sheet1!B415&gt;0,1,0)</f>
        <v>1</v>
      </c>
    </row>
    <row r="416" spans="1:3" x14ac:dyDescent="0.25">
      <c r="A416" s="15">
        <f>Sheet1!A416</f>
        <v>43118.25</v>
      </c>
      <c r="B416">
        <f>Sheet1!B416</f>
        <v>0</v>
      </c>
      <c r="C416">
        <f>IF(Sheet1!B416&gt;0,1,0)</f>
        <v>0</v>
      </c>
    </row>
    <row r="417" spans="1:3" x14ac:dyDescent="0.25">
      <c r="A417" s="15">
        <f>Sheet1!A417</f>
        <v>43118.291666666664</v>
      </c>
      <c r="B417">
        <f>Sheet1!B417</f>
        <v>0</v>
      </c>
      <c r="C417">
        <f>IF(Sheet1!B417&gt;0,1,0)</f>
        <v>0</v>
      </c>
    </row>
    <row r="418" spans="1:3" x14ac:dyDescent="0.25">
      <c r="A418" s="15">
        <f>Sheet1!A418</f>
        <v>43118.333333333336</v>
      </c>
      <c r="B418">
        <f>Sheet1!B418</f>
        <v>0</v>
      </c>
      <c r="C418">
        <f>IF(Sheet1!B418&gt;0,1,0)</f>
        <v>0</v>
      </c>
    </row>
    <row r="419" spans="1:3" x14ac:dyDescent="0.25">
      <c r="A419" s="15">
        <f>Sheet1!A419</f>
        <v>43118.375</v>
      </c>
      <c r="B419">
        <f>Sheet1!B419</f>
        <v>0.99</v>
      </c>
      <c r="C419">
        <f>IF(Sheet1!B419&gt;0,1,0)</f>
        <v>1</v>
      </c>
    </row>
    <row r="420" spans="1:3" x14ac:dyDescent="0.25">
      <c r="A420" s="15">
        <f>Sheet1!A420</f>
        <v>43118.416666666664</v>
      </c>
      <c r="B420">
        <f>Sheet1!B420</f>
        <v>0</v>
      </c>
      <c r="C420">
        <f>IF(Sheet1!B420&gt;0,1,0)</f>
        <v>0</v>
      </c>
    </row>
    <row r="421" spans="1:3" x14ac:dyDescent="0.25">
      <c r="A421" s="15">
        <f>Sheet1!A421</f>
        <v>43118.458333333336</v>
      </c>
      <c r="B421">
        <f>Sheet1!B421</f>
        <v>0</v>
      </c>
      <c r="C421">
        <f>IF(Sheet1!B421&gt;0,1,0)</f>
        <v>0</v>
      </c>
    </row>
    <row r="422" spans="1:3" x14ac:dyDescent="0.25">
      <c r="A422" s="15">
        <f>Sheet1!A422</f>
        <v>43118.5</v>
      </c>
      <c r="B422">
        <f>Sheet1!B422</f>
        <v>0</v>
      </c>
      <c r="C422">
        <f>IF(Sheet1!B422&gt;0,1,0)</f>
        <v>0</v>
      </c>
    </row>
    <row r="423" spans="1:3" x14ac:dyDescent="0.25">
      <c r="A423" s="15">
        <f>Sheet1!A423</f>
        <v>43118.541666666664</v>
      </c>
      <c r="B423">
        <f>Sheet1!B423</f>
        <v>1.17</v>
      </c>
      <c r="C423">
        <f>IF(Sheet1!B423&gt;0,1,0)</f>
        <v>1</v>
      </c>
    </row>
    <row r="424" spans="1:3" x14ac:dyDescent="0.25">
      <c r="A424" s="15">
        <f>Sheet1!A424</f>
        <v>43118.583333333336</v>
      </c>
      <c r="B424">
        <f>Sheet1!B424</f>
        <v>0</v>
      </c>
      <c r="C424">
        <f>IF(Sheet1!B424&gt;0,1,0)</f>
        <v>0</v>
      </c>
    </row>
    <row r="425" spans="1:3" x14ac:dyDescent="0.25">
      <c r="A425" s="15">
        <f>Sheet1!A425</f>
        <v>43118.625</v>
      </c>
      <c r="B425">
        <f>Sheet1!B425</f>
        <v>0</v>
      </c>
      <c r="C425">
        <f>IF(Sheet1!B425&gt;0,1,0)</f>
        <v>0</v>
      </c>
    </row>
    <row r="426" spans="1:3" x14ac:dyDescent="0.25">
      <c r="A426" s="15">
        <f>Sheet1!A426</f>
        <v>43118.666666666664</v>
      </c>
      <c r="B426">
        <f>Sheet1!B426</f>
        <v>0</v>
      </c>
      <c r="C426">
        <f>IF(Sheet1!B426&gt;0,1,0)</f>
        <v>0</v>
      </c>
    </row>
    <row r="427" spans="1:3" x14ac:dyDescent="0.25">
      <c r="A427" s="15">
        <f>Sheet1!A427</f>
        <v>43118.708333333336</v>
      </c>
      <c r="B427">
        <f>Sheet1!B427</f>
        <v>1.1200000000000001</v>
      </c>
      <c r="C427">
        <f>IF(Sheet1!B427&gt;0,1,0)</f>
        <v>1</v>
      </c>
    </row>
    <row r="428" spans="1:3" x14ac:dyDescent="0.25">
      <c r="A428" s="15">
        <f>Sheet1!A428</f>
        <v>43118.75</v>
      </c>
      <c r="B428">
        <f>Sheet1!B428</f>
        <v>0</v>
      </c>
      <c r="C428">
        <f>IF(Sheet1!B428&gt;0,1,0)</f>
        <v>0</v>
      </c>
    </row>
    <row r="429" spans="1:3" x14ac:dyDescent="0.25">
      <c r="A429" s="15">
        <f>Sheet1!A429</f>
        <v>43118.791666666664</v>
      </c>
      <c r="B429">
        <f>Sheet1!B429</f>
        <v>0</v>
      </c>
      <c r="C429">
        <f>IF(Sheet1!B429&gt;0,1,0)</f>
        <v>0</v>
      </c>
    </row>
    <row r="430" spans="1:3" x14ac:dyDescent="0.25">
      <c r="A430" s="15">
        <f>Sheet1!A430</f>
        <v>43118.833333333336</v>
      </c>
      <c r="B430">
        <f>Sheet1!B430</f>
        <v>0</v>
      </c>
      <c r="C430">
        <f>IF(Sheet1!B430&gt;0,1,0)</f>
        <v>0</v>
      </c>
    </row>
    <row r="431" spans="1:3" x14ac:dyDescent="0.25">
      <c r="A431" s="15">
        <f>Sheet1!A431</f>
        <v>43118.875</v>
      </c>
      <c r="B431">
        <f>Sheet1!B431</f>
        <v>0</v>
      </c>
      <c r="C431">
        <f>IF(Sheet1!B431&gt;0,1,0)</f>
        <v>0</v>
      </c>
    </row>
    <row r="432" spans="1:3" x14ac:dyDescent="0.25">
      <c r="A432" s="15">
        <f>Sheet1!A432</f>
        <v>43118.916666666664</v>
      </c>
      <c r="B432">
        <f>Sheet1!B432</f>
        <v>1.41</v>
      </c>
      <c r="C432">
        <f>IF(Sheet1!B432&gt;0,1,0)</f>
        <v>1</v>
      </c>
    </row>
    <row r="433" spans="1:3" x14ac:dyDescent="0.25">
      <c r="A433" s="15">
        <f>Sheet1!A433</f>
        <v>43118.958333333336</v>
      </c>
      <c r="B433">
        <f>Sheet1!B433</f>
        <v>1.61</v>
      </c>
      <c r="C433">
        <f>IF(Sheet1!B433&gt;0,1,0)</f>
        <v>1</v>
      </c>
    </row>
    <row r="434" spans="1:3" x14ac:dyDescent="0.25">
      <c r="A434" s="15">
        <f>Sheet1!A434</f>
        <v>43119</v>
      </c>
      <c r="B434">
        <f>Sheet1!B434</f>
        <v>1.28</v>
      </c>
      <c r="C434">
        <f>IF(Sheet1!B434&gt;0,1,0)</f>
        <v>1</v>
      </c>
    </row>
    <row r="435" spans="1:3" x14ac:dyDescent="0.25">
      <c r="A435" s="15">
        <f>Sheet1!A435</f>
        <v>43119.041666666664</v>
      </c>
      <c r="B435">
        <f>Sheet1!B435</f>
        <v>1.39</v>
      </c>
      <c r="C435">
        <f>IF(Sheet1!B435&gt;0,1,0)</f>
        <v>1</v>
      </c>
    </row>
    <row r="436" spans="1:3" x14ac:dyDescent="0.25">
      <c r="A436" s="15">
        <f>Sheet1!A436</f>
        <v>43119.083333333336</v>
      </c>
      <c r="B436">
        <f>Sheet1!B436</f>
        <v>1.21</v>
      </c>
      <c r="C436">
        <f>IF(Sheet1!B436&gt;0,1,0)</f>
        <v>1</v>
      </c>
    </row>
    <row r="437" spans="1:3" x14ac:dyDescent="0.25">
      <c r="A437" s="15">
        <f>Sheet1!A437</f>
        <v>43119.125</v>
      </c>
      <c r="B437">
        <f>Sheet1!B437</f>
        <v>1.32</v>
      </c>
      <c r="C437">
        <f>IF(Sheet1!B437&gt;0,1,0)</f>
        <v>1</v>
      </c>
    </row>
    <row r="438" spans="1:3" x14ac:dyDescent="0.25">
      <c r="A438" s="15">
        <f>Sheet1!A438</f>
        <v>43119.166666666664</v>
      </c>
      <c r="B438">
        <f>Sheet1!B438</f>
        <v>1.37</v>
      </c>
      <c r="C438">
        <f>IF(Sheet1!B438&gt;0,1,0)</f>
        <v>1</v>
      </c>
    </row>
    <row r="439" spans="1:3" x14ac:dyDescent="0.25">
      <c r="A439" s="15">
        <f>Sheet1!A439</f>
        <v>43119.208333333336</v>
      </c>
      <c r="B439">
        <f>Sheet1!B439</f>
        <v>1.36</v>
      </c>
      <c r="C439">
        <f>IF(Sheet1!B439&gt;0,1,0)</f>
        <v>1</v>
      </c>
    </row>
    <row r="440" spans="1:3" x14ac:dyDescent="0.25">
      <c r="A440" s="15">
        <f>Sheet1!A440</f>
        <v>43119.25</v>
      </c>
      <c r="B440">
        <f>Sheet1!B440</f>
        <v>1.1599999999999999</v>
      </c>
      <c r="C440">
        <f>IF(Sheet1!B440&gt;0,1,0)</f>
        <v>1</v>
      </c>
    </row>
    <row r="441" spans="1:3" x14ac:dyDescent="0.25">
      <c r="A441" s="15">
        <f>Sheet1!A441</f>
        <v>43119.291666666664</v>
      </c>
      <c r="B441">
        <f>Sheet1!B441</f>
        <v>0.8</v>
      </c>
      <c r="C441">
        <f>IF(Sheet1!B441&gt;0,1,0)</f>
        <v>1</v>
      </c>
    </row>
    <row r="442" spans="1:3" x14ac:dyDescent="0.25">
      <c r="A442" s="15">
        <f>Sheet1!A442</f>
        <v>43119.333333333336</v>
      </c>
      <c r="B442">
        <f>Sheet1!B442</f>
        <v>0.82</v>
      </c>
      <c r="C442">
        <f>IF(Sheet1!B442&gt;0,1,0)</f>
        <v>1</v>
      </c>
    </row>
    <row r="443" spans="1:3" x14ac:dyDescent="0.25">
      <c r="A443" s="15">
        <f>Sheet1!A443</f>
        <v>43119.375</v>
      </c>
      <c r="B443">
        <f>Sheet1!B443</f>
        <v>2.65</v>
      </c>
      <c r="C443">
        <f>IF(Sheet1!B443&gt;0,1,0)</f>
        <v>1</v>
      </c>
    </row>
    <row r="444" spans="1:3" x14ac:dyDescent="0.25">
      <c r="A444" s="15">
        <f>Sheet1!A444</f>
        <v>43119.416666666664</v>
      </c>
      <c r="B444">
        <f>Sheet1!B444</f>
        <v>1.22</v>
      </c>
      <c r="C444">
        <f>IF(Sheet1!B444&gt;0,1,0)</f>
        <v>1</v>
      </c>
    </row>
    <row r="445" spans="1:3" x14ac:dyDescent="0.25">
      <c r="A445" s="15">
        <f>Sheet1!A445</f>
        <v>43119.458333333336</v>
      </c>
      <c r="B445">
        <f>Sheet1!B445</f>
        <v>0</v>
      </c>
      <c r="C445">
        <f>IF(Sheet1!B445&gt;0,1,0)</f>
        <v>0</v>
      </c>
    </row>
    <row r="446" spans="1:3" x14ac:dyDescent="0.25">
      <c r="A446" s="15">
        <f>Sheet1!A446</f>
        <v>43119.5</v>
      </c>
      <c r="B446">
        <f>Sheet1!B446</f>
        <v>0</v>
      </c>
      <c r="C446">
        <f>IF(Sheet1!B446&gt;0,1,0)</f>
        <v>0</v>
      </c>
    </row>
    <row r="447" spans="1:3" x14ac:dyDescent="0.25">
      <c r="A447" s="15">
        <f>Sheet1!A447</f>
        <v>43119.541666666664</v>
      </c>
      <c r="B447">
        <f>Sheet1!B447</f>
        <v>0.89</v>
      </c>
      <c r="C447">
        <f>IF(Sheet1!B447&gt;0,1,0)</f>
        <v>1</v>
      </c>
    </row>
    <row r="448" spans="1:3" x14ac:dyDescent="0.25">
      <c r="A448" s="15">
        <f>Sheet1!A448</f>
        <v>43119.583333333336</v>
      </c>
      <c r="B448">
        <f>Sheet1!B448</f>
        <v>1.64</v>
      </c>
      <c r="C448">
        <f>IF(Sheet1!B448&gt;0,1,0)</f>
        <v>1</v>
      </c>
    </row>
    <row r="449" spans="1:3" x14ac:dyDescent="0.25">
      <c r="A449" s="15">
        <f>Sheet1!A449</f>
        <v>43119.625</v>
      </c>
      <c r="B449">
        <f>Sheet1!B449</f>
        <v>0</v>
      </c>
      <c r="C449">
        <f>IF(Sheet1!B449&gt;0,1,0)</f>
        <v>0</v>
      </c>
    </row>
    <row r="450" spans="1:3" x14ac:dyDescent="0.25">
      <c r="A450" s="15">
        <f>Sheet1!A450</f>
        <v>43119.666666666664</v>
      </c>
      <c r="B450">
        <f>Sheet1!B450</f>
        <v>0</v>
      </c>
      <c r="C450">
        <f>IF(Sheet1!B450&gt;0,1,0)</f>
        <v>0</v>
      </c>
    </row>
    <row r="451" spans="1:3" x14ac:dyDescent="0.25">
      <c r="A451" s="15">
        <f>Sheet1!A451</f>
        <v>43119.708333333336</v>
      </c>
      <c r="B451">
        <f>Sheet1!B451</f>
        <v>0</v>
      </c>
      <c r="C451">
        <f>IF(Sheet1!B451&gt;0,1,0)</f>
        <v>0</v>
      </c>
    </row>
    <row r="452" spans="1:3" x14ac:dyDescent="0.25">
      <c r="A452" s="15">
        <f>Sheet1!A452</f>
        <v>43119.75</v>
      </c>
      <c r="B452">
        <f>Sheet1!B452</f>
        <v>0</v>
      </c>
      <c r="C452">
        <f>IF(Sheet1!B452&gt;0,1,0)</f>
        <v>0</v>
      </c>
    </row>
    <row r="453" spans="1:3" x14ac:dyDescent="0.25">
      <c r="A453" s="15">
        <f>Sheet1!A453</f>
        <v>43119.791666666664</v>
      </c>
      <c r="B453">
        <f>Sheet1!B453</f>
        <v>1.28</v>
      </c>
      <c r="C453">
        <f>IF(Sheet1!B453&gt;0,1,0)</f>
        <v>1</v>
      </c>
    </row>
    <row r="454" spans="1:3" x14ac:dyDescent="0.25">
      <c r="A454" s="15">
        <f>Sheet1!A454</f>
        <v>43119.833333333336</v>
      </c>
      <c r="B454">
        <f>Sheet1!B454</f>
        <v>0</v>
      </c>
      <c r="C454">
        <f>IF(Sheet1!B454&gt;0,1,0)</f>
        <v>0</v>
      </c>
    </row>
    <row r="455" spans="1:3" x14ac:dyDescent="0.25">
      <c r="A455" s="15">
        <f>Sheet1!A455</f>
        <v>43119.875</v>
      </c>
      <c r="B455">
        <f>Sheet1!B455</f>
        <v>0</v>
      </c>
      <c r="C455">
        <f>IF(Sheet1!B455&gt;0,1,0)</f>
        <v>0</v>
      </c>
    </row>
    <row r="456" spans="1:3" x14ac:dyDescent="0.25">
      <c r="A456" s="15">
        <f>Sheet1!A456</f>
        <v>43119.916666666664</v>
      </c>
      <c r="B456">
        <f>Sheet1!B456</f>
        <v>0</v>
      </c>
      <c r="C456">
        <f>IF(Sheet1!B456&gt;0,1,0)</f>
        <v>0</v>
      </c>
    </row>
    <row r="457" spans="1:3" x14ac:dyDescent="0.25">
      <c r="A457" s="15">
        <f>Sheet1!A457</f>
        <v>43119.958333333336</v>
      </c>
      <c r="B457">
        <f>Sheet1!B457</f>
        <v>2.27</v>
      </c>
      <c r="C457">
        <f>IF(Sheet1!B457&gt;0,1,0)</f>
        <v>1</v>
      </c>
    </row>
    <row r="458" spans="1:3" x14ac:dyDescent="0.25">
      <c r="A458" s="15">
        <f>Sheet1!A458</f>
        <v>43120</v>
      </c>
      <c r="B458">
        <f>Sheet1!B458</f>
        <v>1.25</v>
      </c>
      <c r="C458">
        <f>IF(Sheet1!B458&gt;0,1,0)</f>
        <v>1</v>
      </c>
    </row>
    <row r="459" spans="1:3" x14ac:dyDescent="0.25">
      <c r="A459" s="15">
        <f>Sheet1!A459</f>
        <v>43120.041666666664</v>
      </c>
      <c r="B459">
        <f>Sheet1!B459</f>
        <v>1.36</v>
      </c>
      <c r="C459">
        <f>IF(Sheet1!B459&gt;0,1,0)</f>
        <v>1</v>
      </c>
    </row>
    <row r="460" spans="1:3" x14ac:dyDescent="0.25">
      <c r="A460" s="15">
        <f>Sheet1!A460</f>
        <v>43120.083333333336</v>
      </c>
      <c r="B460">
        <f>Sheet1!B460</f>
        <v>1.24</v>
      </c>
      <c r="C460">
        <f>IF(Sheet1!B460&gt;0,1,0)</f>
        <v>1</v>
      </c>
    </row>
    <row r="461" spans="1:3" x14ac:dyDescent="0.25">
      <c r="A461" s="15">
        <f>Sheet1!A461</f>
        <v>43120.125</v>
      </c>
      <c r="B461">
        <f>Sheet1!B461</f>
        <v>1.41</v>
      </c>
      <c r="C461">
        <f>IF(Sheet1!B461&gt;0,1,0)</f>
        <v>1</v>
      </c>
    </row>
    <row r="462" spans="1:3" x14ac:dyDescent="0.25">
      <c r="A462" s="15">
        <f>Sheet1!A462</f>
        <v>43120.166666666664</v>
      </c>
      <c r="B462">
        <f>Sheet1!B462</f>
        <v>1.4</v>
      </c>
      <c r="C462">
        <f>IF(Sheet1!B462&gt;0,1,0)</f>
        <v>1</v>
      </c>
    </row>
    <row r="463" spans="1:3" x14ac:dyDescent="0.25">
      <c r="A463" s="15">
        <f>Sheet1!A463</f>
        <v>43120.208333333336</v>
      </c>
      <c r="B463">
        <f>Sheet1!B463</f>
        <v>0</v>
      </c>
      <c r="C463">
        <f>IF(Sheet1!B463&gt;0,1,0)</f>
        <v>0</v>
      </c>
    </row>
    <row r="464" spans="1:3" x14ac:dyDescent="0.25">
      <c r="A464" s="15">
        <f>Sheet1!A464</f>
        <v>43120.25</v>
      </c>
      <c r="B464">
        <f>Sheet1!B464</f>
        <v>0</v>
      </c>
      <c r="C464">
        <f>IF(Sheet1!B464&gt;0,1,0)</f>
        <v>0</v>
      </c>
    </row>
    <row r="465" spans="1:3" x14ac:dyDescent="0.25">
      <c r="A465" s="15">
        <f>Sheet1!A465</f>
        <v>43120.291666666664</v>
      </c>
      <c r="B465">
        <f>Sheet1!B465</f>
        <v>0</v>
      </c>
      <c r="C465">
        <f>IF(Sheet1!B465&gt;0,1,0)</f>
        <v>0</v>
      </c>
    </row>
    <row r="466" spans="1:3" x14ac:dyDescent="0.25">
      <c r="A466" s="15">
        <f>Sheet1!A466</f>
        <v>43120.333333333336</v>
      </c>
      <c r="B466">
        <f>Sheet1!B466</f>
        <v>0</v>
      </c>
      <c r="C466">
        <f>IF(Sheet1!B466&gt;0,1,0)</f>
        <v>0</v>
      </c>
    </row>
    <row r="467" spans="1:3" x14ac:dyDescent="0.25">
      <c r="A467" s="15">
        <f>Sheet1!A467</f>
        <v>43120.375</v>
      </c>
      <c r="B467">
        <f>Sheet1!B467</f>
        <v>1.48</v>
      </c>
      <c r="C467">
        <f>IF(Sheet1!B467&gt;0,1,0)</f>
        <v>1</v>
      </c>
    </row>
    <row r="468" spans="1:3" x14ac:dyDescent="0.25">
      <c r="A468" s="15">
        <f>Sheet1!A468</f>
        <v>43120.416666666664</v>
      </c>
      <c r="B468">
        <f>Sheet1!B468</f>
        <v>0</v>
      </c>
      <c r="C468">
        <f>IF(Sheet1!B468&gt;0,1,0)</f>
        <v>0</v>
      </c>
    </row>
    <row r="469" spans="1:3" x14ac:dyDescent="0.25">
      <c r="A469" s="15">
        <f>Sheet1!A469</f>
        <v>43120.458333333336</v>
      </c>
      <c r="B469">
        <f>Sheet1!B469</f>
        <v>0</v>
      </c>
      <c r="C469">
        <f>IF(Sheet1!B469&gt;0,1,0)</f>
        <v>0</v>
      </c>
    </row>
    <row r="470" spans="1:3" x14ac:dyDescent="0.25">
      <c r="A470" s="15">
        <f>Sheet1!A470</f>
        <v>43120.5</v>
      </c>
      <c r="B470">
        <f>Sheet1!B470</f>
        <v>0</v>
      </c>
      <c r="C470">
        <f>IF(Sheet1!B470&gt;0,1,0)</f>
        <v>0</v>
      </c>
    </row>
    <row r="471" spans="1:3" x14ac:dyDescent="0.25">
      <c r="A471" s="15">
        <f>Sheet1!A471</f>
        <v>43120.541666666664</v>
      </c>
      <c r="B471">
        <f>Sheet1!B471</f>
        <v>0</v>
      </c>
      <c r="C471">
        <f>IF(Sheet1!B471&gt;0,1,0)</f>
        <v>0</v>
      </c>
    </row>
    <row r="472" spans="1:3" x14ac:dyDescent="0.25">
      <c r="A472" s="15">
        <f>Sheet1!A472</f>
        <v>43120.583333333336</v>
      </c>
      <c r="B472">
        <f>Sheet1!B472</f>
        <v>2.41</v>
      </c>
      <c r="C472">
        <f>IF(Sheet1!B472&gt;0,1,0)</f>
        <v>1</v>
      </c>
    </row>
    <row r="473" spans="1:3" x14ac:dyDescent="0.25">
      <c r="A473" s="15">
        <f>Sheet1!A473</f>
        <v>43120.625</v>
      </c>
      <c r="B473">
        <f>Sheet1!B473</f>
        <v>2.4900000000000002</v>
      </c>
      <c r="C473">
        <f>IF(Sheet1!B473&gt;0,1,0)</f>
        <v>1</v>
      </c>
    </row>
    <row r="474" spans="1:3" x14ac:dyDescent="0.25">
      <c r="A474" s="15">
        <f>Sheet1!A474</f>
        <v>43120.666666666664</v>
      </c>
      <c r="B474">
        <f>Sheet1!B474</f>
        <v>0</v>
      </c>
      <c r="C474">
        <f>IF(Sheet1!B474&gt;0,1,0)</f>
        <v>0</v>
      </c>
    </row>
    <row r="475" spans="1:3" x14ac:dyDescent="0.25">
      <c r="A475" s="15">
        <f>Sheet1!A475</f>
        <v>43120.708333333336</v>
      </c>
      <c r="B475">
        <f>Sheet1!B475</f>
        <v>0</v>
      </c>
      <c r="C475">
        <f>IF(Sheet1!B475&gt;0,1,0)</f>
        <v>0</v>
      </c>
    </row>
    <row r="476" spans="1:3" x14ac:dyDescent="0.25">
      <c r="A476" s="15">
        <f>Sheet1!A476</f>
        <v>43120.75</v>
      </c>
      <c r="B476">
        <f>Sheet1!B476</f>
        <v>0</v>
      </c>
      <c r="C476">
        <f>IF(Sheet1!B476&gt;0,1,0)</f>
        <v>0</v>
      </c>
    </row>
    <row r="477" spans="1:3" x14ac:dyDescent="0.25">
      <c r="A477" s="15">
        <f>Sheet1!A477</f>
        <v>43120.791666666664</v>
      </c>
      <c r="B477">
        <f>Sheet1!B477</f>
        <v>0</v>
      </c>
      <c r="C477">
        <f>IF(Sheet1!B477&gt;0,1,0)</f>
        <v>0</v>
      </c>
    </row>
    <row r="478" spans="1:3" x14ac:dyDescent="0.25">
      <c r="A478" s="15">
        <f>Sheet1!A478</f>
        <v>43120.833333333336</v>
      </c>
      <c r="B478">
        <f>Sheet1!B478</f>
        <v>1.9</v>
      </c>
      <c r="C478">
        <f>IF(Sheet1!B478&gt;0,1,0)</f>
        <v>1</v>
      </c>
    </row>
    <row r="479" spans="1:3" x14ac:dyDescent="0.25">
      <c r="A479" s="15">
        <f>Sheet1!A479</f>
        <v>43120.875</v>
      </c>
      <c r="B479">
        <f>Sheet1!B479</f>
        <v>2.38</v>
      </c>
      <c r="C479">
        <f>IF(Sheet1!B479&gt;0,1,0)</f>
        <v>1</v>
      </c>
    </row>
    <row r="480" spans="1:3" x14ac:dyDescent="0.25">
      <c r="A480" s="15">
        <f>Sheet1!A480</f>
        <v>43120.916666666664</v>
      </c>
      <c r="B480">
        <f>Sheet1!B480</f>
        <v>0</v>
      </c>
      <c r="C480">
        <f>IF(Sheet1!B480&gt;0,1,0)</f>
        <v>0</v>
      </c>
    </row>
    <row r="481" spans="1:3" x14ac:dyDescent="0.25">
      <c r="A481" s="15">
        <f>Sheet1!A481</f>
        <v>43120.958333333336</v>
      </c>
      <c r="B481">
        <f>Sheet1!B481</f>
        <v>2.06</v>
      </c>
      <c r="C481">
        <f>IF(Sheet1!B481&gt;0,1,0)</f>
        <v>1</v>
      </c>
    </row>
    <row r="482" spans="1:3" x14ac:dyDescent="0.25">
      <c r="A482" s="15">
        <f>Sheet1!A482</f>
        <v>43121</v>
      </c>
      <c r="B482">
        <f>Sheet1!B482</f>
        <v>1.92</v>
      </c>
      <c r="C482">
        <f>IF(Sheet1!B482&gt;0,1,0)</f>
        <v>1</v>
      </c>
    </row>
    <row r="483" spans="1:3" x14ac:dyDescent="0.25">
      <c r="A483" s="15">
        <f>Sheet1!A483</f>
        <v>43121.041666666664</v>
      </c>
      <c r="B483">
        <f>Sheet1!B483</f>
        <v>2.21</v>
      </c>
      <c r="C483">
        <f>IF(Sheet1!B483&gt;0,1,0)</f>
        <v>1</v>
      </c>
    </row>
    <row r="484" spans="1:3" x14ac:dyDescent="0.25">
      <c r="A484" s="15">
        <f>Sheet1!A484</f>
        <v>43121.083333333336</v>
      </c>
      <c r="B484">
        <f>Sheet1!B484</f>
        <v>1.91</v>
      </c>
      <c r="C484">
        <f>IF(Sheet1!B484&gt;0,1,0)</f>
        <v>1</v>
      </c>
    </row>
    <row r="485" spans="1:3" x14ac:dyDescent="0.25">
      <c r="A485" s="15">
        <f>Sheet1!A485</f>
        <v>43121.125</v>
      </c>
      <c r="B485">
        <f>Sheet1!B485</f>
        <v>2.4300000000000002</v>
      </c>
      <c r="C485">
        <f>IF(Sheet1!B485&gt;0,1,0)</f>
        <v>1</v>
      </c>
    </row>
    <row r="486" spans="1:3" x14ac:dyDescent="0.25">
      <c r="A486" s="15">
        <f>Sheet1!A486</f>
        <v>43121.166666666664</v>
      </c>
      <c r="B486">
        <f>Sheet1!B486</f>
        <v>1.31</v>
      </c>
      <c r="C486">
        <f>IF(Sheet1!B486&gt;0,1,0)</f>
        <v>1</v>
      </c>
    </row>
    <row r="487" spans="1:3" x14ac:dyDescent="0.25">
      <c r="A487" s="15">
        <f>Sheet1!A487</f>
        <v>43121.208333333336</v>
      </c>
      <c r="B487">
        <f>Sheet1!B487</f>
        <v>0.75</v>
      </c>
      <c r="C487">
        <f>IF(Sheet1!B487&gt;0,1,0)</f>
        <v>1</v>
      </c>
    </row>
    <row r="488" spans="1:3" x14ac:dyDescent="0.25">
      <c r="A488" s="15">
        <f>Sheet1!A488</f>
        <v>43121.25</v>
      </c>
      <c r="B488">
        <f>Sheet1!B488</f>
        <v>0</v>
      </c>
      <c r="C488">
        <f>IF(Sheet1!B488&gt;0,1,0)</f>
        <v>0</v>
      </c>
    </row>
    <row r="489" spans="1:3" x14ac:dyDescent="0.25">
      <c r="A489" s="15">
        <f>Sheet1!A489</f>
        <v>43121.291666666664</v>
      </c>
      <c r="B489">
        <f>Sheet1!B489</f>
        <v>0</v>
      </c>
      <c r="C489">
        <f>IF(Sheet1!B489&gt;0,1,0)</f>
        <v>0</v>
      </c>
    </row>
    <row r="490" spans="1:3" x14ac:dyDescent="0.25">
      <c r="A490" s="15">
        <f>Sheet1!A490</f>
        <v>43121.333333333336</v>
      </c>
      <c r="B490">
        <f>Sheet1!B490</f>
        <v>0</v>
      </c>
      <c r="C490">
        <f>IF(Sheet1!B490&gt;0,1,0)</f>
        <v>0</v>
      </c>
    </row>
    <row r="491" spans="1:3" x14ac:dyDescent="0.25">
      <c r="A491" s="15">
        <f>Sheet1!A491</f>
        <v>43121.375</v>
      </c>
      <c r="B491">
        <f>Sheet1!B491</f>
        <v>0.83</v>
      </c>
      <c r="C491">
        <f>IF(Sheet1!B491&gt;0,1,0)</f>
        <v>1</v>
      </c>
    </row>
    <row r="492" spans="1:3" x14ac:dyDescent="0.25">
      <c r="A492" s="15">
        <f>Sheet1!A492</f>
        <v>43121.416666666664</v>
      </c>
      <c r="B492">
        <f>Sheet1!B492</f>
        <v>0</v>
      </c>
      <c r="C492">
        <f>IF(Sheet1!B492&gt;0,1,0)</f>
        <v>0</v>
      </c>
    </row>
    <row r="493" spans="1:3" x14ac:dyDescent="0.25">
      <c r="A493" s="15">
        <f>Sheet1!A493</f>
        <v>43121.458333333336</v>
      </c>
      <c r="B493">
        <f>Sheet1!B493</f>
        <v>0</v>
      </c>
      <c r="C493">
        <f>IF(Sheet1!B493&gt;0,1,0)</f>
        <v>0</v>
      </c>
    </row>
    <row r="494" spans="1:3" x14ac:dyDescent="0.25">
      <c r="A494" s="15">
        <f>Sheet1!A494</f>
        <v>43121.5</v>
      </c>
      <c r="B494">
        <f>Sheet1!B494</f>
        <v>0</v>
      </c>
      <c r="C494">
        <f>IF(Sheet1!B494&gt;0,1,0)</f>
        <v>0</v>
      </c>
    </row>
    <row r="495" spans="1:3" x14ac:dyDescent="0.25">
      <c r="A495" s="15">
        <f>Sheet1!A495</f>
        <v>43121.541666666664</v>
      </c>
      <c r="B495">
        <f>Sheet1!B495</f>
        <v>1.57</v>
      </c>
      <c r="C495">
        <f>IF(Sheet1!B495&gt;0,1,0)</f>
        <v>1</v>
      </c>
    </row>
    <row r="496" spans="1:3" x14ac:dyDescent="0.25">
      <c r="A496" s="15">
        <f>Sheet1!A496</f>
        <v>43121.583333333336</v>
      </c>
      <c r="B496">
        <f>Sheet1!B496</f>
        <v>0</v>
      </c>
      <c r="C496">
        <f>IF(Sheet1!B496&gt;0,1,0)</f>
        <v>0</v>
      </c>
    </row>
    <row r="497" spans="1:3" x14ac:dyDescent="0.25">
      <c r="A497" s="15">
        <f>Sheet1!A497</f>
        <v>43121.625</v>
      </c>
      <c r="B497">
        <f>Sheet1!B497</f>
        <v>0</v>
      </c>
      <c r="C497">
        <f>IF(Sheet1!B497&gt;0,1,0)</f>
        <v>0</v>
      </c>
    </row>
    <row r="498" spans="1:3" x14ac:dyDescent="0.25">
      <c r="A498" s="15">
        <f>Sheet1!A498</f>
        <v>43121.666666666664</v>
      </c>
      <c r="B498">
        <f>Sheet1!B498</f>
        <v>0</v>
      </c>
      <c r="C498">
        <f>IF(Sheet1!B498&gt;0,1,0)</f>
        <v>0</v>
      </c>
    </row>
    <row r="499" spans="1:3" x14ac:dyDescent="0.25">
      <c r="A499" s="15">
        <f>Sheet1!A499</f>
        <v>43121.708333333336</v>
      </c>
      <c r="B499">
        <f>Sheet1!B499</f>
        <v>0</v>
      </c>
      <c r="C499">
        <f>IF(Sheet1!B499&gt;0,1,0)</f>
        <v>0</v>
      </c>
    </row>
    <row r="500" spans="1:3" x14ac:dyDescent="0.25">
      <c r="A500" s="15">
        <f>Sheet1!A500</f>
        <v>43121.75</v>
      </c>
      <c r="B500">
        <f>Sheet1!B500</f>
        <v>0</v>
      </c>
      <c r="C500">
        <f>IF(Sheet1!B500&gt;0,1,0)</f>
        <v>0</v>
      </c>
    </row>
    <row r="501" spans="1:3" x14ac:dyDescent="0.25">
      <c r="A501" s="15">
        <f>Sheet1!A501</f>
        <v>43121.791666666664</v>
      </c>
      <c r="B501">
        <f>Sheet1!B501</f>
        <v>1.54</v>
      </c>
      <c r="C501">
        <f>IF(Sheet1!B501&gt;0,1,0)</f>
        <v>1</v>
      </c>
    </row>
    <row r="502" spans="1:3" x14ac:dyDescent="0.25">
      <c r="A502" s="15">
        <f>Sheet1!A502</f>
        <v>43121.833333333336</v>
      </c>
      <c r="B502">
        <f>Sheet1!B502</f>
        <v>0</v>
      </c>
      <c r="C502">
        <f>IF(Sheet1!B502&gt;0,1,0)</f>
        <v>0</v>
      </c>
    </row>
    <row r="503" spans="1:3" x14ac:dyDescent="0.25">
      <c r="A503" s="15">
        <f>Sheet1!A503</f>
        <v>43121.875</v>
      </c>
      <c r="B503">
        <f>Sheet1!B503</f>
        <v>0</v>
      </c>
      <c r="C503">
        <f>IF(Sheet1!B503&gt;0,1,0)</f>
        <v>0</v>
      </c>
    </row>
    <row r="504" spans="1:3" x14ac:dyDescent="0.25">
      <c r="A504" s="15">
        <f>Sheet1!A504</f>
        <v>43121.916666666664</v>
      </c>
      <c r="B504">
        <f>Sheet1!B504</f>
        <v>0</v>
      </c>
      <c r="C504">
        <f>IF(Sheet1!B504&gt;0,1,0)</f>
        <v>0</v>
      </c>
    </row>
    <row r="505" spans="1:3" x14ac:dyDescent="0.25">
      <c r="A505" s="15">
        <f>Sheet1!A505</f>
        <v>43121.958333333336</v>
      </c>
      <c r="B505">
        <f>Sheet1!B505</f>
        <v>2.4900000000000002</v>
      </c>
      <c r="C505">
        <f>IF(Sheet1!B505&gt;0,1,0)</f>
        <v>1</v>
      </c>
    </row>
    <row r="506" spans="1:3" x14ac:dyDescent="0.25">
      <c r="A506" s="15">
        <f>Sheet1!A506</f>
        <v>43122</v>
      </c>
      <c r="B506">
        <f>Sheet1!B506</f>
        <v>2.2599999999999998</v>
      </c>
      <c r="C506">
        <f>IF(Sheet1!B506&gt;0,1,0)</f>
        <v>1</v>
      </c>
    </row>
    <row r="507" spans="1:3" x14ac:dyDescent="0.25">
      <c r="A507" s="15">
        <f>Sheet1!A507</f>
        <v>43122.041666666664</v>
      </c>
      <c r="B507">
        <f>Sheet1!B507</f>
        <v>2.0099999999999998</v>
      </c>
      <c r="C507">
        <f>IF(Sheet1!B507&gt;0,1,0)</f>
        <v>1</v>
      </c>
    </row>
    <row r="508" spans="1:3" x14ac:dyDescent="0.25">
      <c r="A508" s="15">
        <f>Sheet1!A508</f>
        <v>43122.083333333336</v>
      </c>
      <c r="B508">
        <f>Sheet1!B508</f>
        <v>1.83</v>
      </c>
      <c r="C508">
        <f>IF(Sheet1!B508&gt;0,1,0)</f>
        <v>1</v>
      </c>
    </row>
    <row r="509" spans="1:3" x14ac:dyDescent="0.25">
      <c r="A509" s="15">
        <f>Sheet1!A509</f>
        <v>43122.125</v>
      </c>
      <c r="B509">
        <f>Sheet1!B509</f>
        <v>0</v>
      </c>
      <c r="C509">
        <f>IF(Sheet1!B509&gt;0,1,0)</f>
        <v>0</v>
      </c>
    </row>
    <row r="510" spans="1:3" x14ac:dyDescent="0.25">
      <c r="A510" s="15">
        <f>Sheet1!A510</f>
        <v>43122.166666666664</v>
      </c>
      <c r="B510">
        <f>Sheet1!B510</f>
        <v>0</v>
      </c>
      <c r="C510">
        <f>IF(Sheet1!B510&gt;0,1,0)</f>
        <v>0</v>
      </c>
    </row>
    <row r="511" spans="1:3" x14ac:dyDescent="0.25">
      <c r="A511" s="15">
        <f>Sheet1!A511</f>
        <v>43122.208333333336</v>
      </c>
      <c r="B511">
        <f>Sheet1!B511</f>
        <v>1.1299999999999999</v>
      </c>
      <c r="C511">
        <f>IF(Sheet1!B511&gt;0,1,0)</f>
        <v>1</v>
      </c>
    </row>
    <row r="512" spans="1:3" x14ac:dyDescent="0.25">
      <c r="A512" s="15">
        <f>Sheet1!A512</f>
        <v>43122.25</v>
      </c>
      <c r="B512">
        <f>Sheet1!B512</f>
        <v>0</v>
      </c>
      <c r="C512">
        <f>IF(Sheet1!B512&gt;0,1,0)</f>
        <v>0</v>
      </c>
    </row>
    <row r="513" spans="1:3" x14ac:dyDescent="0.25">
      <c r="A513" s="15">
        <f>Sheet1!A513</f>
        <v>43122.291666666664</v>
      </c>
      <c r="B513">
        <f>Sheet1!B513</f>
        <v>0</v>
      </c>
      <c r="C513">
        <f>IF(Sheet1!B513&gt;0,1,0)</f>
        <v>0</v>
      </c>
    </row>
    <row r="514" spans="1:3" x14ac:dyDescent="0.25">
      <c r="A514" s="15">
        <f>Sheet1!A514</f>
        <v>43122.333333333336</v>
      </c>
      <c r="B514">
        <f>Sheet1!B514</f>
        <v>0</v>
      </c>
      <c r="C514">
        <f>IF(Sheet1!B514&gt;0,1,0)</f>
        <v>0</v>
      </c>
    </row>
    <row r="515" spans="1:3" x14ac:dyDescent="0.25">
      <c r="A515" s="15">
        <f>Sheet1!A515</f>
        <v>43122.375</v>
      </c>
      <c r="B515">
        <f>Sheet1!B515</f>
        <v>0</v>
      </c>
      <c r="C515">
        <f>IF(Sheet1!B515&gt;0,1,0)</f>
        <v>0</v>
      </c>
    </row>
    <row r="516" spans="1:3" x14ac:dyDescent="0.25">
      <c r="A516" s="15">
        <f>Sheet1!A516</f>
        <v>43122.416666666664</v>
      </c>
      <c r="B516">
        <f>Sheet1!B516</f>
        <v>0</v>
      </c>
      <c r="C516">
        <f>IF(Sheet1!B516&gt;0,1,0)</f>
        <v>0</v>
      </c>
    </row>
    <row r="517" spans="1:3" x14ac:dyDescent="0.25">
      <c r="A517" s="15">
        <f>Sheet1!A517</f>
        <v>43122.458333333336</v>
      </c>
      <c r="B517">
        <f>Sheet1!B517</f>
        <v>2.2000000000000002</v>
      </c>
      <c r="C517">
        <f>IF(Sheet1!B517&gt;0,1,0)</f>
        <v>1</v>
      </c>
    </row>
    <row r="518" spans="1:3" x14ac:dyDescent="0.25">
      <c r="A518" s="15">
        <f>Sheet1!A518</f>
        <v>43122.5</v>
      </c>
      <c r="B518">
        <f>Sheet1!B518</f>
        <v>0</v>
      </c>
      <c r="C518">
        <f>IF(Sheet1!B518&gt;0,1,0)</f>
        <v>0</v>
      </c>
    </row>
    <row r="519" spans="1:3" x14ac:dyDescent="0.25">
      <c r="A519" s="15">
        <f>Sheet1!A519</f>
        <v>43122.541666666664</v>
      </c>
      <c r="B519">
        <f>Sheet1!B519</f>
        <v>0</v>
      </c>
      <c r="C519">
        <f>IF(Sheet1!B519&gt;0,1,0)</f>
        <v>0</v>
      </c>
    </row>
    <row r="520" spans="1:3" x14ac:dyDescent="0.25">
      <c r="A520" s="15">
        <f>Sheet1!A520</f>
        <v>43122.583333333336</v>
      </c>
      <c r="B520">
        <f>Sheet1!B520</f>
        <v>0</v>
      </c>
      <c r="C520">
        <f>IF(Sheet1!B520&gt;0,1,0)</f>
        <v>0</v>
      </c>
    </row>
    <row r="521" spans="1:3" x14ac:dyDescent="0.25">
      <c r="A521" s="15">
        <f>Sheet1!A521</f>
        <v>43122.625</v>
      </c>
      <c r="B521">
        <f>Sheet1!B521</f>
        <v>0</v>
      </c>
      <c r="C521">
        <f>IF(Sheet1!B521&gt;0,1,0)</f>
        <v>0</v>
      </c>
    </row>
    <row r="522" spans="1:3" x14ac:dyDescent="0.25">
      <c r="A522" s="15">
        <f>Sheet1!A522</f>
        <v>43122.666666666664</v>
      </c>
      <c r="B522">
        <f>Sheet1!B522</f>
        <v>0</v>
      </c>
      <c r="C522">
        <f>IF(Sheet1!B522&gt;0,1,0)</f>
        <v>0</v>
      </c>
    </row>
    <row r="523" spans="1:3" x14ac:dyDescent="0.25">
      <c r="A523" s="15">
        <f>Sheet1!A523</f>
        <v>43122.708333333336</v>
      </c>
      <c r="B523">
        <f>Sheet1!B523</f>
        <v>0</v>
      </c>
      <c r="C523">
        <f>IF(Sheet1!B523&gt;0,1,0)</f>
        <v>0</v>
      </c>
    </row>
    <row r="524" spans="1:3" x14ac:dyDescent="0.25">
      <c r="A524" s="15">
        <f>Sheet1!A524</f>
        <v>43122.75</v>
      </c>
      <c r="B524">
        <f>Sheet1!B524</f>
        <v>0</v>
      </c>
      <c r="C524">
        <f>IF(Sheet1!B524&gt;0,1,0)</f>
        <v>0</v>
      </c>
    </row>
    <row r="525" spans="1:3" x14ac:dyDescent="0.25">
      <c r="A525" s="15">
        <f>Sheet1!A525</f>
        <v>43122.791666666664</v>
      </c>
      <c r="B525">
        <f>Sheet1!B525</f>
        <v>0</v>
      </c>
      <c r="C525">
        <f>IF(Sheet1!B525&gt;0,1,0)</f>
        <v>0</v>
      </c>
    </row>
    <row r="526" spans="1:3" x14ac:dyDescent="0.25">
      <c r="A526" s="15">
        <f>Sheet1!A526</f>
        <v>43122.833333333336</v>
      </c>
      <c r="B526">
        <f>Sheet1!B526</f>
        <v>0</v>
      </c>
      <c r="C526">
        <f>IF(Sheet1!B526&gt;0,1,0)</f>
        <v>0</v>
      </c>
    </row>
    <row r="527" spans="1:3" x14ac:dyDescent="0.25">
      <c r="A527" s="15">
        <f>Sheet1!A527</f>
        <v>43122.875</v>
      </c>
      <c r="B527">
        <f>Sheet1!B527</f>
        <v>2.35</v>
      </c>
      <c r="C527">
        <f>IF(Sheet1!B527&gt;0,1,0)</f>
        <v>1</v>
      </c>
    </row>
    <row r="528" spans="1:3" x14ac:dyDescent="0.25">
      <c r="A528" s="15">
        <f>Sheet1!A528</f>
        <v>43122.916666666664</v>
      </c>
      <c r="B528">
        <f>Sheet1!B528</f>
        <v>0</v>
      </c>
      <c r="C528">
        <f>IF(Sheet1!B528&gt;0,1,0)</f>
        <v>0</v>
      </c>
    </row>
    <row r="529" spans="1:3" x14ac:dyDescent="0.25">
      <c r="A529" s="15">
        <f>Sheet1!A529</f>
        <v>43122.958333333336</v>
      </c>
      <c r="B529">
        <f>Sheet1!B529</f>
        <v>0</v>
      </c>
      <c r="C529">
        <f>IF(Sheet1!B529&gt;0,1,0)</f>
        <v>0</v>
      </c>
    </row>
    <row r="530" spans="1:3" x14ac:dyDescent="0.25">
      <c r="A530" s="15">
        <f>Sheet1!A530</f>
        <v>43123</v>
      </c>
      <c r="B530">
        <f>Sheet1!B530</f>
        <v>2.04</v>
      </c>
      <c r="C530">
        <f>IF(Sheet1!B530&gt;0,1,0)</f>
        <v>1</v>
      </c>
    </row>
    <row r="531" spans="1:3" x14ac:dyDescent="0.25">
      <c r="A531" s="15">
        <f>Sheet1!A531</f>
        <v>43123.041666666664</v>
      </c>
      <c r="B531">
        <f>Sheet1!B531</f>
        <v>1.85</v>
      </c>
      <c r="C531">
        <f>IF(Sheet1!B531&gt;0,1,0)</f>
        <v>1</v>
      </c>
    </row>
    <row r="532" spans="1:3" x14ac:dyDescent="0.25">
      <c r="A532" s="15">
        <f>Sheet1!A532</f>
        <v>43123.083333333336</v>
      </c>
      <c r="B532">
        <f>Sheet1!B532</f>
        <v>2.21</v>
      </c>
      <c r="C532">
        <f>IF(Sheet1!B532&gt;0,1,0)</f>
        <v>1</v>
      </c>
    </row>
    <row r="533" spans="1:3" x14ac:dyDescent="0.25">
      <c r="A533" s="15">
        <f>Sheet1!A533</f>
        <v>43123.125</v>
      </c>
      <c r="B533">
        <f>Sheet1!B533</f>
        <v>2.62</v>
      </c>
      <c r="C533">
        <f>IF(Sheet1!B533&gt;0,1,0)</f>
        <v>1</v>
      </c>
    </row>
    <row r="534" spans="1:3" x14ac:dyDescent="0.25">
      <c r="A534" s="15">
        <f>Sheet1!A534</f>
        <v>43123.166666666664</v>
      </c>
      <c r="B534">
        <f>Sheet1!B534</f>
        <v>1.38</v>
      </c>
      <c r="C534">
        <f>IF(Sheet1!B534&gt;0,1,0)</f>
        <v>1</v>
      </c>
    </row>
    <row r="535" spans="1:3" x14ac:dyDescent="0.25">
      <c r="A535" s="15">
        <f>Sheet1!A535</f>
        <v>43123.208333333336</v>
      </c>
      <c r="B535">
        <f>Sheet1!B535</f>
        <v>0.86</v>
      </c>
      <c r="C535">
        <f>IF(Sheet1!B535&gt;0,1,0)</f>
        <v>1</v>
      </c>
    </row>
    <row r="536" spans="1:3" x14ac:dyDescent="0.25">
      <c r="A536" s="15">
        <f>Sheet1!A536</f>
        <v>43123.25</v>
      </c>
      <c r="B536">
        <f>Sheet1!B536</f>
        <v>0</v>
      </c>
      <c r="C536">
        <f>IF(Sheet1!B536&gt;0,1,0)</f>
        <v>0</v>
      </c>
    </row>
    <row r="537" spans="1:3" x14ac:dyDescent="0.25">
      <c r="A537" s="15">
        <f>Sheet1!A537</f>
        <v>43123.291666666664</v>
      </c>
      <c r="B537">
        <f>Sheet1!B537</f>
        <v>0</v>
      </c>
      <c r="C537">
        <f>IF(Sheet1!B537&gt;0,1,0)</f>
        <v>0</v>
      </c>
    </row>
    <row r="538" spans="1:3" x14ac:dyDescent="0.25">
      <c r="A538" s="15">
        <f>Sheet1!A538</f>
        <v>43123.333333333336</v>
      </c>
      <c r="B538">
        <f>Sheet1!B538</f>
        <v>0</v>
      </c>
      <c r="C538">
        <f>IF(Sheet1!B538&gt;0,1,0)</f>
        <v>0</v>
      </c>
    </row>
    <row r="539" spans="1:3" x14ac:dyDescent="0.25">
      <c r="A539" s="15">
        <f>Sheet1!A539</f>
        <v>43123.375</v>
      </c>
      <c r="B539">
        <f>Sheet1!B539</f>
        <v>1.75</v>
      </c>
      <c r="C539">
        <f>IF(Sheet1!B539&gt;0,1,0)</f>
        <v>1</v>
      </c>
    </row>
    <row r="540" spans="1:3" x14ac:dyDescent="0.25">
      <c r="A540" s="15">
        <f>Sheet1!A540</f>
        <v>43123.416666666664</v>
      </c>
      <c r="B540">
        <f>Sheet1!B540</f>
        <v>0</v>
      </c>
      <c r="C540">
        <f>IF(Sheet1!B540&gt;0,1,0)</f>
        <v>0</v>
      </c>
    </row>
    <row r="541" spans="1:3" x14ac:dyDescent="0.25">
      <c r="A541" s="15">
        <f>Sheet1!A541</f>
        <v>43123.458333333336</v>
      </c>
      <c r="B541">
        <f>Sheet1!B541</f>
        <v>0</v>
      </c>
      <c r="C541">
        <f>IF(Sheet1!B541&gt;0,1,0)</f>
        <v>0</v>
      </c>
    </row>
    <row r="542" spans="1:3" x14ac:dyDescent="0.25">
      <c r="A542" s="15">
        <f>Sheet1!A542</f>
        <v>43123.5</v>
      </c>
      <c r="B542">
        <f>Sheet1!B542</f>
        <v>0</v>
      </c>
      <c r="C542">
        <f>IF(Sheet1!B542&gt;0,1,0)</f>
        <v>0</v>
      </c>
    </row>
    <row r="543" spans="1:3" x14ac:dyDescent="0.25">
      <c r="A543" s="15">
        <f>Sheet1!A543</f>
        <v>43123.541666666664</v>
      </c>
      <c r="B543">
        <f>Sheet1!B543</f>
        <v>0</v>
      </c>
      <c r="C543">
        <f>IF(Sheet1!B543&gt;0,1,0)</f>
        <v>0</v>
      </c>
    </row>
    <row r="544" spans="1:3" x14ac:dyDescent="0.25">
      <c r="A544" s="15">
        <f>Sheet1!A544</f>
        <v>43123.583333333336</v>
      </c>
      <c r="B544">
        <f>Sheet1!B544</f>
        <v>0</v>
      </c>
      <c r="C544">
        <f>IF(Sheet1!B544&gt;0,1,0)</f>
        <v>0</v>
      </c>
    </row>
    <row r="545" spans="1:3" x14ac:dyDescent="0.25">
      <c r="A545" s="15">
        <f>Sheet1!A545</f>
        <v>43123.625</v>
      </c>
      <c r="B545">
        <f>Sheet1!B545</f>
        <v>0</v>
      </c>
      <c r="C545">
        <f>IF(Sheet1!B545&gt;0,1,0)</f>
        <v>0</v>
      </c>
    </row>
    <row r="546" spans="1:3" x14ac:dyDescent="0.25">
      <c r="A546" s="15">
        <f>Sheet1!A546</f>
        <v>43123.666666666664</v>
      </c>
      <c r="B546">
        <f>Sheet1!B546</f>
        <v>0</v>
      </c>
      <c r="C546">
        <f>IF(Sheet1!B546&gt;0,1,0)</f>
        <v>0</v>
      </c>
    </row>
    <row r="547" spans="1:3" x14ac:dyDescent="0.25">
      <c r="A547" s="15">
        <f>Sheet1!A547</f>
        <v>43123.708333333336</v>
      </c>
      <c r="B547">
        <f>Sheet1!B547</f>
        <v>0</v>
      </c>
      <c r="C547">
        <f>IF(Sheet1!B547&gt;0,1,0)</f>
        <v>0</v>
      </c>
    </row>
    <row r="548" spans="1:3" x14ac:dyDescent="0.25">
      <c r="A548" s="15">
        <f>Sheet1!A548</f>
        <v>43123.75</v>
      </c>
      <c r="B548">
        <f>Sheet1!B548</f>
        <v>0</v>
      </c>
      <c r="C548">
        <f>IF(Sheet1!B548&gt;0,1,0)</f>
        <v>0</v>
      </c>
    </row>
    <row r="549" spans="1:3" x14ac:dyDescent="0.25">
      <c r="A549" s="15">
        <f>Sheet1!A549</f>
        <v>43123.791666666664</v>
      </c>
      <c r="B549">
        <f>Sheet1!B549</f>
        <v>0</v>
      </c>
      <c r="C549">
        <f>IF(Sheet1!B549&gt;0,1,0)</f>
        <v>0</v>
      </c>
    </row>
    <row r="550" spans="1:3" x14ac:dyDescent="0.25">
      <c r="A550" s="15">
        <f>Sheet1!A550</f>
        <v>43123.833333333336</v>
      </c>
      <c r="B550">
        <f>Sheet1!B550</f>
        <v>0</v>
      </c>
      <c r="C550">
        <f>IF(Sheet1!B550&gt;0,1,0)</f>
        <v>0</v>
      </c>
    </row>
    <row r="551" spans="1:3" x14ac:dyDescent="0.25">
      <c r="A551" s="15">
        <f>Sheet1!A551</f>
        <v>43123.875</v>
      </c>
      <c r="B551">
        <f>Sheet1!B551</f>
        <v>2.46</v>
      </c>
      <c r="C551">
        <f>IF(Sheet1!B551&gt;0,1,0)</f>
        <v>1</v>
      </c>
    </row>
    <row r="552" spans="1:3" x14ac:dyDescent="0.25">
      <c r="A552" s="15">
        <f>Sheet1!A552</f>
        <v>43123.916666666664</v>
      </c>
      <c r="B552">
        <f>Sheet1!B552</f>
        <v>2.06</v>
      </c>
      <c r="C552">
        <f>IF(Sheet1!B552&gt;0,1,0)</f>
        <v>1</v>
      </c>
    </row>
    <row r="553" spans="1:3" x14ac:dyDescent="0.25">
      <c r="A553" s="15">
        <f>Sheet1!A553</f>
        <v>43123.958333333336</v>
      </c>
      <c r="B553">
        <f>Sheet1!B553</f>
        <v>1.78</v>
      </c>
      <c r="C553">
        <f>IF(Sheet1!B553&gt;0,1,0)</f>
        <v>1</v>
      </c>
    </row>
    <row r="554" spans="1:3" x14ac:dyDescent="0.25">
      <c r="A554" s="15">
        <f>Sheet1!A554</f>
        <v>43124</v>
      </c>
      <c r="B554">
        <f>Sheet1!B554</f>
        <v>2.29</v>
      </c>
      <c r="C554">
        <f>IF(Sheet1!B554&gt;0,1,0)</f>
        <v>1</v>
      </c>
    </row>
    <row r="555" spans="1:3" x14ac:dyDescent="0.25">
      <c r="A555" s="15">
        <f>Sheet1!A555</f>
        <v>43124.041666666664</v>
      </c>
      <c r="B555">
        <f>Sheet1!B555</f>
        <v>1.78</v>
      </c>
      <c r="C555">
        <f>IF(Sheet1!B555&gt;0,1,0)</f>
        <v>1</v>
      </c>
    </row>
    <row r="556" spans="1:3" x14ac:dyDescent="0.25">
      <c r="A556" s="15">
        <f>Sheet1!A556</f>
        <v>43124.083333333336</v>
      </c>
      <c r="B556">
        <f>Sheet1!B556</f>
        <v>2.2200000000000002</v>
      </c>
      <c r="C556">
        <f>IF(Sheet1!B556&gt;0,1,0)</f>
        <v>1</v>
      </c>
    </row>
    <row r="557" spans="1:3" x14ac:dyDescent="0.25">
      <c r="A557" s="15">
        <f>Sheet1!A557</f>
        <v>43124.125</v>
      </c>
      <c r="B557">
        <f>Sheet1!B557</f>
        <v>0.63</v>
      </c>
      <c r="C557">
        <f>IF(Sheet1!B557&gt;0,1,0)</f>
        <v>1</v>
      </c>
    </row>
    <row r="558" spans="1:3" x14ac:dyDescent="0.25">
      <c r="A558" s="15">
        <f>Sheet1!A558</f>
        <v>43124.166666666664</v>
      </c>
      <c r="B558">
        <f>Sheet1!B558</f>
        <v>2.3199999999999998</v>
      </c>
      <c r="C558">
        <f>IF(Sheet1!B558&gt;0,1,0)</f>
        <v>1</v>
      </c>
    </row>
    <row r="559" spans="1:3" x14ac:dyDescent="0.25">
      <c r="A559" s="15">
        <f>Sheet1!A559</f>
        <v>43124.208333333336</v>
      </c>
      <c r="B559">
        <f>Sheet1!B559</f>
        <v>2.39</v>
      </c>
      <c r="C559">
        <f>IF(Sheet1!B559&gt;0,1,0)</f>
        <v>1</v>
      </c>
    </row>
    <row r="560" spans="1:3" x14ac:dyDescent="0.25">
      <c r="A560" s="15">
        <f>Sheet1!A560</f>
        <v>43124.25</v>
      </c>
      <c r="B560">
        <f>Sheet1!B560</f>
        <v>2.0499999999999998</v>
      </c>
      <c r="C560">
        <f>IF(Sheet1!B560&gt;0,1,0)</f>
        <v>1</v>
      </c>
    </row>
    <row r="561" spans="1:3" x14ac:dyDescent="0.25">
      <c r="A561" s="15">
        <f>Sheet1!A561</f>
        <v>43124.291666666664</v>
      </c>
      <c r="B561">
        <f>Sheet1!B561</f>
        <v>1.62</v>
      </c>
      <c r="C561">
        <f>IF(Sheet1!B561&gt;0,1,0)</f>
        <v>1</v>
      </c>
    </row>
    <row r="562" spans="1:3" x14ac:dyDescent="0.25">
      <c r="A562" s="15">
        <f>Sheet1!A562</f>
        <v>43124.333333333336</v>
      </c>
      <c r="B562">
        <f>Sheet1!B562</f>
        <v>0.4</v>
      </c>
      <c r="C562">
        <f>IF(Sheet1!B562&gt;0,1,0)</f>
        <v>1</v>
      </c>
    </row>
    <row r="563" spans="1:3" x14ac:dyDescent="0.25">
      <c r="A563" s="15">
        <f>Sheet1!A563</f>
        <v>43124.375</v>
      </c>
      <c r="B563">
        <f>Sheet1!B563</f>
        <v>1.1000000000000001</v>
      </c>
      <c r="C563">
        <f>IF(Sheet1!B563&gt;0,1,0)</f>
        <v>1</v>
      </c>
    </row>
    <row r="564" spans="1:3" x14ac:dyDescent="0.25">
      <c r="A564" s="15">
        <f>Sheet1!A564</f>
        <v>43124.416666666664</v>
      </c>
      <c r="B564">
        <f>Sheet1!B564</f>
        <v>0.43</v>
      </c>
      <c r="C564">
        <f>IF(Sheet1!B564&gt;0,1,0)</f>
        <v>1</v>
      </c>
    </row>
    <row r="565" spans="1:3" x14ac:dyDescent="0.25">
      <c r="A565" s="15">
        <f>Sheet1!A565</f>
        <v>43124.458333333336</v>
      </c>
      <c r="B565">
        <f>Sheet1!B565</f>
        <v>0</v>
      </c>
      <c r="C565">
        <f>IF(Sheet1!B565&gt;0,1,0)</f>
        <v>0</v>
      </c>
    </row>
    <row r="566" spans="1:3" x14ac:dyDescent="0.25">
      <c r="A566" s="15">
        <f>Sheet1!A566</f>
        <v>43124.5</v>
      </c>
      <c r="B566">
        <f>Sheet1!B566</f>
        <v>1.31</v>
      </c>
      <c r="C566">
        <f>IF(Sheet1!B566&gt;0,1,0)</f>
        <v>1</v>
      </c>
    </row>
    <row r="567" spans="1:3" x14ac:dyDescent="0.25">
      <c r="A567" s="15">
        <f>Sheet1!A567</f>
        <v>43124.541666666664</v>
      </c>
      <c r="B567">
        <f>Sheet1!B567</f>
        <v>1.96</v>
      </c>
      <c r="C567">
        <f>IF(Sheet1!B567&gt;0,1,0)</f>
        <v>1</v>
      </c>
    </row>
    <row r="568" spans="1:3" x14ac:dyDescent="0.25">
      <c r="A568" s="15">
        <f>Sheet1!A568</f>
        <v>43124.583333333336</v>
      </c>
      <c r="B568">
        <f>Sheet1!B568</f>
        <v>0</v>
      </c>
      <c r="C568">
        <f>IF(Sheet1!B568&gt;0,1,0)</f>
        <v>0</v>
      </c>
    </row>
    <row r="569" spans="1:3" x14ac:dyDescent="0.25">
      <c r="A569" s="15">
        <f>Sheet1!A569</f>
        <v>43124.625</v>
      </c>
      <c r="B569">
        <f>Sheet1!B569</f>
        <v>0</v>
      </c>
      <c r="C569">
        <f>IF(Sheet1!B569&gt;0,1,0)</f>
        <v>0</v>
      </c>
    </row>
    <row r="570" spans="1:3" x14ac:dyDescent="0.25">
      <c r="A570" s="15">
        <f>Sheet1!A570</f>
        <v>43124.666666666664</v>
      </c>
      <c r="B570">
        <f>Sheet1!B570</f>
        <v>0</v>
      </c>
      <c r="C570">
        <f>IF(Sheet1!B570&gt;0,1,0)</f>
        <v>0</v>
      </c>
    </row>
    <row r="571" spans="1:3" x14ac:dyDescent="0.25">
      <c r="A571" s="15">
        <f>Sheet1!A571</f>
        <v>43124.708333333336</v>
      </c>
      <c r="B571">
        <f>Sheet1!B571</f>
        <v>0</v>
      </c>
      <c r="C571">
        <f>IF(Sheet1!B571&gt;0,1,0)</f>
        <v>0</v>
      </c>
    </row>
    <row r="572" spans="1:3" x14ac:dyDescent="0.25">
      <c r="A572" s="15">
        <f>Sheet1!A572</f>
        <v>43124.75</v>
      </c>
      <c r="B572">
        <f>Sheet1!B572</f>
        <v>0</v>
      </c>
      <c r="C572">
        <f>IF(Sheet1!B572&gt;0,1,0)</f>
        <v>0</v>
      </c>
    </row>
    <row r="573" spans="1:3" x14ac:dyDescent="0.25">
      <c r="A573" s="15">
        <f>Sheet1!A573</f>
        <v>43124.791666666664</v>
      </c>
      <c r="B573">
        <f>Sheet1!B573</f>
        <v>1.85</v>
      </c>
      <c r="C573">
        <f>IF(Sheet1!B573&gt;0,1,0)</f>
        <v>1</v>
      </c>
    </row>
    <row r="574" spans="1:3" x14ac:dyDescent="0.25">
      <c r="A574" s="15">
        <f>Sheet1!A574</f>
        <v>43124.833333333336</v>
      </c>
      <c r="B574">
        <f>Sheet1!B574</f>
        <v>0</v>
      </c>
      <c r="C574">
        <f>IF(Sheet1!B574&gt;0,1,0)</f>
        <v>0</v>
      </c>
    </row>
    <row r="575" spans="1:3" x14ac:dyDescent="0.25">
      <c r="A575" s="15">
        <f>Sheet1!A575</f>
        <v>43124.875</v>
      </c>
      <c r="B575">
        <f>Sheet1!B575</f>
        <v>0</v>
      </c>
      <c r="C575">
        <f>IF(Sheet1!B575&gt;0,1,0)</f>
        <v>0</v>
      </c>
    </row>
    <row r="576" spans="1:3" x14ac:dyDescent="0.25">
      <c r="A576" s="15">
        <f>Sheet1!A576</f>
        <v>43124.916666666664</v>
      </c>
      <c r="B576">
        <f>Sheet1!B576</f>
        <v>0</v>
      </c>
      <c r="C576">
        <f>IF(Sheet1!B576&gt;0,1,0)</f>
        <v>0</v>
      </c>
    </row>
    <row r="577" spans="1:3" x14ac:dyDescent="0.25">
      <c r="A577" s="15">
        <f>Sheet1!A577</f>
        <v>43124.958333333336</v>
      </c>
      <c r="B577">
        <f>Sheet1!B577</f>
        <v>2.11</v>
      </c>
      <c r="C577">
        <f>IF(Sheet1!B577&gt;0,1,0)</f>
        <v>1</v>
      </c>
    </row>
    <row r="578" spans="1:3" x14ac:dyDescent="0.25">
      <c r="A578" s="15">
        <f>Sheet1!A578</f>
        <v>43125</v>
      </c>
      <c r="B578">
        <f>Sheet1!B578</f>
        <v>1.81</v>
      </c>
      <c r="C578">
        <f>IF(Sheet1!B578&gt;0,1,0)</f>
        <v>1</v>
      </c>
    </row>
    <row r="579" spans="1:3" x14ac:dyDescent="0.25">
      <c r="A579" s="15">
        <f>Sheet1!A579</f>
        <v>43125.041666666664</v>
      </c>
      <c r="B579">
        <f>Sheet1!B579</f>
        <v>1.79</v>
      </c>
      <c r="C579">
        <f>IF(Sheet1!B579&gt;0,1,0)</f>
        <v>1</v>
      </c>
    </row>
    <row r="580" spans="1:3" x14ac:dyDescent="0.25">
      <c r="A580" s="15">
        <f>Sheet1!A580</f>
        <v>43125.083333333336</v>
      </c>
      <c r="B580">
        <f>Sheet1!B580</f>
        <v>1.99</v>
      </c>
      <c r="C580">
        <f>IF(Sheet1!B580&gt;0,1,0)</f>
        <v>1</v>
      </c>
    </row>
    <row r="581" spans="1:3" x14ac:dyDescent="0.25">
      <c r="A581" s="15">
        <f>Sheet1!A581</f>
        <v>43125.125</v>
      </c>
      <c r="B581">
        <f>Sheet1!B581</f>
        <v>2.48</v>
      </c>
      <c r="C581">
        <f>IF(Sheet1!B581&gt;0,1,0)</f>
        <v>1</v>
      </c>
    </row>
    <row r="582" spans="1:3" x14ac:dyDescent="0.25">
      <c r="A582" s="15">
        <f>Sheet1!A582</f>
        <v>43125.166666666664</v>
      </c>
      <c r="B582">
        <f>Sheet1!B582</f>
        <v>0</v>
      </c>
      <c r="C582">
        <f>IF(Sheet1!B582&gt;0,1,0)</f>
        <v>0</v>
      </c>
    </row>
    <row r="583" spans="1:3" x14ac:dyDescent="0.25">
      <c r="A583" s="15">
        <f>Sheet1!A583</f>
        <v>43125.208333333336</v>
      </c>
      <c r="B583">
        <f>Sheet1!B583</f>
        <v>0</v>
      </c>
      <c r="C583">
        <f>IF(Sheet1!B583&gt;0,1,0)</f>
        <v>0</v>
      </c>
    </row>
    <row r="584" spans="1:3" x14ac:dyDescent="0.25">
      <c r="A584" s="15">
        <f>Sheet1!A584</f>
        <v>43125.25</v>
      </c>
      <c r="B584">
        <f>Sheet1!B584</f>
        <v>0</v>
      </c>
      <c r="C584">
        <f>IF(Sheet1!B584&gt;0,1,0)</f>
        <v>0</v>
      </c>
    </row>
    <row r="585" spans="1:3" x14ac:dyDescent="0.25">
      <c r="A585" s="15">
        <f>Sheet1!A585</f>
        <v>43125.291666666664</v>
      </c>
      <c r="B585">
        <f>Sheet1!B585</f>
        <v>0.72</v>
      </c>
      <c r="C585">
        <f>IF(Sheet1!B585&gt;0,1,0)</f>
        <v>1</v>
      </c>
    </row>
    <row r="586" spans="1:3" x14ac:dyDescent="0.25">
      <c r="A586" s="15">
        <f>Sheet1!A586</f>
        <v>43125.333333333336</v>
      </c>
      <c r="B586">
        <f>Sheet1!B586</f>
        <v>0.72</v>
      </c>
      <c r="C586">
        <f>IF(Sheet1!B586&gt;0,1,0)</f>
        <v>1</v>
      </c>
    </row>
    <row r="587" spans="1:3" x14ac:dyDescent="0.25">
      <c r="A587" s="15">
        <f>Sheet1!A587</f>
        <v>43125.375</v>
      </c>
      <c r="B587">
        <f>Sheet1!B587</f>
        <v>0</v>
      </c>
      <c r="C587">
        <f>IF(Sheet1!B587&gt;0,1,0)</f>
        <v>0</v>
      </c>
    </row>
    <row r="588" spans="1:3" x14ac:dyDescent="0.25">
      <c r="A588" s="15">
        <f>Sheet1!A588</f>
        <v>43125.416666666664</v>
      </c>
      <c r="B588">
        <f>Sheet1!B588</f>
        <v>0</v>
      </c>
      <c r="C588">
        <f>IF(Sheet1!B588&gt;0,1,0)</f>
        <v>0</v>
      </c>
    </row>
    <row r="589" spans="1:3" x14ac:dyDescent="0.25">
      <c r="A589" s="15">
        <f>Sheet1!A589</f>
        <v>43125.458333333336</v>
      </c>
      <c r="B589">
        <f>Sheet1!B589</f>
        <v>0</v>
      </c>
      <c r="C589">
        <f>IF(Sheet1!B589&gt;0,1,0)</f>
        <v>0</v>
      </c>
    </row>
    <row r="590" spans="1:3" x14ac:dyDescent="0.25">
      <c r="A590" s="15">
        <f>Sheet1!A590</f>
        <v>43125.5</v>
      </c>
      <c r="B590">
        <f>Sheet1!B590</f>
        <v>0</v>
      </c>
      <c r="C590">
        <f>IF(Sheet1!B590&gt;0,1,0)</f>
        <v>0</v>
      </c>
    </row>
    <row r="591" spans="1:3" x14ac:dyDescent="0.25">
      <c r="A591" s="15">
        <f>Sheet1!A591</f>
        <v>43125.541666666664</v>
      </c>
      <c r="B591">
        <f>Sheet1!B591</f>
        <v>1.8</v>
      </c>
      <c r="C591">
        <f>IF(Sheet1!B591&gt;0,1,0)</f>
        <v>1</v>
      </c>
    </row>
    <row r="592" spans="1:3" x14ac:dyDescent="0.25">
      <c r="A592" s="15">
        <f>Sheet1!A592</f>
        <v>43125.583333333336</v>
      </c>
      <c r="B592">
        <f>Sheet1!B592</f>
        <v>0</v>
      </c>
      <c r="C592">
        <f>IF(Sheet1!B592&gt;0,1,0)</f>
        <v>0</v>
      </c>
    </row>
    <row r="593" spans="1:3" x14ac:dyDescent="0.25">
      <c r="A593" s="15">
        <f>Sheet1!A593</f>
        <v>43125.625</v>
      </c>
      <c r="B593">
        <f>Sheet1!B593</f>
        <v>0</v>
      </c>
      <c r="C593">
        <f>IF(Sheet1!B593&gt;0,1,0)</f>
        <v>0</v>
      </c>
    </row>
    <row r="594" spans="1:3" x14ac:dyDescent="0.25">
      <c r="A594" s="15">
        <f>Sheet1!A594</f>
        <v>43125.666666666664</v>
      </c>
      <c r="B594">
        <f>Sheet1!B594</f>
        <v>0</v>
      </c>
      <c r="C594">
        <f>IF(Sheet1!B594&gt;0,1,0)</f>
        <v>0</v>
      </c>
    </row>
    <row r="595" spans="1:3" x14ac:dyDescent="0.25">
      <c r="A595" s="15">
        <f>Sheet1!A595</f>
        <v>43125.708333333336</v>
      </c>
      <c r="B595">
        <f>Sheet1!B595</f>
        <v>0</v>
      </c>
      <c r="C595">
        <f>IF(Sheet1!B595&gt;0,1,0)</f>
        <v>0</v>
      </c>
    </row>
    <row r="596" spans="1:3" x14ac:dyDescent="0.25">
      <c r="A596" s="15">
        <f>Sheet1!A596</f>
        <v>43125.75</v>
      </c>
      <c r="B596">
        <f>Sheet1!B596</f>
        <v>0</v>
      </c>
      <c r="C596">
        <f>IF(Sheet1!B596&gt;0,1,0)</f>
        <v>0</v>
      </c>
    </row>
    <row r="597" spans="1:3" x14ac:dyDescent="0.25">
      <c r="A597" s="15">
        <f>Sheet1!A597</f>
        <v>43125.791666666664</v>
      </c>
      <c r="B597">
        <f>Sheet1!B597</f>
        <v>0</v>
      </c>
      <c r="C597">
        <f>IF(Sheet1!B597&gt;0,1,0)</f>
        <v>0</v>
      </c>
    </row>
    <row r="598" spans="1:3" x14ac:dyDescent="0.25">
      <c r="A598" s="15">
        <f>Sheet1!A598</f>
        <v>43125.833333333336</v>
      </c>
      <c r="B598">
        <f>Sheet1!B598</f>
        <v>0</v>
      </c>
      <c r="C598">
        <f>IF(Sheet1!B598&gt;0,1,0)</f>
        <v>0</v>
      </c>
    </row>
    <row r="599" spans="1:3" x14ac:dyDescent="0.25">
      <c r="A599" s="15">
        <f>Sheet1!A599</f>
        <v>43125.875</v>
      </c>
      <c r="B599">
        <f>Sheet1!B599</f>
        <v>1.44</v>
      </c>
      <c r="C599">
        <f>IF(Sheet1!B599&gt;0,1,0)</f>
        <v>1</v>
      </c>
    </row>
    <row r="600" spans="1:3" x14ac:dyDescent="0.25">
      <c r="A600" s="15">
        <f>Sheet1!A600</f>
        <v>43125.916666666664</v>
      </c>
      <c r="B600">
        <f>Sheet1!B600</f>
        <v>2.12</v>
      </c>
      <c r="C600">
        <f>IF(Sheet1!B600&gt;0,1,0)</f>
        <v>1</v>
      </c>
    </row>
    <row r="601" spans="1:3" x14ac:dyDescent="0.25">
      <c r="A601" s="15">
        <f>Sheet1!A601</f>
        <v>43125.958333333336</v>
      </c>
      <c r="B601">
        <f>Sheet1!B601</f>
        <v>1.57</v>
      </c>
      <c r="C601">
        <f>IF(Sheet1!B601&gt;0,1,0)</f>
        <v>1</v>
      </c>
    </row>
    <row r="602" spans="1:3" x14ac:dyDescent="0.25">
      <c r="A602" s="15">
        <f>Sheet1!A602</f>
        <v>43126</v>
      </c>
      <c r="B602">
        <f>Sheet1!B602</f>
        <v>1.78</v>
      </c>
      <c r="C602">
        <f>IF(Sheet1!B602&gt;0,1,0)</f>
        <v>1</v>
      </c>
    </row>
    <row r="603" spans="1:3" x14ac:dyDescent="0.25">
      <c r="A603" s="15">
        <f>Sheet1!A603</f>
        <v>43126.041666666664</v>
      </c>
      <c r="B603">
        <f>Sheet1!B603</f>
        <v>1.92</v>
      </c>
      <c r="C603">
        <f>IF(Sheet1!B603&gt;0,1,0)</f>
        <v>1</v>
      </c>
    </row>
    <row r="604" spans="1:3" x14ac:dyDescent="0.25">
      <c r="A604" s="15">
        <f>Sheet1!A604</f>
        <v>43126.083333333336</v>
      </c>
      <c r="B604">
        <f>Sheet1!B604</f>
        <v>1.58</v>
      </c>
      <c r="C604">
        <f>IF(Sheet1!B604&gt;0,1,0)</f>
        <v>1</v>
      </c>
    </row>
    <row r="605" spans="1:3" x14ac:dyDescent="0.25">
      <c r="A605" s="15">
        <f>Sheet1!A605</f>
        <v>43126.125</v>
      </c>
      <c r="B605">
        <f>Sheet1!B605</f>
        <v>1.91</v>
      </c>
      <c r="C605">
        <f>IF(Sheet1!B605&gt;0,1,0)</f>
        <v>1</v>
      </c>
    </row>
    <row r="606" spans="1:3" x14ac:dyDescent="0.25">
      <c r="A606" s="15">
        <f>Sheet1!A606</f>
        <v>43126.166666666664</v>
      </c>
      <c r="B606">
        <f>Sheet1!B606</f>
        <v>0</v>
      </c>
      <c r="C606">
        <f>IF(Sheet1!B606&gt;0,1,0)</f>
        <v>0</v>
      </c>
    </row>
    <row r="607" spans="1:3" x14ac:dyDescent="0.25">
      <c r="A607" s="15">
        <f>Sheet1!A607</f>
        <v>43126.208333333336</v>
      </c>
      <c r="B607">
        <f>Sheet1!B607</f>
        <v>0</v>
      </c>
      <c r="C607">
        <f>IF(Sheet1!B607&gt;0,1,0)</f>
        <v>0</v>
      </c>
    </row>
    <row r="608" spans="1:3" x14ac:dyDescent="0.25">
      <c r="A608" s="15">
        <f>Sheet1!A608</f>
        <v>43126.25</v>
      </c>
      <c r="B608">
        <f>Sheet1!B608</f>
        <v>0</v>
      </c>
      <c r="C608">
        <f>IF(Sheet1!B608&gt;0,1,0)</f>
        <v>0</v>
      </c>
    </row>
    <row r="609" spans="1:3" x14ac:dyDescent="0.25">
      <c r="A609" s="15">
        <f>Sheet1!A609</f>
        <v>43126.291666666664</v>
      </c>
      <c r="B609">
        <f>Sheet1!B609</f>
        <v>1.32</v>
      </c>
      <c r="C609">
        <f>IF(Sheet1!B609&gt;0,1,0)</f>
        <v>1</v>
      </c>
    </row>
    <row r="610" spans="1:3" x14ac:dyDescent="0.25">
      <c r="A610" s="15">
        <f>Sheet1!A610</f>
        <v>43126.333333333336</v>
      </c>
      <c r="B610">
        <f>Sheet1!B610</f>
        <v>0</v>
      </c>
      <c r="C610">
        <f>IF(Sheet1!B610&gt;0,1,0)</f>
        <v>0</v>
      </c>
    </row>
    <row r="611" spans="1:3" x14ac:dyDescent="0.25">
      <c r="A611" s="15">
        <f>Sheet1!A611</f>
        <v>43126.375</v>
      </c>
      <c r="B611">
        <f>Sheet1!B611</f>
        <v>0</v>
      </c>
      <c r="C611">
        <f>IF(Sheet1!B611&gt;0,1,0)</f>
        <v>0</v>
      </c>
    </row>
    <row r="612" spans="1:3" x14ac:dyDescent="0.25">
      <c r="A612" s="15">
        <f>Sheet1!A612</f>
        <v>43126.416666666664</v>
      </c>
      <c r="B612">
        <f>Sheet1!B612</f>
        <v>0</v>
      </c>
      <c r="C612">
        <f>IF(Sheet1!B612&gt;0,1,0)</f>
        <v>0</v>
      </c>
    </row>
    <row r="613" spans="1:3" x14ac:dyDescent="0.25">
      <c r="A613" s="15">
        <f>Sheet1!A613</f>
        <v>43126.458333333336</v>
      </c>
      <c r="B613">
        <f>Sheet1!B613</f>
        <v>1.33</v>
      </c>
      <c r="C613">
        <f>IF(Sheet1!B613&gt;0,1,0)</f>
        <v>1</v>
      </c>
    </row>
    <row r="614" spans="1:3" x14ac:dyDescent="0.25">
      <c r="A614" s="15">
        <f>Sheet1!A614</f>
        <v>43126.5</v>
      </c>
      <c r="B614">
        <f>Sheet1!B614</f>
        <v>0</v>
      </c>
      <c r="C614">
        <f>IF(Sheet1!B614&gt;0,1,0)</f>
        <v>0</v>
      </c>
    </row>
    <row r="615" spans="1:3" x14ac:dyDescent="0.25">
      <c r="A615" s="15">
        <f>Sheet1!A615</f>
        <v>43126.541666666664</v>
      </c>
      <c r="B615">
        <f>Sheet1!B615</f>
        <v>0</v>
      </c>
      <c r="C615">
        <f>IF(Sheet1!B615&gt;0,1,0)</f>
        <v>0</v>
      </c>
    </row>
    <row r="616" spans="1:3" x14ac:dyDescent="0.25">
      <c r="A616" s="15">
        <f>Sheet1!A616</f>
        <v>43126.583333333336</v>
      </c>
      <c r="B616">
        <f>Sheet1!B616</f>
        <v>0</v>
      </c>
      <c r="C616">
        <f>IF(Sheet1!B616&gt;0,1,0)</f>
        <v>0</v>
      </c>
    </row>
    <row r="617" spans="1:3" x14ac:dyDescent="0.25">
      <c r="A617" s="15">
        <f>Sheet1!A617</f>
        <v>43126.625</v>
      </c>
      <c r="B617">
        <f>Sheet1!B617</f>
        <v>0</v>
      </c>
      <c r="C617">
        <f>IF(Sheet1!B617&gt;0,1,0)</f>
        <v>0</v>
      </c>
    </row>
    <row r="618" spans="1:3" x14ac:dyDescent="0.25">
      <c r="A618" s="15">
        <f>Sheet1!A618</f>
        <v>43126.666666666664</v>
      </c>
      <c r="B618">
        <f>Sheet1!B618</f>
        <v>0</v>
      </c>
      <c r="C618">
        <f>IF(Sheet1!B618&gt;0,1,0)</f>
        <v>0</v>
      </c>
    </row>
    <row r="619" spans="1:3" x14ac:dyDescent="0.25">
      <c r="A619" s="15">
        <f>Sheet1!A619</f>
        <v>43126.708333333336</v>
      </c>
      <c r="B619">
        <f>Sheet1!B619</f>
        <v>2.5499999999999998</v>
      </c>
      <c r="C619">
        <f>IF(Sheet1!B619&gt;0,1,0)</f>
        <v>1</v>
      </c>
    </row>
    <row r="620" spans="1:3" x14ac:dyDescent="0.25">
      <c r="A620" s="15">
        <f>Sheet1!A620</f>
        <v>43126.75</v>
      </c>
      <c r="B620">
        <f>Sheet1!B620</f>
        <v>0</v>
      </c>
      <c r="C620">
        <f>IF(Sheet1!B620&gt;0,1,0)</f>
        <v>0</v>
      </c>
    </row>
    <row r="621" spans="1:3" x14ac:dyDescent="0.25">
      <c r="A621" s="15">
        <f>Sheet1!A621</f>
        <v>43126.791666666664</v>
      </c>
      <c r="B621">
        <f>Sheet1!B621</f>
        <v>0</v>
      </c>
      <c r="C621">
        <f>IF(Sheet1!B621&gt;0,1,0)</f>
        <v>0</v>
      </c>
    </row>
    <row r="622" spans="1:3" x14ac:dyDescent="0.25">
      <c r="A622" s="15">
        <f>Sheet1!A622</f>
        <v>43126.833333333336</v>
      </c>
      <c r="B622">
        <f>Sheet1!B622</f>
        <v>0</v>
      </c>
      <c r="C622">
        <f>IF(Sheet1!B622&gt;0,1,0)</f>
        <v>0</v>
      </c>
    </row>
    <row r="623" spans="1:3" x14ac:dyDescent="0.25">
      <c r="A623" s="15">
        <f>Sheet1!A623</f>
        <v>43126.875</v>
      </c>
      <c r="B623">
        <f>Sheet1!B623</f>
        <v>1.92</v>
      </c>
      <c r="C623">
        <f>IF(Sheet1!B623&gt;0,1,0)</f>
        <v>1</v>
      </c>
    </row>
    <row r="624" spans="1:3" x14ac:dyDescent="0.25">
      <c r="A624" s="15">
        <f>Sheet1!A624</f>
        <v>43126.916666666664</v>
      </c>
      <c r="B624">
        <f>Sheet1!B624</f>
        <v>1.57</v>
      </c>
      <c r="C624">
        <f>IF(Sheet1!B624&gt;0,1,0)</f>
        <v>1</v>
      </c>
    </row>
    <row r="625" spans="1:3" x14ac:dyDescent="0.25">
      <c r="A625" s="15">
        <f>Sheet1!A625</f>
        <v>43126.958333333336</v>
      </c>
      <c r="B625">
        <f>Sheet1!B625</f>
        <v>1.2</v>
      </c>
      <c r="C625">
        <f>IF(Sheet1!B625&gt;0,1,0)</f>
        <v>1</v>
      </c>
    </row>
    <row r="626" spans="1:3" x14ac:dyDescent="0.25">
      <c r="A626" s="15">
        <f>Sheet1!A626</f>
        <v>43127</v>
      </c>
      <c r="B626">
        <f>Sheet1!B626</f>
        <v>1.76</v>
      </c>
      <c r="C626">
        <f>IF(Sheet1!B626&gt;0,1,0)</f>
        <v>1</v>
      </c>
    </row>
    <row r="627" spans="1:3" x14ac:dyDescent="0.25">
      <c r="A627" s="15">
        <f>Sheet1!A627</f>
        <v>43127.041666666664</v>
      </c>
      <c r="B627">
        <f>Sheet1!B627</f>
        <v>1.6</v>
      </c>
      <c r="C627">
        <f>IF(Sheet1!B627&gt;0,1,0)</f>
        <v>1</v>
      </c>
    </row>
    <row r="628" spans="1:3" x14ac:dyDescent="0.25">
      <c r="A628" s="15">
        <f>Sheet1!A628</f>
        <v>43127.083333333336</v>
      </c>
      <c r="B628">
        <f>Sheet1!B628</f>
        <v>1.49</v>
      </c>
      <c r="C628">
        <f>IF(Sheet1!B628&gt;0,1,0)</f>
        <v>1</v>
      </c>
    </row>
    <row r="629" spans="1:3" x14ac:dyDescent="0.25">
      <c r="A629" s="15">
        <f>Sheet1!A629</f>
        <v>43127.125</v>
      </c>
      <c r="B629">
        <f>Sheet1!B629</f>
        <v>2.06</v>
      </c>
      <c r="C629">
        <f>IF(Sheet1!B629&gt;0,1,0)</f>
        <v>1</v>
      </c>
    </row>
    <row r="630" spans="1:3" x14ac:dyDescent="0.25">
      <c r="A630" s="15">
        <f>Sheet1!A630</f>
        <v>43127.166666666664</v>
      </c>
      <c r="B630">
        <f>Sheet1!B630</f>
        <v>0</v>
      </c>
      <c r="C630">
        <f>IF(Sheet1!B630&gt;0,1,0)</f>
        <v>0</v>
      </c>
    </row>
    <row r="631" spans="1:3" x14ac:dyDescent="0.25">
      <c r="A631" s="15">
        <f>Sheet1!A631</f>
        <v>43127.208333333336</v>
      </c>
      <c r="B631">
        <f>Sheet1!B631</f>
        <v>0</v>
      </c>
      <c r="C631">
        <f>IF(Sheet1!B631&gt;0,1,0)</f>
        <v>0</v>
      </c>
    </row>
    <row r="632" spans="1:3" x14ac:dyDescent="0.25">
      <c r="A632" s="15">
        <f>Sheet1!A632</f>
        <v>43127.25</v>
      </c>
      <c r="B632">
        <f>Sheet1!B632</f>
        <v>0</v>
      </c>
      <c r="C632">
        <f>IF(Sheet1!B632&gt;0,1,0)</f>
        <v>0</v>
      </c>
    </row>
    <row r="633" spans="1:3" x14ac:dyDescent="0.25">
      <c r="A633" s="15">
        <f>Sheet1!A633</f>
        <v>43127.291666666664</v>
      </c>
      <c r="B633">
        <f>Sheet1!B633</f>
        <v>1.32</v>
      </c>
      <c r="C633">
        <f>IF(Sheet1!B633&gt;0,1,0)</f>
        <v>1</v>
      </c>
    </row>
    <row r="634" spans="1:3" x14ac:dyDescent="0.25">
      <c r="A634" s="15">
        <f>Sheet1!A634</f>
        <v>43127.333333333336</v>
      </c>
      <c r="B634">
        <f>Sheet1!B634</f>
        <v>0</v>
      </c>
      <c r="C634">
        <f>IF(Sheet1!B634&gt;0,1,0)</f>
        <v>0</v>
      </c>
    </row>
    <row r="635" spans="1:3" x14ac:dyDescent="0.25">
      <c r="A635" s="15">
        <f>Sheet1!A635</f>
        <v>43127.375</v>
      </c>
      <c r="B635">
        <f>Sheet1!B635</f>
        <v>0</v>
      </c>
      <c r="C635">
        <f>IF(Sheet1!B635&gt;0,1,0)</f>
        <v>0</v>
      </c>
    </row>
    <row r="636" spans="1:3" x14ac:dyDescent="0.25">
      <c r="A636" s="15">
        <f>Sheet1!A636</f>
        <v>43127.416666666664</v>
      </c>
      <c r="B636">
        <f>Sheet1!B636</f>
        <v>0</v>
      </c>
      <c r="C636">
        <f>IF(Sheet1!B636&gt;0,1,0)</f>
        <v>0</v>
      </c>
    </row>
    <row r="637" spans="1:3" x14ac:dyDescent="0.25">
      <c r="A637" s="15">
        <f>Sheet1!A637</f>
        <v>43127.458333333336</v>
      </c>
      <c r="B637">
        <f>Sheet1!B637</f>
        <v>0</v>
      </c>
      <c r="C637">
        <f>IF(Sheet1!B637&gt;0,1,0)</f>
        <v>0</v>
      </c>
    </row>
    <row r="638" spans="1:3" x14ac:dyDescent="0.25">
      <c r="A638" s="15">
        <f>Sheet1!A638</f>
        <v>43127.5</v>
      </c>
      <c r="B638">
        <f>Sheet1!B638</f>
        <v>0</v>
      </c>
      <c r="C638">
        <f>IF(Sheet1!B638&gt;0,1,0)</f>
        <v>0</v>
      </c>
    </row>
    <row r="639" spans="1:3" x14ac:dyDescent="0.25">
      <c r="A639" s="15">
        <f>Sheet1!A639</f>
        <v>43127.541666666664</v>
      </c>
      <c r="B639">
        <f>Sheet1!B639</f>
        <v>0</v>
      </c>
      <c r="C639">
        <f>IF(Sheet1!B639&gt;0,1,0)</f>
        <v>0</v>
      </c>
    </row>
    <row r="640" spans="1:3" x14ac:dyDescent="0.25">
      <c r="A640" s="15">
        <f>Sheet1!A640</f>
        <v>43127.583333333336</v>
      </c>
      <c r="B640">
        <f>Sheet1!B640</f>
        <v>0</v>
      </c>
      <c r="C640">
        <f>IF(Sheet1!B640&gt;0,1,0)</f>
        <v>0</v>
      </c>
    </row>
    <row r="641" spans="1:3" x14ac:dyDescent="0.25">
      <c r="A641" s="15">
        <f>Sheet1!A641</f>
        <v>43127.625</v>
      </c>
      <c r="B641">
        <f>Sheet1!B641</f>
        <v>0</v>
      </c>
      <c r="C641">
        <f>IF(Sheet1!B641&gt;0,1,0)</f>
        <v>0</v>
      </c>
    </row>
    <row r="642" spans="1:3" x14ac:dyDescent="0.25">
      <c r="A642" s="15">
        <f>Sheet1!A642</f>
        <v>43127.666666666664</v>
      </c>
      <c r="B642">
        <f>Sheet1!B642</f>
        <v>0</v>
      </c>
      <c r="C642">
        <f>IF(Sheet1!B642&gt;0,1,0)</f>
        <v>0</v>
      </c>
    </row>
    <row r="643" spans="1:3" x14ac:dyDescent="0.25">
      <c r="A643" s="15">
        <f>Sheet1!A643</f>
        <v>43127.708333333336</v>
      </c>
      <c r="B643">
        <f>Sheet1!B643</f>
        <v>0</v>
      </c>
      <c r="C643">
        <f>IF(Sheet1!B643&gt;0,1,0)</f>
        <v>0</v>
      </c>
    </row>
    <row r="644" spans="1:3" x14ac:dyDescent="0.25">
      <c r="A644" s="15">
        <f>Sheet1!A644</f>
        <v>43127.75</v>
      </c>
      <c r="B644">
        <f>Sheet1!B644</f>
        <v>0</v>
      </c>
      <c r="C644">
        <f>IF(Sheet1!B644&gt;0,1,0)</f>
        <v>0</v>
      </c>
    </row>
    <row r="645" spans="1:3" x14ac:dyDescent="0.25">
      <c r="A645" s="15">
        <f>Sheet1!A645</f>
        <v>43127.791666666664</v>
      </c>
      <c r="B645">
        <f>Sheet1!B645</f>
        <v>0</v>
      </c>
      <c r="C645">
        <f>IF(Sheet1!B645&gt;0,1,0)</f>
        <v>0</v>
      </c>
    </row>
    <row r="646" spans="1:3" x14ac:dyDescent="0.25">
      <c r="A646" s="15">
        <f>Sheet1!A646</f>
        <v>43127.833333333336</v>
      </c>
      <c r="B646">
        <f>Sheet1!B646</f>
        <v>0</v>
      </c>
      <c r="C646">
        <f>IF(Sheet1!B646&gt;0,1,0)</f>
        <v>0</v>
      </c>
    </row>
    <row r="647" spans="1:3" x14ac:dyDescent="0.25">
      <c r="A647" s="15">
        <f>Sheet1!A647</f>
        <v>43127.875</v>
      </c>
      <c r="B647">
        <f>Sheet1!B647</f>
        <v>2.27</v>
      </c>
      <c r="C647">
        <f>IF(Sheet1!B647&gt;0,1,0)</f>
        <v>1</v>
      </c>
    </row>
    <row r="648" spans="1:3" x14ac:dyDescent="0.25">
      <c r="A648" s="15">
        <f>Sheet1!A648</f>
        <v>43127.916666666664</v>
      </c>
      <c r="B648">
        <f>Sheet1!B648</f>
        <v>1.61</v>
      </c>
      <c r="C648">
        <f>IF(Sheet1!B648&gt;0,1,0)</f>
        <v>1</v>
      </c>
    </row>
    <row r="649" spans="1:3" x14ac:dyDescent="0.25">
      <c r="A649" s="15">
        <f>Sheet1!A649</f>
        <v>43127.958333333336</v>
      </c>
      <c r="B649">
        <f>Sheet1!B649</f>
        <v>2.21</v>
      </c>
      <c r="C649">
        <f>IF(Sheet1!B649&gt;0,1,0)</f>
        <v>1</v>
      </c>
    </row>
    <row r="650" spans="1:3" x14ac:dyDescent="0.25">
      <c r="A650" s="15">
        <f>Sheet1!A650</f>
        <v>43128</v>
      </c>
      <c r="B650">
        <f>Sheet1!B650</f>
        <v>1.86</v>
      </c>
      <c r="C650">
        <f>IF(Sheet1!B650&gt;0,1,0)</f>
        <v>1</v>
      </c>
    </row>
    <row r="651" spans="1:3" x14ac:dyDescent="0.25">
      <c r="A651" s="15">
        <f>Sheet1!A651</f>
        <v>43128.041666666664</v>
      </c>
      <c r="B651">
        <f>Sheet1!B651</f>
        <v>1.93</v>
      </c>
      <c r="C651">
        <f>IF(Sheet1!B651&gt;0,1,0)</f>
        <v>1</v>
      </c>
    </row>
    <row r="652" spans="1:3" x14ac:dyDescent="0.25">
      <c r="A652" s="15">
        <f>Sheet1!A652</f>
        <v>43128.083333333336</v>
      </c>
      <c r="B652">
        <f>Sheet1!B652</f>
        <v>1.82</v>
      </c>
      <c r="C652">
        <f>IF(Sheet1!B652&gt;0,1,0)</f>
        <v>1</v>
      </c>
    </row>
    <row r="653" spans="1:3" x14ac:dyDescent="0.25">
      <c r="A653" s="15">
        <f>Sheet1!A653</f>
        <v>43128.125</v>
      </c>
      <c r="B653">
        <f>Sheet1!B653</f>
        <v>0</v>
      </c>
      <c r="C653">
        <f>IF(Sheet1!B653&gt;0,1,0)</f>
        <v>0</v>
      </c>
    </row>
    <row r="654" spans="1:3" x14ac:dyDescent="0.25">
      <c r="A654" s="15">
        <f>Sheet1!A654</f>
        <v>43128.166666666664</v>
      </c>
      <c r="B654">
        <f>Sheet1!B654</f>
        <v>0</v>
      </c>
      <c r="C654">
        <f>IF(Sheet1!B654&gt;0,1,0)</f>
        <v>0</v>
      </c>
    </row>
    <row r="655" spans="1:3" x14ac:dyDescent="0.25">
      <c r="A655" s="15">
        <f>Sheet1!A655</f>
        <v>43128.208333333336</v>
      </c>
      <c r="B655">
        <f>Sheet1!B655</f>
        <v>1.1399999999999999</v>
      </c>
      <c r="C655">
        <f>IF(Sheet1!B655&gt;0,1,0)</f>
        <v>1</v>
      </c>
    </row>
    <row r="656" spans="1:3" x14ac:dyDescent="0.25">
      <c r="A656" s="15">
        <f>Sheet1!A656</f>
        <v>43128.25</v>
      </c>
      <c r="B656">
        <f>Sheet1!B656</f>
        <v>0</v>
      </c>
      <c r="C656">
        <f>IF(Sheet1!B656&gt;0,1,0)</f>
        <v>0</v>
      </c>
    </row>
    <row r="657" spans="1:3" x14ac:dyDescent="0.25">
      <c r="A657" s="15">
        <f>Sheet1!A657</f>
        <v>43128.291666666664</v>
      </c>
      <c r="B657">
        <f>Sheet1!B657</f>
        <v>0</v>
      </c>
      <c r="C657">
        <f>IF(Sheet1!B657&gt;0,1,0)</f>
        <v>0</v>
      </c>
    </row>
    <row r="658" spans="1:3" x14ac:dyDescent="0.25">
      <c r="A658" s="15">
        <f>Sheet1!A658</f>
        <v>43128.333333333336</v>
      </c>
      <c r="B658">
        <f>Sheet1!B658</f>
        <v>0</v>
      </c>
      <c r="C658">
        <f>IF(Sheet1!B658&gt;0,1,0)</f>
        <v>0</v>
      </c>
    </row>
    <row r="659" spans="1:3" x14ac:dyDescent="0.25">
      <c r="A659" s="15">
        <f>Sheet1!A659</f>
        <v>43128.375</v>
      </c>
      <c r="B659">
        <f>Sheet1!B659</f>
        <v>0</v>
      </c>
      <c r="C659">
        <f>IF(Sheet1!B659&gt;0,1,0)</f>
        <v>0</v>
      </c>
    </row>
    <row r="660" spans="1:3" x14ac:dyDescent="0.25">
      <c r="A660" s="15">
        <f>Sheet1!A660</f>
        <v>43128.416666666664</v>
      </c>
      <c r="B660">
        <f>Sheet1!B660</f>
        <v>0</v>
      </c>
      <c r="C660">
        <f>IF(Sheet1!B660&gt;0,1,0)</f>
        <v>0</v>
      </c>
    </row>
    <row r="661" spans="1:3" x14ac:dyDescent="0.25">
      <c r="A661" s="15">
        <f>Sheet1!A661</f>
        <v>43128.458333333336</v>
      </c>
      <c r="B661">
        <f>Sheet1!B661</f>
        <v>0</v>
      </c>
      <c r="C661">
        <f>IF(Sheet1!B661&gt;0,1,0)</f>
        <v>0</v>
      </c>
    </row>
    <row r="662" spans="1:3" x14ac:dyDescent="0.25">
      <c r="A662" s="15">
        <f>Sheet1!A662</f>
        <v>43128.5</v>
      </c>
      <c r="B662">
        <f>Sheet1!B662</f>
        <v>0</v>
      </c>
      <c r="C662">
        <f>IF(Sheet1!B662&gt;0,1,0)</f>
        <v>0</v>
      </c>
    </row>
    <row r="663" spans="1:3" x14ac:dyDescent="0.25">
      <c r="A663" s="15">
        <f>Sheet1!A663</f>
        <v>43128.541666666664</v>
      </c>
      <c r="B663">
        <f>Sheet1!B663</f>
        <v>0</v>
      </c>
      <c r="C663">
        <f>IF(Sheet1!B663&gt;0,1,0)</f>
        <v>0</v>
      </c>
    </row>
    <row r="664" spans="1:3" x14ac:dyDescent="0.25">
      <c r="A664" s="15">
        <f>Sheet1!A664</f>
        <v>43128.583333333336</v>
      </c>
      <c r="B664">
        <f>Sheet1!B664</f>
        <v>0</v>
      </c>
      <c r="C664">
        <f>IF(Sheet1!B664&gt;0,1,0)</f>
        <v>0</v>
      </c>
    </row>
    <row r="665" spans="1:3" x14ac:dyDescent="0.25">
      <c r="A665" s="15">
        <f>Sheet1!A665</f>
        <v>43128.625</v>
      </c>
      <c r="B665">
        <f>Sheet1!B665</f>
        <v>0.88</v>
      </c>
      <c r="C665">
        <f>IF(Sheet1!B665&gt;0,1,0)</f>
        <v>1</v>
      </c>
    </row>
    <row r="666" spans="1:3" x14ac:dyDescent="0.25">
      <c r="A666" s="15">
        <f>Sheet1!A666</f>
        <v>43128.666666666664</v>
      </c>
      <c r="B666">
        <f>Sheet1!B666</f>
        <v>0</v>
      </c>
      <c r="C666">
        <f>IF(Sheet1!B666&gt;0,1,0)</f>
        <v>0</v>
      </c>
    </row>
    <row r="667" spans="1:3" x14ac:dyDescent="0.25">
      <c r="A667" s="15">
        <f>Sheet1!A667</f>
        <v>43128.708333333336</v>
      </c>
      <c r="B667">
        <f>Sheet1!B667</f>
        <v>0</v>
      </c>
      <c r="C667">
        <f>IF(Sheet1!B667&gt;0,1,0)</f>
        <v>0</v>
      </c>
    </row>
    <row r="668" spans="1:3" x14ac:dyDescent="0.25">
      <c r="A668" s="15">
        <f>Sheet1!A668</f>
        <v>43128.75</v>
      </c>
      <c r="B668">
        <f>Sheet1!B668</f>
        <v>0</v>
      </c>
      <c r="C668">
        <f>IF(Sheet1!B668&gt;0,1,0)</f>
        <v>0</v>
      </c>
    </row>
    <row r="669" spans="1:3" x14ac:dyDescent="0.25">
      <c r="A669" s="15">
        <f>Sheet1!A669</f>
        <v>43128.791666666664</v>
      </c>
      <c r="B669">
        <f>Sheet1!B669</f>
        <v>0</v>
      </c>
      <c r="C669">
        <f>IF(Sheet1!B669&gt;0,1,0)</f>
        <v>0</v>
      </c>
    </row>
    <row r="670" spans="1:3" x14ac:dyDescent="0.25">
      <c r="A670" s="15">
        <f>Sheet1!A670</f>
        <v>43128.833333333336</v>
      </c>
      <c r="B670">
        <f>Sheet1!B670</f>
        <v>0</v>
      </c>
      <c r="C670">
        <f>IF(Sheet1!B670&gt;0,1,0)</f>
        <v>0</v>
      </c>
    </row>
    <row r="671" spans="1:3" x14ac:dyDescent="0.25">
      <c r="A671" s="15">
        <f>Sheet1!A671</f>
        <v>43128.875</v>
      </c>
      <c r="B671">
        <f>Sheet1!B671</f>
        <v>4.76</v>
      </c>
      <c r="C671">
        <f>IF(Sheet1!B671&gt;0,1,0)</f>
        <v>1</v>
      </c>
    </row>
    <row r="672" spans="1:3" x14ac:dyDescent="0.25">
      <c r="A672" s="15">
        <f>Sheet1!A672</f>
        <v>43128.916666666664</v>
      </c>
      <c r="B672">
        <f>Sheet1!B672</f>
        <v>0</v>
      </c>
      <c r="C672">
        <f>IF(Sheet1!B672&gt;0,1,0)</f>
        <v>0</v>
      </c>
    </row>
    <row r="673" spans="1:3" x14ac:dyDescent="0.25">
      <c r="A673" s="15">
        <f>Sheet1!A673</f>
        <v>43128.958333333336</v>
      </c>
      <c r="B673">
        <f>Sheet1!B673</f>
        <v>0</v>
      </c>
      <c r="C673">
        <f>IF(Sheet1!B673&gt;0,1,0)</f>
        <v>0</v>
      </c>
    </row>
    <row r="674" spans="1:3" x14ac:dyDescent="0.25">
      <c r="A674" s="15">
        <f>Sheet1!A674</f>
        <v>43129</v>
      </c>
      <c r="B674">
        <f>Sheet1!B674</f>
        <v>2.06</v>
      </c>
      <c r="C674">
        <f>IF(Sheet1!B674&gt;0,1,0)</f>
        <v>1</v>
      </c>
    </row>
    <row r="675" spans="1:3" x14ac:dyDescent="0.25">
      <c r="A675" s="15">
        <f>Sheet1!A675</f>
        <v>43129.041666666664</v>
      </c>
      <c r="B675">
        <f>Sheet1!B675</f>
        <v>2.2799999999999998</v>
      </c>
      <c r="C675">
        <f>IF(Sheet1!B675&gt;0,1,0)</f>
        <v>1</v>
      </c>
    </row>
    <row r="676" spans="1:3" x14ac:dyDescent="0.25">
      <c r="A676" s="15">
        <f>Sheet1!A676</f>
        <v>43129.083333333336</v>
      </c>
      <c r="B676">
        <f>Sheet1!B676</f>
        <v>2.12</v>
      </c>
      <c r="C676">
        <f>IF(Sheet1!B676&gt;0,1,0)</f>
        <v>1</v>
      </c>
    </row>
    <row r="677" spans="1:3" x14ac:dyDescent="0.25">
      <c r="A677" s="15">
        <f>Sheet1!A677</f>
        <v>43129.125</v>
      </c>
      <c r="B677">
        <f>Sheet1!B677</f>
        <v>3.11</v>
      </c>
      <c r="C677">
        <f>IF(Sheet1!B677&gt;0,1,0)</f>
        <v>1</v>
      </c>
    </row>
    <row r="678" spans="1:3" x14ac:dyDescent="0.25">
      <c r="A678" s="15">
        <f>Sheet1!A678</f>
        <v>43129.166666666664</v>
      </c>
      <c r="B678">
        <f>Sheet1!B678</f>
        <v>0</v>
      </c>
      <c r="C678">
        <f>IF(Sheet1!B678&gt;0,1,0)</f>
        <v>0</v>
      </c>
    </row>
    <row r="679" spans="1:3" x14ac:dyDescent="0.25">
      <c r="A679" s="15">
        <f>Sheet1!A679</f>
        <v>43129.208333333336</v>
      </c>
      <c r="B679">
        <f>Sheet1!B679</f>
        <v>0</v>
      </c>
      <c r="C679">
        <f>IF(Sheet1!B679&gt;0,1,0)</f>
        <v>0</v>
      </c>
    </row>
    <row r="680" spans="1:3" x14ac:dyDescent="0.25">
      <c r="A680" s="15">
        <f>Sheet1!A680</f>
        <v>43129.25</v>
      </c>
      <c r="B680">
        <f>Sheet1!B680</f>
        <v>0</v>
      </c>
      <c r="C680">
        <f>IF(Sheet1!B680&gt;0,1,0)</f>
        <v>0</v>
      </c>
    </row>
    <row r="681" spans="1:3" x14ac:dyDescent="0.25">
      <c r="A681" s="15">
        <f>Sheet1!A681</f>
        <v>43129.291666666664</v>
      </c>
      <c r="B681">
        <f>Sheet1!B681</f>
        <v>0</v>
      </c>
      <c r="C681">
        <f>IF(Sheet1!B681&gt;0,1,0)</f>
        <v>0</v>
      </c>
    </row>
    <row r="682" spans="1:3" x14ac:dyDescent="0.25">
      <c r="A682" s="15">
        <f>Sheet1!A682</f>
        <v>43129.333333333336</v>
      </c>
      <c r="B682">
        <f>Sheet1!B682</f>
        <v>0</v>
      </c>
      <c r="C682">
        <f>IF(Sheet1!B682&gt;0,1,0)</f>
        <v>0</v>
      </c>
    </row>
    <row r="683" spans="1:3" x14ac:dyDescent="0.25">
      <c r="A683" s="15">
        <f>Sheet1!A683</f>
        <v>43129.375</v>
      </c>
      <c r="B683">
        <f>Sheet1!B683</f>
        <v>0</v>
      </c>
      <c r="C683">
        <f>IF(Sheet1!B683&gt;0,1,0)</f>
        <v>0</v>
      </c>
    </row>
    <row r="684" spans="1:3" x14ac:dyDescent="0.25">
      <c r="A684" s="15">
        <f>Sheet1!A684</f>
        <v>43129.416666666664</v>
      </c>
      <c r="B684">
        <f>Sheet1!B684</f>
        <v>2.09</v>
      </c>
      <c r="C684">
        <f>IF(Sheet1!B684&gt;0,1,0)</f>
        <v>1</v>
      </c>
    </row>
    <row r="685" spans="1:3" x14ac:dyDescent="0.25">
      <c r="A685" s="15">
        <f>Sheet1!A685</f>
        <v>43129.458333333336</v>
      </c>
      <c r="B685">
        <f>Sheet1!B685</f>
        <v>1.82</v>
      </c>
      <c r="C685">
        <f>IF(Sheet1!B685&gt;0,1,0)</f>
        <v>1</v>
      </c>
    </row>
    <row r="686" spans="1:3" x14ac:dyDescent="0.25">
      <c r="A686" s="15">
        <f>Sheet1!A686</f>
        <v>43129.5</v>
      </c>
      <c r="B686">
        <f>Sheet1!B686</f>
        <v>0</v>
      </c>
      <c r="C686">
        <f>IF(Sheet1!B686&gt;0,1,0)</f>
        <v>0</v>
      </c>
    </row>
    <row r="687" spans="1:3" x14ac:dyDescent="0.25">
      <c r="A687" s="15">
        <f>Sheet1!A687</f>
        <v>43129.541666666664</v>
      </c>
      <c r="B687">
        <f>Sheet1!B687</f>
        <v>0</v>
      </c>
      <c r="C687">
        <f>IF(Sheet1!B687&gt;0,1,0)</f>
        <v>0</v>
      </c>
    </row>
    <row r="688" spans="1:3" x14ac:dyDescent="0.25">
      <c r="A688" s="15">
        <f>Sheet1!A688</f>
        <v>43129.583333333336</v>
      </c>
      <c r="B688">
        <f>Sheet1!B688</f>
        <v>0</v>
      </c>
      <c r="C688">
        <f>IF(Sheet1!B688&gt;0,1,0)</f>
        <v>0</v>
      </c>
    </row>
    <row r="689" spans="1:3" x14ac:dyDescent="0.25">
      <c r="A689" s="15">
        <f>Sheet1!A689</f>
        <v>43129.625</v>
      </c>
      <c r="B689">
        <f>Sheet1!B689</f>
        <v>0</v>
      </c>
      <c r="C689">
        <f>IF(Sheet1!B689&gt;0,1,0)</f>
        <v>0</v>
      </c>
    </row>
    <row r="690" spans="1:3" x14ac:dyDescent="0.25">
      <c r="A690" s="15">
        <f>Sheet1!A690</f>
        <v>43129.666666666664</v>
      </c>
      <c r="B690">
        <f>Sheet1!B690</f>
        <v>0</v>
      </c>
      <c r="C690">
        <f>IF(Sheet1!B690&gt;0,1,0)</f>
        <v>0</v>
      </c>
    </row>
    <row r="691" spans="1:3" x14ac:dyDescent="0.25">
      <c r="A691" s="15">
        <f>Sheet1!A691</f>
        <v>43129.708333333336</v>
      </c>
      <c r="B691">
        <f>Sheet1!B691</f>
        <v>0</v>
      </c>
      <c r="C691">
        <f>IF(Sheet1!B691&gt;0,1,0)</f>
        <v>0</v>
      </c>
    </row>
    <row r="692" spans="1:3" x14ac:dyDescent="0.25">
      <c r="A692" s="15">
        <f>Sheet1!A692</f>
        <v>43129.75</v>
      </c>
      <c r="B692">
        <f>Sheet1!B692</f>
        <v>0</v>
      </c>
      <c r="C692">
        <f>IF(Sheet1!B692&gt;0,1,0)</f>
        <v>0</v>
      </c>
    </row>
    <row r="693" spans="1:3" x14ac:dyDescent="0.25">
      <c r="A693" s="15">
        <f>Sheet1!A693</f>
        <v>43129.791666666664</v>
      </c>
      <c r="B693">
        <f>Sheet1!B693</f>
        <v>0</v>
      </c>
      <c r="C693">
        <f>IF(Sheet1!B693&gt;0,1,0)</f>
        <v>0</v>
      </c>
    </row>
    <row r="694" spans="1:3" x14ac:dyDescent="0.25">
      <c r="A694" s="15">
        <f>Sheet1!A694</f>
        <v>43129.833333333336</v>
      </c>
      <c r="B694">
        <f>Sheet1!B694</f>
        <v>0</v>
      </c>
      <c r="C694">
        <f>IF(Sheet1!B694&gt;0,1,0)</f>
        <v>0</v>
      </c>
    </row>
    <row r="695" spans="1:3" x14ac:dyDescent="0.25">
      <c r="A695" s="15">
        <f>Sheet1!A695</f>
        <v>43129.875</v>
      </c>
      <c r="B695">
        <f>Sheet1!B695</f>
        <v>1.95</v>
      </c>
      <c r="C695">
        <f>IF(Sheet1!B695&gt;0,1,0)</f>
        <v>1</v>
      </c>
    </row>
    <row r="696" spans="1:3" x14ac:dyDescent="0.25">
      <c r="A696" s="15">
        <f>Sheet1!A696</f>
        <v>43129.916666666664</v>
      </c>
      <c r="B696">
        <f>Sheet1!B696</f>
        <v>0</v>
      </c>
      <c r="C696">
        <f>IF(Sheet1!B696&gt;0,1,0)</f>
        <v>0</v>
      </c>
    </row>
    <row r="697" spans="1:3" x14ac:dyDescent="0.25">
      <c r="A697" s="15">
        <f>Sheet1!A697</f>
        <v>43129.958333333336</v>
      </c>
      <c r="B697">
        <f>Sheet1!B697</f>
        <v>1.67</v>
      </c>
      <c r="C697">
        <f>IF(Sheet1!B697&gt;0,1,0)</f>
        <v>1</v>
      </c>
    </row>
    <row r="698" spans="1:3" x14ac:dyDescent="0.25">
      <c r="A698" s="15">
        <f>Sheet1!A698</f>
        <v>43130</v>
      </c>
      <c r="B698">
        <f>Sheet1!B698</f>
        <v>1.47</v>
      </c>
      <c r="C698">
        <f>IF(Sheet1!B698&gt;0,1,0)</f>
        <v>1</v>
      </c>
    </row>
    <row r="699" spans="1:3" x14ac:dyDescent="0.25">
      <c r="A699" s="15">
        <f>Sheet1!A699</f>
        <v>43130.041666666664</v>
      </c>
      <c r="B699">
        <f>Sheet1!B699</f>
        <v>1.81</v>
      </c>
      <c r="C699">
        <f>IF(Sheet1!B699&gt;0,1,0)</f>
        <v>1</v>
      </c>
    </row>
    <row r="700" spans="1:3" x14ac:dyDescent="0.25">
      <c r="A700" s="15">
        <f>Sheet1!A700</f>
        <v>43130.083333333336</v>
      </c>
      <c r="B700">
        <f>Sheet1!B700</f>
        <v>2.31</v>
      </c>
      <c r="C700">
        <f>IF(Sheet1!B700&gt;0,1,0)</f>
        <v>1</v>
      </c>
    </row>
    <row r="701" spans="1:3" x14ac:dyDescent="0.25">
      <c r="A701" s="15">
        <f>Sheet1!A701</f>
        <v>43130.125</v>
      </c>
      <c r="B701">
        <f>Sheet1!B701</f>
        <v>3.53</v>
      </c>
      <c r="C701">
        <f>IF(Sheet1!B701&gt;0,1,0)</f>
        <v>1</v>
      </c>
    </row>
    <row r="702" spans="1:3" x14ac:dyDescent="0.25">
      <c r="A702" s="15">
        <f>Sheet1!A702</f>
        <v>43130.166666666664</v>
      </c>
      <c r="B702">
        <f>Sheet1!B702</f>
        <v>0</v>
      </c>
      <c r="C702">
        <f>IF(Sheet1!B702&gt;0,1,0)</f>
        <v>0</v>
      </c>
    </row>
    <row r="703" spans="1:3" x14ac:dyDescent="0.25">
      <c r="A703" s="15">
        <f>Sheet1!A703</f>
        <v>43130.208333333336</v>
      </c>
      <c r="B703">
        <f>Sheet1!B703</f>
        <v>0</v>
      </c>
      <c r="C703">
        <f>IF(Sheet1!B703&gt;0,1,0)</f>
        <v>0</v>
      </c>
    </row>
    <row r="704" spans="1:3" x14ac:dyDescent="0.25">
      <c r="A704" s="15">
        <f>Sheet1!A704</f>
        <v>43130.25</v>
      </c>
      <c r="B704">
        <f>Sheet1!B704</f>
        <v>0</v>
      </c>
      <c r="C704">
        <f>IF(Sheet1!B704&gt;0,1,0)</f>
        <v>0</v>
      </c>
    </row>
    <row r="705" spans="1:3" x14ac:dyDescent="0.25">
      <c r="A705" s="15">
        <f>Sheet1!A705</f>
        <v>43130.291666666664</v>
      </c>
      <c r="B705">
        <f>Sheet1!B705</f>
        <v>0</v>
      </c>
      <c r="C705">
        <f>IF(Sheet1!B705&gt;0,1,0)</f>
        <v>0</v>
      </c>
    </row>
    <row r="706" spans="1:3" x14ac:dyDescent="0.25">
      <c r="A706" s="15">
        <f>Sheet1!A706</f>
        <v>43130.333333333336</v>
      </c>
      <c r="B706">
        <f>Sheet1!B706</f>
        <v>0</v>
      </c>
      <c r="C706">
        <f>IF(Sheet1!B706&gt;0,1,0)</f>
        <v>0</v>
      </c>
    </row>
    <row r="707" spans="1:3" x14ac:dyDescent="0.25">
      <c r="A707" s="15">
        <f>Sheet1!A707</f>
        <v>43130.375</v>
      </c>
      <c r="B707">
        <f>Sheet1!B707</f>
        <v>1.58</v>
      </c>
      <c r="C707">
        <f>IF(Sheet1!B707&gt;0,1,0)</f>
        <v>1</v>
      </c>
    </row>
    <row r="708" spans="1:3" x14ac:dyDescent="0.25">
      <c r="A708" s="15">
        <f>Sheet1!A708</f>
        <v>43130.416666666664</v>
      </c>
      <c r="B708">
        <f>Sheet1!B708</f>
        <v>0</v>
      </c>
      <c r="C708">
        <f>IF(Sheet1!B708&gt;0,1,0)</f>
        <v>0</v>
      </c>
    </row>
    <row r="709" spans="1:3" x14ac:dyDescent="0.25">
      <c r="A709" s="15">
        <f>Sheet1!A709</f>
        <v>43130.458333333336</v>
      </c>
      <c r="B709">
        <f>Sheet1!B709</f>
        <v>0</v>
      </c>
      <c r="C709">
        <f>IF(Sheet1!B709&gt;0,1,0)</f>
        <v>0</v>
      </c>
    </row>
    <row r="710" spans="1:3" x14ac:dyDescent="0.25">
      <c r="A710" s="15">
        <f>Sheet1!A710</f>
        <v>43130.5</v>
      </c>
      <c r="B710">
        <f>Sheet1!B710</f>
        <v>0</v>
      </c>
      <c r="C710">
        <f>IF(Sheet1!B710&gt;0,1,0)</f>
        <v>0</v>
      </c>
    </row>
    <row r="711" spans="1:3" x14ac:dyDescent="0.25">
      <c r="A711" s="15">
        <f>Sheet1!A711</f>
        <v>43130.541666666664</v>
      </c>
      <c r="B711">
        <f>Sheet1!B711</f>
        <v>0</v>
      </c>
      <c r="C711">
        <f>IF(Sheet1!B711&gt;0,1,0)</f>
        <v>0</v>
      </c>
    </row>
    <row r="712" spans="1:3" x14ac:dyDescent="0.25">
      <c r="A712" s="15">
        <f>Sheet1!A712</f>
        <v>43130.583333333336</v>
      </c>
      <c r="B712">
        <f>Sheet1!B712</f>
        <v>0</v>
      </c>
      <c r="C712">
        <f>IF(Sheet1!B712&gt;0,1,0)</f>
        <v>0</v>
      </c>
    </row>
    <row r="713" spans="1:3" x14ac:dyDescent="0.25">
      <c r="A713" s="15">
        <f>Sheet1!A713</f>
        <v>43130.625</v>
      </c>
      <c r="B713">
        <f>Sheet1!B713</f>
        <v>0</v>
      </c>
      <c r="C713">
        <f>IF(Sheet1!B713&gt;0,1,0)</f>
        <v>0</v>
      </c>
    </row>
    <row r="714" spans="1:3" x14ac:dyDescent="0.25">
      <c r="A714" s="15">
        <f>Sheet1!A714</f>
        <v>43130.666666666664</v>
      </c>
      <c r="B714">
        <f>Sheet1!B714</f>
        <v>0</v>
      </c>
      <c r="C714">
        <f>IF(Sheet1!B714&gt;0,1,0)</f>
        <v>0</v>
      </c>
    </row>
    <row r="715" spans="1:3" x14ac:dyDescent="0.25">
      <c r="A715" s="15">
        <f>Sheet1!A715</f>
        <v>43130.708333333336</v>
      </c>
      <c r="B715">
        <f>Sheet1!B715</f>
        <v>0</v>
      </c>
      <c r="C715">
        <f>IF(Sheet1!B715&gt;0,1,0)</f>
        <v>0</v>
      </c>
    </row>
    <row r="716" spans="1:3" x14ac:dyDescent="0.25">
      <c r="A716" s="15">
        <f>Sheet1!A716</f>
        <v>43130.75</v>
      </c>
      <c r="B716">
        <f>Sheet1!B716</f>
        <v>0</v>
      </c>
      <c r="C716">
        <f>IF(Sheet1!B716&gt;0,1,0)</f>
        <v>0</v>
      </c>
    </row>
    <row r="717" spans="1:3" x14ac:dyDescent="0.25">
      <c r="A717" s="15">
        <f>Sheet1!A717</f>
        <v>43130.791666666664</v>
      </c>
      <c r="B717">
        <f>Sheet1!B717</f>
        <v>0</v>
      </c>
      <c r="C717">
        <f>IF(Sheet1!B717&gt;0,1,0)</f>
        <v>0</v>
      </c>
    </row>
    <row r="718" spans="1:3" x14ac:dyDescent="0.25">
      <c r="A718" s="15">
        <f>Sheet1!A718</f>
        <v>43130.833333333336</v>
      </c>
      <c r="B718">
        <f>Sheet1!B718</f>
        <v>0</v>
      </c>
      <c r="C718">
        <f>IF(Sheet1!B718&gt;0,1,0)</f>
        <v>0</v>
      </c>
    </row>
    <row r="719" spans="1:3" x14ac:dyDescent="0.25">
      <c r="A719" s="15">
        <f>Sheet1!A719</f>
        <v>43130.875</v>
      </c>
      <c r="B719">
        <f>Sheet1!B719</f>
        <v>0</v>
      </c>
      <c r="C719">
        <f>IF(Sheet1!B719&gt;0,1,0)</f>
        <v>0</v>
      </c>
    </row>
    <row r="720" spans="1:3" x14ac:dyDescent="0.25">
      <c r="A720" s="15">
        <f>Sheet1!A720</f>
        <v>43130.916666666664</v>
      </c>
      <c r="B720">
        <f>Sheet1!B720</f>
        <v>0</v>
      </c>
      <c r="C720">
        <f>IF(Sheet1!B720&gt;0,1,0)</f>
        <v>0</v>
      </c>
    </row>
    <row r="721" spans="1:3" x14ac:dyDescent="0.25">
      <c r="A721" s="15">
        <f>Sheet1!A721</f>
        <v>43130.958333333336</v>
      </c>
      <c r="B721">
        <f>Sheet1!B721</f>
        <v>2.04</v>
      </c>
      <c r="C721">
        <f>IF(Sheet1!B721&gt;0,1,0)</f>
        <v>1</v>
      </c>
    </row>
    <row r="722" spans="1:3" x14ac:dyDescent="0.25">
      <c r="A722" s="15">
        <f>Sheet1!A722</f>
        <v>43131</v>
      </c>
      <c r="B722">
        <f>Sheet1!B722</f>
        <v>0</v>
      </c>
      <c r="C722">
        <f>IF(Sheet1!B722&gt;0,1,0)</f>
        <v>0</v>
      </c>
    </row>
    <row r="723" spans="1:3" x14ac:dyDescent="0.25">
      <c r="A723" s="15">
        <f>Sheet1!A723</f>
        <v>43131.041666666664</v>
      </c>
      <c r="B723">
        <f>Sheet1!B723</f>
        <v>0</v>
      </c>
      <c r="C723">
        <f>IF(Sheet1!B723&gt;0,1,0)</f>
        <v>0</v>
      </c>
    </row>
    <row r="724" spans="1:3" x14ac:dyDescent="0.25">
      <c r="A724" s="15">
        <f>Sheet1!A724</f>
        <v>43131.083333333336</v>
      </c>
      <c r="B724">
        <f>Sheet1!B724</f>
        <v>1.72</v>
      </c>
      <c r="C724">
        <f>IF(Sheet1!B724&gt;0,1,0)</f>
        <v>1</v>
      </c>
    </row>
    <row r="725" spans="1:3" x14ac:dyDescent="0.25">
      <c r="A725" s="15">
        <f>Sheet1!A725</f>
        <v>43131.125</v>
      </c>
      <c r="B725">
        <f>Sheet1!B725</f>
        <v>2.59</v>
      </c>
      <c r="C725">
        <f>IF(Sheet1!B725&gt;0,1,0)</f>
        <v>1</v>
      </c>
    </row>
    <row r="726" spans="1:3" x14ac:dyDescent="0.25">
      <c r="A726" s="15">
        <f>Sheet1!A726</f>
        <v>43131.166666666664</v>
      </c>
      <c r="B726">
        <f>Sheet1!B726</f>
        <v>0</v>
      </c>
      <c r="C726">
        <f>IF(Sheet1!B726&gt;0,1,0)</f>
        <v>0</v>
      </c>
    </row>
    <row r="727" spans="1:3" x14ac:dyDescent="0.25">
      <c r="A727" s="15">
        <f>Sheet1!A727</f>
        <v>43131.208333333336</v>
      </c>
      <c r="B727">
        <f>Sheet1!B727</f>
        <v>0</v>
      </c>
      <c r="C727">
        <f>IF(Sheet1!B727&gt;0,1,0)</f>
        <v>0</v>
      </c>
    </row>
    <row r="728" spans="1:3" x14ac:dyDescent="0.25">
      <c r="A728" s="15">
        <f>Sheet1!A728</f>
        <v>43131.25</v>
      </c>
      <c r="B728">
        <f>Sheet1!B728</f>
        <v>0</v>
      </c>
      <c r="C728">
        <f>IF(Sheet1!B728&gt;0,1,0)</f>
        <v>0</v>
      </c>
    </row>
    <row r="729" spans="1:3" x14ac:dyDescent="0.25">
      <c r="A729" s="15">
        <f>Sheet1!A729</f>
        <v>43131.291666666664</v>
      </c>
      <c r="B729">
        <f>Sheet1!B729</f>
        <v>0</v>
      </c>
      <c r="C729">
        <f>IF(Sheet1!B729&gt;0,1,0)</f>
        <v>0</v>
      </c>
    </row>
    <row r="730" spans="1:3" x14ac:dyDescent="0.25">
      <c r="A730" s="15">
        <f>Sheet1!A730</f>
        <v>43131.333333333336</v>
      </c>
      <c r="B730">
        <f>Sheet1!B730</f>
        <v>0</v>
      </c>
      <c r="C730">
        <f>IF(Sheet1!B730&gt;0,1,0)</f>
        <v>0</v>
      </c>
    </row>
    <row r="731" spans="1:3" x14ac:dyDescent="0.25">
      <c r="A731" s="15">
        <f>Sheet1!A731</f>
        <v>43131.375</v>
      </c>
      <c r="B731">
        <f>Sheet1!B731</f>
        <v>0</v>
      </c>
      <c r="C731">
        <f>IF(Sheet1!B731&gt;0,1,0)</f>
        <v>0</v>
      </c>
    </row>
    <row r="732" spans="1:3" x14ac:dyDescent="0.25">
      <c r="A732" s="15">
        <f>Sheet1!A732</f>
        <v>43131.416666666664</v>
      </c>
      <c r="B732">
        <f>Sheet1!B732</f>
        <v>0</v>
      </c>
      <c r="C732">
        <f>IF(Sheet1!B732&gt;0,1,0)</f>
        <v>0</v>
      </c>
    </row>
    <row r="733" spans="1:3" x14ac:dyDescent="0.25">
      <c r="A733" s="15">
        <f>Sheet1!A733</f>
        <v>43131.458333333336</v>
      </c>
      <c r="B733">
        <f>Sheet1!B733</f>
        <v>0</v>
      </c>
      <c r="C733">
        <f>IF(Sheet1!B733&gt;0,1,0)</f>
        <v>0</v>
      </c>
    </row>
    <row r="734" spans="1:3" x14ac:dyDescent="0.25">
      <c r="A734" s="15">
        <f>Sheet1!A734</f>
        <v>43131.5</v>
      </c>
      <c r="B734">
        <f>Sheet1!B734</f>
        <v>0</v>
      </c>
      <c r="C734">
        <f>IF(Sheet1!B734&gt;0,1,0)</f>
        <v>0</v>
      </c>
    </row>
    <row r="735" spans="1:3" x14ac:dyDescent="0.25">
      <c r="A735" s="15">
        <f>Sheet1!A735</f>
        <v>43131.541666666664</v>
      </c>
      <c r="B735">
        <f>Sheet1!B735</f>
        <v>0</v>
      </c>
      <c r="C735">
        <f>IF(Sheet1!B735&gt;0,1,0)</f>
        <v>0</v>
      </c>
    </row>
    <row r="736" spans="1:3" x14ac:dyDescent="0.25">
      <c r="A736" s="15">
        <f>Sheet1!A736</f>
        <v>43131.583333333336</v>
      </c>
      <c r="B736">
        <f>Sheet1!B736</f>
        <v>0</v>
      </c>
      <c r="C736">
        <f>IF(Sheet1!B736&gt;0,1,0)</f>
        <v>0</v>
      </c>
    </row>
    <row r="737" spans="1:3" x14ac:dyDescent="0.25">
      <c r="A737" s="15">
        <f>Sheet1!A737</f>
        <v>43131.625</v>
      </c>
      <c r="B737">
        <f>Sheet1!B737</f>
        <v>0</v>
      </c>
      <c r="C737">
        <f>IF(Sheet1!B737&gt;0,1,0)</f>
        <v>0</v>
      </c>
    </row>
    <row r="738" spans="1:3" x14ac:dyDescent="0.25">
      <c r="A738" s="15">
        <f>Sheet1!A738</f>
        <v>43131.666666666664</v>
      </c>
      <c r="B738">
        <f>Sheet1!B738</f>
        <v>0</v>
      </c>
      <c r="C738">
        <f>IF(Sheet1!B738&gt;0,1,0)</f>
        <v>0</v>
      </c>
    </row>
    <row r="739" spans="1:3" x14ac:dyDescent="0.25">
      <c r="A739" s="15">
        <f>Sheet1!A739</f>
        <v>43131.708333333336</v>
      </c>
      <c r="B739">
        <f>Sheet1!B739</f>
        <v>0</v>
      </c>
      <c r="C739">
        <f>IF(Sheet1!B739&gt;0,1,0)</f>
        <v>0</v>
      </c>
    </row>
    <row r="740" spans="1:3" x14ac:dyDescent="0.25">
      <c r="A740" s="15">
        <f>Sheet1!A740</f>
        <v>43131.75</v>
      </c>
      <c r="B740">
        <f>Sheet1!B740</f>
        <v>0</v>
      </c>
      <c r="C740">
        <f>IF(Sheet1!B740&gt;0,1,0)</f>
        <v>0</v>
      </c>
    </row>
    <row r="741" spans="1:3" x14ac:dyDescent="0.25">
      <c r="A741" s="15">
        <f>Sheet1!A741</f>
        <v>43131.791666666664</v>
      </c>
      <c r="B741">
        <f>Sheet1!B741</f>
        <v>0</v>
      </c>
      <c r="C741">
        <f>IF(Sheet1!B741&gt;0,1,0)</f>
        <v>0</v>
      </c>
    </row>
    <row r="742" spans="1:3" x14ac:dyDescent="0.25">
      <c r="A742" s="15">
        <f>Sheet1!A742</f>
        <v>43131.833333333336</v>
      </c>
      <c r="B742">
        <f>Sheet1!B742</f>
        <v>0</v>
      </c>
      <c r="C742">
        <f>IF(Sheet1!B742&gt;0,1,0)</f>
        <v>0</v>
      </c>
    </row>
    <row r="743" spans="1:3" x14ac:dyDescent="0.25">
      <c r="A743" s="15">
        <f>Sheet1!A743</f>
        <v>43131.875</v>
      </c>
      <c r="B743">
        <f>Sheet1!B743</f>
        <v>0</v>
      </c>
      <c r="C743">
        <f>IF(Sheet1!B743&gt;0,1,0)</f>
        <v>0</v>
      </c>
    </row>
    <row r="744" spans="1:3" x14ac:dyDescent="0.25">
      <c r="A744" s="15">
        <f>Sheet1!A744</f>
        <v>43131.916666666664</v>
      </c>
      <c r="B744">
        <f>Sheet1!B744</f>
        <v>0</v>
      </c>
      <c r="C744">
        <f>IF(Sheet1!B744&gt;0,1,0)</f>
        <v>0</v>
      </c>
    </row>
    <row r="745" spans="1:3" x14ac:dyDescent="0.25">
      <c r="A745" s="15">
        <f>Sheet1!A745</f>
        <v>43131.958333333336</v>
      </c>
      <c r="B745">
        <f>Sheet1!B745</f>
        <v>1.71</v>
      </c>
      <c r="C745">
        <f>IF(Sheet1!B745&gt;0,1,0)</f>
        <v>1</v>
      </c>
    </row>
    <row r="746" spans="1:3" x14ac:dyDescent="0.25">
      <c r="A746" s="15">
        <f>Sheet1!A746</f>
        <v>43132</v>
      </c>
      <c r="B746">
        <f>Sheet1!B746</f>
        <v>1.67</v>
      </c>
      <c r="C746">
        <f>IF(Sheet1!B746&gt;0,1,0)</f>
        <v>1</v>
      </c>
    </row>
    <row r="747" spans="1:3" x14ac:dyDescent="0.25">
      <c r="A747" s="15">
        <f>Sheet1!A747</f>
        <v>0</v>
      </c>
      <c r="B747">
        <f>Sheet1!B747</f>
        <v>2.14</v>
      </c>
      <c r="C747">
        <f>IF(Sheet1!B747&gt;0,1,0)</f>
        <v>1</v>
      </c>
    </row>
    <row r="748" spans="1:3" x14ac:dyDescent="0.25">
      <c r="A748" s="15">
        <f>Sheet1!A748</f>
        <v>0</v>
      </c>
      <c r="B748">
        <f>Sheet1!B748</f>
        <v>0</v>
      </c>
      <c r="C748">
        <f>IF(Sheet1!B748&gt;0,1,0)</f>
        <v>0</v>
      </c>
    </row>
    <row r="749" spans="1:3" x14ac:dyDescent="0.25">
      <c r="A749" s="15">
        <f>Sheet1!A749</f>
        <v>0</v>
      </c>
      <c r="B749">
        <f>Sheet1!B749</f>
        <v>0</v>
      </c>
      <c r="C749">
        <f>IF(Sheet1!B749&gt;0,1,0)</f>
        <v>0</v>
      </c>
    </row>
    <row r="750" spans="1:3" x14ac:dyDescent="0.25">
      <c r="A750" s="15">
        <f>Sheet1!A750</f>
        <v>0</v>
      </c>
      <c r="B750">
        <f>Sheet1!B750</f>
        <v>0</v>
      </c>
      <c r="C750">
        <f>IF(Sheet1!B750&gt;0,1,0)</f>
        <v>0</v>
      </c>
    </row>
    <row r="751" spans="1:3" x14ac:dyDescent="0.25">
      <c r="A751" s="15">
        <f>Sheet1!A751</f>
        <v>0</v>
      </c>
      <c r="B751">
        <f>Sheet1!B751</f>
        <v>2.75</v>
      </c>
      <c r="C751">
        <f>IF(Sheet1!B751&gt;0,1,0)</f>
        <v>1</v>
      </c>
    </row>
    <row r="752" spans="1:3" x14ac:dyDescent="0.25">
      <c r="A752" s="15">
        <f>Sheet1!A752</f>
        <v>0</v>
      </c>
      <c r="B752">
        <f>Sheet1!B752</f>
        <v>0</v>
      </c>
      <c r="C752">
        <f>IF(Sheet1!B752&gt;0,1,0)</f>
        <v>0</v>
      </c>
    </row>
    <row r="753" spans="1:3" x14ac:dyDescent="0.25">
      <c r="A753" s="15">
        <f>Sheet1!A753</f>
        <v>0</v>
      </c>
      <c r="B753">
        <f>Sheet1!B753</f>
        <v>0</v>
      </c>
      <c r="C753">
        <f>IF(Sheet1!B753&gt;0,1,0)</f>
        <v>0</v>
      </c>
    </row>
    <row r="754" spans="1:3" x14ac:dyDescent="0.25">
      <c r="A754" s="15">
        <f>Sheet1!A754</f>
        <v>0</v>
      </c>
      <c r="B754">
        <f>Sheet1!B754</f>
        <v>0</v>
      </c>
      <c r="C754">
        <f>IF(Sheet1!B754&gt;0,1,0)</f>
        <v>0</v>
      </c>
    </row>
    <row r="755" spans="1:3" x14ac:dyDescent="0.25">
      <c r="A755" s="15">
        <f>Sheet1!A755</f>
        <v>0</v>
      </c>
      <c r="B755">
        <f>Sheet1!B755</f>
        <v>0</v>
      </c>
      <c r="C755">
        <f>IF(Sheet1!B755&gt;0,1,0)</f>
        <v>0</v>
      </c>
    </row>
    <row r="756" spans="1:3" x14ac:dyDescent="0.25">
      <c r="A756" s="15">
        <f>Sheet1!A756</f>
        <v>0</v>
      </c>
      <c r="B756">
        <f>Sheet1!B756</f>
        <v>0</v>
      </c>
      <c r="C756">
        <f>IF(Sheet1!B756&gt;0,1,0)</f>
        <v>0</v>
      </c>
    </row>
    <row r="757" spans="1:3" x14ac:dyDescent="0.25">
      <c r="A757" s="15">
        <f>Sheet1!A757</f>
        <v>0</v>
      </c>
      <c r="B757">
        <f>Sheet1!B757</f>
        <v>0</v>
      </c>
      <c r="C757">
        <f>IF(Sheet1!B757&gt;0,1,0)</f>
        <v>0</v>
      </c>
    </row>
    <row r="758" spans="1:3" x14ac:dyDescent="0.25">
      <c r="A758" s="15">
        <f>Sheet1!A758</f>
        <v>0</v>
      </c>
      <c r="B758">
        <f>Sheet1!B758</f>
        <v>0</v>
      </c>
      <c r="C758">
        <f>IF(Sheet1!B758&gt;0,1,0)</f>
        <v>0</v>
      </c>
    </row>
    <row r="759" spans="1:3" x14ac:dyDescent="0.25">
      <c r="A759" s="15">
        <f>Sheet1!A759</f>
        <v>0</v>
      </c>
      <c r="B759">
        <f>Sheet1!B759</f>
        <v>0</v>
      </c>
      <c r="C759">
        <f>IF(Sheet1!B759&gt;0,1,0)</f>
        <v>0</v>
      </c>
    </row>
    <row r="760" spans="1:3" x14ac:dyDescent="0.25">
      <c r="A760" s="15">
        <f>Sheet1!A760</f>
        <v>0</v>
      </c>
      <c r="B760">
        <f>Sheet1!B760</f>
        <v>0</v>
      </c>
      <c r="C760">
        <f>IF(Sheet1!B760&gt;0,1,0)</f>
        <v>0</v>
      </c>
    </row>
    <row r="761" spans="1:3" x14ac:dyDescent="0.25">
      <c r="A761" s="15">
        <f>Sheet1!A761</f>
        <v>0</v>
      </c>
      <c r="B761">
        <f>Sheet1!B761</f>
        <v>1.44</v>
      </c>
      <c r="C761">
        <f>IF(Sheet1!B761&gt;0,1,0)</f>
        <v>1</v>
      </c>
    </row>
    <row r="762" spans="1:3" x14ac:dyDescent="0.25">
      <c r="A762" s="15">
        <f>Sheet1!A762</f>
        <v>0</v>
      </c>
      <c r="B762">
        <f>Sheet1!B762</f>
        <v>0</v>
      </c>
      <c r="C762">
        <f>IF(Sheet1!B762&gt;0,1,0)</f>
        <v>0</v>
      </c>
    </row>
    <row r="763" spans="1:3" x14ac:dyDescent="0.25">
      <c r="A763" s="15">
        <f>Sheet1!A763</f>
        <v>0</v>
      </c>
      <c r="B763">
        <f>Sheet1!B763</f>
        <v>0</v>
      </c>
      <c r="C763">
        <f>IF(Sheet1!B763&gt;0,1,0)</f>
        <v>0</v>
      </c>
    </row>
    <row r="764" spans="1:3" x14ac:dyDescent="0.25">
      <c r="A764" s="15">
        <f>Sheet1!A764</f>
        <v>0</v>
      </c>
      <c r="B764">
        <f>Sheet1!B764</f>
        <v>0</v>
      </c>
      <c r="C764">
        <f>IF(Sheet1!B764&gt;0,1,0)</f>
        <v>0</v>
      </c>
    </row>
    <row r="765" spans="1:3" x14ac:dyDescent="0.25">
      <c r="A765" s="15">
        <f>Sheet1!A765</f>
        <v>0</v>
      </c>
      <c r="B765">
        <f>Sheet1!B765</f>
        <v>1.61</v>
      </c>
      <c r="C765">
        <f>IF(Sheet1!B765&gt;0,1,0)</f>
        <v>1</v>
      </c>
    </row>
    <row r="766" spans="1:3" x14ac:dyDescent="0.25">
      <c r="A766" s="15">
        <f>Sheet1!A766</f>
        <v>0</v>
      </c>
      <c r="B766">
        <f>Sheet1!B766</f>
        <v>0</v>
      </c>
      <c r="C766">
        <f>IF(Sheet1!B766&gt;0,1,0)</f>
        <v>0</v>
      </c>
    </row>
    <row r="767" spans="1:3" x14ac:dyDescent="0.25">
      <c r="A767" s="15">
        <f>Sheet1!A767</f>
        <v>0</v>
      </c>
      <c r="B767">
        <f>Sheet1!B767</f>
        <v>0</v>
      </c>
      <c r="C767">
        <f>IF(Sheet1!B767&gt;0,1,0)</f>
        <v>0</v>
      </c>
    </row>
    <row r="768" spans="1:3" x14ac:dyDescent="0.25">
      <c r="A768" s="15">
        <f>Sheet1!A768</f>
        <v>0</v>
      </c>
      <c r="B768">
        <f>Sheet1!B768</f>
        <v>0</v>
      </c>
      <c r="C768">
        <f>IF(Sheet1!B768&gt;0,1,0)</f>
        <v>0</v>
      </c>
    </row>
    <row r="769" spans="1:3" x14ac:dyDescent="0.25">
      <c r="A769" s="15">
        <f>Sheet1!A769</f>
        <v>0</v>
      </c>
      <c r="B769">
        <f>Sheet1!B769</f>
        <v>0.92</v>
      </c>
      <c r="C769">
        <f>IF(Sheet1!B769&gt;0,1,0)</f>
        <v>1</v>
      </c>
    </row>
    <row r="770" spans="1:3" x14ac:dyDescent="0.25">
      <c r="A770" s="15">
        <f>Sheet1!A770</f>
        <v>0</v>
      </c>
      <c r="B770">
        <f>Sheet1!B770</f>
        <v>2.4700000000000002</v>
      </c>
      <c r="C770">
        <f>IF(Sheet1!B770&gt;0,1,0)</f>
        <v>1</v>
      </c>
    </row>
    <row r="771" spans="1:3" x14ac:dyDescent="0.25">
      <c r="A771" s="15">
        <f>Sheet1!A771</f>
        <v>0</v>
      </c>
      <c r="B771">
        <f>Sheet1!B771</f>
        <v>2.0099999999999998</v>
      </c>
      <c r="C771">
        <f>IF(Sheet1!B771&gt;0,1,0)</f>
        <v>1</v>
      </c>
    </row>
    <row r="772" spans="1:3" x14ac:dyDescent="0.25">
      <c r="A772" s="15">
        <f>Sheet1!A772</f>
        <v>0</v>
      </c>
      <c r="B772">
        <f>Sheet1!B772</f>
        <v>2.31</v>
      </c>
      <c r="C772">
        <f>IF(Sheet1!B772&gt;0,1,0)</f>
        <v>1</v>
      </c>
    </row>
    <row r="773" spans="1:3" x14ac:dyDescent="0.25">
      <c r="A773" s="15">
        <f>Sheet1!A773</f>
        <v>0</v>
      </c>
      <c r="B773">
        <f>Sheet1!B773</f>
        <v>2.08</v>
      </c>
      <c r="C773">
        <f>IF(Sheet1!B773&gt;0,1,0)</f>
        <v>1</v>
      </c>
    </row>
    <row r="774" spans="1:3" x14ac:dyDescent="0.25">
      <c r="A774" s="15">
        <f>Sheet1!A774</f>
        <v>0</v>
      </c>
      <c r="B774">
        <f>Sheet1!B774</f>
        <v>2.46</v>
      </c>
      <c r="C774">
        <f>IF(Sheet1!B774&gt;0,1,0)</f>
        <v>1</v>
      </c>
    </row>
    <row r="775" spans="1:3" x14ac:dyDescent="0.25">
      <c r="A775" s="15">
        <f>Sheet1!A775</f>
        <v>0</v>
      </c>
      <c r="B775">
        <f>Sheet1!B775</f>
        <v>2.33</v>
      </c>
      <c r="C775">
        <f>IF(Sheet1!B775&gt;0,1,0)</f>
        <v>1</v>
      </c>
    </row>
    <row r="776" spans="1:3" x14ac:dyDescent="0.25">
      <c r="A776" s="15">
        <f>Sheet1!A776</f>
        <v>0</v>
      </c>
      <c r="B776">
        <f>Sheet1!B776</f>
        <v>0</v>
      </c>
      <c r="C776">
        <f>IF(Sheet1!B776&gt;0,1,0)</f>
        <v>0</v>
      </c>
    </row>
    <row r="777" spans="1:3" x14ac:dyDescent="0.25">
      <c r="A777" s="15">
        <f>Sheet1!A777</f>
        <v>0</v>
      </c>
      <c r="B777">
        <f>Sheet1!B777</f>
        <v>0</v>
      </c>
      <c r="C777">
        <f>IF(Sheet1!B777&gt;0,1,0)</f>
        <v>0</v>
      </c>
    </row>
    <row r="778" spans="1:3" x14ac:dyDescent="0.25">
      <c r="A778" s="15">
        <f>Sheet1!A778</f>
        <v>0</v>
      </c>
      <c r="B778">
        <f>Sheet1!B778</f>
        <v>0</v>
      </c>
      <c r="C778">
        <f>IF(Sheet1!B778&gt;0,1,0)</f>
        <v>0</v>
      </c>
    </row>
    <row r="779" spans="1:3" x14ac:dyDescent="0.25">
      <c r="A779" s="15">
        <f>Sheet1!A779</f>
        <v>0</v>
      </c>
      <c r="B779">
        <f>Sheet1!B779</f>
        <v>0</v>
      </c>
      <c r="C779">
        <f>IF(Sheet1!B779&gt;0,1,0)</f>
        <v>0</v>
      </c>
    </row>
    <row r="780" spans="1:3" x14ac:dyDescent="0.25">
      <c r="A780" s="15">
        <f>Sheet1!A780</f>
        <v>0</v>
      </c>
      <c r="B780">
        <f>Sheet1!B780</f>
        <v>0</v>
      </c>
      <c r="C780">
        <f>IF(Sheet1!B780&gt;0,1,0)</f>
        <v>0</v>
      </c>
    </row>
    <row r="781" spans="1:3" x14ac:dyDescent="0.25">
      <c r="A781" s="15">
        <f>Sheet1!A781</f>
        <v>0</v>
      </c>
      <c r="B781">
        <f>Sheet1!B781</f>
        <v>0</v>
      </c>
      <c r="C781">
        <f>IF(Sheet1!B781&gt;0,1,0)</f>
        <v>0</v>
      </c>
    </row>
    <row r="782" spans="1:3" x14ac:dyDescent="0.25">
      <c r="A782" s="15">
        <f>Sheet1!A782</f>
        <v>0</v>
      </c>
      <c r="B782">
        <f>Sheet1!B782</f>
        <v>0</v>
      </c>
      <c r="C782">
        <f>IF(Sheet1!B782&gt;0,1,0)</f>
        <v>0</v>
      </c>
    </row>
    <row r="783" spans="1:3" x14ac:dyDescent="0.25">
      <c r="A783" s="15">
        <f>Sheet1!A783</f>
        <v>0</v>
      </c>
      <c r="B783">
        <f>Sheet1!B783</f>
        <v>1.2</v>
      </c>
      <c r="C783">
        <f>IF(Sheet1!B783&gt;0,1,0)</f>
        <v>1</v>
      </c>
    </row>
    <row r="784" spans="1:3" x14ac:dyDescent="0.25">
      <c r="A784" s="15">
        <f>Sheet1!A784</f>
        <v>0</v>
      </c>
      <c r="B784">
        <f>Sheet1!B784</f>
        <v>0</v>
      </c>
      <c r="C784">
        <f>IF(Sheet1!B784&gt;0,1,0)</f>
        <v>0</v>
      </c>
    </row>
    <row r="785" spans="1:3" x14ac:dyDescent="0.25">
      <c r="A785" s="15">
        <f>Sheet1!A785</f>
        <v>0</v>
      </c>
      <c r="B785">
        <f>Sheet1!B785</f>
        <v>0</v>
      </c>
      <c r="C785">
        <f>IF(Sheet1!B785&gt;0,1,0)</f>
        <v>0</v>
      </c>
    </row>
    <row r="786" spans="1:3" x14ac:dyDescent="0.25">
      <c r="A786" s="15">
        <f>Sheet1!A786</f>
        <v>0</v>
      </c>
      <c r="B786">
        <f>Sheet1!B786</f>
        <v>0</v>
      </c>
      <c r="C786">
        <f>IF(Sheet1!B786&gt;0,1,0)</f>
        <v>0</v>
      </c>
    </row>
    <row r="787" spans="1:3" x14ac:dyDescent="0.25">
      <c r="A787" s="15">
        <f>Sheet1!A787</f>
        <v>0</v>
      </c>
      <c r="B787">
        <f>Sheet1!B787</f>
        <v>0</v>
      </c>
      <c r="C787">
        <f>IF(Sheet1!B787&gt;0,1,0)</f>
        <v>0</v>
      </c>
    </row>
    <row r="788" spans="1:3" x14ac:dyDescent="0.25">
      <c r="A788" s="15">
        <f>Sheet1!A788</f>
        <v>0</v>
      </c>
      <c r="B788">
        <f>Sheet1!B788</f>
        <v>0</v>
      </c>
      <c r="C788">
        <f>IF(Sheet1!B788&gt;0,1,0)</f>
        <v>0</v>
      </c>
    </row>
    <row r="789" spans="1:3" x14ac:dyDescent="0.25">
      <c r="A789" s="15">
        <f>Sheet1!A789</f>
        <v>0</v>
      </c>
      <c r="B789">
        <f>Sheet1!B789</f>
        <v>2.5499999999999998</v>
      </c>
      <c r="C789">
        <f>IF(Sheet1!B789&gt;0,1,0)</f>
        <v>1</v>
      </c>
    </row>
    <row r="790" spans="1:3" x14ac:dyDescent="0.25">
      <c r="A790" s="15">
        <f>Sheet1!A790</f>
        <v>0</v>
      </c>
      <c r="B790">
        <f>Sheet1!B790</f>
        <v>0</v>
      </c>
      <c r="C790">
        <f>IF(Sheet1!B790&gt;0,1,0)</f>
        <v>0</v>
      </c>
    </row>
    <row r="791" spans="1:3" x14ac:dyDescent="0.25">
      <c r="A791" s="15">
        <f>Sheet1!A791</f>
        <v>0</v>
      </c>
      <c r="B791">
        <f>Sheet1!B791</f>
        <v>0</v>
      </c>
      <c r="C791">
        <f>IF(Sheet1!B791&gt;0,1,0)</f>
        <v>0</v>
      </c>
    </row>
    <row r="792" spans="1:3" x14ac:dyDescent="0.25">
      <c r="A792" s="15">
        <f>Sheet1!A792</f>
        <v>0</v>
      </c>
      <c r="B792">
        <f>Sheet1!B792</f>
        <v>2.0299999999999998</v>
      </c>
      <c r="C792">
        <f>IF(Sheet1!B792&gt;0,1,0)</f>
        <v>1</v>
      </c>
    </row>
    <row r="793" spans="1:3" x14ac:dyDescent="0.25">
      <c r="A793" s="15">
        <f>Sheet1!A793</f>
        <v>0</v>
      </c>
      <c r="B793">
        <f>Sheet1!B793</f>
        <v>2.38</v>
      </c>
      <c r="C793">
        <f>IF(Sheet1!B793&gt;0,1,0)</f>
        <v>1</v>
      </c>
    </row>
    <row r="794" spans="1:3" x14ac:dyDescent="0.25">
      <c r="A794" s="15">
        <f>Sheet1!A794</f>
        <v>0</v>
      </c>
      <c r="B794">
        <f>Sheet1!B794</f>
        <v>1.98</v>
      </c>
      <c r="C794">
        <f>IF(Sheet1!B794&gt;0,1,0)</f>
        <v>1</v>
      </c>
    </row>
    <row r="795" spans="1:3" x14ac:dyDescent="0.25">
      <c r="A795" s="15">
        <f>Sheet1!A795</f>
        <v>0</v>
      </c>
      <c r="B795">
        <f>Sheet1!B795</f>
        <v>2.39</v>
      </c>
      <c r="C795">
        <f>IF(Sheet1!B795&gt;0,1,0)</f>
        <v>1</v>
      </c>
    </row>
    <row r="796" spans="1:3" x14ac:dyDescent="0.25">
      <c r="A796" s="15">
        <f>Sheet1!A796</f>
        <v>0</v>
      </c>
      <c r="B796">
        <f>Sheet1!B796</f>
        <v>1.94</v>
      </c>
      <c r="C796">
        <f>IF(Sheet1!B796&gt;0,1,0)</f>
        <v>1</v>
      </c>
    </row>
    <row r="797" spans="1:3" x14ac:dyDescent="0.25">
      <c r="A797" s="15">
        <f>Sheet1!A797</f>
        <v>0</v>
      </c>
      <c r="B797">
        <f>Sheet1!B797</f>
        <v>2.17</v>
      </c>
      <c r="C797">
        <f>IF(Sheet1!B797&gt;0,1,0)</f>
        <v>1</v>
      </c>
    </row>
    <row r="798" spans="1:3" x14ac:dyDescent="0.25">
      <c r="A798" s="15">
        <f>Sheet1!A798</f>
        <v>0</v>
      </c>
      <c r="B798">
        <f>Sheet1!B798</f>
        <v>0</v>
      </c>
      <c r="C798">
        <f>IF(Sheet1!B798&gt;0,1,0)</f>
        <v>0</v>
      </c>
    </row>
    <row r="799" spans="1:3" x14ac:dyDescent="0.25">
      <c r="A799" s="15">
        <f>Sheet1!A799</f>
        <v>0</v>
      </c>
      <c r="B799">
        <f>Sheet1!B799</f>
        <v>0</v>
      </c>
      <c r="C799">
        <f>IF(Sheet1!B799&gt;0,1,0)</f>
        <v>0</v>
      </c>
    </row>
    <row r="800" spans="1:3" x14ac:dyDescent="0.25">
      <c r="A800" s="15">
        <f>Sheet1!A800</f>
        <v>0</v>
      </c>
      <c r="B800">
        <f>Sheet1!B800</f>
        <v>0</v>
      </c>
      <c r="C800">
        <f>IF(Sheet1!B800&gt;0,1,0)</f>
        <v>0</v>
      </c>
    </row>
    <row r="801" spans="1:3" x14ac:dyDescent="0.25">
      <c r="A801" s="15">
        <f>Sheet1!A801</f>
        <v>0</v>
      </c>
      <c r="B801">
        <f>Sheet1!B801</f>
        <v>0</v>
      </c>
      <c r="C801">
        <f>IF(Sheet1!B801&gt;0,1,0)</f>
        <v>0</v>
      </c>
    </row>
    <row r="802" spans="1:3" x14ac:dyDescent="0.25">
      <c r="A802" s="15">
        <f>Sheet1!A802</f>
        <v>0</v>
      </c>
      <c r="B802">
        <f>Sheet1!B802</f>
        <v>0</v>
      </c>
      <c r="C802">
        <f>IF(Sheet1!B802&gt;0,1,0)</f>
        <v>0</v>
      </c>
    </row>
    <row r="803" spans="1:3" x14ac:dyDescent="0.25">
      <c r="A803" s="15">
        <f>Sheet1!A803</f>
        <v>0</v>
      </c>
      <c r="B803">
        <f>Sheet1!B803</f>
        <v>0</v>
      </c>
      <c r="C803">
        <f>IF(Sheet1!B803&gt;0,1,0)</f>
        <v>0</v>
      </c>
    </row>
    <row r="804" spans="1:3" x14ac:dyDescent="0.25">
      <c r="A804" s="15">
        <f>Sheet1!A804</f>
        <v>0</v>
      </c>
      <c r="B804">
        <f>Sheet1!B804</f>
        <v>0</v>
      </c>
      <c r="C804">
        <f>IF(Sheet1!B804&gt;0,1,0)</f>
        <v>0</v>
      </c>
    </row>
    <row r="805" spans="1:3" x14ac:dyDescent="0.25">
      <c r="A805" s="15">
        <f>Sheet1!A805</f>
        <v>0</v>
      </c>
      <c r="B805">
        <f>Sheet1!B805</f>
        <v>0</v>
      </c>
      <c r="C805">
        <f>IF(Sheet1!B805&gt;0,1,0)</f>
        <v>0</v>
      </c>
    </row>
    <row r="806" spans="1:3" x14ac:dyDescent="0.25">
      <c r="A806" s="15">
        <f>Sheet1!A806</f>
        <v>0</v>
      </c>
      <c r="B806">
        <f>Sheet1!B806</f>
        <v>0</v>
      </c>
      <c r="C806">
        <f>IF(Sheet1!B806&gt;0,1,0)</f>
        <v>0</v>
      </c>
    </row>
    <row r="807" spans="1:3" x14ac:dyDescent="0.25">
      <c r="A807" s="15">
        <f>Sheet1!A807</f>
        <v>0</v>
      </c>
      <c r="B807">
        <f>Sheet1!B807</f>
        <v>0</v>
      </c>
      <c r="C807">
        <f>IF(Sheet1!B807&gt;0,1,0)</f>
        <v>0</v>
      </c>
    </row>
    <row r="808" spans="1:3" x14ac:dyDescent="0.25">
      <c r="A808" s="15">
        <f>Sheet1!A808</f>
        <v>0</v>
      </c>
      <c r="B808">
        <f>Sheet1!B808</f>
        <v>0</v>
      </c>
      <c r="C808">
        <f>IF(Sheet1!B808&gt;0,1,0)</f>
        <v>0</v>
      </c>
    </row>
    <row r="809" spans="1:3" x14ac:dyDescent="0.25">
      <c r="A809" s="15">
        <f>Sheet1!A809</f>
        <v>0</v>
      </c>
      <c r="B809">
        <f>Sheet1!B809</f>
        <v>0</v>
      </c>
      <c r="C809">
        <f>IF(Sheet1!B809&gt;0,1,0)</f>
        <v>0</v>
      </c>
    </row>
    <row r="810" spans="1:3" x14ac:dyDescent="0.25">
      <c r="A810" s="15">
        <f>Sheet1!A810</f>
        <v>0</v>
      </c>
      <c r="B810">
        <f>Sheet1!B810</f>
        <v>0</v>
      </c>
      <c r="C810">
        <f>IF(Sheet1!B810&gt;0,1,0)</f>
        <v>0</v>
      </c>
    </row>
    <row r="811" spans="1:3" x14ac:dyDescent="0.25">
      <c r="A811" s="15">
        <f>Sheet1!A811</f>
        <v>0</v>
      </c>
      <c r="B811">
        <f>Sheet1!B811</f>
        <v>0</v>
      </c>
      <c r="C811">
        <f>IF(Sheet1!B811&gt;0,1,0)</f>
        <v>0</v>
      </c>
    </row>
    <row r="812" spans="1:3" x14ac:dyDescent="0.25">
      <c r="A812" s="15">
        <f>Sheet1!A812</f>
        <v>0</v>
      </c>
      <c r="B812">
        <f>Sheet1!B812</f>
        <v>0</v>
      </c>
      <c r="C812">
        <f>IF(Sheet1!B812&gt;0,1,0)</f>
        <v>0</v>
      </c>
    </row>
    <row r="813" spans="1:3" x14ac:dyDescent="0.25">
      <c r="A813" s="15">
        <f>Sheet1!A813</f>
        <v>0</v>
      </c>
      <c r="B813">
        <f>Sheet1!B813</f>
        <v>0</v>
      </c>
      <c r="C813">
        <f>IF(Sheet1!B813&gt;0,1,0)</f>
        <v>0</v>
      </c>
    </row>
    <row r="814" spans="1:3" x14ac:dyDescent="0.25">
      <c r="A814" s="15">
        <f>Sheet1!A814</f>
        <v>0</v>
      </c>
      <c r="B814">
        <f>Sheet1!B814</f>
        <v>0</v>
      </c>
      <c r="C814">
        <f>IF(Sheet1!B814&gt;0,1,0)</f>
        <v>0</v>
      </c>
    </row>
    <row r="815" spans="1:3" x14ac:dyDescent="0.25">
      <c r="A815" s="15">
        <f>Sheet1!A815</f>
        <v>0</v>
      </c>
      <c r="B815">
        <f>Sheet1!B815</f>
        <v>0</v>
      </c>
      <c r="C815">
        <f>IF(Sheet1!B815&gt;0,1,0)</f>
        <v>0</v>
      </c>
    </row>
    <row r="816" spans="1:3" x14ac:dyDescent="0.25">
      <c r="A816" s="15">
        <f>Sheet1!A816</f>
        <v>0</v>
      </c>
      <c r="B816">
        <f>Sheet1!B816</f>
        <v>0</v>
      </c>
      <c r="C816">
        <f>IF(Sheet1!B816&gt;0,1,0)</f>
        <v>0</v>
      </c>
    </row>
    <row r="817" spans="1:3" x14ac:dyDescent="0.25">
      <c r="A817" s="15">
        <f>Sheet1!A817</f>
        <v>0</v>
      </c>
      <c r="B817">
        <f>Sheet1!B817</f>
        <v>0</v>
      </c>
      <c r="C817">
        <f>IF(Sheet1!B817&gt;0,1,0)</f>
        <v>0</v>
      </c>
    </row>
    <row r="818" spans="1:3" x14ac:dyDescent="0.25">
      <c r="A818" s="15">
        <f>Sheet1!A818</f>
        <v>0</v>
      </c>
      <c r="B818">
        <f>Sheet1!B818</f>
        <v>2.35</v>
      </c>
      <c r="C818">
        <f>IF(Sheet1!B818&gt;0,1,0)</f>
        <v>1</v>
      </c>
    </row>
    <row r="819" spans="1:3" x14ac:dyDescent="0.25">
      <c r="A819" s="15">
        <f>Sheet1!A819</f>
        <v>0</v>
      </c>
      <c r="B819">
        <f>Sheet1!B819</f>
        <v>2.0499999999999998</v>
      </c>
      <c r="C819">
        <f>IF(Sheet1!B819&gt;0,1,0)</f>
        <v>1</v>
      </c>
    </row>
    <row r="820" spans="1:3" x14ac:dyDescent="0.25">
      <c r="A820" s="15">
        <f>Sheet1!A820</f>
        <v>0</v>
      </c>
      <c r="B820">
        <f>Sheet1!B820</f>
        <v>2.13</v>
      </c>
      <c r="C820">
        <f>IF(Sheet1!B820&gt;0,1,0)</f>
        <v>1</v>
      </c>
    </row>
    <row r="821" spans="1:3" x14ac:dyDescent="0.25">
      <c r="A821" s="15">
        <f>Sheet1!A821</f>
        <v>0</v>
      </c>
      <c r="B821">
        <f>Sheet1!B821</f>
        <v>2.4500000000000002</v>
      </c>
      <c r="C821">
        <f>IF(Sheet1!B821&gt;0,1,0)</f>
        <v>1</v>
      </c>
    </row>
    <row r="822" spans="1:3" x14ac:dyDescent="0.25">
      <c r="A822" s="15">
        <f>Sheet1!A822</f>
        <v>0</v>
      </c>
      <c r="B822">
        <f>Sheet1!B822</f>
        <v>2.02</v>
      </c>
      <c r="C822">
        <f>IF(Sheet1!B822&gt;0,1,0)</f>
        <v>1</v>
      </c>
    </row>
    <row r="823" spans="1:3" x14ac:dyDescent="0.25">
      <c r="A823" s="15">
        <f>Sheet1!A823</f>
        <v>0</v>
      </c>
      <c r="B823">
        <f>Sheet1!B823</f>
        <v>2.04</v>
      </c>
      <c r="C823">
        <f>IF(Sheet1!B823&gt;0,1,0)</f>
        <v>1</v>
      </c>
    </row>
    <row r="824" spans="1:3" x14ac:dyDescent="0.25">
      <c r="A824" s="15">
        <f>Sheet1!A824</f>
        <v>0</v>
      </c>
      <c r="B824">
        <f>Sheet1!B824</f>
        <v>0</v>
      </c>
      <c r="C824">
        <f>IF(Sheet1!B824&gt;0,1,0)</f>
        <v>0</v>
      </c>
    </row>
    <row r="825" spans="1:3" x14ac:dyDescent="0.25">
      <c r="A825" s="15">
        <f>Sheet1!A825</f>
        <v>0</v>
      </c>
      <c r="B825">
        <f>Sheet1!B825</f>
        <v>0</v>
      </c>
      <c r="C825">
        <f>IF(Sheet1!B825&gt;0,1,0)</f>
        <v>0</v>
      </c>
    </row>
    <row r="826" spans="1:3" x14ac:dyDescent="0.25">
      <c r="A826" s="15">
        <f>Sheet1!A826</f>
        <v>0</v>
      </c>
      <c r="B826">
        <f>Sheet1!B826</f>
        <v>0</v>
      </c>
      <c r="C826">
        <f>IF(Sheet1!B826&gt;0,1,0)</f>
        <v>0</v>
      </c>
    </row>
    <row r="827" spans="1:3" x14ac:dyDescent="0.25">
      <c r="A827" s="15">
        <f>Sheet1!A827</f>
        <v>0</v>
      </c>
      <c r="B827">
        <f>Sheet1!B827</f>
        <v>0</v>
      </c>
      <c r="C827">
        <f>IF(Sheet1!B827&gt;0,1,0)</f>
        <v>0</v>
      </c>
    </row>
    <row r="828" spans="1:3" x14ac:dyDescent="0.25">
      <c r="A828" s="15">
        <f>Sheet1!A828</f>
        <v>0</v>
      </c>
      <c r="B828">
        <f>Sheet1!B828</f>
        <v>0</v>
      </c>
      <c r="C828">
        <f>IF(Sheet1!B828&gt;0,1,0)</f>
        <v>0</v>
      </c>
    </row>
    <row r="829" spans="1:3" x14ac:dyDescent="0.25">
      <c r="A829" s="15">
        <f>Sheet1!A829</f>
        <v>0</v>
      </c>
      <c r="B829">
        <f>Sheet1!B829</f>
        <v>0</v>
      </c>
      <c r="C829">
        <f>IF(Sheet1!B829&gt;0,1,0)</f>
        <v>0</v>
      </c>
    </row>
    <row r="830" spans="1:3" x14ac:dyDescent="0.25">
      <c r="A830" s="15">
        <f>Sheet1!A830</f>
        <v>0</v>
      </c>
      <c r="B830">
        <f>Sheet1!B830</f>
        <v>0</v>
      </c>
      <c r="C830">
        <f>IF(Sheet1!B830&gt;0,1,0)</f>
        <v>0</v>
      </c>
    </row>
    <row r="831" spans="1:3" x14ac:dyDescent="0.25">
      <c r="A831" s="15">
        <f>Sheet1!A831</f>
        <v>0</v>
      </c>
      <c r="B831">
        <f>Sheet1!B831</f>
        <v>0</v>
      </c>
      <c r="C831">
        <f>IF(Sheet1!B831&gt;0,1,0)</f>
        <v>0</v>
      </c>
    </row>
    <row r="832" spans="1:3" x14ac:dyDescent="0.25">
      <c r="A832" s="15">
        <f>Sheet1!A832</f>
        <v>0</v>
      </c>
      <c r="B832">
        <f>Sheet1!B832</f>
        <v>0</v>
      </c>
      <c r="C832">
        <f>IF(Sheet1!B832&gt;0,1,0)</f>
        <v>0</v>
      </c>
    </row>
    <row r="833" spans="1:3" x14ac:dyDescent="0.25">
      <c r="A833" s="15">
        <f>Sheet1!A833</f>
        <v>0</v>
      </c>
      <c r="B833">
        <f>Sheet1!B833</f>
        <v>0</v>
      </c>
      <c r="C833">
        <f>IF(Sheet1!B833&gt;0,1,0)</f>
        <v>0</v>
      </c>
    </row>
    <row r="834" spans="1:3" x14ac:dyDescent="0.25">
      <c r="A834" s="15">
        <f>Sheet1!A834</f>
        <v>0</v>
      </c>
      <c r="B834">
        <f>Sheet1!B834</f>
        <v>0</v>
      </c>
      <c r="C834">
        <f>IF(Sheet1!B834&gt;0,1,0)</f>
        <v>0</v>
      </c>
    </row>
    <row r="835" spans="1:3" x14ac:dyDescent="0.25">
      <c r="A835" s="15">
        <f>Sheet1!A835</f>
        <v>0</v>
      </c>
      <c r="B835">
        <f>Sheet1!B835</f>
        <v>0</v>
      </c>
      <c r="C835">
        <f>IF(Sheet1!B835&gt;0,1,0)</f>
        <v>0</v>
      </c>
    </row>
    <row r="836" spans="1:3" x14ac:dyDescent="0.25">
      <c r="A836" s="15">
        <f>Sheet1!A836</f>
        <v>0</v>
      </c>
      <c r="B836">
        <f>Sheet1!B836</f>
        <v>0</v>
      </c>
      <c r="C836">
        <f>IF(Sheet1!B836&gt;0,1,0)</f>
        <v>0</v>
      </c>
    </row>
    <row r="837" spans="1:3" x14ac:dyDescent="0.25">
      <c r="A837" s="15">
        <f>Sheet1!A837</f>
        <v>0</v>
      </c>
      <c r="B837">
        <f>Sheet1!B837</f>
        <v>0</v>
      </c>
      <c r="C837">
        <f>IF(Sheet1!B837&gt;0,1,0)</f>
        <v>0</v>
      </c>
    </row>
    <row r="838" spans="1:3" x14ac:dyDescent="0.25">
      <c r="A838" s="15">
        <f>Sheet1!A838</f>
        <v>0</v>
      </c>
      <c r="B838">
        <f>Sheet1!B838</f>
        <v>0</v>
      </c>
      <c r="C838">
        <f>IF(Sheet1!B838&gt;0,1,0)</f>
        <v>0</v>
      </c>
    </row>
    <row r="839" spans="1:3" x14ac:dyDescent="0.25">
      <c r="A839" s="15">
        <f>Sheet1!A839</f>
        <v>0</v>
      </c>
      <c r="B839">
        <f>Sheet1!B839</f>
        <v>0</v>
      </c>
      <c r="C839">
        <f>IF(Sheet1!B839&gt;0,1,0)</f>
        <v>0</v>
      </c>
    </row>
    <row r="840" spans="1:3" x14ac:dyDescent="0.25">
      <c r="A840" s="15">
        <f>Sheet1!A840</f>
        <v>0</v>
      </c>
      <c r="B840">
        <f>Sheet1!B840</f>
        <v>0</v>
      </c>
      <c r="C840">
        <f>IF(Sheet1!B840&gt;0,1,0)</f>
        <v>0</v>
      </c>
    </row>
    <row r="841" spans="1:3" x14ac:dyDescent="0.25">
      <c r="A841" s="15">
        <f>Sheet1!A841</f>
        <v>0</v>
      </c>
      <c r="B841">
        <f>Sheet1!B841</f>
        <v>2.1</v>
      </c>
      <c r="C841">
        <f>IF(Sheet1!B841&gt;0,1,0)</f>
        <v>1</v>
      </c>
    </row>
    <row r="842" spans="1:3" x14ac:dyDescent="0.25">
      <c r="A842" s="15">
        <f>Sheet1!A842</f>
        <v>0</v>
      </c>
      <c r="B842">
        <f>Sheet1!B842</f>
        <v>1.83</v>
      </c>
      <c r="C842">
        <f>IF(Sheet1!B842&gt;0,1,0)</f>
        <v>1</v>
      </c>
    </row>
    <row r="843" spans="1:3" x14ac:dyDescent="0.25">
      <c r="A843" s="15">
        <f>Sheet1!A843</f>
        <v>0</v>
      </c>
      <c r="B843">
        <f>Sheet1!B843</f>
        <v>2.15</v>
      </c>
      <c r="C843">
        <f>IF(Sheet1!B843&gt;0,1,0)</f>
        <v>1</v>
      </c>
    </row>
    <row r="844" spans="1:3" x14ac:dyDescent="0.25">
      <c r="A844" s="15">
        <f>Sheet1!A844</f>
        <v>0</v>
      </c>
      <c r="B844">
        <f>Sheet1!B844</f>
        <v>0</v>
      </c>
      <c r="C844">
        <f>IF(Sheet1!B844&gt;0,1,0)</f>
        <v>0</v>
      </c>
    </row>
    <row r="845" spans="1:3" x14ac:dyDescent="0.25">
      <c r="A845" s="15">
        <f>Sheet1!A845</f>
        <v>0</v>
      </c>
      <c r="B845">
        <f>Sheet1!B845</f>
        <v>0</v>
      </c>
      <c r="C845">
        <f>IF(Sheet1!B845&gt;0,1,0)</f>
        <v>0</v>
      </c>
    </row>
    <row r="846" spans="1:3" x14ac:dyDescent="0.25">
      <c r="A846" s="15">
        <f>Sheet1!A846</f>
        <v>0</v>
      </c>
      <c r="B846">
        <f>Sheet1!B846</f>
        <v>0</v>
      </c>
      <c r="C846">
        <f>IF(Sheet1!B846&gt;0,1,0)</f>
        <v>0</v>
      </c>
    </row>
    <row r="847" spans="1:3" x14ac:dyDescent="0.25">
      <c r="A847" s="15">
        <f>Sheet1!A847</f>
        <v>0</v>
      </c>
      <c r="B847">
        <f>Sheet1!B847</f>
        <v>2.14</v>
      </c>
      <c r="C847">
        <f>IF(Sheet1!B847&gt;0,1,0)</f>
        <v>1</v>
      </c>
    </row>
    <row r="848" spans="1:3" x14ac:dyDescent="0.25">
      <c r="A848" s="15">
        <f>Sheet1!A848</f>
        <v>0</v>
      </c>
      <c r="B848">
        <f>Sheet1!B848</f>
        <v>1.73</v>
      </c>
      <c r="C848">
        <f>IF(Sheet1!B848&gt;0,1,0)</f>
        <v>1</v>
      </c>
    </row>
    <row r="849" spans="1:3" x14ac:dyDescent="0.25">
      <c r="A849" s="15">
        <f>Sheet1!A849</f>
        <v>0</v>
      </c>
      <c r="B849">
        <f>Sheet1!B849</f>
        <v>0</v>
      </c>
      <c r="C849">
        <f>IF(Sheet1!B849&gt;0,1,0)</f>
        <v>0</v>
      </c>
    </row>
    <row r="850" spans="1:3" x14ac:dyDescent="0.25">
      <c r="A850" s="15">
        <f>Sheet1!A850</f>
        <v>0</v>
      </c>
      <c r="B850">
        <f>Sheet1!B850</f>
        <v>0</v>
      </c>
      <c r="C850">
        <f>IF(Sheet1!B850&gt;0,1,0)</f>
        <v>0</v>
      </c>
    </row>
    <row r="851" spans="1:3" x14ac:dyDescent="0.25">
      <c r="A851" s="15">
        <f>Sheet1!A851</f>
        <v>0</v>
      </c>
      <c r="B851">
        <f>Sheet1!B851</f>
        <v>0</v>
      </c>
      <c r="C851">
        <f>IF(Sheet1!B851&gt;0,1,0)</f>
        <v>0</v>
      </c>
    </row>
    <row r="852" spans="1:3" x14ac:dyDescent="0.25">
      <c r="A852" s="15">
        <f>Sheet1!A852</f>
        <v>0</v>
      </c>
      <c r="B852">
        <f>Sheet1!B852</f>
        <v>0</v>
      </c>
      <c r="C852">
        <f>IF(Sheet1!B852&gt;0,1,0)</f>
        <v>0</v>
      </c>
    </row>
    <row r="853" spans="1:3" x14ac:dyDescent="0.25">
      <c r="A853" s="15">
        <f>Sheet1!A853</f>
        <v>0</v>
      </c>
      <c r="B853">
        <f>Sheet1!B853</f>
        <v>0</v>
      </c>
      <c r="C853">
        <f>IF(Sheet1!B853&gt;0,1,0)</f>
        <v>0</v>
      </c>
    </row>
    <row r="854" spans="1:3" x14ac:dyDescent="0.25">
      <c r="A854" s="15">
        <f>Sheet1!A854</f>
        <v>0</v>
      </c>
      <c r="B854">
        <f>Sheet1!B854</f>
        <v>0</v>
      </c>
      <c r="C854">
        <f>IF(Sheet1!B854&gt;0,1,0)</f>
        <v>0</v>
      </c>
    </row>
    <row r="855" spans="1:3" x14ac:dyDescent="0.25">
      <c r="A855" s="15">
        <f>Sheet1!A855</f>
        <v>0</v>
      </c>
      <c r="B855">
        <f>Sheet1!B855</f>
        <v>0</v>
      </c>
      <c r="C855">
        <f>IF(Sheet1!B855&gt;0,1,0)</f>
        <v>0</v>
      </c>
    </row>
    <row r="856" spans="1:3" x14ac:dyDescent="0.25">
      <c r="A856" s="15">
        <f>Sheet1!A856</f>
        <v>0</v>
      </c>
      <c r="B856">
        <f>Sheet1!B856</f>
        <v>0</v>
      </c>
      <c r="C856">
        <f>IF(Sheet1!B856&gt;0,1,0)</f>
        <v>0</v>
      </c>
    </row>
    <row r="857" spans="1:3" x14ac:dyDescent="0.25">
      <c r="A857" s="15">
        <f>Sheet1!A857</f>
        <v>0</v>
      </c>
      <c r="B857">
        <f>Sheet1!B857</f>
        <v>0</v>
      </c>
      <c r="C857">
        <f>IF(Sheet1!B857&gt;0,1,0)</f>
        <v>0</v>
      </c>
    </row>
    <row r="858" spans="1:3" x14ac:dyDescent="0.25">
      <c r="A858" s="15">
        <f>Sheet1!A858</f>
        <v>0</v>
      </c>
      <c r="B858">
        <f>Sheet1!B858</f>
        <v>0</v>
      </c>
      <c r="C858">
        <f>IF(Sheet1!B858&gt;0,1,0)</f>
        <v>0</v>
      </c>
    </row>
    <row r="859" spans="1:3" x14ac:dyDescent="0.25">
      <c r="A859" s="15">
        <f>Sheet1!A859</f>
        <v>0</v>
      </c>
      <c r="B859">
        <f>Sheet1!B859</f>
        <v>0</v>
      </c>
      <c r="C859">
        <f>IF(Sheet1!B859&gt;0,1,0)</f>
        <v>0</v>
      </c>
    </row>
    <row r="860" spans="1:3" x14ac:dyDescent="0.25">
      <c r="A860" s="15">
        <f>Sheet1!A860</f>
        <v>0</v>
      </c>
      <c r="B860">
        <f>Sheet1!B860</f>
        <v>1.2</v>
      </c>
      <c r="C860">
        <f>IF(Sheet1!B860&gt;0,1,0)</f>
        <v>1</v>
      </c>
    </row>
    <row r="861" spans="1:3" x14ac:dyDescent="0.25">
      <c r="A861" s="15">
        <f>Sheet1!A861</f>
        <v>0</v>
      </c>
      <c r="B861">
        <f>Sheet1!B861</f>
        <v>1.6</v>
      </c>
      <c r="C861">
        <f>IF(Sheet1!B861&gt;0,1,0)</f>
        <v>1</v>
      </c>
    </row>
    <row r="862" spans="1:3" x14ac:dyDescent="0.25">
      <c r="A862" s="15">
        <f>Sheet1!A862</f>
        <v>0</v>
      </c>
      <c r="B862">
        <f>Sheet1!B862</f>
        <v>0</v>
      </c>
      <c r="C862">
        <f>IF(Sheet1!B862&gt;0,1,0)</f>
        <v>0</v>
      </c>
    </row>
    <row r="863" spans="1:3" x14ac:dyDescent="0.25">
      <c r="A863" s="15">
        <f>Sheet1!A863</f>
        <v>0</v>
      </c>
      <c r="B863">
        <f>Sheet1!B863</f>
        <v>0</v>
      </c>
      <c r="C863">
        <f>IF(Sheet1!B863&gt;0,1,0)</f>
        <v>0</v>
      </c>
    </row>
    <row r="864" spans="1:3" x14ac:dyDescent="0.25">
      <c r="A864" s="15">
        <f>Sheet1!A864</f>
        <v>0</v>
      </c>
      <c r="B864">
        <f>Sheet1!B864</f>
        <v>1.75</v>
      </c>
      <c r="C864">
        <f>IF(Sheet1!B864&gt;0,1,0)</f>
        <v>1</v>
      </c>
    </row>
    <row r="865" spans="1:3" x14ac:dyDescent="0.25">
      <c r="A865" s="15">
        <f>Sheet1!A865</f>
        <v>0</v>
      </c>
      <c r="B865">
        <f>Sheet1!B865</f>
        <v>1.98</v>
      </c>
      <c r="C865">
        <f>IF(Sheet1!B865&gt;0,1,0)</f>
        <v>1</v>
      </c>
    </row>
    <row r="866" spans="1:3" x14ac:dyDescent="0.25">
      <c r="A866" s="15">
        <f>Sheet1!A866</f>
        <v>0</v>
      </c>
      <c r="B866">
        <f>Sheet1!B866</f>
        <v>2.06</v>
      </c>
      <c r="C866">
        <f>IF(Sheet1!B866&gt;0,1,0)</f>
        <v>1</v>
      </c>
    </row>
    <row r="867" spans="1:3" x14ac:dyDescent="0.25">
      <c r="A867" s="15">
        <f>Sheet1!A867</f>
        <v>0</v>
      </c>
      <c r="B867">
        <f>Sheet1!B867</f>
        <v>1.68</v>
      </c>
      <c r="C867">
        <f>IF(Sheet1!B867&gt;0,1,0)</f>
        <v>1</v>
      </c>
    </row>
    <row r="868" spans="1:3" x14ac:dyDescent="0.25">
      <c r="A868" s="15">
        <f>Sheet1!A868</f>
        <v>0</v>
      </c>
      <c r="B868">
        <f>Sheet1!B868</f>
        <v>1.96</v>
      </c>
      <c r="C868">
        <f>IF(Sheet1!B868&gt;0,1,0)</f>
        <v>1</v>
      </c>
    </row>
    <row r="869" spans="1:3" x14ac:dyDescent="0.25">
      <c r="A869" s="15">
        <f>Sheet1!A869</f>
        <v>0</v>
      </c>
      <c r="B869">
        <f>Sheet1!B869</f>
        <v>2.06</v>
      </c>
      <c r="C869">
        <f>IF(Sheet1!B869&gt;0,1,0)</f>
        <v>1</v>
      </c>
    </row>
    <row r="870" spans="1:3" x14ac:dyDescent="0.25">
      <c r="A870" s="15">
        <f>Sheet1!A870</f>
        <v>0</v>
      </c>
      <c r="B870">
        <f>Sheet1!B870</f>
        <v>1.67</v>
      </c>
      <c r="C870">
        <f>IF(Sheet1!B870&gt;0,1,0)</f>
        <v>1</v>
      </c>
    </row>
    <row r="871" spans="1:3" x14ac:dyDescent="0.25">
      <c r="A871" s="15">
        <f>Sheet1!A871</f>
        <v>0</v>
      </c>
      <c r="B871">
        <f>Sheet1!B871</f>
        <v>1.84</v>
      </c>
      <c r="C871">
        <f>IF(Sheet1!B871&gt;0,1,0)</f>
        <v>1</v>
      </c>
    </row>
    <row r="872" spans="1:3" x14ac:dyDescent="0.25">
      <c r="A872" s="15">
        <f>Sheet1!A872</f>
        <v>0</v>
      </c>
      <c r="B872">
        <f>Sheet1!B872</f>
        <v>0</v>
      </c>
      <c r="C872">
        <f>IF(Sheet1!B872&gt;0,1,0)</f>
        <v>0</v>
      </c>
    </row>
    <row r="873" spans="1:3" x14ac:dyDescent="0.25">
      <c r="A873" s="15">
        <f>Sheet1!A873</f>
        <v>0</v>
      </c>
      <c r="B873">
        <f>Sheet1!B873</f>
        <v>0</v>
      </c>
      <c r="C873">
        <f>IF(Sheet1!B873&gt;0,1,0)</f>
        <v>0</v>
      </c>
    </row>
    <row r="874" spans="1:3" x14ac:dyDescent="0.25">
      <c r="A874" s="15">
        <f>Sheet1!A874</f>
        <v>0</v>
      </c>
      <c r="B874">
        <f>Sheet1!B874</f>
        <v>0</v>
      </c>
      <c r="C874">
        <f>IF(Sheet1!B874&gt;0,1,0)</f>
        <v>0</v>
      </c>
    </row>
    <row r="875" spans="1:3" x14ac:dyDescent="0.25">
      <c r="A875" s="15">
        <f>Sheet1!A875</f>
        <v>0</v>
      </c>
      <c r="B875">
        <f>Sheet1!B875</f>
        <v>0.94</v>
      </c>
      <c r="C875">
        <f>IF(Sheet1!B875&gt;0,1,0)</f>
        <v>1</v>
      </c>
    </row>
    <row r="876" spans="1:3" x14ac:dyDescent="0.25">
      <c r="A876" s="15">
        <f>Sheet1!A876</f>
        <v>0</v>
      </c>
      <c r="B876">
        <f>Sheet1!B876</f>
        <v>0</v>
      </c>
      <c r="C876">
        <f>IF(Sheet1!B876&gt;0,1,0)</f>
        <v>0</v>
      </c>
    </row>
    <row r="877" spans="1:3" x14ac:dyDescent="0.25">
      <c r="A877" s="15">
        <f>Sheet1!A877</f>
        <v>0</v>
      </c>
      <c r="B877">
        <f>Sheet1!B877</f>
        <v>0</v>
      </c>
      <c r="C877">
        <f>IF(Sheet1!B877&gt;0,1,0)</f>
        <v>0</v>
      </c>
    </row>
    <row r="878" spans="1:3" x14ac:dyDescent="0.25">
      <c r="A878" s="15">
        <f>Sheet1!A878</f>
        <v>0</v>
      </c>
      <c r="B878">
        <f>Sheet1!B878</f>
        <v>0</v>
      </c>
      <c r="C878">
        <f>IF(Sheet1!B878&gt;0,1,0)</f>
        <v>0</v>
      </c>
    </row>
    <row r="879" spans="1:3" x14ac:dyDescent="0.25">
      <c r="A879" s="15">
        <f>Sheet1!A879</f>
        <v>0</v>
      </c>
      <c r="B879">
        <f>Sheet1!B879</f>
        <v>0.97</v>
      </c>
      <c r="C879">
        <f>IF(Sheet1!B879&gt;0,1,0)</f>
        <v>1</v>
      </c>
    </row>
    <row r="880" spans="1:3" x14ac:dyDescent="0.25">
      <c r="A880" s="15">
        <f>Sheet1!A880</f>
        <v>0</v>
      </c>
      <c r="B880">
        <f>Sheet1!B880</f>
        <v>0</v>
      </c>
      <c r="C880">
        <f>IF(Sheet1!B880&gt;0,1,0)</f>
        <v>0</v>
      </c>
    </row>
    <row r="881" spans="1:3" x14ac:dyDescent="0.25">
      <c r="A881" s="15">
        <f>Sheet1!A881</f>
        <v>0</v>
      </c>
      <c r="B881">
        <f>Sheet1!B881</f>
        <v>0</v>
      </c>
      <c r="C881">
        <f>IF(Sheet1!B881&gt;0,1,0)</f>
        <v>0</v>
      </c>
    </row>
    <row r="882" spans="1:3" x14ac:dyDescent="0.25">
      <c r="A882" s="15">
        <f>Sheet1!A882</f>
        <v>0</v>
      </c>
      <c r="B882">
        <f>Sheet1!B882</f>
        <v>0</v>
      </c>
      <c r="C882">
        <f>IF(Sheet1!B882&gt;0,1,0)</f>
        <v>0</v>
      </c>
    </row>
    <row r="883" spans="1:3" x14ac:dyDescent="0.25">
      <c r="A883" s="15">
        <f>Sheet1!A883</f>
        <v>0</v>
      </c>
      <c r="B883">
        <f>Sheet1!B883</f>
        <v>1.42</v>
      </c>
      <c r="C883">
        <f>IF(Sheet1!B883&gt;0,1,0)</f>
        <v>1</v>
      </c>
    </row>
    <row r="884" spans="1:3" x14ac:dyDescent="0.25">
      <c r="A884" s="15">
        <f>Sheet1!A884</f>
        <v>0</v>
      </c>
      <c r="B884">
        <f>Sheet1!B884</f>
        <v>0</v>
      </c>
      <c r="C884">
        <f>IF(Sheet1!B884&gt;0,1,0)</f>
        <v>0</v>
      </c>
    </row>
    <row r="885" spans="1:3" x14ac:dyDescent="0.25">
      <c r="A885" s="15">
        <f>Sheet1!A885</f>
        <v>0</v>
      </c>
      <c r="B885">
        <f>Sheet1!B885</f>
        <v>0</v>
      </c>
      <c r="C885">
        <f>IF(Sheet1!B885&gt;0,1,0)</f>
        <v>0</v>
      </c>
    </row>
    <row r="886" spans="1:3" x14ac:dyDescent="0.25">
      <c r="A886" s="15">
        <f>Sheet1!A886</f>
        <v>0</v>
      </c>
      <c r="B886">
        <f>Sheet1!B886</f>
        <v>0</v>
      </c>
      <c r="C886">
        <f>IF(Sheet1!B886&gt;0,1,0)</f>
        <v>0</v>
      </c>
    </row>
    <row r="887" spans="1:3" x14ac:dyDescent="0.25">
      <c r="A887" s="15">
        <f>Sheet1!A887</f>
        <v>0</v>
      </c>
      <c r="B887">
        <f>Sheet1!B887</f>
        <v>0.94</v>
      </c>
      <c r="C887">
        <f>IF(Sheet1!B887&gt;0,1,0)</f>
        <v>1</v>
      </c>
    </row>
    <row r="888" spans="1:3" x14ac:dyDescent="0.25">
      <c r="A888" s="15">
        <f>Sheet1!A888</f>
        <v>0</v>
      </c>
      <c r="B888">
        <f>Sheet1!B888</f>
        <v>0.8</v>
      </c>
      <c r="C888">
        <f>IF(Sheet1!B888&gt;0,1,0)</f>
        <v>1</v>
      </c>
    </row>
    <row r="889" spans="1:3" x14ac:dyDescent="0.25">
      <c r="A889" s="15">
        <f>Sheet1!A889</f>
        <v>0</v>
      </c>
      <c r="B889">
        <f>Sheet1!B889</f>
        <v>1.42</v>
      </c>
      <c r="C889">
        <f>IF(Sheet1!B889&gt;0,1,0)</f>
        <v>1</v>
      </c>
    </row>
    <row r="890" spans="1:3" x14ac:dyDescent="0.25">
      <c r="A890" s="15">
        <f>Sheet1!A890</f>
        <v>0</v>
      </c>
      <c r="B890">
        <f>Sheet1!B890</f>
        <v>1.86</v>
      </c>
      <c r="C890">
        <f>IF(Sheet1!B890&gt;0,1,0)</f>
        <v>1</v>
      </c>
    </row>
    <row r="891" spans="1:3" x14ac:dyDescent="0.25">
      <c r="A891" s="15">
        <f>Sheet1!A891</f>
        <v>0</v>
      </c>
      <c r="B891">
        <f>Sheet1!B891</f>
        <v>1.59</v>
      </c>
      <c r="C891">
        <f>IF(Sheet1!B891&gt;0,1,0)</f>
        <v>1</v>
      </c>
    </row>
    <row r="892" spans="1:3" x14ac:dyDescent="0.25">
      <c r="A892" s="15">
        <f>Sheet1!A892</f>
        <v>0</v>
      </c>
      <c r="B892">
        <f>Sheet1!B892</f>
        <v>2</v>
      </c>
      <c r="C892">
        <f>IF(Sheet1!B892&gt;0,1,0)</f>
        <v>1</v>
      </c>
    </row>
    <row r="893" spans="1:3" x14ac:dyDescent="0.25">
      <c r="A893" s="15">
        <f>Sheet1!A893</f>
        <v>0</v>
      </c>
      <c r="B893">
        <f>Sheet1!B893</f>
        <v>1.8</v>
      </c>
      <c r="C893">
        <f>IF(Sheet1!B893&gt;0,1,0)</f>
        <v>1</v>
      </c>
    </row>
    <row r="894" spans="1:3" x14ac:dyDescent="0.25">
      <c r="A894" s="15">
        <f>Sheet1!A894</f>
        <v>0</v>
      </c>
      <c r="B894">
        <f>Sheet1!B894</f>
        <v>1.92</v>
      </c>
      <c r="C894">
        <f>IF(Sheet1!B894&gt;0,1,0)</f>
        <v>1</v>
      </c>
    </row>
    <row r="895" spans="1:3" x14ac:dyDescent="0.25">
      <c r="A895" s="15">
        <f>Sheet1!A895</f>
        <v>0</v>
      </c>
      <c r="B895">
        <f>Sheet1!B895</f>
        <v>0</v>
      </c>
      <c r="C895">
        <f>IF(Sheet1!B895&gt;0,1,0)</f>
        <v>0</v>
      </c>
    </row>
    <row r="896" spans="1:3" x14ac:dyDescent="0.25">
      <c r="A896" s="15">
        <f>Sheet1!A896</f>
        <v>0</v>
      </c>
      <c r="B896">
        <f>Sheet1!B896</f>
        <v>0</v>
      </c>
      <c r="C896">
        <f>IF(Sheet1!B896&gt;0,1,0)</f>
        <v>0</v>
      </c>
    </row>
    <row r="897" spans="1:3" x14ac:dyDescent="0.25">
      <c r="A897" s="15">
        <f>Sheet1!A897</f>
        <v>0</v>
      </c>
      <c r="B897">
        <f>Sheet1!B897</f>
        <v>1.31</v>
      </c>
      <c r="C897">
        <f>IF(Sheet1!B897&gt;0,1,0)</f>
        <v>1</v>
      </c>
    </row>
    <row r="898" spans="1:3" x14ac:dyDescent="0.25">
      <c r="A898" s="15">
        <f>Sheet1!A898</f>
        <v>0</v>
      </c>
      <c r="B898">
        <f>Sheet1!B898</f>
        <v>1.53</v>
      </c>
      <c r="C898">
        <f>IF(Sheet1!B898&gt;0,1,0)</f>
        <v>1</v>
      </c>
    </row>
    <row r="899" spans="1:3" x14ac:dyDescent="0.25">
      <c r="A899" s="15">
        <f>Sheet1!A899</f>
        <v>0</v>
      </c>
      <c r="B899">
        <f>Sheet1!B899</f>
        <v>0.98</v>
      </c>
      <c r="C899">
        <f>IF(Sheet1!B899&gt;0,1,0)</f>
        <v>1</v>
      </c>
    </row>
    <row r="900" spans="1:3" x14ac:dyDescent="0.25">
      <c r="A900" s="15">
        <f>Sheet1!A900</f>
        <v>0</v>
      </c>
      <c r="B900">
        <f>Sheet1!B900</f>
        <v>0</v>
      </c>
      <c r="C900">
        <f>IF(Sheet1!B900&gt;0,1,0)</f>
        <v>0</v>
      </c>
    </row>
    <row r="901" spans="1:3" x14ac:dyDescent="0.25">
      <c r="A901" s="15">
        <f>Sheet1!A901</f>
        <v>0</v>
      </c>
      <c r="B901">
        <f>Sheet1!B901</f>
        <v>0</v>
      </c>
      <c r="C901">
        <f>IF(Sheet1!B901&gt;0,1,0)</f>
        <v>0</v>
      </c>
    </row>
    <row r="902" spans="1:3" x14ac:dyDescent="0.25">
      <c r="A902" s="15">
        <f>Sheet1!A902</f>
        <v>0</v>
      </c>
      <c r="B902">
        <f>Sheet1!B902</f>
        <v>0</v>
      </c>
      <c r="C902">
        <f>IF(Sheet1!B902&gt;0,1,0)</f>
        <v>0</v>
      </c>
    </row>
    <row r="903" spans="1:3" x14ac:dyDescent="0.25">
      <c r="A903" s="15">
        <f>Sheet1!A903</f>
        <v>0</v>
      </c>
      <c r="B903">
        <f>Sheet1!B903</f>
        <v>1.17</v>
      </c>
      <c r="C903">
        <f>IF(Sheet1!B903&gt;0,1,0)</f>
        <v>1</v>
      </c>
    </row>
    <row r="904" spans="1:3" x14ac:dyDescent="0.25">
      <c r="A904" s="15">
        <f>Sheet1!A904</f>
        <v>0</v>
      </c>
      <c r="B904">
        <f>Sheet1!B904</f>
        <v>0</v>
      </c>
      <c r="C904">
        <f>IF(Sheet1!B904&gt;0,1,0)</f>
        <v>0</v>
      </c>
    </row>
    <row r="905" spans="1:3" x14ac:dyDescent="0.25">
      <c r="A905" s="15">
        <f>Sheet1!A905</f>
        <v>0</v>
      </c>
      <c r="B905">
        <f>Sheet1!B905</f>
        <v>0</v>
      </c>
      <c r="C905">
        <f>IF(Sheet1!B905&gt;0,1,0)</f>
        <v>0</v>
      </c>
    </row>
    <row r="906" spans="1:3" x14ac:dyDescent="0.25">
      <c r="A906" s="15">
        <f>Sheet1!A906</f>
        <v>0</v>
      </c>
      <c r="B906">
        <f>Sheet1!B906</f>
        <v>0</v>
      </c>
      <c r="C906">
        <f>IF(Sheet1!B906&gt;0,1,0)</f>
        <v>0</v>
      </c>
    </row>
    <row r="907" spans="1:3" x14ac:dyDescent="0.25">
      <c r="A907" s="15">
        <f>Sheet1!A907</f>
        <v>0</v>
      </c>
      <c r="B907">
        <f>Sheet1!B907</f>
        <v>0</v>
      </c>
      <c r="C907">
        <f>IF(Sheet1!B907&gt;0,1,0)</f>
        <v>0</v>
      </c>
    </row>
    <row r="908" spans="1:3" x14ac:dyDescent="0.25">
      <c r="A908" s="15">
        <f>Sheet1!A908</f>
        <v>0</v>
      </c>
      <c r="B908">
        <f>Sheet1!B908</f>
        <v>0</v>
      </c>
      <c r="C908">
        <f>IF(Sheet1!B908&gt;0,1,0)</f>
        <v>0</v>
      </c>
    </row>
    <row r="909" spans="1:3" x14ac:dyDescent="0.25">
      <c r="A909" s="15">
        <f>Sheet1!A909</f>
        <v>0</v>
      </c>
      <c r="B909">
        <f>Sheet1!B909</f>
        <v>0</v>
      </c>
      <c r="C909">
        <f>IF(Sheet1!B909&gt;0,1,0)</f>
        <v>0</v>
      </c>
    </row>
    <row r="910" spans="1:3" x14ac:dyDescent="0.25">
      <c r="A910" s="15">
        <f>Sheet1!A910</f>
        <v>0</v>
      </c>
      <c r="B910">
        <f>Sheet1!B910</f>
        <v>0</v>
      </c>
      <c r="C910">
        <f>IF(Sheet1!B910&gt;0,1,0)</f>
        <v>0</v>
      </c>
    </row>
    <row r="911" spans="1:3" x14ac:dyDescent="0.25">
      <c r="A911" s="15">
        <f>Sheet1!A911</f>
        <v>0</v>
      </c>
      <c r="B911">
        <f>Sheet1!B911</f>
        <v>0.99</v>
      </c>
      <c r="C911">
        <f>IF(Sheet1!B911&gt;0,1,0)</f>
        <v>1</v>
      </c>
    </row>
    <row r="912" spans="1:3" x14ac:dyDescent="0.25">
      <c r="A912" s="15">
        <f>Sheet1!A912</f>
        <v>0</v>
      </c>
      <c r="B912">
        <f>Sheet1!B912</f>
        <v>1</v>
      </c>
      <c r="C912">
        <f>IF(Sheet1!B912&gt;0,1,0)</f>
        <v>1</v>
      </c>
    </row>
    <row r="913" spans="1:3" x14ac:dyDescent="0.25">
      <c r="A913" s="15">
        <f>Sheet1!A913</f>
        <v>0</v>
      </c>
      <c r="B913">
        <f>Sheet1!B913</f>
        <v>1.96</v>
      </c>
      <c r="C913">
        <f>IF(Sheet1!B913&gt;0,1,0)</f>
        <v>1</v>
      </c>
    </row>
    <row r="914" spans="1:3" x14ac:dyDescent="0.25">
      <c r="A914" s="15">
        <f>Sheet1!A914</f>
        <v>0</v>
      </c>
      <c r="B914">
        <f>Sheet1!B914</f>
        <v>1.67</v>
      </c>
      <c r="C914">
        <f>IF(Sheet1!B914&gt;0,1,0)</f>
        <v>1</v>
      </c>
    </row>
    <row r="915" spans="1:3" x14ac:dyDescent="0.25">
      <c r="A915" s="15">
        <f>Sheet1!A915</f>
        <v>0</v>
      </c>
      <c r="B915">
        <f>Sheet1!B915</f>
        <v>1.97</v>
      </c>
      <c r="C915">
        <f>IF(Sheet1!B915&gt;0,1,0)</f>
        <v>1</v>
      </c>
    </row>
    <row r="916" spans="1:3" x14ac:dyDescent="0.25">
      <c r="A916" s="15">
        <f>Sheet1!A916</f>
        <v>0</v>
      </c>
      <c r="B916">
        <f>Sheet1!B916</f>
        <v>1.76</v>
      </c>
      <c r="C916">
        <f>IF(Sheet1!B916&gt;0,1,0)</f>
        <v>1</v>
      </c>
    </row>
    <row r="917" spans="1:3" x14ac:dyDescent="0.25">
      <c r="A917" s="15">
        <f>Sheet1!A917</f>
        <v>0</v>
      </c>
      <c r="B917">
        <f>Sheet1!B917</f>
        <v>2.06</v>
      </c>
      <c r="C917">
        <f>IF(Sheet1!B917&gt;0,1,0)</f>
        <v>1</v>
      </c>
    </row>
    <row r="918" spans="1:3" x14ac:dyDescent="0.25">
      <c r="A918" s="15">
        <f>Sheet1!A918</f>
        <v>0</v>
      </c>
      <c r="B918">
        <f>Sheet1!B918</f>
        <v>1.71</v>
      </c>
      <c r="C918">
        <f>IF(Sheet1!B918&gt;0,1,0)</f>
        <v>1</v>
      </c>
    </row>
    <row r="919" spans="1:3" x14ac:dyDescent="0.25">
      <c r="A919" s="15">
        <f>Sheet1!A919</f>
        <v>0</v>
      </c>
      <c r="B919">
        <f>Sheet1!B919</f>
        <v>1.83</v>
      </c>
      <c r="C919">
        <f>IF(Sheet1!B919&gt;0,1,0)</f>
        <v>1</v>
      </c>
    </row>
    <row r="920" spans="1:3" x14ac:dyDescent="0.25">
      <c r="A920" s="15">
        <f>Sheet1!A920</f>
        <v>0</v>
      </c>
      <c r="B920">
        <f>Sheet1!B920</f>
        <v>1.65</v>
      </c>
      <c r="C920">
        <f>IF(Sheet1!B920&gt;0,1,0)</f>
        <v>1</v>
      </c>
    </row>
    <row r="921" spans="1:3" x14ac:dyDescent="0.25">
      <c r="A921" s="15">
        <f>Sheet1!A921</f>
        <v>0</v>
      </c>
      <c r="B921">
        <f>Sheet1!B921</f>
        <v>0</v>
      </c>
      <c r="C921">
        <f>IF(Sheet1!B921&gt;0,1,0)</f>
        <v>0</v>
      </c>
    </row>
    <row r="922" spans="1:3" x14ac:dyDescent="0.25">
      <c r="A922" s="15">
        <f>Sheet1!A922</f>
        <v>0</v>
      </c>
      <c r="B922">
        <f>Sheet1!B922</f>
        <v>0</v>
      </c>
      <c r="C922">
        <f>IF(Sheet1!B922&gt;0,1,0)</f>
        <v>0</v>
      </c>
    </row>
    <row r="923" spans="1:3" x14ac:dyDescent="0.25">
      <c r="A923" s="15">
        <f>Sheet1!A923</f>
        <v>0</v>
      </c>
      <c r="B923">
        <f>Sheet1!B923</f>
        <v>0</v>
      </c>
      <c r="C923">
        <f>IF(Sheet1!B923&gt;0,1,0)</f>
        <v>0</v>
      </c>
    </row>
    <row r="924" spans="1:3" x14ac:dyDescent="0.25">
      <c r="A924" s="15">
        <f>Sheet1!A924</f>
        <v>0</v>
      </c>
      <c r="B924">
        <f>Sheet1!B924</f>
        <v>0</v>
      </c>
      <c r="C924">
        <f>IF(Sheet1!B924&gt;0,1,0)</f>
        <v>0</v>
      </c>
    </row>
    <row r="925" spans="1:3" x14ac:dyDescent="0.25">
      <c r="A925" s="15">
        <f>Sheet1!A925</f>
        <v>0</v>
      </c>
      <c r="B925">
        <f>Sheet1!B925</f>
        <v>2.46</v>
      </c>
      <c r="C925">
        <f>IF(Sheet1!B925&gt;0,1,0)</f>
        <v>1</v>
      </c>
    </row>
    <row r="926" spans="1:3" x14ac:dyDescent="0.25">
      <c r="A926" s="15">
        <f>Sheet1!A926</f>
        <v>0</v>
      </c>
      <c r="B926">
        <f>Sheet1!B926</f>
        <v>0</v>
      </c>
      <c r="C926">
        <f>IF(Sheet1!B926&gt;0,1,0)</f>
        <v>0</v>
      </c>
    </row>
    <row r="927" spans="1:3" x14ac:dyDescent="0.25">
      <c r="A927" s="15">
        <f>Sheet1!A927</f>
        <v>0</v>
      </c>
      <c r="B927">
        <f>Sheet1!B927</f>
        <v>0</v>
      </c>
      <c r="C927">
        <f>IF(Sheet1!B927&gt;0,1,0)</f>
        <v>0</v>
      </c>
    </row>
    <row r="928" spans="1:3" x14ac:dyDescent="0.25">
      <c r="A928" s="15">
        <f>Sheet1!A928</f>
        <v>0</v>
      </c>
      <c r="B928">
        <f>Sheet1!B928</f>
        <v>0</v>
      </c>
      <c r="C928">
        <f>IF(Sheet1!B928&gt;0,1,0)</f>
        <v>0</v>
      </c>
    </row>
    <row r="929" spans="1:3" x14ac:dyDescent="0.25">
      <c r="A929" s="15">
        <f>Sheet1!A929</f>
        <v>0</v>
      </c>
      <c r="B929">
        <f>Sheet1!B929</f>
        <v>1.62</v>
      </c>
      <c r="C929">
        <f>IF(Sheet1!B929&gt;0,1,0)</f>
        <v>1</v>
      </c>
    </row>
    <row r="930" spans="1:3" x14ac:dyDescent="0.25">
      <c r="A930" s="15">
        <f>Sheet1!A930</f>
        <v>0</v>
      </c>
      <c r="B930">
        <f>Sheet1!B930</f>
        <v>0</v>
      </c>
      <c r="C930">
        <f>IF(Sheet1!B930&gt;0,1,0)</f>
        <v>0</v>
      </c>
    </row>
    <row r="931" spans="1:3" x14ac:dyDescent="0.25">
      <c r="A931" s="15">
        <f>Sheet1!A931</f>
        <v>0</v>
      </c>
      <c r="B931">
        <f>Sheet1!B931</f>
        <v>0</v>
      </c>
      <c r="C931">
        <f>IF(Sheet1!B931&gt;0,1,0)</f>
        <v>0</v>
      </c>
    </row>
    <row r="932" spans="1:3" x14ac:dyDescent="0.25">
      <c r="A932" s="15">
        <f>Sheet1!A932</f>
        <v>0</v>
      </c>
      <c r="B932">
        <f>Sheet1!B932</f>
        <v>0</v>
      </c>
      <c r="C932">
        <f>IF(Sheet1!B932&gt;0,1,0)</f>
        <v>0</v>
      </c>
    </row>
    <row r="933" spans="1:3" x14ac:dyDescent="0.25">
      <c r="A933" s="15">
        <f>Sheet1!A933</f>
        <v>0</v>
      </c>
      <c r="B933">
        <f>Sheet1!B933</f>
        <v>1.77</v>
      </c>
      <c r="C933">
        <f>IF(Sheet1!B933&gt;0,1,0)</f>
        <v>1</v>
      </c>
    </row>
    <row r="934" spans="1:3" x14ac:dyDescent="0.25">
      <c r="A934" s="15">
        <f>Sheet1!A934</f>
        <v>0</v>
      </c>
      <c r="B934">
        <f>Sheet1!B934</f>
        <v>1.03</v>
      </c>
      <c r="C934">
        <f>IF(Sheet1!B934&gt;0,1,0)</f>
        <v>1</v>
      </c>
    </row>
    <row r="935" spans="1:3" x14ac:dyDescent="0.25">
      <c r="A935" s="15">
        <f>Sheet1!A935</f>
        <v>0</v>
      </c>
      <c r="B935">
        <f>Sheet1!B935</f>
        <v>1.49</v>
      </c>
      <c r="C935">
        <f>IF(Sheet1!B935&gt;0,1,0)</f>
        <v>1</v>
      </c>
    </row>
    <row r="936" spans="1:3" x14ac:dyDescent="0.25">
      <c r="A936" s="15">
        <f>Sheet1!A936</f>
        <v>0</v>
      </c>
      <c r="B936">
        <f>Sheet1!B936</f>
        <v>1.08</v>
      </c>
      <c r="C936">
        <f>IF(Sheet1!B936&gt;0,1,0)</f>
        <v>1</v>
      </c>
    </row>
    <row r="937" spans="1:3" x14ac:dyDescent="0.25">
      <c r="A937" s="15">
        <f>Sheet1!A937</f>
        <v>0</v>
      </c>
      <c r="B937">
        <f>Sheet1!B937</f>
        <v>2.04</v>
      </c>
      <c r="C937">
        <f>IF(Sheet1!B937&gt;0,1,0)</f>
        <v>1</v>
      </c>
    </row>
    <row r="938" spans="1:3" x14ac:dyDescent="0.25">
      <c r="A938" s="15">
        <f>Sheet1!A938</f>
        <v>0</v>
      </c>
      <c r="B938">
        <f>Sheet1!B938</f>
        <v>1.58</v>
      </c>
      <c r="C938">
        <f>IF(Sheet1!B938&gt;0,1,0)</f>
        <v>1</v>
      </c>
    </row>
    <row r="939" spans="1:3" x14ac:dyDescent="0.25">
      <c r="A939" s="15">
        <f>Sheet1!A939</f>
        <v>0</v>
      </c>
      <c r="B939">
        <f>Sheet1!B939</f>
        <v>1.8</v>
      </c>
      <c r="C939">
        <f>IF(Sheet1!B939&gt;0,1,0)</f>
        <v>1</v>
      </c>
    </row>
    <row r="940" spans="1:3" x14ac:dyDescent="0.25">
      <c r="A940" s="15">
        <f>Sheet1!A940</f>
        <v>0</v>
      </c>
      <c r="B940">
        <f>Sheet1!B940</f>
        <v>1.68</v>
      </c>
      <c r="C940">
        <f>IF(Sheet1!B940&gt;0,1,0)</f>
        <v>1</v>
      </c>
    </row>
    <row r="941" spans="1:3" x14ac:dyDescent="0.25">
      <c r="A941" s="15">
        <f>Sheet1!A941</f>
        <v>0</v>
      </c>
      <c r="B941">
        <f>Sheet1!B941</f>
        <v>1.83</v>
      </c>
      <c r="C941">
        <f>IF(Sheet1!B941&gt;0,1,0)</f>
        <v>1</v>
      </c>
    </row>
    <row r="942" spans="1:3" x14ac:dyDescent="0.25">
      <c r="A942" s="15">
        <f>Sheet1!A942</f>
        <v>0</v>
      </c>
      <c r="B942">
        <f>Sheet1!B942</f>
        <v>1.55</v>
      </c>
      <c r="C942">
        <f>IF(Sheet1!B942&gt;0,1,0)</f>
        <v>1</v>
      </c>
    </row>
    <row r="943" spans="1:3" x14ac:dyDescent="0.25">
      <c r="A943" s="15">
        <f>Sheet1!A943</f>
        <v>0</v>
      </c>
      <c r="B943">
        <f>Sheet1!B943</f>
        <v>1.6</v>
      </c>
      <c r="C943">
        <f>IF(Sheet1!B943&gt;0,1,0)</f>
        <v>1</v>
      </c>
    </row>
    <row r="944" spans="1:3" x14ac:dyDescent="0.25">
      <c r="A944" s="15">
        <f>Sheet1!A944</f>
        <v>0</v>
      </c>
      <c r="B944">
        <f>Sheet1!B944</f>
        <v>0</v>
      </c>
      <c r="C944">
        <f>IF(Sheet1!B944&gt;0,1,0)</f>
        <v>0</v>
      </c>
    </row>
    <row r="945" spans="1:3" x14ac:dyDescent="0.25">
      <c r="A945" s="15">
        <f>Sheet1!A945</f>
        <v>0</v>
      </c>
      <c r="B945">
        <f>Sheet1!B945</f>
        <v>1.64</v>
      </c>
      <c r="C945">
        <f>IF(Sheet1!B945&gt;0,1,0)</f>
        <v>1</v>
      </c>
    </row>
    <row r="946" spans="1:3" x14ac:dyDescent="0.25">
      <c r="A946" s="15">
        <f>Sheet1!A946</f>
        <v>0</v>
      </c>
      <c r="B946">
        <f>Sheet1!B946</f>
        <v>0</v>
      </c>
      <c r="C946">
        <f>IF(Sheet1!B946&gt;0,1,0)</f>
        <v>0</v>
      </c>
    </row>
    <row r="947" spans="1:3" x14ac:dyDescent="0.25">
      <c r="A947" s="15">
        <f>Sheet1!A947</f>
        <v>0</v>
      </c>
      <c r="B947">
        <f>Sheet1!B947</f>
        <v>0</v>
      </c>
      <c r="C947">
        <f>IF(Sheet1!B947&gt;0,1,0)</f>
        <v>0</v>
      </c>
    </row>
    <row r="948" spans="1:3" x14ac:dyDescent="0.25">
      <c r="A948" s="15">
        <f>Sheet1!A948</f>
        <v>0</v>
      </c>
      <c r="B948">
        <f>Sheet1!B948</f>
        <v>0</v>
      </c>
      <c r="C948">
        <f>IF(Sheet1!B948&gt;0,1,0)</f>
        <v>0</v>
      </c>
    </row>
    <row r="949" spans="1:3" x14ac:dyDescent="0.25">
      <c r="A949" s="15">
        <f>Sheet1!A949</f>
        <v>0</v>
      </c>
      <c r="B949">
        <f>Sheet1!B949</f>
        <v>2.02</v>
      </c>
      <c r="C949">
        <f>IF(Sheet1!B949&gt;0,1,0)</f>
        <v>1</v>
      </c>
    </row>
    <row r="950" spans="1:3" x14ac:dyDescent="0.25">
      <c r="A950" s="15">
        <f>Sheet1!A950</f>
        <v>0</v>
      </c>
      <c r="B950">
        <f>Sheet1!B950</f>
        <v>0</v>
      </c>
      <c r="C950">
        <f>IF(Sheet1!B950&gt;0,1,0)</f>
        <v>0</v>
      </c>
    </row>
    <row r="951" spans="1:3" x14ac:dyDescent="0.25">
      <c r="A951" s="15">
        <f>Sheet1!A951</f>
        <v>0</v>
      </c>
      <c r="B951">
        <f>Sheet1!B951</f>
        <v>0</v>
      </c>
      <c r="C951">
        <f>IF(Sheet1!B951&gt;0,1,0)</f>
        <v>0</v>
      </c>
    </row>
    <row r="952" spans="1:3" x14ac:dyDescent="0.25">
      <c r="A952" s="15">
        <f>Sheet1!A952</f>
        <v>0</v>
      </c>
      <c r="B952">
        <f>Sheet1!B952</f>
        <v>0</v>
      </c>
      <c r="C952">
        <f>IF(Sheet1!B952&gt;0,1,0)</f>
        <v>0</v>
      </c>
    </row>
    <row r="953" spans="1:3" x14ac:dyDescent="0.25">
      <c r="A953" s="15">
        <f>Sheet1!A953</f>
        <v>0</v>
      </c>
      <c r="B953">
        <f>Sheet1!B953</f>
        <v>2.34</v>
      </c>
      <c r="C953">
        <f>IF(Sheet1!B953&gt;0,1,0)</f>
        <v>1</v>
      </c>
    </row>
    <row r="954" spans="1:3" x14ac:dyDescent="0.25">
      <c r="A954" s="15">
        <f>Sheet1!A954</f>
        <v>0</v>
      </c>
      <c r="B954">
        <f>Sheet1!B954</f>
        <v>0</v>
      </c>
      <c r="C954">
        <f>IF(Sheet1!B954&gt;0,1,0)</f>
        <v>0</v>
      </c>
    </row>
    <row r="955" spans="1:3" x14ac:dyDescent="0.25">
      <c r="A955" s="15">
        <f>Sheet1!A955</f>
        <v>0</v>
      </c>
      <c r="B955">
        <f>Sheet1!B955</f>
        <v>0</v>
      </c>
      <c r="C955">
        <f>IF(Sheet1!B955&gt;0,1,0)</f>
        <v>0</v>
      </c>
    </row>
    <row r="956" spans="1:3" x14ac:dyDescent="0.25">
      <c r="A956" s="15">
        <f>Sheet1!A956</f>
        <v>0</v>
      </c>
      <c r="B956">
        <f>Sheet1!B956</f>
        <v>0</v>
      </c>
      <c r="C956">
        <f>IF(Sheet1!B956&gt;0,1,0)</f>
        <v>0</v>
      </c>
    </row>
    <row r="957" spans="1:3" x14ac:dyDescent="0.25">
      <c r="A957" s="15">
        <f>Sheet1!A957</f>
        <v>0</v>
      </c>
      <c r="B957">
        <f>Sheet1!B957</f>
        <v>0</v>
      </c>
      <c r="C957">
        <f>IF(Sheet1!B957&gt;0,1,0)</f>
        <v>0</v>
      </c>
    </row>
    <row r="958" spans="1:3" x14ac:dyDescent="0.25">
      <c r="A958" s="15">
        <f>Sheet1!A958</f>
        <v>0</v>
      </c>
      <c r="B958">
        <f>Sheet1!B958</f>
        <v>1.74</v>
      </c>
      <c r="C958">
        <f>IF(Sheet1!B958&gt;0,1,0)</f>
        <v>1</v>
      </c>
    </row>
    <row r="959" spans="1:3" x14ac:dyDescent="0.25">
      <c r="A959" s="15">
        <f>Sheet1!A959</f>
        <v>0</v>
      </c>
      <c r="B959">
        <f>Sheet1!B959</f>
        <v>1.24</v>
      </c>
      <c r="C959">
        <f>IF(Sheet1!B959&gt;0,1,0)</f>
        <v>1</v>
      </c>
    </row>
    <row r="960" spans="1:3" x14ac:dyDescent="0.25">
      <c r="A960" s="15">
        <f>Sheet1!A960</f>
        <v>0</v>
      </c>
      <c r="B960">
        <f>Sheet1!B960</f>
        <v>1.55</v>
      </c>
      <c r="C960">
        <f>IF(Sheet1!B960&gt;0,1,0)</f>
        <v>1</v>
      </c>
    </row>
    <row r="961" spans="1:3" x14ac:dyDescent="0.25">
      <c r="A961" s="15">
        <f>Sheet1!A961</f>
        <v>0</v>
      </c>
      <c r="B961">
        <f>Sheet1!B961</f>
        <v>1.83</v>
      </c>
      <c r="C961">
        <f>IF(Sheet1!B961&gt;0,1,0)</f>
        <v>1</v>
      </c>
    </row>
    <row r="962" spans="1:3" x14ac:dyDescent="0.25">
      <c r="A962" s="15">
        <f>Sheet1!A962</f>
        <v>0</v>
      </c>
      <c r="B962">
        <f>Sheet1!B962</f>
        <v>1.73</v>
      </c>
      <c r="C962">
        <f>IF(Sheet1!B962&gt;0,1,0)</f>
        <v>1</v>
      </c>
    </row>
    <row r="963" spans="1:3" x14ac:dyDescent="0.25">
      <c r="A963" s="15">
        <f>Sheet1!A963</f>
        <v>0</v>
      </c>
      <c r="B963">
        <f>Sheet1!B963</f>
        <v>1.58</v>
      </c>
      <c r="C963">
        <f>IF(Sheet1!B963&gt;0,1,0)</f>
        <v>1</v>
      </c>
    </row>
    <row r="964" spans="1:3" x14ac:dyDescent="0.25">
      <c r="A964" s="15">
        <f>Sheet1!A964</f>
        <v>0</v>
      </c>
      <c r="B964">
        <f>Sheet1!B964</f>
        <v>1.55</v>
      </c>
      <c r="C964">
        <f>IF(Sheet1!B964&gt;0,1,0)</f>
        <v>1</v>
      </c>
    </row>
    <row r="965" spans="1:3" x14ac:dyDescent="0.25">
      <c r="A965" s="15">
        <f>Sheet1!A965</f>
        <v>0</v>
      </c>
      <c r="B965">
        <f>Sheet1!B965</f>
        <v>1.45</v>
      </c>
      <c r="C965">
        <f>IF(Sheet1!B965&gt;0,1,0)</f>
        <v>1</v>
      </c>
    </row>
    <row r="966" spans="1:3" x14ac:dyDescent="0.25">
      <c r="A966" s="15">
        <f>Sheet1!A966</f>
        <v>0</v>
      </c>
      <c r="B966">
        <f>Sheet1!B966</f>
        <v>1.86</v>
      </c>
      <c r="C966">
        <f>IF(Sheet1!B966&gt;0,1,0)</f>
        <v>1</v>
      </c>
    </row>
    <row r="967" spans="1:3" x14ac:dyDescent="0.25">
      <c r="A967" s="15">
        <f>Sheet1!A967</f>
        <v>0</v>
      </c>
      <c r="B967">
        <f>Sheet1!B967</f>
        <v>1.5</v>
      </c>
      <c r="C967">
        <f>IF(Sheet1!B967&gt;0,1,0)</f>
        <v>1</v>
      </c>
    </row>
    <row r="968" spans="1:3" x14ac:dyDescent="0.25">
      <c r="A968" s="15">
        <f>Sheet1!A968</f>
        <v>0</v>
      </c>
      <c r="B968">
        <f>Sheet1!B968</f>
        <v>0</v>
      </c>
      <c r="C968">
        <f>IF(Sheet1!B968&gt;0,1,0)</f>
        <v>0</v>
      </c>
    </row>
    <row r="969" spans="1:3" x14ac:dyDescent="0.25">
      <c r="A969" s="15">
        <f>Sheet1!A969</f>
        <v>0</v>
      </c>
      <c r="B969">
        <f>Sheet1!B969</f>
        <v>0</v>
      </c>
      <c r="C969">
        <f>IF(Sheet1!B969&gt;0,1,0)</f>
        <v>0</v>
      </c>
    </row>
    <row r="970" spans="1:3" x14ac:dyDescent="0.25">
      <c r="A970" s="15">
        <f>Sheet1!A970</f>
        <v>0</v>
      </c>
      <c r="B970">
        <f>Sheet1!B970</f>
        <v>0</v>
      </c>
      <c r="C970">
        <f>IF(Sheet1!B970&gt;0,1,0)</f>
        <v>0</v>
      </c>
    </row>
    <row r="971" spans="1:3" x14ac:dyDescent="0.25">
      <c r="A971" s="15">
        <f>Sheet1!A971</f>
        <v>0</v>
      </c>
      <c r="B971">
        <f>Sheet1!B971</f>
        <v>1.54</v>
      </c>
      <c r="C971">
        <f>IF(Sheet1!B971&gt;0,1,0)</f>
        <v>1</v>
      </c>
    </row>
    <row r="972" spans="1:3" x14ac:dyDescent="0.25">
      <c r="A972" s="15">
        <f>Sheet1!A972</f>
        <v>0</v>
      </c>
      <c r="B972">
        <f>Sheet1!B972</f>
        <v>0</v>
      </c>
      <c r="C972">
        <f>IF(Sheet1!B972&gt;0,1,0)</f>
        <v>0</v>
      </c>
    </row>
    <row r="973" spans="1:3" x14ac:dyDescent="0.25">
      <c r="A973" s="15">
        <f>Sheet1!A973</f>
        <v>0</v>
      </c>
      <c r="B973">
        <f>Sheet1!B973</f>
        <v>0</v>
      </c>
      <c r="C973">
        <f>IF(Sheet1!B973&gt;0,1,0)</f>
        <v>0</v>
      </c>
    </row>
    <row r="974" spans="1:3" x14ac:dyDescent="0.25">
      <c r="A974" s="15">
        <f>Sheet1!A974</f>
        <v>0</v>
      </c>
      <c r="B974">
        <f>Sheet1!B974</f>
        <v>0</v>
      </c>
      <c r="C974">
        <f>IF(Sheet1!B974&gt;0,1,0)</f>
        <v>0</v>
      </c>
    </row>
    <row r="975" spans="1:3" x14ac:dyDescent="0.25">
      <c r="A975" s="15">
        <f>Sheet1!A975</f>
        <v>0</v>
      </c>
      <c r="B975">
        <f>Sheet1!B975</f>
        <v>1.39</v>
      </c>
      <c r="C975">
        <f>IF(Sheet1!B975&gt;0,1,0)</f>
        <v>1</v>
      </c>
    </row>
    <row r="976" spans="1:3" x14ac:dyDescent="0.25">
      <c r="A976" s="15">
        <f>Sheet1!A976</f>
        <v>0</v>
      </c>
      <c r="B976">
        <f>Sheet1!B976</f>
        <v>1.38</v>
      </c>
      <c r="C976">
        <f>IF(Sheet1!B976&gt;0,1,0)</f>
        <v>1</v>
      </c>
    </row>
    <row r="977" spans="1:3" x14ac:dyDescent="0.25">
      <c r="A977" s="15">
        <f>Sheet1!A977</f>
        <v>0</v>
      </c>
      <c r="B977">
        <f>Sheet1!B977</f>
        <v>0</v>
      </c>
      <c r="C977">
        <f>IF(Sheet1!B977&gt;0,1,0)</f>
        <v>0</v>
      </c>
    </row>
    <row r="978" spans="1:3" x14ac:dyDescent="0.25">
      <c r="A978" s="15">
        <f>Sheet1!A978</f>
        <v>0</v>
      </c>
      <c r="B978">
        <f>Sheet1!B978</f>
        <v>0</v>
      </c>
      <c r="C978">
        <f>IF(Sheet1!B978&gt;0,1,0)</f>
        <v>0</v>
      </c>
    </row>
    <row r="979" spans="1:3" x14ac:dyDescent="0.25">
      <c r="A979" s="15">
        <f>Sheet1!A979</f>
        <v>0</v>
      </c>
      <c r="B979">
        <f>Sheet1!B979</f>
        <v>1.04</v>
      </c>
      <c r="C979">
        <f>IF(Sheet1!B979&gt;0,1,0)</f>
        <v>1</v>
      </c>
    </row>
    <row r="980" spans="1:3" x14ac:dyDescent="0.25">
      <c r="A980" s="15">
        <f>Sheet1!A980</f>
        <v>0</v>
      </c>
      <c r="B980">
        <f>Sheet1!B980</f>
        <v>1.1399999999999999</v>
      </c>
      <c r="C980">
        <f>IF(Sheet1!B980&gt;0,1,0)</f>
        <v>1</v>
      </c>
    </row>
    <row r="981" spans="1:3" x14ac:dyDescent="0.25">
      <c r="A981" s="15">
        <f>Sheet1!A981</f>
        <v>0</v>
      </c>
      <c r="B981">
        <f>Sheet1!B981</f>
        <v>1.29</v>
      </c>
      <c r="C981">
        <f>IF(Sheet1!B981&gt;0,1,0)</f>
        <v>1</v>
      </c>
    </row>
    <row r="982" spans="1:3" x14ac:dyDescent="0.25">
      <c r="A982" s="15">
        <f>Sheet1!A982</f>
        <v>0</v>
      </c>
      <c r="B982">
        <f>Sheet1!B982</f>
        <v>0</v>
      </c>
      <c r="C982">
        <f>IF(Sheet1!B982&gt;0,1,0)</f>
        <v>0</v>
      </c>
    </row>
    <row r="983" spans="1:3" x14ac:dyDescent="0.25">
      <c r="A983" s="15">
        <f>Sheet1!A983</f>
        <v>0</v>
      </c>
      <c r="B983">
        <f>Sheet1!B983</f>
        <v>0.85</v>
      </c>
      <c r="C983">
        <f>IF(Sheet1!B983&gt;0,1,0)</f>
        <v>1</v>
      </c>
    </row>
    <row r="984" spans="1:3" x14ac:dyDescent="0.25">
      <c r="A984" s="15">
        <f>Sheet1!A984</f>
        <v>0</v>
      </c>
      <c r="B984">
        <f>Sheet1!B984</f>
        <v>0.91</v>
      </c>
      <c r="C984">
        <f>IF(Sheet1!B984&gt;0,1,0)</f>
        <v>1</v>
      </c>
    </row>
    <row r="985" spans="1:3" x14ac:dyDescent="0.25">
      <c r="A985" s="15">
        <f>Sheet1!A985</f>
        <v>0</v>
      </c>
      <c r="B985">
        <f>Sheet1!B985</f>
        <v>1.34</v>
      </c>
      <c r="C985">
        <f>IF(Sheet1!B985&gt;0,1,0)</f>
        <v>1</v>
      </c>
    </row>
    <row r="986" spans="1:3" x14ac:dyDescent="0.25">
      <c r="A986" s="15">
        <f>Sheet1!A986</f>
        <v>0</v>
      </c>
      <c r="B986">
        <f>Sheet1!B986</f>
        <v>1.69</v>
      </c>
      <c r="C986">
        <f>IF(Sheet1!B986&gt;0,1,0)</f>
        <v>1</v>
      </c>
    </row>
    <row r="987" spans="1:3" x14ac:dyDescent="0.25">
      <c r="A987" s="15">
        <f>Sheet1!A987</f>
        <v>0</v>
      </c>
      <c r="B987">
        <f>Sheet1!B987</f>
        <v>1.4</v>
      </c>
      <c r="C987">
        <f>IF(Sheet1!B987&gt;0,1,0)</f>
        <v>1</v>
      </c>
    </row>
    <row r="988" spans="1:3" x14ac:dyDescent="0.25">
      <c r="A988" s="15">
        <f>Sheet1!A988</f>
        <v>0</v>
      </c>
      <c r="B988">
        <f>Sheet1!B988</f>
        <v>1.51</v>
      </c>
      <c r="C988">
        <f>IF(Sheet1!B988&gt;0,1,0)</f>
        <v>1</v>
      </c>
    </row>
    <row r="989" spans="1:3" x14ac:dyDescent="0.25">
      <c r="A989" s="15">
        <f>Sheet1!A989</f>
        <v>0</v>
      </c>
      <c r="B989">
        <f>Sheet1!B989</f>
        <v>1.97</v>
      </c>
      <c r="C989">
        <f>IF(Sheet1!B989&gt;0,1,0)</f>
        <v>1</v>
      </c>
    </row>
    <row r="990" spans="1:3" x14ac:dyDescent="0.25">
      <c r="A990" s="15">
        <f>Sheet1!A990</f>
        <v>0</v>
      </c>
      <c r="B990">
        <f>Sheet1!B990</f>
        <v>1.43</v>
      </c>
      <c r="C990">
        <f>IF(Sheet1!B990&gt;0,1,0)</f>
        <v>1</v>
      </c>
    </row>
    <row r="991" spans="1:3" x14ac:dyDescent="0.25">
      <c r="A991" s="15">
        <f>Sheet1!A991</f>
        <v>0</v>
      </c>
      <c r="B991">
        <f>Sheet1!B991</f>
        <v>1.23</v>
      </c>
      <c r="C991">
        <f>IF(Sheet1!B991&gt;0,1,0)</f>
        <v>1</v>
      </c>
    </row>
    <row r="992" spans="1:3" x14ac:dyDescent="0.25">
      <c r="A992" s="15">
        <f>Sheet1!A992</f>
        <v>0</v>
      </c>
      <c r="B992">
        <f>Sheet1!B992</f>
        <v>1.1499999999999999</v>
      </c>
      <c r="C992">
        <f>IF(Sheet1!B992&gt;0,1,0)</f>
        <v>1</v>
      </c>
    </row>
    <row r="993" spans="1:3" x14ac:dyDescent="0.25">
      <c r="A993" s="15">
        <f>Sheet1!A993</f>
        <v>0</v>
      </c>
      <c r="B993">
        <f>Sheet1!B993</f>
        <v>1.1499999999999999</v>
      </c>
      <c r="C993">
        <f>IF(Sheet1!B993&gt;0,1,0)</f>
        <v>1</v>
      </c>
    </row>
    <row r="994" spans="1:3" x14ac:dyDescent="0.25">
      <c r="A994" s="15">
        <f>Sheet1!A994</f>
        <v>0</v>
      </c>
      <c r="B994">
        <f>Sheet1!B994</f>
        <v>0</v>
      </c>
      <c r="C994">
        <f>IF(Sheet1!B994&gt;0,1,0)</f>
        <v>0</v>
      </c>
    </row>
    <row r="995" spans="1:3" x14ac:dyDescent="0.25">
      <c r="A995" s="15">
        <f>Sheet1!A995</f>
        <v>0</v>
      </c>
      <c r="B995">
        <f>Sheet1!B995</f>
        <v>0</v>
      </c>
      <c r="C995">
        <f>IF(Sheet1!B995&gt;0,1,0)</f>
        <v>0</v>
      </c>
    </row>
    <row r="996" spans="1:3" x14ac:dyDescent="0.25">
      <c r="A996" s="15">
        <f>Sheet1!A996</f>
        <v>0</v>
      </c>
      <c r="B996">
        <f>Sheet1!B996</f>
        <v>0</v>
      </c>
      <c r="C996">
        <f>IF(Sheet1!B996&gt;0,1,0)</f>
        <v>0</v>
      </c>
    </row>
    <row r="997" spans="1:3" x14ac:dyDescent="0.25">
      <c r="A997" s="15">
        <f>Sheet1!A997</f>
        <v>0</v>
      </c>
      <c r="B997">
        <f>Sheet1!B997</f>
        <v>1.65</v>
      </c>
      <c r="C997">
        <f>IF(Sheet1!B997&gt;0,1,0)</f>
        <v>1</v>
      </c>
    </row>
    <row r="998" spans="1:3" x14ac:dyDescent="0.25">
      <c r="A998" s="15">
        <f>Sheet1!A998</f>
        <v>0</v>
      </c>
      <c r="B998">
        <f>Sheet1!B998</f>
        <v>0</v>
      </c>
      <c r="C998">
        <f>IF(Sheet1!B998&gt;0,1,0)</f>
        <v>0</v>
      </c>
    </row>
    <row r="999" spans="1:3" x14ac:dyDescent="0.25">
      <c r="A999" s="15">
        <f>Sheet1!A999</f>
        <v>0</v>
      </c>
      <c r="B999">
        <f>Sheet1!B999</f>
        <v>0</v>
      </c>
      <c r="C999">
        <f>IF(Sheet1!B999&gt;0,1,0)</f>
        <v>0</v>
      </c>
    </row>
    <row r="1000" spans="1:3" x14ac:dyDescent="0.25">
      <c r="A1000" s="15">
        <f>Sheet1!A1000</f>
        <v>0</v>
      </c>
      <c r="B1000">
        <f>Sheet1!B1000</f>
        <v>0</v>
      </c>
      <c r="C1000">
        <f>IF(Sheet1!B1000&gt;0,1,0)</f>
        <v>0</v>
      </c>
    </row>
    <row r="1001" spans="1:3" x14ac:dyDescent="0.25">
      <c r="A1001" s="15">
        <f>Sheet1!A1001</f>
        <v>0</v>
      </c>
      <c r="B1001">
        <f>Sheet1!B1001</f>
        <v>1.41</v>
      </c>
      <c r="C1001">
        <f>IF(Sheet1!B1001&gt;0,1,0)</f>
        <v>1</v>
      </c>
    </row>
    <row r="1002" spans="1:3" x14ac:dyDescent="0.25">
      <c r="A1002" s="15">
        <f>Sheet1!A1002</f>
        <v>0</v>
      </c>
      <c r="B1002">
        <f>Sheet1!B1002</f>
        <v>0</v>
      </c>
      <c r="C1002">
        <f>IF(Sheet1!B1002&gt;0,1,0)</f>
        <v>0</v>
      </c>
    </row>
    <row r="1003" spans="1:3" x14ac:dyDescent="0.25">
      <c r="A1003" s="15">
        <f>Sheet1!A1003</f>
        <v>0</v>
      </c>
      <c r="B1003">
        <f>Sheet1!B1003</f>
        <v>0</v>
      </c>
      <c r="C1003">
        <f>IF(Sheet1!B1003&gt;0,1,0)</f>
        <v>0</v>
      </c>
    </row>
    <row r="1004" spans="1:3" x14ac:dyDescent="0.25">
      <c r="A1004" s="15">
        <f>Sheet1!A1004</f>
        <v>0</v>
      </c>
      <c r="B1004">
        <f>Sheet1!B1004</f>
        <v>0</v>
      </c>
      <c r="C1004">
        <f>IF(Sheet1!B1004&gt;0,1,0)</f>
        <v>0</v>
      </c>
    </row>
    <row r="1005" spans="1:3" x14ac:dyDescent="0.25">
      <c r="A1005" s="15">
        <f>Sheet1!A1005</f>
        <v>0</v>
      </c>
      <c r="B1005">
        <f>Sheet1!B1005</f>
        <v>0.84</v>
      </c>
      <c r="C1005">
        <f>IF(Sheet1!B1005&gt;0,1,0)</f>
        <v>1</v>
      </c>
    </row>
    <row r="1006" spans="1:3" x14ac:dyDescent="0.25">
      <c r="A1006" s="15">
        <f>Sheet1!A1006</f>
        <v>0</v>
      </c>
      <c r="B1006">
        <f>Sheet1!B1006</f>
        <v>1.59</v>
      </c>
      <c r="C1006">
        <f>IF(Sheet1!B1006&gt;0,1,0)</f>
        <v>1</v>
      </c>
    </row>
    <row r="1007" spans="1:3" x14ac:dyDescent="0.25">
      <c r="A1007" s="15">
        <f>Sheet1!A1007</f>
        <v>0</v>
      </c>
      <c r="B1007">
        <f>Sheet1!B1007</f>
        <v>0.85</v>
      </c>
      <c r="C1007">
        <f>IF(Sheet1!B1007&gt;0,1,0)</f>
        <v>1</v>
      </c>
    </row>
    <row r="1008" spans="1:3" x14ac:dyDescent="0.25">
      <c r="A1008" s="15">
        <f>Sheet1!A1008</f>
        <v>0</v>
      </c>
      <c r="B1008">
        <f>Sheet1!B1008</f>
        <v>0.67</v>
      </c>
      <c r="C1008">
        <f>IF(Sheet1!B1008&gt;0,1,0)</f>
        <v>1</v>
      </c>
    </row>
    <row r="1009" spans="1:3" x14ac:dyDescent="0.25">
      <c r="A1009" s="15">
        <f>Sheet1!A1009</f>
        <v>0</v>
      </c>
      <c r="B1009">
        <f>Sheet1!B1009</f>
        <v>1.38</v>
      </c>
      <c r="C1009">
        <f>IF(Sheet1!B1009&gt;0,1,0)</f>
        <v>1</v>
      </c>
    </row>
    <row r="1010" spans="1:3" x14ac:dyDescent="0.25">
      <c r="A1010" s="15">
        <f>Sheet1!A1010</f>
        <v>0</v>
      </c>
      <c r="B1010">
        <f>Sheet1!B1010</f>
        <v>1.1000000000000001</v>
      </c>
      <c r="C1010">
        <f>IF(Sheet1!B1010&gt;0,1,0)</f>
        <v>1</v>
      </c>
    </row>
    <row r="1011" spans="1:3" x14ac:dyDescent="0.25">
      <c r="A1011" s="15">
        <f>Sheet1!A1011</f>
        <v>0</v>
      </c>
      <c r="B1011">
        <f>Sheet1!B1011</f>
        <v>0.96</v>
      </c>
      <c r="C1011">
        <f>IF(Sheet1!B1011&gt;0,1,0)</f>
        <v>1</v>
      </c>
    </row>
    <row r="1012" spans="1:3" x14ac:dyDescent="0.25">
      <c r="A1012" s="15">
        <f>Sheet1!A1012</f>
        <v>0</v>
      </c>
      <c r="B1012">
        <f>Sheet1!B1012</f>
        <v>0.91</v>
      </c>
      <c r="C1012">
        <f>IF(Sheet1!B1012&gt;0,1,0)</f>
        <v>1</v>
      </c>
    </row>
    <row r="1013" spans="1:3" x14ac:dyDescent="0.25">
      <c r="A1013" s="15">
        <f>Sheet1!A1013</f>
        <v>0</v>
      </c>
      <c r="B1013">
        <f>Sheet1!B1013</f>
        <v>1.42</v>
      </c>
      <c r="C1013">
        <f>IF(Sheet1!B1013&gt;0,1,0)</f>
        <v>1</v>
      </c>
    </row>
    <row r="1014" spans="1:3" x14ac:dyDescent="0.25">
      <c r="A1014" s="15">
        <f>Sheet1!A1014</f>
        <v>0</v>
      </c>
      <c r="B1014">
        <f>Sheet1!B1014</f>
        <v>0</v>
      </c>
      <c r="C1014">
        <f>IF(Sheet1!B1014&gt;0,1,0)</f>
        <v>0</v>
      </c>
    </row>
    <row r="1015" spans="1:3" x14ac:dyDescent="0.25">
      <c r="A1015" s="15">
        <f>Sheet1!A1015</f>
        <v>0</v>
      </c>
      <c r="B1015">
        <f>Sheet1!B1015</f>
        <v>0</v>
      </c>
      <c r="C1015">
        <f>IF(Sheet1!B1015&gt;0,1,0)</f>
        <v>0</v>
      </c>
    </row>
    <row r="1016" spans="1:3" x14ac:dyDescent="0.25">
      <c r="A1016" s="15">
        <f>Sheet1!A1016</f>
        <v>0</v>
      </c>
      <c r="B1016">
        <f>Sheet1!B1016</f>
        <v>0</v>
      </c>
      <c r="C1016">
        <f>IF(Sheet1!B1016&gt;0,1,0)</f>
        <v>0</v>
      </c>
    </row>
    <row r="1017" spans="1:3" x14ac:dyDescent="0.25">
      <c r="A1017" s="15">
        <f>Sheet1!A1017</f>
        <v>0</v>
      </c>
      <c r="B1017">
        <f>Sheet1!B1017</f>
        <v>0</v>
      </c>
      <c r="C1017">
        <f>IF(Sheet1!B1017&gt;0,1,0)</f>
        <v>0</v>
      </c>
    </row>
    <row r="1018" spans="1:3" x14ac:dyDescent="0.25">
      <c r="A1018" s="15">
        <f>Sheet1!A1018</f>
        <v>0</v>
      </c>
      <c r="B1018">
        <f>Sheet1!B1018</f>
        <v>0.96</v>
      </c>
      <c r="C1018">
        <f>IF(Sheet1!B1018&gt;0,1,0)</f>
        <v>1</v>
      </c>
    </row>
    <row r="1019" spans="1:3" x14ac:dyDescent="0.25">
      <c r="A1019" s="15">
        <f>Sheet1!A1019</f>
        <v>0</v>
      </c>
      <c r="B1019">
        <f>Sheet1!B1019</f>
        <v>1.05</v>
      </c>
      <c r="C1019">
        <f>IF(Sheet1!B1019&gt;0,1,0)</f>
        <v>1</v>
      </c>
    </row>
    <row r="1020" spans="1:3" x14ac:dyDescent="0.25">
      <c r="A1020" s="15">
        <f>Sheet1!A1020</f>
        <v>0</v>
      </c>
      <c r="B1020">
        <f>Sheet1!B1020</f>
        <v>0.75</v>
      </c>
      <c r="C1020">
        <f>IF(Sheet1!B1020&gt;0,1,0)</f>
        <v>1</v>
      </c>
    </row>
    <row r="1021" spans="1:3" x14ac:dyDescent="0.25">
      <c r="A1021" s="15">
        <f>Sheet1!A1021</f>
        <v>0</v>
      </c>
      <c r="B1021">
        <f>Sheet1!B1021</f>
        <v>1.02</v>
      </c>
      <c r="C1021">
        <f>IF(Sheet1!B1021&gt;0,1,0)</f>
        <v>1</v>
      </c>
    </row>
    <row r="1022" spans="1:3" x14ac:dyDescent="0.25">
      <c r="A1022" s="15">
        <f>Sheet1!A1022</f>
        <v>0</v>
      </c>
      <c r="B1022">
        <f>Sheet1!B1022</f>
        <v>0</v>
      </c>
      <c r="C1022">
        <f>IF(Sheet1!B1022&gt;0,1,0)</f>
        <v>0</v>
      </c>
    </row>
    <row r="1023" spans="1:3" x14ac:dyDescent="0.25">
      <c r="A1023" s="15">
        <f>Sheet1!A1023</f>
        <v>0</v>
      </c>
      <c r="B1023">
        <f>Sheet1!B1023</f>
        <v>0</v>
      </c>
      <c r="C1023">
        <f>IF(Sheet1!B1023&gt;0,1,0)</f>
        <v>0</v>
      </c>
    </row>
    <row r="1024" spans="1:3" x14ac:dyDescent="0.25">
      <c r="A1024" s="15">
        <f>Sheet1!A1024</f>
        <v>0</v>
      </c>
      <c r="B1024">
        <f>Sheet1!B1024</f>
        <v>0</v>
      </c>
      <c r="C1024">
        <f>IF(Sheet1!B1024&gt;0,1,0)</f>
        <v>0</v>
      </c>
    </row>
    <row r="1025" spans="1:3" x14ac:dyDescent="0.25">
      <c r="A1025" s="15">
        <f>Sheet1!A1025</f>
        <v>0</v>
      </c>
      <c r="B1025">
        <f>Sheet1!B1025</f>
        <v>0.8</v>
      </c>
      <c r="C1025">
        <f>IF(Sheet1!B1025&gt;0,1,0)</f>
        <v>1</v>
      </c>
    </row>
    <row r="1026" spans="1:3" x14ac:dyDescent="0.25">
      <c r="A1026" s="15">
        <f>Sheet1!A1026</f>
        <v>0</v>
      </c>
      <c r="B1026">
        <f>Sheet1!B1026</f>
        <v>0</v>
      </c>
      <c r="C1026">
        <f>IF(Sheet1!B1026&gt;0,1,0)</f>
        <v>0</v>
      </c>
    </row>
    <row r="1027" spans="1:3" x14ac:dyDescent="0.25">
      <c r="A1027" s="15">
        <f>Sheet1!A1027</f>
        <v>0</v>
      </c>
      <c r="B1027">
        <f>Sheet1!B1027</f>
        <v>0</v>
      </c>
      <c r="C1027">
        <f>IF(Sheet1!B1027&gt;0,1,0)</f>
        <v>0</v>
      </c>
    </row>
    <row r="1028" spans="1:3" x14ac:dyDescent="0.25">
      <c r="A1028" s="15">
        <f>Sheet1!A1028</f>
        <v>0</v>
      </c>
      <c r="B1028">
        <f>Sheet1!B1028</f>
        <v>0</v>
      </c>
      <c r="C1028">
        <f>IF(Sheet1!B1028&gt;0,1,0)</f>
        <v>0</v>
      </c>
    </row>
    <row r="1029" spans="1:3" x14ac:dyDescent="0.25">
      <c r="A1029" s="15">
        <f>Sheet1!A1029</f>
        <v>0</v>
      </c>
      <c r="B1029">
        <f>Sheet1!B1029</f>
        <v>0.65</v>
      </c>
      <c r="C1029">
        <f>IF(Sheet1!B1029&gt;0,1,0)</f>
        <v>1</v>
      </c>
    </row>
    <row r="1030" spans="1:3" x14ac:dyDescent="0.25">
      <c r="A1030" s="15">
        <f>Sheet1!A1030</f>
        <v>0</v>
      </c>
      <c r="B1030">
        <f>Sheet1!B1030</f>
        <v>0.82</v>
      </c>
      <c r="C1030">
        <f>IF(Sheet1!B1030&gt;0,1,0)</f>
        <v>1</v>
      </c>
    </row>
    <row r="1031" spans="1:3" x14ac:dyDescent="0.25">
      <c r="A1031" s="15">
        <f>Sheet1!A1031</f>
        <v>0</v>
      </c>
      <c r="B1031">
        <f>Sheet1!B1031</f>
        <v>0.96</v>
      </c>
      <c r="C1031">
        <f>IF(Sheet1!B1031&gt;0,1,0)</f>
        <v>1</v>
      </c>
    </row>
    <row r="1032" spans="1:3" x14ac:dyDescent="0.25">
      <c r="A1032" s="15">
        <f>Sheet1!A1032</f>
        <v>0</v>
      </c>
      <c r="B1032">
        <f>Sheet1!B1032</f>
        <v>0.87</v>
      </c>
      <c r="C1032">
        <f>IF(Sheet1!B1032&gt;0,1,0)</f>
        <v>1</v>
      </c>
    </row>
    <row r="1033" spans="1:3" x14ac:dyDescent="0.25">
      <c r="A1033" s="15">
        <f>Sheet1!A1033</f>
        <v>0</v>
      </c>
      <c r="B1033">
        <f>Sheet1!B1033</f>
        <v>1.02</v>
      </c>
      <c r="C1033">
        <f>IF(Sheet1!B1033&gt;0,1,0)</f>
        <v>1</v>
      </c>
    </row>
    <row r="1034" spans="1:3" x14ac:dyDescent="0.25">
      <c r="A1034" s="15">
        <f>Sheet1!A1034</f>
        <v>0</v>
      </c>
      <c r="B1034">
        <f>Sheet1!B1034</f>
        <v>0.94</v>
      </c>
      <c r="C1034">
        <f>IF(Sheet1!B1034&gt;0,1,0)</f>
        <v>1</v>
      </c>
    </row>
    <row r="1035" spans="1:3" x14ac:dyDescent="0.25">
      <c r="A1035" s="15">
        <f>Sheet1!A1035</f>
        <v>0</v>
      </c>
      <c r="B1035">
        <f>Sheet1!B1035</f>
        <v>1.1200000000000001</v>
      </c>
      <c r="C1035">
        <f>IF(Sheet1!B1035&gt;0,1,0)</f>
        <v>1</v>
      </c>
    </row>
    <row r="1036" spans="1:3" x14ac:dyDescent="0.25">
      <c r="A1036" s="15">
        <f>Sheet1!A1036</f>
        <v>0</v>
      </c>
      <c r="B1036">
        <f>Sheet1!B1036</f>
        <v>0.9</v>
      </c>
      <c r="C1036">
        <f>IF(Sheet1!B1036&gt;0,1,0)</f>
        <v>1</v>
      </c>
    </row>
    <row r="1037" spans="1:3" x14ac:dyDescent="0.25">
      <c r="A1037" s="15">
        <f>Sheet1!A1037</f>
        <v>0</v>
      </c>
      <c r="B1037">
        <f>Sheet1!B1037</f>
        <v>1.31</v>
      </c>
      <c r="C1037">
        <f>IF(Sheet1!B1037&gt;0,1,0)</f>
        <v>1</v>
      </c>
    </row>
    <row r="1038" spans="1:3" x14ac:dyDescent="0.25">
      <c r="A1038" s="15">
        <f>Sheet1!A1038</f>
        <v>0</v>
      </c>
      <c r="B1038">
        <f>Sheet1!B1038</f>
        <v>1</v>
      </c>
      <c r="C1038">
        <f>IF(Sheet1!B1038&gt;0,1,0)</f>
        <v>1</v>
      </c>
    </row>
    <row r="1039" spans="1:3" x14ac:dyDescent="0.25">
      <c r="A1039" s="15">
        <f>Sheet1!A1039</f>
        <v>0</v>
      </c>
      <c r="B1039">
        <f>Sheet1!B1039</f>
        <v>0.78</v>
      </c>
      <c r="C1039">
        <f>IF(Sheet1!B1039&gt;0,1,0)</f>
        <v>1</v>
      </c>
    </row>
    <row r="1040" spans="1:3" x14ac:dyDescent="0.25">
      <c r="A1040" s="15">
        <f>Sheet1!A1040</f>
        <v>0</v>
      </c>
      <c r="B1040">
        <f>Sheet1!B1040</f>
        <v>1.24</v>
      </c>
      <c r="C1040">
        <f>IF(Sheet1!B1040&gt;0,1,0)</f>
        <v>1</v>
      </c>
    </row>
    <row r="1041" spans="1:3" x14ac:dyDescent="0.25">
      <c r="A1041" s="15">
        <f>Sheet1!A1041</f>
        <v>0</v>
      </c>
      <c r="B1041">
        <f>Sheet1!B1041</f>
        <v>1</v>
      </c>
      <c r="C1041">
        <f>IF(Sheet1!B1041&gt;0,1,0)</f>
        <v>1</v>
      </c>
    </row>
    <row r="1042" spans="1:3" x14ac:dyDescent="0.25">
      <c r="A1042" s="15">
        <f>Sheet1!A1042</f>
        <v>0</v>
      </c>
      <c r="B1042">
        <f>Sheet1!B1042</f>
        <v>1.19</v>
      </c>
      <c r="C1042">
        <f>IF(Sheet1!B1042&gt;0,1,0)</f>
        <v>1</v>
      </c>
    </row>
    <row r="1043" spans="1:3" x14ac:dyDescent="0.25">
      <c r="A1043" s="15">
        <f>Sheet1!A1043</f>
        <v>0</v>
      </c>
      <c r="B1043">
        <f>Sheet1!B1043</f>
        <v>0</v>
      </c>
      <c r="C1043">
        <f>IF(Sheet1!B1043&gt;0,1,0)</f>
        <v>0</v>
      </c>
    </row>
    <row r="1044" spans="1:3" x14ac:dyDescent="0.25">
      <c r="A1044" s="15">
        <f>Sheet1!A1044</f>
        <v>0</v>
      </c>
      <c r="B1044">
        <f>Sheet1!B1044</f>
        <v>0</v>
      </c>
      <c r="C1044">
        <f>IF(Sheet1!B1044&gt;0,1,0)</f>
        <v>0</v>
      </c>
    </row>
    <row r="1045" spans="1:3" x14ac:dyDescent="0.25">
      <c r="A1045" s="15">
        <f>Sheet1!A1045</f>
        <v>0</v>
      </c>
      <c r="B1045">
        <f>Sheet1!B1045</f>
        <v>1.42</v>
      </c>
      <c r="C1045">
        <f>IF(Sheet1!B1045&gt;0,1,0)</f>
        <v>1</v>
      </c>
    </row>
    <row r="1046" spans="1:3" x14ac:dyDescent="0.25">
      <c r="A1046" s="15">
        <f>Sheet1!A1046</f>
        <v>0</v>
      </c>
      <c r="B1046">
        <f>Sheet1!B1046</f>
        <v>3.48</v>
      </c>
      <c r="C1046">
        <f>IF(Sheet1!B1046&gt;0,1,0)</f>
        <v>1</v>
      </c>
    </row>
    <row r="1047" spans="1:3" x14ac:dyDescent="0.25">
      <c r="A1047" s="15">
        <f>Sheet1!A1047</f>
        <v>0</v>
      </c>
      <c r="B1047">
        <f>Sheet1!B1047</f>
        <v>1.98</v>
      </c>
      <c r="C1047">
        <f>IF(Sheet1!B1047&gt;0,1,0)</f>
        <v>1</v>
      </c>
    </row>
    <row r="1048" spans="1:3" x14ac:dyDescent="0.25">
      <c r="A1048" s="15">
        <f>Sheet1!A1048</f>
        <v>0</v>
      </c>
      <c r="B1048">
        <f>Sheet1!B1048</f>
        <v>0.93</v>
      </c>
      <c r="C1048">
        <f>IF(Sheet1!B1048&gt;0,1,0)</f>
        <v>1</v>
      </c>
    </row>
    <row r="1049" spans="1:3" x14ac:dyDescent="0.25">
      <c r="A1049" s="15">
        <f>Sheet1!A1049</f>
        <v>0</v>
      </c>
      <c r="B1049">
        <f>Sheet1!B1049</f>
        <v>0.84</v>
      </c>
      <c r="C1049">
        <f>IF(Sheet1!B1049&gt;0,1,0)</f>
        <v>1</v>
      </c>
    </row>
    <row r="1050" spans="1:3" x14ac:dyDescent="0.25">
      <c r="A1050" s="15">
        <f>Sheet1!A1050</f>
        <v>0</v>
      </c>
      <c r="B1050">
        <f>Sheet1!B1050</f>
        <v>1.4</v>
      </c>
      <c r="C1050">
        <f>IF(Sheet1!B1050&gt;0,1,0)</f>
        <v>1</v>
      </c>
    </row>
    <row r="1051" spans="1:3" x14ac:dyDescent="0.25">
      <c r="A1051" s="15">
        <f>Sheet1!A1051</f>
        <v>0</v>
      </c>
      <c r="B1051">
        <f>Sheet1!B1051</f>
        <v>1.2</v>
      </c>
      <c r="C1051">
        <f>IF(Sheet1!B1051&gt;0,1,0)</f>
        <v>1</v>
      </c>
    </row>
    <row r="1052" spans="1:3" x14ac:dyDescent="0.25">
      <c r="A1052" s="15">
        <f>Sheet1!A1052</f>
        <v>0</v>
      </c>
      <c r="B1052">
        <f>Sheet1!B1052</f>
        <v>1.03</v>
      </c>
      <c r="C1052">
        <f>IF(Sheet1!B1052&gt;0,1,0)</f>
        <v>1</v>
      </c>
    </row>
    <row r="1053" spans="1:3" x14ac:dyDescent="0.25">
      <c r="A1053" s="15">
        <f>Sheet1!A1053</f>
        <v>0</v>
      </c>
      <c r="B1053">
        <f>Sheet1!B1053</f>
        <v>0.68</v>
      </c>
      <c r="C1053">
        <f>IF(Sheet1!B1053&gt;0,1,0)</f>
        <v>1</v>
      </c>
    </row>
    <row r="1054" spans="1:3" x14ac:dyDescent="0.25">
      <c r="A1054" s="15">
        <f>Sheet1!A1054</f>
        <v>0</v>
      </c>
      <c r="B1054">
        <f>Sheet1!B1054</f>
        <v>0.97</v>
      </c>
      <c r="C1054">
        <f>IF(Sheet1!B1054&gt;0,1,0)</f>
        <v>1</v>
      </c>
    </row>
    <row r="1055" spans="1:3" x14ac:dyDescent="0.25">
      <c r="A1055" s="15">
        <f>Sheet1!A1055</f>
        <v>0</v>
      </c>
      <c r="B1055">
        <f>Sheet1!B1055</f>
        <v>0.78</v>
      </c>
      <c r="C1055">
        <f>IF(Sheet1!B1055&gt;0,1,0)</f>
        <v>1</v>
      </c>
    </row>
    <row r="1056" spans="1:3" x14ac:dyDescent="0.25">
      <c r="A1056" s="15">
        <f>Sheet1!A1056</f>
        <v>0</v>
      </c>
      <c r="B1056">
        <f>Sheet1!B1056</f>
        <v>0.97</v>
      </c>
      <c r="C1056">
        <f>IF(Sheet1!B1056&gt;0,1,0)</f>
        <v>1</v>
      </c>
    </row>
    <row r="1057" spans="1:3" x14ac:dyDescent="0.25">
      <c r="A1057" s="15">
        <f>Sheet1!A1057</f>
        <v>0</v>
      </c>
      <c r="B1057">
        <f>Sheet1!B1057</f>
        <v>1.1000000000000001</v>
      </c>
      <c r="C1057">
        <f>IF(Sheet1!B1057&gt;0,1,0)</f>
        <v>1</v>
      </c>
    </row>
    <row r="1058" spans="1:3" x14ac:dyDescent="0.25">
      <c r="A1058" s="15">
        <f>Sheet1!A1058</f>
        <v>0</v>
      </c>
      <c r="B1058">
        <f>Sheet1!B1058</f>
        <v>1.17</v>
      </c>
      <c r="C1058">
        <f>IF(Sheet1!B1058&gt;0,1,0)</f>
        <v>1</v>
      </c>
    </row>
    <row r="1059" spans="1:3" x14ac:dyDescent="0.25">
      <c r="A1059" s="15">
        <f>Sheet1!A1059</f>
        <v>0</v>
      </c>
      <c r="B1059">
        <f>Sheet1!B1059</f>
        <v>1.1000000000000001</v>
      </c>
      <c r="C1059">
        <f>IF(Sheet1!B1059&gt;0,1,0)</f>
        <v>1</v>
      </c>
    </row>
    <row r="1060" spans="1:3" x14ac:dyDescent="0.25">
      <c r="A1060" s="15">
        <f>Sheet1!A1060</f>
        <v>0</v>
      </c>
      <c r="B1060">
        <f>Sheet1!B1060</f>
        <v>1.1299999999999999</v>
      </c>
      <c r="C1060">
        <f>IF(Sheet1!B1060&gt;0,1,0)</f>
        <v>1</v>
      </c>
    </row>
    <row r="1061" spans="1:3" x14ac:dyDescent="0.25">
      <c r="A1061" s="15">
        <f>Sheet1!A1061</f>
        <v>0</v>
      </c>
      <c r="B1061">
        <f>Sheet1!B1061</f>
        <v>1.54</v>
      </c>
      <c r="C1061">
        <f>IF(Sheet1!B1061&gt;0,1,0)</f>
        <v>1</v>
      </c>
    </row>
    <row r="1062" spans="1:3" x14ac:dyDescent="0.25">
      <c r="A1062" s="15">
        <f>Sheet1!A1062</f>
        <v>0</v>
      </c>
      <c r="B1062">
        <f>Sheet1!B1062</f>
        <v>1.35</v>
      </c>
      <c r="C1062">
        <f>IF(Sheet1!B1062&gt;0,1,0)</f>
        <v>1</v>
      </c>
    </row>
    <row r="1063" spans="1:3" x14ac:dyDescent="0.25">
      <c r="A1063" s="15">
        <f>Sheet1!A1063</f>
        <v>0</v>
      </c>
      <c r="B1063">
        <f>Sheet1!B1063</f>
        <v>1.22</v>
      </c>
      <c r="C1063">
        <f>IF(Sheet1!B1063&gt;0,1,0)</f>
        <v>1</v>
      </c>
    </row>
    <row r="1064" spans="1:3" x14ac:dyDescent="0.25">
      <c r="A1064" s="15">
        <f>Sheet1!A1064</f>
        <v>0</v>
      </c>
      <c r="B1064">
        <f>Sheet1!B1064</f>
        <v>1.37</v>
      </c>
      <c r="C1064">
        <f>IF(Sheet1!B1064&gt;0,1,0)</f>
        <v>1</v>
      </c>
    </row>
    <row r="1065" spans="1:3" x14ac:dyDescent="0.25">
      <c r="A1065" s="15">
        <f>Sheet1!A1065</f>
        <v>0</v>
      </c>
      <c r="B1065">
        <f>Sheet1!B1065</f>
        <v>1.05</v>
      </c>
      <c r="C1065">
        <f>IF(Sheet1!B1065&gt;0,1,0)</f>
        <v>1</v>
      </c>
    </row>
    <row r="1066" spans="1:3" x14ac:dyDescent="0.25">
      <c r="A1066" s="15">
        <f>Sheet1!A1066</f>
        <v>0</v>
      </c>
      <c r="B1066">
        <f>Sheet1!B1066</f>
        <v>0</v>
      </c>
      <c r="C1066">
        <f>IF(Sheet1!B1066&gt;0,1,0)</f>
        <v>0</v>
      </c>
    </row>
    <row r="1067" spans="1:3" x14ac:dyDescent="0.25">
      <c r="A1067" s="15">
        <f>Sheet1!A1067</f>
        <v>0</v>
      </c>
      <c r="B1067">
        <f>Sheet1!B1067</f>
        <v>0</v>
      </c>
      <c r="C1067">
        <f>IF(Sheet1!B1067&gt;0,1,0)</f>
        <v>0</v>
      </c>
    </row>
    <row r="1068" spans="1:3" x14ac:dyDescent="0.25">
      <c r="A1068" s="15">
        <f>Sheet1!A1068</f>
        <v>0</v>
      </c>
      <c r="B1068">
        <f>Sheet1!B1068</f>
        <v>1.92</v>
      </c>
      <c r="C1068">
        <f>IF(Sheet1!B1068&gt;0,1,0)</f>
        <v>1</v>
      </c>
    </row>
    <row r="1069" spans="1:3" x14ac:dyDescent="0.25">
      <c r="A1069" s="15">
        <f>Sheet1!A1069</f>
        <v>0</v>
      </c>
      <c r="B1069">
        <f>Sheet1!B1069</f>
        <v>1.02</v>
      </c>
      <c r="C1069">
        <f>IF(Sheet1!B1069&gt;0,1,0)</f>
        <v>1</v>
      </c>
    </row>
    <row r="1070" spans="1:3" x14ac:dyDescent="0.25">
      <c r="A1070" s="15">
        <f>Sheet1!A1070</f>
        <v>0</v>
      </c>
      <c r="B1070">
        <f>Sheet1!B1070</f>
        <v>0</v>
      </c>
      <c r="C1070">
        <f>IF(Sheet1!B1070&gt;0,1,0)</f>
        <v>0</v>
      </c>
    </row>
    <row r="1071" spans="1:3" x14ac:dyDescent="0.25">
      <c r="A1071" s="15">
        <f>Sheet1!A1071</f>
        <v>0</v>
      </c>
      <c r="B1071">
        <f>Sheet1!B1071</f>
        <v>0</v>
      </c>
      <c r="C1071">
        <f>IF(Sheet1!B1071&gt;0,1,0)</f>
        <v>0</v>
      </c>
    </row>
    <row r="1072" spans="1:3" x14ac:dyDescent="0.25">
      <c r="A1072" s="15">
        <f>Sheet1!A1072</f>
        <v>0</v>
      </c>
      <c r="B1072">
        <f>Sheet1!B1072</f>
        <v>0</v>
      </c>
      <c r="C1072">
        <f>IF(Sheet1!B1072&gt;0,1,0)</f>
        <v>0</v>
      </c>
    </row>
    <row r="1073" spans="1:3" x14ac:dyDescent="0.25">
      <c r="A1073" s="15">
        <f>Sheet1!A1073</f>
        <v>0</v>
      </c>
      <c r="B1073">
        <f>Sheet1!B1073</f>
        <v>1.01</v>
      </c>
      <c r="C1073">
        <f>IF(Sheet1!B1073&gt;0,1,0)</f>
        <v>1</v>
      </c>
    </row>
    <row r="1074" spans="1:3" x14ac:dyDescent="0.25">
      <c r="A1074" s="15">
        <f>Sheet1!A1074</f>
        <v>0</v>
      </c>
      <c r="B1074">
        <f>Sheet1!B1074</f>
        <v>0</v>
      </c>
      <c r="C1074">
        <f>IF(Sheet1!B1074&gt;0,1,0)</f>
        <v>0</v>
      </c>
    </row>
    <row r="1075" spans="1:3" x14ac:dyDescent="0.25">
      <c r="A1075" s="15">
        <f>Sheet1!A1075</f>
        <v>0</v>
      </c>
      <c r="B1075">
        <f>Sheet1!B1075</f>
        <v>0</v>
      </c>
      <c r="C1075">
        <f>IF(Sheet1!B1075&gt;0,1,0)</f>
        <v>0</v>
      </c>
    </row>
    <row r="1076" spans="1:3" x14ac:dyDescent="0.25">
      <c r="A1076" s="15">
        <f>Sheet1!A1076</f>
        <v>0</v>
      </c>
      <c r="B1076">
        <f>Sheet1!B1076</f>
        <v>0</v>
      </c>
      <c r="C1076">
        <f>IF(Sheet1!B1076&gt;0,1,0)</f>
        <v>0</v>
      </c>
    </row>
    <row r="1077" spans="1:3" x14ac:dyDescent="0.25">
      <c r="A1077" s="15">
        <f>Sheet1!A1077</f>
        <v>0</v>
      </c>
      <c r="B1077">
        <f>Sheet1!B1077</f>
        <v>0</v>
      </c>
      <c r="C1077">
        <f>IF(Sheet1!B1077&gt;0,1,0)</f>
        <v>0</v>
      </c>
    </row>
    <row r="1078" spans="1:3" x14ac:dyDescent="0.25">
      <c r="A1078" s="15">
        <f>Sheet1!A1078</f>
        <v>0</v>
      </c>
      <c r="B1078">
        <f>Sheet1!B1078</f>
        <v>1.06</v>
      </c>
      <c r="C1078">
        <f>IF(Sheet1!B1078&gt;0,1,0)</f>
        <v>1</v>
      </c>
    </row>
    <row r="1079" spans="1:3" x14ac:dyDescent="0.25">
      <c r="A1079" s="15">
        <f>Sheet1!A1079</f>
        <v>0</v>
      </c>
      <c r="B1079">
        <f>Sheet1!B1079</f>
        <v>0.53</v>
      </c>
      <c r="C1079">
        <f>IF(Sheet1!B1079&gt;0,1,0)</f>
        <v>1</v>
      </c>
    </row>
    <row r="1080" spans="1:3" x14ac:dyDescent="0.25">
      <c r="A1080" s="15">
        <f>Sheet1!A1080</f>
        <v>0</v>
      </c>
      <c r="B1080">
        <f>Sheet1!B1080</f>
        <v>0.69</v>
      </c>
      <c r="C1080">
        <f>IF(Sheet1!B1080&gt;0,1,0)</f>
        <v>1</v>
      </c>
    </row>
    <row r="1081" spans="1:3" x14ac:dyDescent="0.25">
      <c r="A1081" s="15">
        <f>Sheet1!A1081</f>
        <v>0</v>
      </c>
      <c r="B1081">
        <f>Sheet1!B1081</f>
        <v>1.41</v>
      </c>
      <c r="C1081">
        <f>IF(Sheet1!B1081&gt;0,1,0)</f>
        <v>1</v>
      </c>
    </row>
    <row r="1082" spans="1:3" x14ac:dyDescent="0.25">
      <c r="A1082" s="15">
        <f>Sheet1!A1082</f>
        <v>0</v>
      </c>
      <c r="B1082">
        <f>Sheet1!B1082</f>
        <v>1.29</v>
      </c>
      <c r="C1082">
        <f>IF(Sheet1!B1082&gt;0,1,0)</f>
        <v>1</v>
      </c>
    </row>
    <row r="1083" spans="1:3" x14ac:dyDescent="0.25">
      <c r="A1083" s="15">
        <f>Sheet1!A1083</f>
        <v>0</v>
      </c>
      <c r="B1083">
        <f>Sheet1!B1083</f>
        <v>1.45</v>
      </c>
      <c r="C1083">
        <f>IF(Sheet1!B1083&gt;0,1,0)</f>
        <v>1</v>
      </c>
    </row>
    <row r="1084" spans="1:3" x14ac:dyDescent="0.25">
      <c r="A1084" s="15">
        <f>Sheet1!A1084</f>
        <v>0</v>
      </c>
      <c r="B1084">
        <f>Sheet1!B1084</f>
        <v>1.17</v>
      </c>
      <c r="C1084">
        <f>IF(Sheet1!B1084&gt;0,1,0)</f>
        <v>1</v>
      </c>
    </row>
    <row r="1085" spans="1:3" x14ac:dyDescent="0.25">
      <c r="A1085" s="15">
        <f>Sheet1!A1085</f>
        <v>0</v>
      </c>
      <c r="B1085">
        <f>Sheet1!B1085</f>
        <v>0</v>
      </c>
      <c r="C1085">
        <f>IF(Sheet1!B1085&gt;0,1,0)</f>
        <v>0</v>
      </c>
    </row>
    <row r="1086" spans="1:3" x14ac:dyDescent="0.25">
      <c r="A1086" s="15">
        <f>Sheet1!A1086</f>
        <v>0</v>
      </c>
      <c r="B1086">
        <f>Sheet1!B1086</f>
        <v>0</v>
      </c>
      <c r="C1086">
        <f>IF(Sheet1!B1086&gt;0,1,0)</f>
        <v>0</v>
      </c>
    </row>
    <row r="1087" spans="1:3" x14ac:dyDescent="0.25">
      <c r="A1087" s="15">
        <f>Sheet1!A1087</f>
        <v>0</v>
      </c>
      <c r="B1087">
        <f>Sheet1!B1087</f>
        <v>1.1399999999999999</v>
      </c>
      <c r="C1087">
        <f>IF(Sheet1!B1087&gt;0,1,0)</f>
        <v>1</v>
      </c>
    </row>
    <row r="1088" spans="1:3" x14ac:dyDescent="0.25">
      <c r="A1088" s="15">
        <f>Sheet1!A1088</f>
        <v>0</v>
      </c>
      <c r="B1088">
        <f>Sheet1!B1088</f>
        <v>1.32</v>
      </c>
      <c r="C1088">
        <f>IF(Sheet1!B1088&gt;0,1,0)</f>
        <v>1</v>
      </c>
    </row>
    <row r="1089" spans="1:3" x14ac:dyDescent="0.25">
      <c r="A1089" s="15">
        <f>Sheet1!A1089</f>
        <v>0</v>
      </c>
      <c r="B1089">
        <f>Sheet1!B1089</f>
        <v>0.95</v>
      </c>
      <c r="C1089">
        <f>IF(Sheet1!B1089&gt;0,1,0)</f>
        <v>1</v>
      </c>
    </row>
    <row r="1090" spans="1:3" x14ac:dyDescent="0.25">
      <c r="A1090" s="15">
        <f>Sheet1!A1090</f>
        <v>0</v>
      </c>
      <c r="B1090">
        <f>Sheet1!B1090</f>
        <v>0</v>
      </c>
      <c r="C1090">
        <f>IF(Sheet1!B1090&gt;0,1,0)</f>
        <v>0</v>
      </c>
    </row>
    <row r="1091" spans="1:3" x14ac:dyDescent="0.25">
      <c r="A1091" s="15">
        <f>Sheet1!A1091</f>
        <v>0</v>
      </c>
      <c r="B1091">
        <f>Sheet1!B1091</f>
        <v>0</v>
      </c>
      <c r="C1091">
        <f>IF(Sheet1!B1091&gt;0,1,0)</f>
        <v>0</v>
      </c>
    </row>
    <row r="1092" spans="1:3" x14ac:dyDescent="0.25">
      <c r="A1092" s="15">
        <f>Sheet1!A1092</f>
        <v>0</v>
      </c>
      <c r="B1092">
        <f>Sheet1!B1092</f>
        <v>0.99</v>
      </c>
      <c r="C1092">
        <f>IF(Sheet1!B1092&gt;0,1,0)</f>
        <v>1</v>
      </c>
    </row>
    <row r="1093" spans="1:3" x14ac:dyDescent="0.25">
      <c r="A1093" s="15">
        <f>Sheet1!A1093</f>
        <v>0</v>
      </c>
      <c r="B1093">
        <f>Sheet1!B1093</f>
        <v>0.78</v>
      </c>
      <c r="C1093">
        <f>IF(Sheet1!B1093&gt;0,1,0)</f>
        <v>1</v>
      </c>
    </row>
    <row r="1094" spans="1:3" x14ac:dyDescent="0.25">
      <c r="A1094" s="15">
        <f>Sheet1!A1094</f>
        <v>0</v>
      </c>
      <c r="B1094">
        <f>Sheet1!B1094</f>
        <v>0.22</v>
      </c>
      <c r="C1094">
        <f>IF(Sheet1!B1094&gt;0,1,0)</f>
        <v>1</v>
      </c>
    </row>
    <row r="1095" spans="1:3" x14ac:dyDescent="0.25">
      <c r="A1095" s="15">
        <f>Sheet1!A1095</f>
        <v>0</v>
      </c>
      <c r="B1095">
        <f>Sheet1!B1095</f>
        <v>0</v>
      </c>
      <c r="C1095">
        <f>IF(Sheet1!B1095&gt;0,1,0)</f>
        <v>0</v>
      </c>
    </row>
    <row r="1096" spans="1:3" x14ac:dyDescent="0.25">
      <c r="A1096" s="15">
        <f>Sheet1!A1096</f>
        <v>0</v>
      </c>
      <c r="B1096">
        <f>Sheet1!B1096</f>
        <v>0</v>
      </c>
      <c r="C1096">
        <f>IF(Sheet1!B1096&gt;0,1,0)</f>
        <v>0</v>
      </c>
    </row>
    <row r="1097" spans="1:3" x14ac:dyDescent="0.25">
      <c r="A1097" s="15">
        <f>Sheet1!A1097</f>
        <v>0</v>
      </c>
      <c r="B1097">
        <f>Sheet1!B1097</f>
        <v>0</v>
      </c>
      <c r="C1097">
        <f>IF(Sheet1!B1097&gt;0,1,0)</f>
        <v>0</v>
      </c>
    </row>
    <row r="1098" spans="1:3" x14ac:dyDescent="0.25">
      <c r="A1098" s="15">
        <f>Sheet1!A1098</f>
        <v>0</v>
      </c>
      <c r="B1098">
        <f>Sheet1!B1098</f>
        <v>0.77</v>
      </c>
      <c r="C1098">
        <f>IF(Sheet1!B1098&gt;0,1,0)</f>
        <v>1</v>
      </c>
    </row>
    <row r="1099" spans="1:3" x14ac:dyDescent="0.25">
      <c r="A1099" s="15">
        <f>Sheet1!A1099</f>
        <v>0</v>
      </c>
      <c r="B1099">
        <f>Sheet1!B1099</f>
        <v>1.36</v>
      </c>
      <c r="C1099">
        <f>IF(Sheet1!B1099&gt;0,1,0)</f>
        <v>1</v>
      </c>
    </row>
    <row r="1100" spans="1:3" x14ac:dyDescent="0.25">
      <c r="A1100" s="15">
        <f>Sheet1!A1100</f>
        <v>0</v>
      </c>
      <c r="B1100">
        <f>Sheet1!B1100</f>
        <v>0</v>
      </c>
      <c r="C1100">
        <f>IF(Sheet1!B1100&gt;0,1,0)</f>
        <v>0</v>
      </c>
    </row>
    <row r="1101" spans="1:3" x14ac:dyDescent="0.25">
      <c r="A1101" s="15">
        <f>Sheet1!A1101</f>
        <v>0</v>
      </c>
      <c r="B1101">
        <f>Sheet1!B1101</f>
        <v>0</v>
      </c>
      <c r="C1101">
        <f>IF(Sheet1!B1101&gt;0,1,0)</f>
        <v>0</v>
      </c>
    </row>
    <row r="1102" spans="1:3" x14ac:dyDescent="0.25">
      <c r="A1102" s="15">
        <f>Sheet1!A1102</f>
        <v>0</v>
      </c>
      <c r="B1102">
        <f>Sheet1!B1102</f>
        <v>0</v>
      </c>
      <c r="C1102">
        <f>IF(Sheet1!B1102&gt;0,1,0)</f>
        <v>0</v>
      </c>
    </row>
    <row r="1103" spans="1:3" x14ac:dyDescent="0.25">
      <c r="A1103" s="15">
        <f>Sheet1!A1103</f>
        <v>0</v>
      </c>
      <c r="B1103">
        <f>Sheet1!B1103</f>
        <v>0.92</v>
      </c>
      <c r="C1103">
        <f>IF(Sheet1!B1103&gt;0,1,0)</f>
        <v>1</v>
      </c>
    </row>
    <row r="1104" spans="1:3" x14ac:dyDescent="0.25">
      <c r="A1104" s="15">
        <f>Sheet1!A1104</f>
        <v>0</v>
      </c>
      <c r="B1104">
        <f>Sheet1!B1104</f>
        <v>1.43</v>
      </c>
      <c r="C1104">
        <f>IF(Sheet1!B1104&gt;0,1,0)</f>
        <v>1</v>
      </c>
    </row>
    <row r="1105" spans="1:3" x14ac:dyDescent="0.25">
      <c r="A1105" s="15">
        <f>Sheet1!A1105</f>
        <v>0</v>
      </c>
      <c r="B1105">
        <f>Sheet1!B1105</f>
        <v>1.24</v>
      </c>
      <c r="C1105">
        <f>IF(Sheet1!B1105&gt;0,1,0)</f>
        <v>1</v>
      </c>
    </row>
    <row r="1106" spans="1:3" x14ac:dyDescent="0.25">
      <c r="A1106" s="15">
        <f>Sheet1!A1106</f>
        <v>0</v>
      </c>
      <c r="B1106">
        <f>Sheet1!B1106</f>
        <v>1.51</v>
      </c>
      <c r="C1106">
        <f>IF(Sheet1!B1106&gt;0,1,0)</f>
        <v>1</v>
      </c>
    </row>
    <row r="1107" spans="1:3" x14ac:dyDescent="0.25">
      <c r="A1107" s="15">
        <f>Sheet1!A1107</f>
        <v>0</v>
      </c>
      <c r="B1107">
        <f>Sheet1!B1107</f>
        <v>1.24</v>
      </c>
      <c r="C1107">
        <f>IF(Sheet1!B1107&gt;0,1,0)</f>
        <v>1</v>
      </c>
    </row>
    <row r="1108" spans="1:3" x14ac:dyDescent="0.25">
      <c r="A1108" s="15">
        <f>Sheet1!A1108</f>
        <v>0</v>
      </c>
      <c r="B1108">
        <f>Sheet1!B1108</f>
        <v>1.35</v>
      </c>
      <c r="C1108">
        <f>IF(Sheet1!B1108&gt;0,1,0)</f>
        <v>1</v>
      </c>
    </row>
    <row r="1109" spans="1:3" x14ac:dyDescent="0.25">
      <c r="A1109" s="15">
        <f>Sheet1!A1109</f>
        <v>0</v>
      </c>
      <c r="B1109">
        <f>Sheet1!B1109</f>
        <v>1.49</v>
      </c>
      <c r="C1109">
        <f>IF(Sheet1!B1109&gt;0,1,0)</f>
        <v>1</v>
      </c>
    </row>
    <row r="1110" spans="1:3" x14ac:dyDescent="0.25">
      <c r="A1110" s="15">
        <f>Sheet1!A1110</f>
        <v>0</v>
      </c>
      <c r="B1110">
        <f>Sheet1!B1110</f>
        <v>1.5</v>
      </c>
      <c r="C1110">
        <f>IF(Sheet1!B1110&gt;0,1,0)</f>
        <v>1</v>
      </c>
    </row>
    <row r="1111" spans="1:3" x14ac:dyDescent="0.25">
      <c r="A1111" s="15">
        <f>Sheet1!A1111</f>
        <v>0</v>
      </c>
      <c r="B1111">
        <f>Sheet1!B1111</f>
        <v>1.23</v>
      </c>
      <c r="C1111">
        <f>IF(Sheet1!B1111&gt;0,1,0)</f>
        <v>1</v>
      </c>
    </row>
    <row r="1112" spans="1:3" x14ac:dyDescent="0.25">
      <c r="A1112" s="15">
        <f>Sheet1!A1112</f>
        <v>0</v>
      </c>
      <c r="B1112">
        <f>Sheet1!B1112</f>
        <v>1.06</v>
      </c>
      <c r="C1112">
        <f>IF(Sheet1!B1112&gt;0,1,0)</f>
        <v>1</v>
      </c>
    </row>
    <row r="1113" spans="1:3" x14ac:dyDescent="0.25">
      <c r="A1113" s="15">
        <f>Sheet1!A1113</f>
        <v>0</v>
      </c>
      <c r="B1113">
        <f>Sheet1!B1113</f>
        <v>0.89</v>
      </c>
      <c r="C1113">
        <f>IF(Sheet1!B1113&gt;0,1,0)</f>
        <v>1</v>
      </c>
    </row>
    <row r="1114" spans="1:3" x14ac:dyDescent="0.25">
      <c r="A1114" s="15">
        <f>Sheet1!A1114</f>
        <v>0</v>
      </c>
      <c r="B1114">
        <f>Sheet1!B1114</f>
        <v>1.36</v>
      </c>
      <c r="C1114">
        <f>IF(Sheet1!B1114&gt;0,1,0)</f>
        <v>1</v>
      </c>
    </row>
    <row r="1115" spans="1:3" x14ac:dyDescent="0.25">
      <c r="A1115" s="15">
        <f>Sheet1!A1115</f>
        <v>0</v>
      </c>
      <c r="B1115">
        <f>Sheet1!B1115</f>
        <v>1.78</v>
      </c>
      <c r="C1115">
        <f>IF(Sheet1!B1115&gt;0,1,0)</f>
        <v>1</v>
      </c>
    </row>
    <row r="1116" spans="1:3" x14ac:dyDescent="0.25">
      <c r="A1116" s="15">
        <f>Sheet1!A1116</f>
        <v>0</v>
      </c>
      <c r="B1116">
        <f>Sheet1!B1116</f>
        <v>0.76</v>
      </c>
      <c r="C1116">
        <f>IF(Sheet1!B1116&gt;0,1,0)</f>
        <v>1</v>
      </c>
    </row>
    <row r="1117" spans="1:3" x14ac:dyDescent="0.25">
      <c r="A1117" s="15">
        <f>Sheet1!A1117</f>
        <v>0</v>
      </c>
      <c r="B1117">
        <f>Sheet1!B1117</f>
        <v>0.65</v>
      </c>
      <c r="C1117">
        <f>IF(Sheet1!B1117&gt;0,1,0)</f>
        <v>1</v>
      </c>
    </row>
    <row r="1118" spans="1:3" x14ac:dyDescent="0.25">
      <c r="A1118" s="15">
        <f>Sheet1!A1118</f>
        <v>0</v>
      </c>
      <c r="B1118">
        <f>Sheet1!B1118</f>
        <v>0.7</v>
      </c>
      <c r="C1118">
        <f>IF(Sheet1!B1118&gt;0,1,0)</f>
        <v>1</v>
      </c>
    </row>
    <row r="1119" spans="1:3" x14ac:dyDescent="0.25">
      <c r="A1119" s="15">
        <f>Sheet1!A1119</f>
        <v>0</v>
      </c>
      <c r="B1119">
        <f>Sheet1!B1119</f>
        <v>0.5</v>
      </c>
      <c r="C1119">
        <f>IF(Sheet1!B1119&gt;0,1,0)</f>
        <v>1</v>
      </c>
    </row>
    <row r="1120" spans="1:3" x14ac:dyDescent="0.25">
      <c r="A1120" s="15">
        <f>Sheet1!A1120</f>
        <v>0</v>
      </c>
      <c r="B1120">
        <f>Sheet1!B1120</f>
        <v>1.44</v>
      </c>
      <c r="C1120">
        <f>IF(Sheet1!B1120&gt;0,1,0)</f>
        <v>1</v>
      </c>
    </row>
    <row r="1121" spans="1:3" x14ac:dyDescent="0.25">
      <c r="A1121" s="15">
        <f>Sheet1!A1121</f>
        <v>0</v>
      </c>
      <c r="B1121">
        <f>Sheet1!B1121</f>
        <v>1.17</v>
      </c>
      <c r="C1121">
        <f>IF(Sheet1!B1121&gt;0,1,0)</f>
        <v>1</v>
      </c>
    </row>
    <row r="1122" spans="1:3" x14ac:dyDescent="0.25">
      <c r="A1122" s="15">
        <f>Sheet1!A1122</f>
        <v>0</v>
      </c>
      <c r="B1122">
        <f>Sheet1!B1122</f>
        <v>1.81</v>
      </c>
      <c r="C1122">
        <f>IF(Sheet1!B1122&gt;0,1,0)</f>
        <v>1</v>
      </c>
    </row>
    <row r="1123" spans="1:3" x14ac:dyDescent="0.25">
      <c r="A1123" s="15">
        <f>Sheet1!A1123</f>
        <v>0</v>
      </c>
      <c r="B1123">
        <f>Sheet1!B1123</f>
        <v>0.99</v>
      </c>
      <c r="C1123">
        <f>IF(Sheet1!B1123&gt;0,1,0)</f>
        <v>1</v>
      </c>
    </row>
    <row r="1124" spans="1:3" x14ac:dyDescent="0.25">
      <c r="A1124" s="15">
        <f>Sheet1!A1124</f>
        <v>0</v>
      </c>
      <c r="B1124">
        <f>Sheet1!B1124</f>
        <v>0</v>
      </c>
      <c r="C1124">
        <f>IF(Sheet1!B1124&gt;0,1,0)</f>
        <v>0</v>
      </c>
    </row>
    <row r="1125" spans="1:3" x14ac:dyDescent="0.25">
      <c r="A1125" s="15">
        <f>Sheet1!A1125</f>
        <v>0</v>
      </c>
      <c r="B1125">
        <f>Sheet1!B1125</f>
        <v>1.1200000000000001</v>
      </c>
      <c r="C1125">
        <f>IF(Sheet1!B1125&gt;0,1,0)</f>
        <v>1</v>
      </c>
    </row>
    <row r="1126" spans="1:3" x14ac:dyDescent="0.25">
      <c r="A1126" s="15">
        <f>Sheet1!A1126</f>
        <v>0</v>
      </c>
      <c r="B1126">
        <f>Sheet1!B1126</f>
        <v>0.98</v>
      </c>
      <c r="C1126">
        <f>IF(Sheet1!B1126&gt;0,1,0)</f>
        <v>1</v>
      </c>
    </row>
    <row r="1127" spans="1:3" x14ac:dyDescent="0.25">
      <c r="A1127" s="15">
        <f>Sheet1!A1127</f>
        <v>0</v>
      </c>
      <c r="B1127">
        <f>Sheet1!B1127</f>
        <v>1.1200000000000001</v>
      </c>
      <c r="C1127">
        <f>IF(Sheet1!B1127&gt;0,1,0)</f>
        <v>1</v>
      </c>
    </row>
    <row r="1128" spans="1:3" x14ac:dyDescent="0.25">
      <c r="A1128" s="15">
        <f>Sheet1!A1128</f>
        <v>0</v>
      </c>
      <c r="B1128">
        <f>Sheet1!B1128</f>
        <v>1.18</v>
      </c>
      <c r="C1128">
        <f>IF(Sheet1!B1128&gt;0,1,0)</f>
        <v>1</v>
      </c>
    </row>
    <row r="1129" spans="1:3" x14ac:dyDescent="0.25">
      <c r="A1129" s="15">
        <f>Sheet1!A1129</f>
        <v>0</v>
      </c>
      <c r="B1129">
        <f>Sheet1!B1129</f>
        <v>1.72</v>
      </c>
      <c r="C1129">
        <f>IF(Sheet1!B1129&gt;0,1,0)</f>
        <v>1</v>
      </c>
    </row>
    <row r="1130" spans="1:3" x14ac:dyDescent="0.25">
      <c r="A1130" s="15">
        <f>Sheet1!A1130</f>
        <v>0</v>
      </c>
      <c r="B1130">
        <f>Sheet1!B1130</f>
        <v>1.37</v>
      </c>
      <c r="C1130">
        <f>IF(Sheet1!B1130&gt;0,1,0)</f>
        <v>1</v>
      </c>
    </row>
    <row r="1131" spans="1:3" x14ac:dyDescent="0.25">
      <c r="A1131" s="15">
        <f>Sheet1!A1131</f>
        <v>0</v>
      </c>
      <c r="B1131">
        <f>Sheet1!B1131</f>
        <v>1.37</v>
      </c>
      <c r="C1131">
        <f>IF(Sheet1!B1131&gt;0,1,0)</f>
        <v>1</v>
      </c>
    </row>
    <row r="1132" spans="1:3" x14ac:dyDescent="0.25">
      <c r="A1132" s="15">
        <f>Sheet1!A1132</f>
        <v>0</v>
      </c>
      <c r="B1132">
        <f>Sheet1!B1132</f>
        <v>1.33</v>
      </c>
      <c r="C1132">
        <f>IF(Sheet1!B1132&gt;0,1,0)</f>
        <v>1</v>
      </c>
    </row>
    <row r="1133" spans="1:3" x14ac:dyDescent="0.25">
      <c r="A1133" s="15">
        <f>Sheet1!A1133</f>
        <v>0</v>
      </c>
      <c r="B1133">
        <f>Sheet1!B1133</f>
        <v>1.38</v>
      </c>
      <c r="C1133">
        <f>IF(Sheet1!B1133&gt;0,1,0)</f>
        <v>1</v>
      </c>
    </row>
    <row r="1134" spans="1:3" x14ac:dyDescent="0.25">
      <c r="A1134" s="15">
        <f>Sheet1!A1134</f>
        <v>0</v>
      </c>
      <c r="B1134">
        <f>Sheet1!B1134</f>
        <v>1.54</v>
      </c>
      <c r="C1134">
        <f>IF(Sheet1!B1134&gt;0,1,0)</f>
        <v>1</v>
      </c>
    </row>
    <row r="1135" spans="1:3" x14ac:dyDescent="0.25">
      <c r="A1135" s="15">
        <f>Sheet1!A1135</f>
        <v>0</v>
      </c>
      <c r="B1135">
        <f>Sheet1!B1135</f>
        <v>1.38</v>
      </c>
      <c r="C1135">
        <f>IF(Sheet1!B1135&gt;0,1,0)</f>
        <v>1</v>
      </c>
    </row>
    <row r="1136" spans="1:3" x14ac:dyDescent="0.25">
      <c r="A1136" s="15">
        <f>Sheet1!A1136</f>
        <v>0</v>
      </c>
      <c r="B1136">
        <f>Sheet1!B1136</f>
        <v>0.87</v>
      </c>
      <c r="C1136">
        <f>IF(Sheet1!B1136&gt;0,1,0)</f>
        <v>1</v>
      </c>
    </row>
    <row r="1137" spans="1:3" x14ac:dyDescent="0.25">
      <c r="A1137" s="15">
        <f>Sheet1!A1137</f>
        <v>0</v>
      </c>
      <c r="B1137">
        <f>Sheet1!B1137</f>
        <v>0</v>
      </c>
      <c r="C1137">
        <f>IF(Sheet1!B1137&gt;0,1,0)</f>
        <v>0</v>
      </c>
    </row>
    <row r="1138" spans="1:3" x14ac:dyDescent="0.25">
      <c r="A1138" s="15">
        <f>Sheet1!A1138</f>
        <v>0</v>
      </c>
      <c r="B1138">
        <f>Sheet1!B1138</f>
        <v>0</v>
      </c>
      <c r="C1138">
        <f>IF(Sheet1!B1138&gt;0,1,0)</f>
        <v>0</v>
      </c>
    </row>
    <row r="1139" spans="1:3" x14ac:dyDescent="0.25">
      <c r="A1139" s="15">
        <f>Sheet1!A1139</f>
        <v>0</v>
      </c>
      <c r="B1139">
        <f>Sheet1!B1139</f>
        <v>0</v>
      </c>
      <c r="C1139">
        <f>IF(Sheet1!B1139&gt;0,1,0)</f>
        <v>0</v>
      </c>
    </row>
    <row r="1140" spans="1:3" x14ac:dyDescent="0.25">
      <c r="A1140" s="15">
        <f>Sheet1!A1140</f>
        <v>0</v>
      </c>
      <c r="B1140">
        <f>Sheet1!B1140</f>
        <v>0.94</v>
      </c>
      <c r="C1140">
        <f>IF(Sheet1!B1140&gt;0,1,0)</f>
        <v>1</v>
      </c>
    </row>
    <row r="1141" spans="1:3" x14ac:dyDescent="0.25">
      <c r="A1141" s="15">
        <f>Sheet1!A1141</f>
        <v>0</v>
      </c>
      <c r="B1141">
        <f>Sheet1!B1141</f>
        <v>0.74</v>
      </c>
      <c r="C1141">
        <f>IF(Sheet1!B1141&gt;0,1,0)</f>
        <v>1</v>
      </c>
    </row>
    <row r="1142" spans="1:3" x14ac:dyDescent="0.25">
      <c r="A1142" s="15">
        <f>Sheet1!A1142</f>
        <v>0</v>
      </c>
      <c r="B1142">
        <f>Sheet1!B1142</f>
        <v>0</v>
      </c>
      <c r="C1142">
        <f>IF(Sheet1!B1142&gt;0,1,0)</f>
        <v>0</v>
      </c>
    </row>
    <row r="1143" spans="1:3" x14ac:dyDescent="0.25">
      <c r="A1143" s="15">
        <f>Sheet1!A1143</f>
        <v>0</v>
      </c>
      <c r="B1143">
        <f>Sheet1!B1143</f>
        <v>0</v>
      </c>
      <c r="C1143">
        <f>IF(Sheet1!B1143&gt;0,1,0)</f>
        <v>0</v>
      </c>
    </row>
    <row r="1144" spans="1:3" x14ac:dyDescent="0.25">
      <c r="A1144" s="15">
        <f>Sheet1!A1144</f>
        <v>0</v>
      </c>
      <c r="B1144">
        <f>Sheet1!B1144</f>
        <v>0</v>
      </c>
      <c r="C1144">
        <f>IF(Sheet1!B1144&gt;0,1,0)</f>
        <v>0</v>
      </c>
    </row>
    <row r="1145" spans="1:3" x14ac:dyDescent="0.25">
      <c r="A1145" s="15">
        <f>Sheet1!A1145</f>
        <v>0</v>
      </c>
      <c r="B1145">
        <f>Sheet1!B1145</f>
        <v>0</v>
      </c>
      <c r="C1145">
        <f>IF(Sheet1!B1145&gt;0,1,0)</f>
        <v>0</v>
      </c>
    </row>
    <row r="1146" spans="1:3" x14ac:dyDescent="0.25">
      <c r="A1146" s="15">
        <f>Sheet1!A1146</f>
        <v>0</v>
      </c>
      <c r="B1146">
        <f>Sheet1!B1146</f>
        <v>0</v>
      </c>
      <c r="C1146">
        <f>IF(Sheet1!B1146&gt;0,1,0)</f>
        <v>0</v>
      </c>
    </row>
    <row r="1147" spans="1:3" x14ac:dyDescent="0.25">
      <c r="A1147" s="15">
        <f>Sheet1!A1147</f>
        <v>0</v>
      </c>
      <c r="B1147">
        <f>Sheet1!B1147</f>
        <v>0</v>
      </c>
      <c r="C1147">
        <f>IF(Sheet1!B1147&gt;0,1,0)</f>
        <v>0</v>
      </c>
    </row>
    <row r="1148" spans="1:3" x14ac:dyDescent="0.25">
      <c r="A1148" s="15">
        <f>Sheet1!A1148</f>
        <v>0</v>
      </c>
      <c r="B1148">
        <f>Sheet1!B1148</f>
        <v>0</v>
      </c>
      <c r="C1148">
        <f>IF(Sheet1!B1148&gt;0,1,0)</f>
        <v>0</v>
      </c>
    </row>
    <row r="1149" spans="1:3" x14ac:dyDescent="0.25">
      <c r="A1149" s="15">
        <f>Sheet1!A1149</f>
        <v>0</v>
      </c>
      <c r="B1149">
        <f>Sheet1!B1149</f>
        <v>0</v>
      </c>
      <c r="C1149">
        <f>IF(Sheet1!B1149&gt;0,1,0)</f>
        <v>0</v>
      </c>
    </row>
    <row r="1150" spans="1:3" x14ac:dyDescent="0.25">
      <c r="A1150" s="15">
        <f>Sheet1!A1150</f>
        <v>0</v>
      </c>
      <c r="B1150">
        <f>Sheet1!B1150</f>
        <v>0</v>
      </c>
      <c r="C1150">
        <f>IF(Sheet1!B1150&gt;0,1,0)</f>
        <v>0</v>
      </c>
    </row>
    <row r="1151" spans="1:3" x14ac:dyDescent="0.25">
      <c r="A1151" s="15">
        <f>Sheet1!A1151</f>
        <v>0</v>
      </c>
      <c r="B1151">
        <f>Sheet1!B1151</f>
        <v>0</v>
      </c>
      <c r="C1151">
        <f>IF(Sheet1!B1151&gt;0,1,0)</f>
        <v>0</v>
      </c>
    </row>
    <row r="1152" spans="1:3" x14ac:dyDescent="0.25">
      <c r="A1152" s="15">
        <f>Sheet1!A1152</f>
        <v>0</v>
      </c>
      <c r="B1152">
        <f>Sheet1!B1152</f>
        <v>0.99</v>
      </c>
      <c r="C1152">
        <f>IF(Sheet1!B1152&gt;0,1,0)</f>
        <v>1</v>
      </c>
    </row>
    <row r="1153" spans="1:3" x14ac:dyDescent="0.25">
      <c r="A1153" s="15">
        <f>Sheet1!A1153</f>
        <v>0</v>
      </c>
      <c r="B1153">
        <f>Sheet1!B1153</f>
        <v>1.03</v>
      </c>
      <c r="C1153">
        <f>IF(Sheet1!B1153&gt;0,1,0)</f>
        <v>1</v>
      </c>
    </row>
    <row r="1154" spans="1:3" x14ac:dyDescent="0.25">
      <c r="A1154" s="15">
        <f>Sheet1!A1154</f>
        <v>0</v>
      </c>
      <c r="B1154">
        <f>Sheet1!B1154</f>
        <v>0.92</v>
      </c>
      <c r="C1154">
        <f>IF(Sheet1!B1154&gt;0,1,0)</f>
        <v>1</v>
      </c>
    </row>
    <row r="1155" spans="1:3" x14ac:dyDescent="0.25">
      <c r="A1155" s="15">
        <f>Sheet1!A1155</f>
        <v>0</v>
      </c>
      <c r="B1155">
        <f>Sheet1!B1155</f>
        <v>1.05</v>
      </c>
      <c r="C1155">
        <f>IF(Sheet1!B1155&gt;0,1,0)</f>
        <v>1</v>
      </c>
    </row>
    <row r="1156" spans="1:3" x14ac:dyDescent="0.25">
      <c r="A1156" s="15">
        <f>Sheet1!A1156</f>
        <v>0</v>
      </c>
      <c r="B1156">
        <f>Sheet1!B1156</f>
        <v>0.75</v>
      </c>
      <c r="C1156">
        <f>IF(Sheet1!B1156&gt;0,1,0)</f>
        <v>1</v>
      </c>
    </row>
    <row r="1157" spans="1:3" x14ac:dyDescent="0.25">
      <c r="A1157" s="15">
        <f>Sheet1!A1157</f>
        <v>0</v>
      </c>
      <c r="B1157">
        <f>Sheet1!B1157</f>
        <v>1.59</v>
      </c>
      <c r="C1157">
        <f>IF(Sheet1!B1157&gt;0,1,0)</f>
        <v>1</v>
      </c>
    </row>
    <row r="1158" spans="1:3" x14ac:dyDescent="0.25">
      <c r="A1158" s="15">
        <f>Sheet1!A1158</f>
        <v>0</v>
      </c>
      <c r="B1158">
        <f>Sheet1!B1158</f>
        <v>0.95</v>
      </c>
      <c r="C1158">
        <f>IF(Sheet1!B1158&gt;0,1,0)</f>
        <v>1</v>
      </c>
    </row>
    <row r="1159" spans="1:3" x14ac:dyDescent="0.25">
      <c r="A1159" s="15">
        <f>Sheet1!A1159</f>
        <v>0</v>
      </c>
      <c r="B1159">
        <f>Sheet1!B1159</f>
        <v>1.19</v>
      </c>
      <c r="C1159">
        <f>IF(Sheet1!B1159&gt;0,1,0)</f>
        <v>1</v>
      </c>
    </row>
    <row r="1160" spans="1:3" x14ac:dyDescent="0.25">
      <c r="A1160" s="15">
        <f>Sheet1!A1160</f>
        <v>0</v>
      </c>
      <c r="B1160">
        <f>Sheet1!B1160</f>
        <v>0</v>
      </c>
      <c r="C1160">
        <f>IF(Sheet1!B1160&gt;0,1,0)</f>
        <v>0</v>
      </c>
    </row>
    <row r="1161" spans="1:3" x14ac:dyDescent="0.25">
      <c r="A1161" s="15">
        <f>Sheet1!A1161</f>
        <v>0</v>
      </c>
      <c r="B1161">
        <f>Sheet1!B1161</f>
        <v>0</v>
      </c>
      <c r="C1161">
        <f>IF(Sheet1!B1161&gt;0,1,0)</f>
        <v>0</v>
      </c>
    </row>
    <row r="1162" spans="1:3" x14ac:dyDescent="0.25">
      <c r="A1162" s="15">
        <f>Sheet1!A1162</f>
        <v>0</v>
      </c>
      <c r="B1162">
        <f>Sheet1!B1162</f>
        <v>0</v>
      </c>
      <c r="C1162">
        <f>IF(Sheet1!B1162&gt;0,1,0)</f>
        <v>0</v>
      </c>
    </row>
    <row r="1163" spans="1:3" x14ac:dyDescent="0.25">
      <c r="A1163" s="15">
        <f>Sheet1!A1163</f>
        <v>0</v>
      </c>
      <c r="B1163">
        <f>Sheet1!B1163</f>
        <v>0.75</v>
      </c>
      <c r="C1163">
        <f>IF(Sheet1!B1163&gt;0,1,0)</f>
        <v>1</v>
      </c>
    </row>
    <row r="1164" spans="1:3" x14ac:dyDescent="0.25">
      <c r="A1164" s="15">
        <f>Sheet1!A1164</f>
        <v>0</v>
      </c>
      <c r="B1164">
        <f>Sheet1!B1164</f>
        <v>0</v>
      </c>
      <c r="C1164">
        <f>IF(Sheet1!B1164&gt;0,1,0)</f>
        <v>0</v>
      </c>
    </row>
    <row r="1165" spans="1:3" x14ac:dyDescent="0.25">
      <c r="A1165" s="15">
        <f>Sheet1!A1165</f>
        <v>0</v>
      </c>
      <c r="B1165">
        <f>Sheet1!B1165</f>
        <v>0</v>
      </c>
      <c r="C1165">
        <f>IF(Sheet1!B1165&gt;0,1,0)</f>
        <v>0</v>
      </c>
    </row>
    <row r="1166" spans="1:3" x14ac:dyDescent="0.25">
      <c r="A1166" s="15">
        <f>Sheet1!A1166</f>
        <v>0</v>
      </c>
      <c r="B1166">
        <f>Sheet1!B1166</f>
        <v>0</v>
      </c>
      <c r="C1166">
        <f>IF(Sheet1!B1166&gt;0,1,0)</f>
        <v>0</v>
      </c>
    </row>
    <row r="1167" spans="1:3" x14ac:dyDescent="0.25">
      <c r="A1167" s="15">
        <f>Sheet1!A1167</f>
        <v>0</v>
      </c>
      <c r="B1167">
        <f>Sheet1!B1167</f>
        <v>0</v>
      </c>
      <c r="C1167">
        <f>IF(Sheet1!B1167&gt;0,1,0)</f>
        <v>0</v>
      </c>
    </row>
    <row r="1168" spans="1:3" x14ac:dyDescent="0.25">
      <c r="A1168" s="15">
        <f>Sheet1!A1168</f>
        <v>0</v>
      </c>
      <c r="B1168">
        <f>Sheet1!B1168</f>
        <v>0</v>
      </c>
      <c r="C1168">
        <f>IF(Sheet1!B1168&gt;0,1,0)</f>
        <v>0</v>
      </c>
    </row>
    <row r="1169" spans="1:3" x14ac:dyDescent="0.25">
      <c r="A1169" s="15">
        <f>Sheet1!A1169</f>
        <v>0</v>
      </c>
      <c r="B1169">
        <f>Sheet1!B1169</f>
        <v>0</v>
      </c>
      <c r="C1169">
        <f>IF(Sheet1!B1169&gt;0,1,0)</f>
        <v>0</v>
      </c>
    </row>
    <row r="1170" spans="1:3" x14ac:dyDescent="0.25">
      <c r="A1170" s="15">
        <f>Sheet1!A1170</f>
        <v>0</v>
      </c>
      <c r="B1170">
        <f>Sheet1!B1170</f>
        <v>0</v>
      </c>
      <c r="C1170">
        <f>IF(Sheet1!B1170&gt;0,1,0)</f>
        <v>0</v>
      </c>
    </row>
    <row r="1171" spans="1:3" x14ac:dyDescent="0.25">
      <c r="A1171" s="15">
        <f>Sheet1!A1171</f>
        <v>0</v>
      </c>
      <c r="B1171">
        <f>Sheet1!B1171</f>
        <v>0</v>
      </c>
      <c r="C1171">
        <f>IF(Sheet1!B1171&gt;0,1,0)</f>
        <v>0</v>
      </c>
    </row>
    <row r="1172" spans="1:3" x14ac:dyDescent="0.25">
      <c r="A1172" s="15">
        <f>Sheet1!A1172</f>
        <v>0</v>
      </c>
      <c r="B1172">
        <f>Sheet1!B1172</f>
        <v>0</v>
      </c>
      <c r="C1172">
        <f>IF(Sheet1!B1172&gt;0,1,0)</f>
        <v>0</v>
      </c>
    </row>
    <row r="1173" spans="1:3" x14ac:dyDescent="0.25">
      <c r="A1173" s="15">
        <f>Sheet1!A1173</f>
        <v>0</v>
      </c>
      <c r="B1173">
        <f>Sheet1!B1173</f>
        <v>1.8</v>
      </c>
      <c r="C1173">
        <f>IF(Sheet1!B1173&gt;0,1,0)</f>
        <v>1</v>
      </c>
    </row>
    <row r="1174" spans="1:3" x14ac:dyDescent="0.25">
      <c r="A1174" s="15">
        <f>Sheet1!A1174</f>
        <v>0</v>
      </c>
      <c r="B1174">
        <f>Sheet1!B1174</f>
        <v>0</v>
      </c>
      <c r="C1174">
        <f>IF(Sheet1!B1174&gt;0,1,0)</f>
        <v>0</v>
      </c>
    </row>
    <row r="1175" spans="1:3" x14ac:dyDescent="0.25">
      <c r="A1175" s="15">
        <f>Sheet1!A1175</f>
        <v>0</v>
      </c>
      <c r="B1175">
        <f>Sheet1!B1175</f>
        <v>0</v>
      </c>
      <c r="C1175">
        <f>IF(Sheet1!B1175&gt;0,1,0)</f>
        <v>0</v>
      </c>
    </row>
    <row r="1176" spans="1:3" x14ac:dyDescent="0.25">
      <c r="A1176" s="15">
        <f>Sheet1!A1176</f>
        <v>0</v>
      </c>
      <c r="B1176">
        <f>Sheet1!B1176</f>
        <v>1.1299999999999999</v>
      </c>
      <c r="C1176">
        <f>IF(Sheet1!B1176&gt;0,1,0)</f>
        <v>1</v>
      </c>
    </row>
    <row r="1177" spans="1:3" x14ac:dyDescent="0.25">
      <c r="A1177" s="15">
        <f>Sheet1!A1177</f>
        <v>0</v>
      </c>
      <c r="B1177">
        <f>Sheet1!B1177</f>
        <v>1.59</v>
      </c>
      <c r="C1177">
        <f>IF(Sheet1!B1177&gt;0,1,0)</f>
        <v>1</v>
      </c>
    </row>
    <row r="1178" spans="1:3" x14ac:dyDescent="0.25">
      <c r="A1178" s="15">
        <f>Sheet1!A1178</f>
        <v>0</v>
      </c>
      <c r="B1178">
        <f>Sheet1!B1178</f>
        <v>1.57</v>
      </c>
      <c r="C1178">
        <f>IF(Sheet1!B1178&gt;0,1,0)</f>
        <v>1</v>
      </c>
    </row>
    <row r="1179" spans="1:3" x14ac:dyDescent="0.25">
      <c r="A1179" s="15">
        <f>Sheet1!A1179</f>
        <v>0</v>
      </c>
      <c r="B1179">
        <f>Sheet1!B1179</f>
        <v>1.55</v>
      </c>
      <c r="C1179">
        <f>IF(Sheet1!B1179&gt;0,1,0)</f>
        <v>1</v>
      </c>
    </row>
    <row r="1180" spans="1:3" x14ac:dyDescent="0.25">
      <c r="A1180" s="15">
        <f>Sheet1!A1180</f>
        <v>0</v>
      </c>
      <c r="B1180">
        <f>Sheet1!B1180</f>
        <v>1.31</v>
      </c>
      <c r="C1180">
        <f>IF(Sheet1!B1180&gt;0,1,0)</f>
        <v>1</v>
      </c>
    </row>
    <row r="1181" spans="1:3" x14ac:dyDescent="0.25">
      <c r="A1181" s="15">
        <f>Sheet1!A1181</f>
        <v>0</v>
      </c>
      <c r="B1181">
        <f>Sheet1!B1181</f>
        <v>1.98</v>
      </c>
      <c r="C1181">
        <f>IF(Sheet1!B1181&gt;0,1,0)</f>
        <v>1</v>
      </c>
    </row>
    <row r="1182" spans="1:3" x14ac:dyDescent="0.25">
      <c r="A1182" s="15">
        <f>Sheet1!A1182</f>
        <v>0</v>
      </c>
      <c r="B1182">
        <f>Sheet1!B1182</f>
        <v>0.88</v>
      </c>
      <c r="C1182">
        <f>IF(Sheet1!B1182&gt;0,1,0)</f>
        <v>1</v>
      </c>
    </row>
    <row r="1183" spans="1:3" x14ac:dyDescent="0.25">
      <c r="A1183" s="15">
        <f>Sheet1!A1183</f>
        <v>0</v>
      </c>
      <c r="B1183">
        <f>Sheet1!B1183</f>
        <v>0.53</v>
      </c>
      <c r="C1183">
        <f>IF(Sheet1!B1183&gt;0,1,0)</f>
        <v>1</v>
      </c>
    </row>
    <row r="1184" spans="1:3" x14ac:dyDescent="0.25">
      <c r="A1184" s="15">
        <f>Sheet1!A1184</f>
        <v>0</v>
      </c>
      <c r="B1184">
        <f>Sheet1!B1184</f>
        <v>0.16</v>
      </c>
      <c r="C1184">
        <f>IF(Sheet1!B1184&gt;0,1,0)</f>
        <v>1</v>
      </c>
    </row>
    <row r="1185" spans="1:3" x14ac:dyDescent="0.25">
      <c r="A1185" s="15">
        <f>Sheet1!A1185</f>
        <v>0</v>
      </c>
      <c r="B1185">
        <f>Sheet1!B1185</f>
        <v>0</v>
      </c>
      <c r="C1185">
        <f>IF(Sheet1!B1185&gt;0,1,0)</f>
        <v>0</v>
      </c>
    </row>
    <row r="1186" spans="1:3" x14ac:dyDescent="0.25">
      <c r="A1186" s="15">
        <f>Sheet1!A1186</f>
        <v>0</v>
      </c>
      <c r="B1186">
        <f>Sheet1!B1186</f>
        <v>0.2</v>
      </c>
      <c r="C1186">
        <f>IF(Sheet1!B1186&gt;0,1,0)</f>
        <v>1</v>
      </c>
    </row>
    <row r="1187" spans="1:3" x14ac:dyDescent="0.25">
      <c r="A1187" s="15">
        <f>Sheet1!A1187</f>
        <v>0</v>
      </c>
      <c r="B1187">
        <f>Sheet1!B1187</f>
        <v>0.31</v>
      </c>
      <c r="C1187">
        <f>IF(Sheet1!B1187&gt;0,1,0)</f>
        <v>1</v>
      </c>
    </row>
    <row r="1188" spans="1:3" x14ac:dyDescent="0.25">
      <c r="A1188" s="15">
        <f>Sheet1!A1188</f>
        <v>0</v>
      </c>
      <c r="B1188">
        <f>Sheet1!B1188</f>
        <v>0.05</v>
      </c>
      <c r="C1188">
        <f>IF(Sheet1!B1188&gt;0,1,0)</f>
        <v>1</v>
      </c>
    </row>
    <row r="1189" spans="1:3" x14ac:dyDescent="0.25">
      <c r="A1189" s="15">
        <f>Sheet1!A1189</f>
        <v>0</v>
      </c>
      <c r="B1189">
        <f>Sheet1!B1189</f>
        <v>0</v>
      </c>
      <c r="C1189">
        <f>IF(Sheet1!B1189&gt;0,1,0)</f>
        <v>0</v>
      </c>
    </row>
    <row r="1190" spans="1:3" x14ac:dyDescent="0.25">
      <c r="A1190" s="15">
        <f>Sheet1!A1190</f>
        <v>0</v>
      </c>
      <c r="B1190">
        <f>Sheet1!B1190</f>
        <v>0.59</v>
      </c>
      <c r="C1190">
        <f>IF(Sheet1!B1190&gt;0,1,0)</f>
        <v>1</v>
      </c>
    </row>
    <row r="1191" spans="1:3" x14ac:dyDescent="0.25">
      <c r="A1191" s="15">
        <f>Sheet1!A1191</f>
        <v>0</v>
      </c>
      <c r="B1191">
        <f>Sheet1!B1191</f>
        <v>1.26</v>
      </c>
      <c r="C1191">
        <f>IF(Sheet1!B1191&gt;0,1,0)</f>
        <v>1</v>
      </c>
    </row>
    <row r="1192" spans="1:3" x14ac:dyDescent="0.25">
      <c r="A1192" s="15">
        <f>Sheet1!A1192</f>
        <v>0</v>
      </c>
      <c r="B1192">
        <f>Sheet1!B1192</f>
        <v>0</v>
      </c>
      <c r="C1192">
        <f>IF(Sheet1!B1192&gt;0,1,0)</f>
        <v>0</v>
      </c>
    </row>
    <row r="1193" spans="1:3" x14ac:dyDescent="0.25">
      <c r="A1193" s="15">
        <f>Sheet1!A1193</f>
        <v>0</v>
      </c>
      <c r="B1193">
        <f>Sheet1!B1193</f>
        <v>0</v>
      </c>
      <c r="C1193">
        <f>IF(Sheet1!B1193&gt;0,1,0)</f>
        <v>0</v>
      </c>
    </row>
    <row r="1194" spans="1:3" x14ac:dyDescent="0.25">
      <c r="A1194" s="15">
        <f>Sheet1!A1194</f>
        <v>0</v>
      </c>
      <c r="B1194">
        <f>Sheet1!B1194</f>
        <v>0</v>
      </c>
      <c r="C1194">
        <f>IF(Sheet1!B1194&gt;0,1,0)</f>
        <v>0</v>
      </c>
    </row>
    <row r="1195" spans="1:3" x14ac:dyDescent="0.25">
      <c r="A1195" s="15">
        <f>Sheet1!A1195</f>
        <v>0</v>
      </c>
      <c r="B1195">
        <f>Sheet1!B1195</f>
        <v>0</v>
      </c>
      <c r="C1195">
        <f>IF(Sheet1!B1195&gt;0,1,0)</f>
        <v>0</v>
      </c>
    </row>
    <row r="1196" spans="1:3" x14ac:dyDescent="0.25">
      <c r="A1196" s="15">
        <f>Sheet1!A1196</f>
        <v>0</v>
      </c>
      <c r="B1196">
        <f>Sheet1!B1196</f>
        <v>2.31</v>
      </c>
      <c r="C1196">
        <f>IF(Sheet1!B1196&gt;0,1,0)</f>
        <v>1</v>
      </c>
    </row>
    <row r="1197" spans="1:3" x14ac:dyDescent="0.25">
      <c r="A1197" s="15">
        <f>Sheet1!A1197</f>
        <v>0</v>
      </c>
      <c r="B1197">
        <f>Sheet1!B1197</f>
        <v>1.17</v>
      </c>
      <c r="C1197">
        <f>IF(Sheet1!B1197&gt;0,1,0)</f>
        <v>1</v>
      </c>
    </row>
    <row r="1198" spans="1:3" x14ac:dyDescent="0.25">
      <c r="A1198" s="15">
        <f>Sheet1!A1198</f>
        <v>0</v>
      </c>
      <c r="B1198">
        <f>Sheet1!B1198</f>
        <v>0</v>
      </c>
      <c r="C1198">
        <f>IF(Sheet1!B1198&gt;0,1,0)</f>
        <v>0</v>
      </c>
    </row>
    <row r="1199" spans="1:3" x14ac:dyDescent="0.25">
      <c r="A1199" s="15">
        <f>Sheet1!A1199</f>
        <v>0</v>
      </c>
      <c r="B1199">
        <f>Sheet1!B1199</f>
        <v>0</v>
      </c>
      <c r="C1199">
        <f>IF(Sheet1!B1199&gt;0,1,0)</f>
        <v>0</v>
      </c>
    </row>
    <row r="1200" spans="1:3" x14ac:dyDescent="0.25">
      <c r="A1200" s="15">
        <f>Sheet1!A1200</f>
        <v>0</v>
      </c>
      <c r="B1200">
        <f>Sheet1!B1200</f>
        <v>0.99</v>
      </c>
      <c r="C1200">
        <f>IF(Sheet1!B1200&gt;0,1,0)</f>
        <v>1</v>
      </c>
    </row>
    <row r="1201" spans="1:3" x14ac:dyDescent="0.25">
      <c r="A1201" s="15">
        <f>Sheet1!A1201</f>
        <v>0</v>
      </c>
      <c r="B1201">
        <f>Sheet1!B1201</f>
        <v>1.03</v>
      </c>
      <c r="C1201">
        <f>IF(Sheet1!B1201&gt;0,1,0)</f>
        <v>1</v>
      </c>
    </row>
    <row r="1202" spans="1:3" x14ac:dyDescent="0.25">
      <c r="A1202" s="15">
        <f>Sheet1!A1202</f>
        <v>0</v>
      </c>
      <c r="B1202">
        <f>Sheet1!B1202</f>
        <v>0.92</v>
      </c>
      <c r="C1202">
        <f>IF(Sheet1!B1202&gt;0,1,0)</f>
        <v>1</v>
      </c>
    </row>
    <row r="1203" spans="1:3" x14ac:dyDescent="0.25">
      <c r="A1203" s="15">
        <f>Sheet1!A1203</f>
        <v>0</v>
      </c>
      <c r="B1203">
        <f>Sheet1!B1203</f>
        <v>1.05</v>
      </c>
      <c r="C1203">
        <f>IF(Sheet1!B1203&gt;0,1,0)</f>
        <v>1</v>
      </c>
    </row>
    <row r="1204" spans="1:3" x14ac:dyDescent="0.25">
      <c r="A1204" s="15">
        <f>Sheet1!A1204</f>
        <v>0</v>
      </c>
      <c r="B1204">
        <f>Sheet1!B1204</f>
        <v>0.75</v>
      </c>
      <c r="C1204">
        <f>IF(Sheet1!B1204&gt;0,1,0)</f>
        <v>1</v>
      </c>
    </row>
    <row r="1205" spans="1:3" x14ac:dyDescent="0.25">
      <c r="A1205" s="15">
        <f>Sheet1!A1205</f>
        <v>0</v>
      </c>
      <c r="B1205">
        <f>Sheet1!B1205</f>
        <v>1.59</v>
      </c>
      <c r="C1205">
        <f>IF(Sheet1!B1205&gt;0,1,0)</f>
        <v>1</v>
      </c>
    </row>
    <row r="1206" spans="1:3" x14ac:dyDescent="0.25">
      <c r="A1206" s="15">
        <f>Sheet1!A1206</f>
        <v>0</v>
      </c>
      <c r="B1206">
        <f>Sheet1!B1206</f>
        <v>0.95</v>
      </c>
      <c r="C1206">
        <f>IF(Sheet1!B1206&gt;0,1,0)</f>
        <v>1</v>
      </c>
    </row>
    <row r="1207" spans="1:3" x14ac:dyDescent="0.25">
      <c r="A1207" s="15">
        <f>Sheet1!A1207</f>
        <v>0</v>
      </c>
      <c r="B1207">
        <f>Sheet1!B1207</f>
        <v>1.19</v>
      </c>
      <c r="C1207">
        <f>IF(Sheet1!B1207&gt;0,1,0)</f>
        <v>1</v>
      </c>
    </row>
    <row r="1208" spans="1:3" x14ac:dyDescent="0.25">
      <c r="A1208" s="15">
        <f>Sheet1!A1208</f>
        <v>0</v>
      </c>
      <c r="B1208">
        <f>Sheet1!B1208</f>
        <v>0</v>
      </c>
      <c r="C1208">
        <f>IF(Sheet1!B1208&gt;0,1,0)</f>
        <v>0</v>
      </c>
    </row>
    <row r="1209" spans="1:3" x14ac:dyDescent="0.25">
      <c r="A1209" s="15">
        <f>Sheet1!A1209</f>
        <v>0</v>
      </c>
      <c r="B1209">
        <f>Sheet1!B1209</f>
        <v>0</v>
      </c>
      <c r="C1209">
        <f>IF(Sheet1!B1209&gt;0,1,0)</f>
        <v>0</v>
      </c>
    </row>
    <row r="1210" spans="1:3" x14ac:dyDescent="0.25">
      <c r="A1210" s="15">
        <f>Sheet1!A1210</f>
        <v>0</v>
      </c>
      <c r="B1210">
        <f>Sheet1!B1210</f>
        <v>0</v>
      </c>
      <c r="C1210">
        <f>IF(Sheet1!B1210&gt;0,1,0)</f>
        <v>0</v>
      </c>
    </row>
    <row r="1211" spans="1:3" x14ac:dyDescent="0.25">
      <c r="A1211" s="15">
        <f>Sheet1!A1211</f>
        <v>0</v>
      </c>
      <c r="B1211">
        <f>Sheet1!B1211</f>
        <v>0.75</v>
      </c>
      <c r="C1211">
        <f>IF(Sheet1!B1211&gt;0,1,0)</f>
        <v>1</v>
      </c>
    </row>
    <row r="1212" spans="1:3" x14ac:dyDescent="0.25">
      <c r="A1212" s="15">
        <f>Sheet1!A1212</f>
        <v>0</v>
      </c>
      <c r="B1212">
        <f>Sheet1!B1212</f>
        <v>0</v>
      </c>
      <c r="C1212">
        <f>IF(Sheet1!B1212&gt;0,1,0)</f>
        <v>0</v>
      </c>
    </row>
    <row r="1213" spans="1:3" x14ac:dyDescent="0.25">
      <c r="A1213" s="15">
        <f>Sheet1!A1213</f>
        <v>0</v>
      </c>
      <c r="B1213">
        <f>Sheet1!B1213</f>
        <v>0</v>
      </c>
      <c r="C1213">
        <f>IF(Sheet1!B1213&gt;0,1,0)</f>
        <v>0</v>
      </c>
    </row>
    <row r="1214" spans="1:3" x14ac:dyDescent="0.25">
      <c r="A1214" s="15">
        <f>Sheet1!A1214</f>
        <v>0</v>
      </c>
      <c r="B1214">
        <f>Sheet1!B1214</f>
        <v>0</v>
      </c>
      <c r="C1214">
        <f>IF(Sheet1!B1214&gt;0,1,0)</f>
        <v>0</v>
      </c>
    </row>
    <row r="1215" spans="1:3" x14ac:dyDescent="0.25">
      <c r="A1215" s="15">
        <f>Sheet1!A1215</f>
        <v>0</v>
      </c>
      <c r="B1215">
        <f>Sheet1!B1215</f>
        <v>0</v>
      </c>
      <c r="C1215">
        <f>IF(Sheet1!B1215&gt;0,1,0)</f>
        <v>0</v>
      </c>
    </row>
    <row r="1216" spans="1:3" x14ac:dyDescent="0.25">
      <c r="A1216" s="15">
        <f>Sheet1!A1216</f>
        <v>0</v>
      </c>
      <c r="B1216">
        <f>Sheet1!B1216</f>
        <v>0</v>
      </c>
      <c r="C1216">
        <f>IF(Sheet1!B1216&gt;0,1,0)</f>
        <v>0</v>
      </c>
    </row>
    <row r="1217" spans="1:3" x14ac:dyDescent="0.25">
      <c r="A1217" s="15">
        <f>Sheet1!A1217</f>
        <v>0</v>
      </c>
      <c r="B1217">
        <f>Sheet1!B1217</f>
        <v>1.32</v>
      </c>
      <c r="C1217">
        <f>IF(Sheet1!B1217&gt;0,1,0)</f>
        <v>1</v>
      </c>
    </row>
    <row r="1218" spans="1:3" x14ac:dyDescent="0.25">
      <c r="A1218" s="15">
        <f>Sheet1!A1218</f>
        <v>0</v>
      </c>
      <c r="B1218">
        <f>Sheet1!B1218</f>
        <v>0</v>
      </c>
      <c r="C1218">
        <f>IF(Sheet1!B1218&gt;0,1,0)</f>
        <v>0</v>
      </c>
    </row>
    <row r="1219" spans="1:3" x14ac:dyDescent="0.25">
      <c r="A1219" s="15">
        <f>Sheet1!A1219</f>
        <v>0</v>
      </c>
      <c r="B1219">
        <f>Sheet1!B1219</f>
        <v>0</v>
      </c>
      <c r="C1219">
        <f>IF(Sheet1!B1219&gt;0,1,0)</f>
        <v>0</v>
      </c>
    </row>
    <row r="1220" spans="1:3" x14ac:dyDescent="0.25">
      <c r="A1220" s="15">
        <f>Sheet1!A1220</f>
        <v>0</v>
      </c>
      <c r="B1220">
        <f>Sheet1!B1220</f>
        <v>0</v>
      </c>
      <c r="C1220">
        <f>IF(Sheet1!B1220&gt;0,1,0)</f>
        <v>0</v>
      </c>
    </row>
    <row r="1221" spans="1:3" x14ac:dyDescent="0.25">
      <c r="A1221" s="15">
        <f>Sheet1!A1221</f>
        <v>0</v>
      </c>
      <c r="B1221">
        <f>Sheet1!B1221</f>
        <v>0</v>
      </c>
      <c r="C1221">
        <f>IF(Sheet1!B1221&gt;0,1,0)</f>
        <v>0</v>
      </c>
    </row>
    <row r="1222" spans="1:3" x14ac:dyDescent="0.25">
      <c r="A1222" s="15">
        <f>Sheet1!A1222</f>
        <v>0</v>
      </c>
      <c r="B1222">
        <f>Sheet1!B1222</f>
        <v>0</v>
      </c>
      <c r="C1222">
        <f>IF(Sheet1!B1222&gt;0,1,0)</f>
        <v>0</v>
      </c>
    </row>
    <row r="1223" spans="1:3" x14ac:dyDescent="0.25">
      <c r="A1223" s="15">
        <f>Sheet1!A1223</f>
        <v>0</v>
      </c>
      <c r="B1223">
        <f>Sheet1!B1223</f>
        <v>1.42</v>
      </c>
      <c r="C1223">
        <f>IF(Sheet1!B1223&gt;0,1,0)</f>
        <v>1</v>
      </c>
    </row>
    <row r="1224" spans="1:3" x14ac:dyDescent="0.25">
      <c r="A1224" s="15">
        <f>Sheet1!A1224</f>
        <v>0</v>
      </c>
      <c r="B1224">
        <f>Sheet1!B1224</f>
        <v>1.1399999999999999</v>
      </c>
      <c r="C1224">
        <f>IF(Sheet1!B1224&gt;0,1,0)</f>
        <v>1</v>
      </c>
    </row>
    <row r="1225" spans="1:3" x14ac:dyDescent="0.25">
      <c r="A1225" s="15">
        <f>Sheet1!A1225</f>
        <v>0</v>
      </c>
      <c r="B1225">
        <f>Sheet1!B1225</f>
        <v>0.84</v>
      </c>
      <c r="C1225">
        <f>IF(Sheet1!B1225&gt;0,1,0)</f>
        <v>1</v>
      </c>
    </row>
    <row r="1226" spans="1:3" x14ac:dyDescent="0.25">
      <c r="A1226" s="15">
        <f>Sheet1!A1226</f>
        <v>0</v>
      </c>
      <c r="B1226">
        <f>Sheet1!B1226</f>
        <v>1.1399999999999999</v>
      </c>
      <c r="C1226">
        <f>IF(Sheet1!B1226&gt;0,1,0)</f>
        <v>1</v>
      </c>
    </row>
    <row r="1227" spans="1:3" x14ac:dyDescent="0.25">
      <c r="A1227" s="15">
        <f>Sheet1!A1227</f>
        <v>0</v>
      </c>
      <c r="B1227">
        <f>Sheet1!B1227</f>
        <v>0.8</v>
      </c>
      <c r="C1227">
        <f>IF(Sheet1!B1227&gt;0,1,0)</f>
        <v>1</v>
      </c>
    </row>
    <row r="1228" spans="1:3" x14ac:dyDescent="0.25">
      <c r="A1228" s="15">
        <f>Sheet1!A1228</f>
        <v>0</v>
      </c>
      <c r="B1228">
        <f>Sheet1!B1228</f>
        <v>1.39</v>
      </c>
      <c r="C1228">
        <f>IF(Sheet1!B1228&gt;0,1,0)</f>
        <v>1</v>
      </c>
    </row>
    <row r="1229" spans="1:3" x14ac:dyDescent="0.25">
      <c r="A1229" s="15">
        <f>Sheet1!A1229</f>
        <v>0</v>
      </c>
      <c r="B1229">
        <f>Sheet1!B1229</f>
        <v>1.02</v>
      </c>
      <c r="C1229">
        <f>IF(Sheet1!B1229&gt;0,1,0)</f>
        <v>1</v>
      </c>
    </row>
    <row r="1230" spans="1:3" x14ac:dyDescent="0.25">
      <c r="A1230" s="15">
        <f>Sheet1!A1230</f>
        <v>0</v>
      </c>
      <c r="B1230">
        <f>Sheet1!B1230</f>
        <v>1.62</v>
      </c>
      <c r="C1230">
        <f>IF(Sheet1!B1230&gt;0,1,0)</f>
        <v>1</v>
      </c>
    </row>
    <row r="1231" spans="1:3" x14ac:dyDescent="0.25">
      <c r="A1231" s="15">
        <f>Sheet1!A1231</f>
        <v>0</v>
      </c>
      <c r="B1231">
        <f>Sheet1!B1231</f>
        <v>0.87</v>
      </c>
      <c r="C1231">
        <f>IF(Sheet1!B1231&gt;0,1,0)</f>
        <v>1</v>
      </c>
    </row>
    <row r="1232" spans="1:3" x14ac:dyDescent="0.25">
      <c r="A1232" s="15">
        <f>Sheet1!A1232</f>
        <v>0</v>
      </c>
      <c r="B1232">
        <f>Sheet1!B1232</f>
        <v>0.67</v>
      </c>
      <c r="C1232">
        <f>IF(Sheet1!B1232&gt;0,1,0)</f>
        <v>1</v>
      </c>
    </row>
    <row r="1233" spans="1:3" x14ac:dyDescent="0.25">
      <c r="A1233" s="15">
        <f>Sheet1!A1233</f>
        <v>0</v>
      </c>
      <c r="B1233">
        <f>Sheet1!B1233</f>
        <v>0.59</v>
      </c>
      <c r="C1233">
        <f>IF(Sheet1!B1233&gt;0,1,0)</f>
        <v>1</v>
      </c>
    </row>
    <row r="1234" spans="1:3" x14ac:dyDescent="0.25">
      <c r="A1234" s="15">
        <f>Sheet1!A1234</f>
        <v>0</v>
      </c>
      <c r="B1234">
        <f>Sheet1!B1234</f>
        <v>0</v>
      </c>
      <c r="C1234">
        <f>IF(Sheet1!B1234&gt;0,1,0)</f>
        <v>0</v>
      </c>
    </row>
    <row r="1235" spans="1:3" x14ac:dyDescent="0.25">
      <c r="A1235" s="15">
        <f>Sheet1!A1235</f>
        <v>0</v>
      </c>
      <c r="B1235">
        <f>Sheet1!B1235</f>
        <v>0</v>
      </c>
      <c r="C1235">
        <f>IF(Sheet1!B1235&gt;0,1,0)</f>
        <v>0</v>
      </c>
    </row>
    <row r="1236" spans="1:3" x14ac:dyDescent="0.25">
      <c r="A1236" s="15">
        <f>Sheet1!A1236</f>
        <v>0</v>
      </c>
      <c r="B1236">
        <f>Sheet1!B1236</f>
        <v>0.32</v>
      </c>
      <c r="C1236">
        <f>IF(Sheet1!B1236&gt;0,1,0)</f>
        <v>1</v>
      </c>
    </row>
    <row r="1237" spans="1:3" x14ac:dyDescent="0.25">
      <c r="A1237" s="15">
        <f>Sheet1!A1237</f>
        <v>0</v>
      </c>
      <c r="B1237">
        <f>Sheet1!B1237</f>
        <v>0.72</v>
      </c>
      <c r="C1237">
        <f>IF(Sheet1!B1237&gt;0,1,0)</f>
        <v>1</v>
      </c>
    </row>
    <row r="1238" spans="1:3" x14ac:dyDescent="0.25">
      <c r="A1238" s="15">
        <f>Sheet1!A1238</f>
        <v>0</v>
      </c>
      <c r="B1238">
        <f>Sheet1!B1238</f>
        <v>0</v>
      </c>
      <c r="C1238">
        <f>IF(Sheet1!B1238&gt;0,1,0)</f>
        <v>0</v>
      </c>
    </row>
    <row r="1239" spans="1:3" x14ac:dyDescent="0.25">
      <c r="A1239" s="15">
        <f>Sheet1!A1239</f>
        <v>0</v>
      </c>
      <c r="B1239">
        <f>Sheet1!B1239</f>
        <v>0</v>
      </c>
      <c r="C1239">
        <f>IF(Sheet1!B1239&gt;0,1,0)</f>
        <v>0</v>
      </c>
    </row>
    <row r="1240" spans="1:3" x14ac:dyDescent="0.25">
      <c r="A1240" s="15">
        <f>Sheet1!A1240</f>
        <v>0</v>
      </c>
      <c r="B1240">
        <f>Sheet1!B1240</f>
        <v>0</v>
      </c>
      <c r="C1240">
        <f>IF(Sheet1!B1240&gt;0,1,0)</f>
        <v>0</v>
      </c>
    </row>
    <row r="1241" spans="1:3" x14ac:dyDescent="0.25">
      <c r="A1241" s="15">
        <f>Sheet1!A1241</f>
        <v>0</v>
      </c>
      <c r="B1241">
        <f>Sheet1!B1241</f>
        <v>1.67</v>
      </c>
      <c r="C1241">
        <f>IF(Sheet1!B1241&gt;0,1,0)</f>
        <v>1</v>
      </c>
    </row>
    <row r="1242" spans="1:3" x14ac:dyDescent="0.25">
      <c r="A1242" s="15">
        <f>Sheet1!A1242</f>
        <v>0</v>
      </c>
      <c r="B1242">
        <f>Sheet1!B1242</f>
        <v>0</v>
      </c>
      <c r="C1242">
        <f>IF(Sheet1!B1242&gt;0,1,0)</f>
        <v>0</v>
      </c>
    </row>
    <row r="1243" spans="1:3" x14ac:dyDescent="0.25">
      <c r="A1243" s="15">
        <f>Sheet1!A1243</f>
        <v>0</v>
      </c>
      <c r="B1243">
        <f>Sheet1!B1243</f>
        <v>0</v>
      </c>
      <c r="C1243">
        <f>IF(Sheet1!B1243&gt;0,1,0)</f>
        <v>0</v>
      </c>
    </row>
    <row r="1244" spans="1:3" x14ac:dyDescent="0.25">
      <c r="A1244" s="15">
        <f>Sheet1!A1244</f>
        <v>0</v>
      </c>
      <c r="B1244">
        <f>Sheet1!B1244</f>
        <v>0</v>
      </c>
      <c r="C1244">
        <f>IF(Sheet1!B1244&gt;0,1,0)</f>
        <v>0</v>
      </c>
    </row>
    <row r="1245" spans="1:3" x14ac:dyDescent="0.25">
      <c r="A1245" s="15">
        <f>Sheet1!A1245</f>
        <v>0</v>
      </c>
      <c r="B1245">
        <f>Sheet1!B1245</f>
        <v>0</v>
      </c>
      <c r="C1245">
        <f>IF(Sheet1!B1245&gt;0,1,0)</f>
        <v>0</v>
      </c>
    </row>
    <row r="1246" spans="1:3" x14ac:dyDescent="0.25">
      <c r="A1246" s="15">
        <f>Sheet1!A1246</f>
        <v>0</v>
      </c>
      <c r="B1246">
        <f>Sheet1!B1246</f>
        <v>0.89</v>
      </c>
      <c r="C1246">
        <f>IF(Sheet1!B1246&gt;0,1,0)</f>
        <v>1</v>
      </c>
    </row>
    <row r="1247" spans="1:3" x14ac:dyDescent="0.25">
      <c r="A1247" s="15">
        <f>Sheet1!A1247</f>
        <v>0</v>
      </c>
      <c r="B1247">
        <f>Sheet1!B1247</f>
        <v>0.98</v>
      </c>
      <c r="C1247">
        <f>IF(Sheet1!B1247&gt;0,1,0)</f>
        <v>1</v>
      </c>
    </row>
    <row r="1248" spans="1:3" x14ac:dyDescent="0.25">
      <c r="A1248" s="15">
        <f>Sheet1!A1248</f>
        <v>0</v>
      </c>
      <c r="B1248">
        <f>Sheet1!B1248</f>
        <v>0.82</v>
      </c>
      <c r="C1248">
        <f>IF(Sheet1!B1248&gt;0,1,0)</f>
        <v>1</v>
      </c>
    </row>
    <row r="1249" spans="1:3" x14ac:dyDescent="0.25">
      <c r="A1249" s="15">
        <f>Sheet1!A1249</f>
        <v>0</v>
      </c>
      <c r="B1249">
        <f>Sheet1!B1249</f>
        <v>1.04</v>
      </c>
      <c r="C1249">
        <f>IF(Sheet1!B1249&gt;0,1,0)</f>
        <v>1</v>
      </c>
    </row>
    <row r="1250" spans="1:3" x14ac:dyDescent="0.25">
      <c r="A1250" s="15">
        <f>Sheet1!A1250</f>
        <v>0</v>
      </c>
      <c r="B1250">
        <f>Sheet1!B1250</f>
        <v>0.77</v>
      </c>
      <c r="C1250">
        <f>IF(Sheet1!B1250&gt;0,1,0)</f>
        <v>1</v>
      </c>
    </row>
    <row r="1251" spans="1:3" x14ac:dyDescent="0.25">
      <c r="A1251" s="15">
        <f>Sheet1!A1251</f>
        <v>0</v>
      </c>
      <c r="B1251">
        <f>Sheet1!B1251</f>
        <v>0.93</v>
      </c>
      <c r="C1251">
        <f>IF(Sheet1!B1251&gt;0,1,0)</f>
        <v>1</v>
      </c>
    </row>
    <row r="1252" spans="1:3" x14ac:dyDescent="0.25">
      <c r="A1252" s="15">
        <f>Sheet1!A1252</f>
        <v>0</v>
      </c>
      <c r="B1252">
        <f>Sheet1!B1252</f>
        <v>1.01</v>
      </c>
      <c r="C1252">
        <f>IF(Sheet1!B1252&gt;0,1,0)</f>
        <v>1</v>
      </c>
    </row>
    <row r="1253" spans="1:3" x14ac:dyDescent="0.25">
      <c r="A1253" s="15">
        <f>Sheet1!A1253</f>
        <v>0</v>
      </c>
      <c r="B1253">
        <f>Sheet1!B1253</f>
        <v>1.22</v>
      </c>
      <c r="C1253">
        <f>IF(Sheet1!B1253&gt;0,1,0)</f>
        <v>1</v>
      </c>
    </row>
    <row r="1254" spans="1:3" x14ac:dyDescent="0.25">
      <c r="A1254" s="15">
        <f>Sheet1!A1254</f>
        <v>0</v>
      </c>
      <c r="B1254">
        <f>Sheet1!B1254</f>
        <v>0</v>
      </c>
      <c r="C1254">
        <f>IF(Sheet1!B1254&gt;0,1,0)</f>
        <v>0</v>
      </c>
    </row>
    <row r="1255" spans="1:3" x14ac:dyDescent="0.25">
      <c r="A1255" s="15">
        <f>Sheet1!A1255</f>
        <v>0</v>
      </c>
      <c r="B1255">
        <f>Sheet1!B1255</f>
        <v>0</v>
      </c>
      <c r="C1255">
        <f>IF(Sheet1!B1255&gt;0,1,0)</f>
        <v>0</v>
      </c>
    </row>
    <row r="1256" spans="1:3" x14ac:dyDescent="0.25">
      <c r="A1256" s="15">
        <f>Sheet1!A1256</f>
        <v>0</v>
      </c>
      <c r="B1256">
        <f>Sheet1!B1256</f>
        <v>0.91</v>
      </c>
      <c r="C1256">
        <f>IF(Sheet1!B1256&gt;0,1,0)</f>
        <v>1</v>
      </c>
    </row>
    <row r="1257" spans="1:3" x14ac:dyDescent="0.25">
      <c r="A1257" s="15">
        <f>Sheet1!A1257</f>
        <v>0</v>
      </c>
      <c r="B1257">
        <f>Sheet1!B1257</f>
        <v>0.51</v>
      </c>
      <c r="C1257">
        <f>IF(Sheet1!B1257&gt;0,1,0)</f>
        <v>1</v>
      </c>
    </row>
    <row r="1258" spans="1:3" x14ac:dyDescent="0.25">
      <c r="A1258" s="15">
        <f>Sheet1!A1258</f>
        <v>0</v>
      </c>
      <c r="B1258">
        <f>Sheet1!B1258</f>
        <v>0.43</v>
      </c>
      <c r="C1258">
        <f>IF(Sheet1!B1258&gt;0,1,0)</f>
        <v>1</v>
      </c>
    </row>
    <row r="1259" spans="1:3" x14ac:dyDescent="0.25">
      <c r="A1259" s="15">
        <f>Sheet1!A1259</f>
        <v>0</v>
      </c>
      <c r="B1259">
        <f>Sheet1!B1259</f>
        <v>0.59</v>
      </c>
      <c r="C1259">
        <f>IF(Sheet1!B1259&gt;0,1,0)</f>
        <v>1</v>
      </c>
    </row>
    <row r="1260" spans="1:3" x14ac:dyDescent="0.25">
      <c r="A1260" s="15">
        <f>Sheet1!A1260</f>
        <v>0</v>
      </c>
      <c r="B1260">
        <f>Sheet1!B1260</f>
        <v>0</v>
      </c>
      <c r="C1260">
        <f>IF(Sheet1!B1260&gt;0,1,0)</f>
        <v>0</v>
      </c>
    </row>
    <row r="1261" spans="1:3" x14ac:dyDescent="0.25">
      <c r="A1261" s="15">
        <f>Sheet1!A1261</f>
        <v>0</v>
      </c>
      <c r="B1261">
        <f>Sheet1!B1261</f>
        <v>0</v>
      </c>
      <c r="C1261">
        <f>IF(Sheet1!B1261&gt;0,1,0)</f>
        <v>0</v>
      </c>
    </row>
    <row r="1262" spans="1:3" x14ac:dyDescent="0.25">
      <c r="A1262" s="15">
        <f>Sheet1!A1262</f>
        <v>0</v>
      </c>
      <c r="B1262">
        <f>Sheet1!B1262</f>
        <v>0</v>
      </c>
      <c r="C1262">
        <f>IF(Sheet1!B1262&gt;0,1,0)</f>
        <v>0</v>
      </c>
    </row>
    <row r="1263" spans="1:3" x14ac:dyDescent="0.25">
      <c r="A1263" s="15">
        <f>Sheet1!A1263</f>
        <v>0</v>
      </c>
      <c r="B1263">
        <f>Sheet1!B1263</f>
        <v>1.3</v>
      </c>
      <c r="C1263">
        <f>IF(Sheet1!B1263&gt;0,1,0)</f>
        <v>1</v>
      </c>
    </row>
    <row r="1264" spans="1:3" x14ac:dyDescent="0.25">
      <c r="A1264" s="15">
        <f>Sheet1!A1264</f>
        <v>0</v>
      </c>
      <c r="B1264">
        <f>Sheet1!B1264</f>
        <v>0</v>
      </c>
      <c r="C1264">
        <f>IF(Sheet1!B1264&gt;0,1,0)</f>
        <v>0</v>
      </c>
    </row>
    <row r="1265" spans="1:3" x14ac:dyDescent="0.25">
      <c r="A1265" s="15">
        <f>Sheet1!A1265</f>
        <v>0</v>
      </c>
      <c r="B1265">
        <f>Sheet1!B1265</f>
        <v>0</v>
      </c>
      <c r="C1265">
        <f>IF(Sheet1!B1265&gt;0,1,0)</f>
        <v>0</v>
      </c>
    </row>
    <row r="1266" spans="1:3" x14ac:dyDescent="0.25">
      <c r="A1266" s="15">
        <f>Sheet1!A1266</f>
        <v>0</v>
      </c>
      <c r="B1266">
        <f>Sheet1!B1266</f>
        <v>0</v>
      </c>
      <c r="C1266">
        <f>IF(Sheet1!B1266&gt;0,1,0)</f>
        <v>0</v>
      </c>
    </row>
    <row r="1267" spans="1:3" x14ac:dyDescent="0.25">
      <c r="A1267" s="15">
        <f>Sheet1!A1267</f>
        <v>0</v>
      </c>
      <c r="B1267">
        <f>Sheet1!B1267</f>
        <v>3.16</v>
      </c>
      <c r="C1267">
        <f>IF(Sheet1!B1267&gt;0,1,0)</f>
        <v>1</v>
      </c>
    </row>
    <row r="1268" spans="1:3" x14ac:dyDescent="0.25">
      <c r="A1268" s="15">
        <f>Sheet1!A1268</f>
        <v>0</v>
      </c>
      <c r="B1268">
        <f>Sheet1!B1268</f>
        <v>0</v>
      </c>
      <c r="C1268">
        <f>IF(Sheet1!B1268&gt;0,1,0)</f>
        <v>0</v>
      </c>
    </row>
    <row r="1269" spans="1:3" x14ac:dyDescent="0.25">
      <c r="A1269" s="15">
        <f>Sheet1!A1269</f>
        <v>0</v>
      </c>
      <c r="B1269">
        <f>Sheet1!B1269</f>
        <v>0</v>
      </c>
      <c r="C1269">
        <f>IF(Sheet1!B1269&gt;0,1,0)</f>
        <v>0</v>
      </c>
    </row>
    <row r="1270" spans="1:3" x14ac:dyDescent="0.25">
      <c r="A1270" s="15">
        <f>Sheet1!A1270</f>
        <v>0</v>
      </c>
      <c r="B1270">
        <f>Sheet1!B1270</f>
        <v>0</v>
      </c>
      <c r="C1270">
        <f>IF(Sheet1!B1270&gt;0,1,0)</f>
        <v>0</v>
      </c>
    </row>
    <row r="1271" spans="1:3" x14ac:dyDescent="0.25">
      <c r="A1271" s="15">
        <f>Sheet1!A1271</f>
        <v>0</v>
      </c>
      <c r="B1271">
        <f>Sheet1!B1271</f>
        <v>1.55</v>
      </c>
      <c r="C1271">
        <f>IF(Sheet1!B1271&gt;0,1,0)</f>
        <v>1</v>
      </c>
    </row>
    <row r="1272" spans="1:3" x14ac:dyDescent="0.25">
      <c r="A1272" s="15">
        <f>Sheet1!A1272</f>
        <v>0</v>
      </c>
      <c r="B1272">
        <f>Sheet1!B1272</f>
        <v>0.77</v>
      </c>
      <c r="C1272">
        <f>IF(Sheet1!B1272&gt;0,1,0)</f>
        <v>1</v>
      </c>
    </row>
    <row r="1273" spans="1:3" x14ac:dyDescent="0.25">
      <c r="A1273" s="15">
        <f>Sheet1!A1273</f>
        <v>0</v>
      </c>
      <c r="B1273">
        <f>Sheet1!B1273</f>
        <v>1.03</v>
      </c>
      <c r="C1273">
        <f>IF(Sheet1!B1273&gt;0,1,0)</f>
        <v>1</v>
      </c>
    </row>
    <row r="1274" spans="1:3" x14ac:dyDescent="0.25">
      <c r="A1274" s="15">
        <f>Sheet1!A1274</f>
        <v>0</v>
      </c>
      <c r="B1274">
        <f>Sheet1!B1274</f>
        <v>1.05</v>
      </c>
      <c r="C1274">
        <f>IF(Sheet1!B1274&gt;0,1,0)</f>
        <v>1</v>
      </c>
    </row>
    <row r="1275" spans="1:3" x14ac:dyDescent="0.25">
      <c r="A1275" s="15">
        <f>Sheet1!A1275</f>
        <v>0</v>
      </c>
      <c r="B1275">
        <f>Sheet1!B1275</f>
        <v>1.01</v>
      </c>
      <c r="C1275">
        <f>IF(Sheet1!B1275&gt;0,1,0)</f>
        <v>1</v>
      </c>
    </row>
    <row r="1276" spans="1:3" x14ac:dyDescent="0.25">
      <c r="A1276" s="15">
        <f>Sheet1!A1276</f>
        <v>0</v>
      </c>
      <c r="B1276">
        <f>Sheet1!B1276</f>
        <v>0.89</v>
      </c>
      <c r="C1276">
        <f>IF(Sheet1!B1276&gt;0,1,0)</f>
        <v>1</v>
      </c>
    </row>
    <row r="1277" spans="1:3" x14ac:dyDescent="0.25">
      <c r="A1277" s="15">
        <f>Sheet1!A1277</f>
        <v>0</v>
      </c>
      <c r="B1277">
        <f>Sheet1!B1277</f>
        <v>0.87</v>
      </c>
      <c r="C1277">
        <f>IF(Sheet1!B1277&gt;0,1,0)</f>
        <v>1</v>
      </c>
    </row>
    <row r="1278" spans="1:3" x14ac:dyDescent="0.25">
      <c r="A1278" s="15">
        <f>Sheet1!A1278</f>
        <v>0</v>
      </c>
      <c r="B1278">
        <f>Sheet1!B1278</f>
        <v>0.74</v>
      </c>
      <c r="C1278">
        <f>IF(Sheet1!B1278&gt;0,1,0)</f>
        <v>1</v>
      </c>
    </row>
    <row r="1279" spans="1:3" x14ac:dyDescent="0.25">
      <c r="A1279" s="15">
        <f>Sheet1!A1279</f>
        <v>0</v>
      </c>
      <c r="B1279">
        <f>Sheet1!B1279</f>
        <v>1.2</v>
      </c>
      <c r="C1279">
        <f>IF(Sheet1!B1279&gt;0,1,0)</f>
        <v>1</v>
      </c>
    </row>
    <row r="1280" spans="1:3" x14ac:dyDescent="0.25">
      <c r="A1280" s="15">
        <f>Sheet1!A1280</f>
        <v>0</v>
      </c>
      <c r="B1280">
        <f>Sheet1!B1280</f>
        <v>0.54</v>
      </c>
      <c r="C1280">
        <f>IF(Sheet1!B1280&gt;0,1,0)</f>
        <v>1</v>
      </c>
    </row>
    <row r="1281" spans="1:3" x14ac:dyDescent="0.25">
      <c r="A1281" s="15">
        <f>Sheet1!A1281</f>
        <v>0</v>
      </c>
      <c r="B1281">
        <f>Sheet1!B1281</f>
        <v>0.82</v>
      </c>
      <c r="C1281">
        <f>IF(Sheet1!B1281&gt;0,1,0)</f>
        <v>1</v>
      </c>
    </row>
    <row r="1282" spans="1:3" x14ac:dyDescent="0.25">
      <c r="A1282" s="15">
        <f>Sheet1!A1282</f>
        <v>0</v>
      </c>
      <c r="B1282">
        <f>Sheet1!B1282</f>
        <v>0</v>
      </c>
      <c r="C1282">
        <f>IF(Sheet1!B1282&gt;0,1,0)</f>
        <v>0</v>
      </c>
    </row>
    <row r="1283" spans="1:3" x14ac:dyDescent="0.25">
      <c r="A1283" s="15">
        <f>Sheet1!A1283</f>
        <v>0</v>
      </c>
      <c r="B1283">
        <f>Sheet1!B1283</f>
        <v>0</v>
      </c>
      <c r="C1283">
        <f>IF(Sheet1!B1283&gt;0,1,0)</f>
        <v>0</v>
      </c>
    </row>
    <row r="1284" spans="1:3" x14ac:dyDescent="0.25">
      <c r="A1284" s="15">
        <f>Sheet1!A1284</f>
        <v>0</v>
      </c>
      <c r="B1284">
        <f>Sheet1!B1284</f>
        <v>0</v>
      </c>
      <c r="C1284">
        <f>IF(Sheet1!B1284&gt;0,1,0)</f>
        <v>0</v>
      </c>
    </row>
    <row r="1285" spans="1:3" x14ac:dyDescent="0.25">
      <c r="A1285" s="15">
        <f>Sheet1!A1285</f>
        <v>0</v>
      </c>
      <c r="B1285">
        <f>Sheet1!B1285</f>
        <v>0.83</v>
      </c>
      <c r="C1285">
        <f>IF(Sheet1!B1285&gt;0,1,0)</f>
        <v>1</v>
      </c>
    </row>
    <row r="1286" spans="1:3" x14ac:dyDescent="0.25">
      <c r="A1286" s="15">
        <f>Sheet1!A1286</f>
        <v>0</v>
      </c>
      <c r="B1286">
        <f>Sheet1!B1286</f>
        <v>0.38</v>
      </c>
      <c r="C1286">
        <f>IF(Sheet1!B1286&gt;0,1,0)</f>
        <v>1</v>
      </c>
    </row>
    <row r="1287" spans="1:3" x14ac:dyDescent="0.25">
      <c r="A1287" s="15">
        <f>Sheet1!A1287</f>
        <v>0</v>
      </c>
      <c r="B1287">
        <f>Sheet1!B1287</f>
        <v>0</v>
      </c>
      <c r="C1287">
        <f>IF(Sheet1!B1287&gt;0,1,0)</f>
        <v>0</v>
      </c>
    </row>
    <row r="1288" spans="1:3" x14ac:dyDescent="0.25">
      <c r="A1288" s="15">
        <f>Sheet1!A1288</f>
        <v>0</v>
      </c>
      <c r="B1288">
        <f>Sheet1!B1288</f>
        <v>0</v>
      </c>
      <c r="C1288">
        <f>IF(Sheet1!B1288&gt;0,1,0)</f>
        <v>0</v>
      </c>
    </row>
    <row r="1289" spans="1:3" x14ac:dyDescent="0.25">
      <c r="A1289" s="15">
        <f>Sheet1!A1289</f>
        <v>0</v>
      </c>
      <c r="B1289">
        <f>Sheet1!B1289</f>
        <v>0</v>
      </c>
      <c r="C1289">
        <f>IF(Sheet1!B1289&gt;0,1,0)</f>
        <v>0</v>
      </c>
    </row>
    <row r="1290" spans="1:3" x14ac:dyDescent="0.25">
      <c r="A1290" s="15">
        <f>Sheet1!A1290</f>
        <v>0</v>
      </c>
      <c r="B1290">
        <f>Sheet1!B1290</f>
        <v>0</v>
      </c>
      <c r="C1290">
        <f>IF(Sheet1!B1290&gt;0,1,0)</f>
        <v>0</v>
      </c>
    </row>
    <row r="1291" spans="1:3" x14ac:dyDescent="0.25">
      <c r="A1291" s="15">
        <f>Sheet1!A1291</f>
        <v>0</v>
      </c>
      <c r="B1291">
        <f>Sheet1!B1291</f>
        <v>1.8</v>
      </c>
      <c r="C1291">
        <f>IF(Sheet1!B1291&gt;0,1,0)</f>
        <v>1</v>
      </c>
    </row>
    <row r="1292" spans="1:3" x14ac:dyDescent="0.25">
      <c r="A1292" s="15">
        <f>Sheet1!A1292</f>
        <v>0</v>
      </c>
      <c r="B1292">
        <f>Sheet1!B1292</f>
        <v>0</v>
      </c>
      <c r="C1292">
        <f>IF(Sheet1!B1292&gt;0,1,0)</f>
        <v>0</v>
      </c>
    </row>
    <row r="1293" spans="1:3" x14ac:dyDescent="0.25">
      <c r="A1293" s="15">
        <f>Sheet1!A1293</f>
        <v>0</v>
      </c>
      <c r="B1293">
        <f>Sheet1!B1293</f>
        <v>0</v>
      </c>
      <c r="C1293">
        <f>IF(Sheet1!B1293&gt;0,1,0)</f>
        <v>0</v>
      </c>
    </row>
    <row r="1294" spans="1:3" x14ac:dyDescent="0.25">
      <c r="A1294" s="15">
        <f>Sheet1!A1294</f>
        <v>0</v>
      </c>
      <c r="B1294">
        <f>Sheet1!B1294</f>
        <v>0.78</v>
      </c>
      <c r="C1294">
        <f>IF(Sheet1!B1294&gt;0,1,0)</f>
        <v>1</v>
      </c>
    </row>
    <row r="1295" spans="1:3" x14ac:dyDescent="0.25">
      <c r="A1295" s="15">
        <f>Sheet1!A1295</f>
        <v>0</v>
      </c>
      <c r="B1295">
        <f>Sheet1!B1295</f>
        <v>0.87</v>
      </c>
      <c r="C1295">
        <f>IF(Sheet1!B1295&gt;0,1,0)</f>
        <v>1</v>
      </c>
    </row>
    <row r="1296" spans="1:3" x14ac:dyDescent="0.25">
      <c r="A1296" s="15">
        <f>Sheet1!A1296</f>
        <v>0</v>
      </c>
      <c r="B1296">
        <f>Sheet1!B1296</f>
        <v>0.63</v>
      </c>
      <c r="C1296">
        <f>IF(Sheet1!B1296&gt;0,1,0)</f>
        <v>1</v>
      </c>
    </row>
    <row r="1297" spans="1:3" x14ac:dyDescent="0.25">
      <c r="A1297" s="15">
        <f>Sheet1!A1297</f>
        <v>0</v>
      </c>
      <c r="B1297">
        <f>Sheet1!B1297</f>
        <v>0.85</v>
      </c>
      <c r="C1297">
        <f>IF(Sheet1!B1297&gt;0,1,0)</f>
        <v>1</v>
      </c>
    </row>
    <row r="1298" spans="1:3" x14ac:dyDescent="0.25">
      <c r="A1298" s="15">
        <f>Sheet1!A1298</f>
        <v>0</v>
      </c>
      <c r="B1298">
        <f>Sheet1!B1298</f>
        <v>0.99</v>
      </c>
      <c r="C1298">
        <f>IF(Sheet1!B1298&gt;0,1,0)</f>
        <v>1</v>
      </c>
    </row>
    <row r="1299" spans="1:3" x14ac:dyDescent="0.25">
      <c r="A1299" s="15">
        <f>Sheet1!A1299</f>
        <v>0</v>
      </c>
      <c r="B1299">
        <f>Sheet1!B1299</f>
        <v>0.87</v>
      </c>
      <c r="C1299">
        <f>IF(Sheet1!B1299&gt;0,1,0)</f>
        <v>1</v>
      </c>
    </row>
    <row r="1300" spans="1:3" x14ac:dyDescent="0.25">
      <c r="A1300" s="15">
        <f>Sheet1!A1300</f>
        <v>0</v>
      </c>
      <c r="B1300">
        <f>Sheet1!B1300</f>
        <v>0.94</v>
      </c>
      <c r="C1300">
        <f>IF(Sheet1!B1300&gt;0,1,0)</f>
        <v>1</v>
      </c>
    </row>
    <row r="1301" spans="1:3" x14ac:dyDescent="0.25">
      <c r="A1301" s="15">
        <f>Sheet1!A1301</f>
        <v>0</v>
      </c>
      <c r="B1301">
        <f>Sheet1!B1301</f>
        <v>1.21</v>
      </c>
      <c r="C1301">
        <f>IF(Sheet1!B1301&gt;0,1,0)</f>
        <v>1</v>
      </c>
    </row>
    <row r="1302" spans="1:3" x14ac:dyDescent="0.25">
      <c r="A1302" s="15">
        <f>Sheet1!A1302</f>
        <v>0</v>
      </c>
      <c r="B1302">
        <f>Sheet1!B1302</f>
        <v>0.76</v>
      </c>
      <c r="C1302">
        <f>IF(Sheet1!B1302&gt;0,1,0)</f>
        <v>1</v>
      </c>
    </row>
    <row r="1303" spans="1:3" x14ac:dyDescent="0.25">
      <c r="A1303" s="15">
        <f>Sheet1!A1303</f>
        <v>0</v>
      </c>
      <c r="B1303">
        <f>Sheet1!B1303</f>
        <v>1.35</v>
      </c>
      <c r="C1303">
        <f>IF(Sheet1!B1303&gt;0,1,0)</f>
        <v>1</v>
      </c>
    </row>
    <row r="1304" spans="1:3" x14ac:dyDescent="0.25">
      <c r="A1304" s="15">
        <f>Sheet1!A1304</f>
        <v>0</v>
      </c>
      <c r="B1304">
        <f>Sheet1!B1304</f>
        <v>0.47</v>
      </c>
      <c r="C1304">
        <f>IF(Sheet1!B1304&gt;0,1,0)</f>
        <v>1</v>
      </c>
    </row>
    <row r="1305" spans="1:3" x14ac:dyDescent="0.25">
      <c r="A1305" s="15">
        <f>Sheet1!A1305</f>
        <v>0</v>
      </c>
      <c r="B1305">
        <f>Sheet1!B1305</f>
        <v>1.44</v>
      </c>
      <c r="C1305">
        <f>IF(Sheet1!B1305&gt;0,1,0)</f>
        <v>1</v>
      </c>
    </row>
    <row r="1306" spans="1:3" x14ac:dyDescent="0.25">
      <c r="A1306" s="15">
        <f>Sheet1!A1306</f>
        <v>0</v>
      </c>
      <c r="B1306">
        <f>Sheet1!B1306</f>
        <v>0.99</v>
      </c>
      <c r="C1306">
        <f>IF(Sheet1!B1306&gt;0,1,0)</f>
        <v>1</v>
      </c>
    </row>
    <row r="1307" spans="1:3" x14ac:dyDescent="0.25">
      <c r="A1307" s="15">
        <f>Sheet1!A1307</f>
        <v>0</v>
      </c>
      <c r="B1307">
        <f>Sheet1!B1307</f>
        <v>1.5</v>
      </c>
      <c r="C1307">
        <f>IF(Sheet1!B1307&gt;0,1,0)</f>
        <v>1</v>
      </c>
    </row>
    <row r="1308" spans="1:3" x14ac:dyDescent="0.25">
      <c r="A1308" s="15">
        <f>Sheet1!A1308</f>
        <v>0</v>
      </c>
      <c r="B1308">
        <f>Sheet1!B1308</f>
        <v>0</v>
      </c>
      <c r="C1308">
        <f>IF(Sheet1!B1308&gt;0,1,0)</f>
        <v>0</v>
      </c>
    </row>
    <row r="1309" spans="1:3" x14ac:dyDescent="0.25">
      <c r="A1309" s="15">
        <f>Sheet1!A1309</f>
        <v>0</v>
      </c>
      <c r="B1309">
        <f>Sheet1!B1309</f>
        <v>0</v>
      </c>
      <c r="C1309">
        <f>IF(Sheet1!B1309&gt;0,1,0)</f>
        <v>0</v>
      </c>
    </row>
    <row r="1310" spans="1:3" x14ac:dyDescent="0.25">
      <c r="A1310" s="15">
        <f>Sheet1!A1310</f>
        <v>0</v>
      </c>
      <c r="B1310">
        <f>Sheet1!B1310</f>
        <v>0</v>
      </c>
      <c r="C1310">
        <f>IF(Sheet1!B1310&gt;0,1,0)</f>
        <v>0</v>
      </c>
    </row>
    <row r="1311" spans="1:3" x14ac:dyDescent="0.25">
      <c r="A1311" s="15">
        <f>Sheet1!A1311</f>
        <v>0</v>
      </c>
      <c r="B1311">
        <f>Sheet1!B1311</f>
        <v>1.36</v>
      </c>
      <c r="C1311">
        <f>IF(Sheet1!B1311&gt;0,1,0)</f>
        <v>1</v>
      </c>
    </row>
    <row r="1312" spans="1:3" x14ac:dyDescent="0.25">
      <c r="A1312" s="15">
        <f>Sheet1!A1312</f>
        <v>0</v>
      </c>
      <c r="B1312">
        <f>Sheet1!B1312</f>
        <v>0</v>
      </c>
      <c r="C1312">
        <f>IF(Sheet1!B1312&gt;0,1,0)</f>
        <v>0</v>
      </c>
    </row>
    <row r="1313" spans="1:3" x14ac:dyDescent="0.25">
      <c r="A1313" s="15">
        <f>Sheet1!A1313</f>
        <v>0</v>
      </c>
      <c r="B1313">
        <f>Sheet1!B1313</f>
        <v>0</v>
      </c>
      <c r="C1313">
        <f>IF(Sheet1!B1313&gt;0,1,0)</f>
        <v>0</v>
      </c>
    </row>
    <row r="1314" spans="1:3" x14ac:dyDescent="0.25">
      <c r="A1314" s="15">
        <f>Sheet1!A1314</f>
        <v>0</v>
      </c>
      <c r="B1314">
        <f>Sheet1!B1314</f>
        <v>0</v>
      </c>
      <c r="C1314">
        <f>IF(Sheet1!B1314&gt;0,1,0)</f>
        <v>0</v>
      </c>
    </row>
    <row r="1315" spans="1:3" x14ac:dyDescent="0.25">
      <c r="A1315" s="15">
        <f>Sheet1!A1315</f>
        <v>0</v>
      </c>
      <c r="B1315">
        <f>Sheet1!B1315</f>
        <v>0.9</v>
      </c>
      <c r="C1315">
        <f>IF(Sheet1!B1315&gt;0,1,0)</f>
        <v>1</v>
      </c>
    </row>
    <row r="1316" spans="1:3" x14ac:dyDescent="0.25">
      <c r="A1316" s="15">
        <f>Sheet1!A1316</f>
        <v>0</v>
      </c>
      <c r="B1316">
        <f>Sheet1!B1316</f>
        <v>0</v>
      </c>
      <c r="C1316">
        <f>IF(Sheet1!B1316&gt;0,1,0)</f>
        <v>0</v>
      </c>
    </row>
    <row r="1317" spans="1:3" x14ac:dyDescent="0.25">
      <c r="A1317" s="15">
        <f>Sheet1!A1317</f>
        <v>0</v>
      </c>
      <c r="B1317">
        <f>Sheet1!B1317</f>
        <v>0</v>
      </c>
      <c r="C1317">
        <f>IF(Sheet1!B1317&gt;0,1,0)</f>
        <v>0</v>
      </c>
    </row>
    <row r="1318" spans="1:3" x14ac:dyDescent="0.25">
      <c r="A1318" s="15">
        <f>Sheet1!A1318</f>
        <v>0</v>
      </c>
      <c r="B1318">
        <f>Sheet1!B1318</f>
        <v>1.17</v>
      </c>
      <c r="C1318">
        <f>IF(Sheet1!B1318&gt;0,1,0)</f>
        <v>1</v>
      </c>
    </row>
    <row r="1319" spans="1:3" x14ac:dyDescent="0.25">
      <c r="A1319" s="15">
        <f>Sheet1!A1319</f>
        <v>0</v>
      </c>
      <c r="B1319">
        <f>Sheet1!B1319</f>
        <v>0.84</v>
      </c>
      <c r="C1319">
        <f>IF(Sheet1!B1319&gt;0,1,0)</f>
        <v>1</v>
      </c>
    </row>
    <row r="1320" spans="1:3" x14ac:dyDescent="0.25">
      <c r="A1320" s="15">
        <f>Sheet1!A1320</f>
        <v>0</v>
      </c>
      <c r="B1320">
        <f>Sheet1!B1320</f>
        <v>1.6</v>
      </c>
      <c r="C1320">
        <f>IF(Sheet1!B1320&gt;0,1,0)</f>
        <v>1</v>
      </c>
    </row>
    <row r="1321" spans="1:3" x14ac:dyDescent="0.25">
      <c r="A1321" s="15">
        <f>Sheet1!A1321</f>
        <v>0</v>
      </c>
      <c r="B1321">
        <f>Sheet1!B1321</f>
        <v>0.84</v>
      </c>
      <c r="C1321">
        <f>IF(Sheet1!B1321&gt;0,1,0)</f>
        <v>1</v>
      </c>
    </row>
    <row r="1322" spans="1:3" x14ac:dyDescent="0.25">
      <c r="A1322" s="15">
        <f>Sheet1!A1322</f>
        <v>0</v>
      </c>
      <c r="B1322">
        <f>Sheet1!B1322</f>
        <v>1.03</v>
      </c>
      <c r="C1322">
        <f>IF(Sheet1!B1322&gt;0,1,0)</f>
        <v>1</v>
      </c>
    </row>
    <row r="1323" spans="1:3" x14ac:dyDescent="0.25">
      <c r="A1323" s="15">
        <f>Sheet1!A1323</f>
        <v>0</v>
      </c>
      <c r="B1323">
        <f>Sheet1!B1323</f>
        <v>0.89</v>
      </c>
      <c r="C1323">
        <f>IF(Sheet1!B1323&gt;0,1,0)</f>
        <v>1</v>
      </c>
    </row>
    <row r="1324" spans="1:3" x14ac:dyDescent="0.25">
      <c r="A1324" s="15">
        <f>Sheet1!A1324</f>
        <v>0</v>
      </c>
      <c r="B1324">
        <f>Sheet1!B1324</f>
        <v>0.69</v>
      </c>
      <c r="C1324">
        <f>IF(Sheet1!B1324&gt;0,1,0)</f>
        <v>1</v>
      </c>
    </row>
    <row r="1325" spans="1:3" x14ac:dyDescent="0.25">
      <c r="A1325" s="15">
        <f>Sheet1!A1325</f>
        <v>0</v>
      </c>
      <c r="B1325">
        <f>Sheet1!B1325</f>
        <v>1.42</v>
      </c>
      <c r="C1325">
        <f>IF(Sheet1!B1325&gt;0,1,0)</f>
        <v>1</v>
      </c>
    </row>
    <row r="1326" spans="1:3" x14ac:dyDescent="0.25">
      <c r="A1326" s="15">
        <f>Sheet1!A1326</f>
        <v>0</v>
      </c>
      <c r="B1326">
        <f>Sheet1!B1326</f>
        <v>0</v>
      </c>
      <c r="C1326">
        <f>IF(Sheet1!B1326&gt;0,1,0)</f>
        <v>0</v>
      </c>
    </row>
    <row r="1327" spans="1:3" x14ac:dyDescent="0.25">
      <c r="A1327" s="15">
        <f>Sheet1!A1327</f>
        <v>0</v>
      </c>
      <c r="B1327">
        <f>Sheet1!B1327</f>
        <v>0</v>
      </c>
      <c r="C1327">
        <f>IF(Sheet1!B1327&gt;0,1,0)</f>
        <v>0</v>
      </c>
    </row>
    <row r="1328" spans="1:3" x14ac:dyDescent="0.25">
      <c r="A1328" s="15">
        <f>Sheet1!A1328</f>
        <v>0</v>
      </c>
      <c r="B1328">
        <f>Sheet1!B1328</f>
        <v>0.68</v>
      </c>
      <c r="C1328">
        <f>IF(Sheet1!B1328&gt;0,1,0)</f>
        <v>1</v>
      </c>
    </row>
    <row r="1329" spans="1:3" x14ac:dyDescent="0.25">
      <c r="A1329" s="15">
        <f>Sheet1!A1329</f>
        <v>0</v>
      </c>
      <c r="B1329">
        <f>Sheet1!B1329</f>
        <v>0.68</v>
      </c>
      <c r="C1329">
        <f>IF(Sheet1!B1329&gt;0,1,0)</f>
        <v>1</v>
      </c>
    </row>
    <row r="1330" spans="1:3" x14ac:dyDescent="0.25">
      <c r="A1330" s="15">
        <f>Sheet1!A1330</f>
        <v>0</v>
      </c>
      <c r="B1330">
        <f>Sheet1!B1330</f>
        <v>1.42</v>
      </c>
      <c r="C1330">
        <f>IF(Sheet1!B1330&gt;0,1,0)</f>
        <v>1</v>
      </c>
    </row>
    <row r="1331" spans="1:3" x14ac:dyDescent="0.25">
      <c r="A1331" s="15">
        <f>Sheet1!A1331</f>
        <v>0</v>
      </c>
      <c r="B1331">
        <f>Sheet1!B1331</f>
        <v>1.04</v>
      </c>
      <c r="C1331">
        <f>IF(Sheet1!B1331&gt;0,1,0)</f>
        <v>1</v>
      </c>
    </row>
    <row r="1332" spans="1:3" x14ac:dyDescent="0.25">
      <c r="A1332" s="15">
        <f>Sheet1!A1332</f>
        <v>0</v>
      </c>
      <c r="B1332">
        <f>Sheet1!B1332</f>
        <v>0</v>
      </c>
      <c r="C1332">
        <f>IF(Sheet1!B1332&gt;0,1,0)</f>
        <v>0</v>
      </c>
    </row>
    <row r="1333" spans="1:3" x14ac:dyDescent="0.25">
      <c r="A1333" s="15">
        <f>Sheet1!A1333</f>
        <v>0</v>
      </c>
      <c r="B1333">
        <f>Sheet1!B1333</f>
        <v>0</v>
      </c>
      <c r="C1333">
        <f>IF(Sheet1!B1333&gt;0,1,0)</f>
        <v>0</v>
      </c>
    </row>
    <row r="1334" spans="1:3" x14ac:dyDescent="0.25">
      <c r="A1334" s="15">
        <f>Sheet1!A1334</f>
        <v>0</v>
      </c>
      <c r="B1334">
        <f>Sheet1!B1334</f>
        <v>0</v>
      </c>
      <c r="C1334">
        <f>IF(Sheet1!B1334&gt;0,1,0)</f>
        <v>0</v>
      </c>
    </row>
    <row r="1335" spans="1:3" x14ac:dyDescent="0.25">
      <c r="A1335" s="15">
        <f>Sheet1!A1335</f>
        <v>0</v>
      </c>
      <c r="B1335">
        <f>Sheet1!B1335</f>
        <v>1.77</v>
      </c>
      <c r="C1335">
        <f>IF(Sheet1!B1335&gt;0,1,0)</f>
        <v>1</v>
      </c>
    </row>
    <row r="1336" spans="1:3" x14ac:dyDescent="0.25">
      <c r="A1336" s="15">
        <f>Sheet1!A1336</f>
        <v>0</v>
      </c>
      <c r="B1336">
        <f>Sheet1!B1336</f>
        <v>0</v>
      </c>
      <c r="C1336">
        <f>IF(Sheet1!B1336&gt;0,1,0)</f>
        <v>0</v>
      </c>
    </row>
    <row r="1337" spans="1:3" x14ac:dyDescent="0.25">
      <c r="A1337" s="15">
        <f>Sheet1!A1337</f>
        <v>0</v>
      </c>
      <c r="B1337">
        <f>Sheet1!B1337</f>
        <v>0</v>
      </c>
      <c r="C1337">
        <f>IF(Sheet1!B1337&gt;0,1,0)</f>
        <v>0</v>
      </c>
    </row>
    <row r="1338" spans="1:3" x14ac:dyDescent="0.25">
      <c r="A1338" s="15">
        <f>Sheet1!A1338</f>
        <v>0</v>
      </c>
      <c r="B1338">
        <f>Sheet1!B1338</f>
        <v>0</v>
      </c>
      <c r="C1338">
        <f>IF(Sheet1!B1338&gt;0,1,0)</f>
        <v>0</v>
      </c>
    </row>
    <row r="1339" spans="1:3" x14ac:dyDescent="0.25">
      <c r="A1339" s="15">
        <f>Sheet1!A1339</f>
        <v>0</v>
      </c>
      <c r="B1339">
        <f>Sheet1!B1339</f>
        <v>1.3</v>
      </c>
      <c r="C1339">
        <f>IF(Sheet1!B1339&gt;0,1,0)</f>
        <v>1</v>
      </c>
    </row>
    <row r="1340" spans="1:3" x14ac:dyDescent="0.25">
      <c r="A1340" s="15">
        <f>Sheet1!A1340</f>
        <v>0</v>
      </c>
      <c r="B1340">
        <f>Sheet1!B1340</f>
        <v>1.24</v>
      </c>
      <c r="C1340">
        <f>IF(Sheet1!B1340&gt;0,1,0)</f>
        <v>1</v>
      </c>
    </row>
    <row r="1341" spans="1:3" x14ac:dyDescent="0.25">
      <c r="A1341" s="15">
        <f>Sheet1!A1341</f>
        <v>0</v>
      </c>
      <c r="B1341">
        <f>Sheet1!B1341</f>
        <v>1.28</v>
      </c>
      <c r="C1341">
        <f>IF(Sheet1!B1341&gt;0,1,0)</f>
        <v>1</v>
      </c>
    </row>
    <row r="1342" spans="1:3" x14ac:dyDescent="0.25">
      <c r="A1342" s="15">
        <f>Sheet1!A1342</f>
        <v>0</v>
      </c>
      <c r="B1342">
        <f>Sheet1!B1342</f>
        <v>0</v>
      </c>
      <c r="C1342">
        <f>IF(Sheet1!B1342&gt;0,1,0)</f>
        <v>0</v>
      </c>
    </row>
    <row r="1343" spans="1:3" x14ac:dyDescent="0.25">
      <c r="A1343" s="15">
        <f>Sheet1!A1343</f>
        <v>0</v>
      </c>
      <c r="B1343">
        <f>Sheet1!B1343</f>
        <v>0.92</v>
      </c>
      <c r="C1343">
        <f>IF(Sheet1!B1343&gt;0,1,0)</f>
        <v>1</v>
      </c>
    </row>
    <row r="1344" spans="1:3" x14ac:dyDescent="0.25">
      <c r="A1344" s="15">
        <f>Sheet1!A1344</f>
        <v>0</v>
      </c>
      <c r="B1344">
        <f>Sheet1!B1344</f>
        <v>1</v>
      </c>
      <c r="C1344">
        <f>IF(Sheet1!B1344&gt;0,1,0)</f>
        <v>1</v>
      </c>
    </row>
    <row r="1345" spans="1:3" x14ac:dyDescent="0.25">
      <c r="A1345" s="15">
        <f>Sheet1!A1345</f>
        <v>0</v>
      </c>
      <c r="B1345">
        <f>Sheet1!B1345</f>
        <v>0.32</v>
      </c>
      <c r="C1345">
        <f>IF(Sheet1!B1345&gt;0,1,0)</f>
        <v>1</v>
      </c>
    </row>
    <row r="1346" spans="1:3" x14ac:dyDescent="0.25">
      <c r="A1346" s="15">
        <f>Sheet1!A1346</f>
        <v>0</v>
      </c>
      <c r="B1346">
        <f>Sheet1!B1346</f>
        <v>0.57999999999999996</v>
      </c>
      <c r="C1346">
        <f>IF(Sheet1!B1346&gt;0,1,0)</f>
        <v>1</v>
      </c>
    </row>
    <row r="1347" spans="1:3" x14ac:dyDescent="0.25">
      <c r="A1347" s="15">
        <f>Sheet1!A1347</f>
        <v>0</v>
      </c>
      <c r="B1347">
        <f>Sheet1!B1347</f>
        <v>0.59</v>
      </c>
      <c r="C1347">
        <f>IF(Sheet1!B1347&gt;0,1,0)</f>
        <v>1</v>
      </c>
    </row>
    <row r="1348" spans="1:3" x14ac:dyDescent="0.25">
      <c r="A1348" s="15">
        <f>Sheet1!A1348</f>
        <v>0</v>
      </c>
      <c r="B1348">
        <f>Sheet1!B1348</f>
        <v>0.32</v>
      </c>
      <c r="C1348">
        <f>IF(Sheet1!B1348&gt;0,1,0)</f>
        <v>1</v>
      </c>
    </row>
    <row r="1349" spans="1:3" x14ac:dyDescent="0.25">
      <c r="A1349" s="15">
        <f>Sheet1!A1349</f>
        <v>0</v>
      </c>
      <c r="B1349">
        <f>Sheet1!B1349</f>
        <v>0.94</v>
      </c>
      <c r="C1349">
        <f>IF(Sheet1!B1349&gt;0,1,0)</f>
        <v>1</v>
      </c>
    </row>
    <row r="1350" spans="1:3" x14ac:dyDescent="0.25">
      <c r="A1350" s="15">
        <f>Sheet1!A1350</f>
        <v>0</v>
      </c>
      <c r="B1350">
        <f>Sheet1!B1350</f>
        <v>1.03</v>
      </c>
      <c r="C1350">
        <f>IF(Sheet1!B1350&gt;0,1,0)</f>
        <v>1</v>
      </c>
    </row>
    <row r="1351" spans="1:3" x14ac:dyDescent="0.25">
      <c r="A1351" s="15">
        <f>Sheet1!A1351</f>
        <v>0</v>
      </c>
      <c r="B1351">
        <f>Sheet1!B1351</f>
        <v>0.59</v>
      </c>
      <c r="C1351">
        <f>IF(Sheet1!B1351&gt;0,1,0)</f>
        <v>1</v>
      </c>
    </row>
    <row r="1352" spans="1:3" x14ac:dyDescent="0.25">
      <c r="A1352" s="15">
        <f>Sheet1!A1352</f>
        <v>0</v>
      </c>
      <c r="B1352">
        <f>Sheet1!B1352</f>
        <v>0.32</v>
      </c>
      <c r="C1352">
        <f>IF(Sheet1!B1352&gt;0,1,0)</f>
        <v>1</v>
      </c>
    </row>
    <row r="1353" spans="1:3" x14ac:dyDescent="0.25">
      <c r="A1353" s="15">
        <f>Sheet1!A1353</f>
        <v>0</v>
      </c>
      <c r="B1353">
        <f>Sheet1!B1353</f>
        <v>0.67</v>
      </c>
      <c r="C1353">
        <f>IF(Sheet1!B1353&gt;0,1,0)</f>
        <v>1</v>
      </c>
    </row>
    <row r="1354" spans="1:3" x14ac:dyDescent="0.25">
      <c r="A1354" s="15">
        <f>Sheet1!A1354</f>
        <v>0</v>
      </c>
      <c r="B1354">
        <f>Sheet1!B1354</f>
        <v>0</v>
      </c>
      <c r="C1354">
        <f>IF(Sheet1!B1354&gt;0,1,0)</f>
        <v>0</v>
      </c>
    </row>
    <row r="1355" spans="1:3" x14ac:dyDescent="0.25">
      <c r="A1355" s="15">
        <f>Sheet1!A1355</f>
        <v>0</v>
      </c>
      <c r="B1355">
        <f>Sheet1!B1355</f>
        <v>0</v>
      </c>
      <c r="C1355">
        <f>IF(Sheet1!B1355&gt;0,1,0)</f>
        <v>0</v>
      </c>
    </row>
    <row r="1356" spans="1:3" x14ac:dyDescent="0.25">
      <c r="A1356" s="15">
        <f>Sheet1!A1356</f>
        <v>0</v>
      </c>
      <c r="B1356">
        <f>Sheet1!B1356</f>
        <v>0.31</v>
      </c>
      <c r="C1356">
        <f>IF(Sheet1!B1356&gt;0,1,0)</f>
        <v>1</v>
      </c>
    </row>
    <row r="1357" spans="1:3" x14ac:dyDescent="0.25">
      <c r="A1357" s="15">
        <f>Sheet1!A1357</f>
        <v>0</v>
      </c>
      <c r="B1357">
        <f>Sheet1!B1357</f>
        <v>0.47</v>
      </c>
      <c r="C1357">
        <f>IF(Sheet1!B1357&gt;0,1,0)</f>
        <v>1</v>
      </c>
    </row>
    <row r="1358" spans="1:3" x14ac:dyDescent="0.25">
      <c r="A1358" s="15">
        <f>Sheet1!A1358</f>
        <v>0</v>
      </c>
      <c r="B1358">
        <f>Sheet1!B1358</f>
        <v>0</v>
      </c>
      <c r="C1358">
        <f>IF(Sheet1!B1358&gt;0,1,0)</f>
        <v>0</v>
      </c>
    </row>
    <row r="1359" spans="1:3" x14ac:dyDescent="0.25">
      <c r="A1359" s="15">
        <f>Sheet1!A1359</f>
        <v>0</v>
      </c>
      <c r="B1359">
        <f>Sheet1!B1359</f>
        <v>0</v>
      </c>
      <c r="C1359">
        <f>IF(Sheet1!B1359&gt;0,1,0)</f>
        <v>0</v>
      </c>
    </row>
    <row r="1360" spans="1:3" x14ac:dyDescent="0.25">
      <c r="A1360" s="15">
        <f>Sheet1!A1360</f>
        <v>0</v>
      </c>
      <c r="B1360">
        <f>Sheet1!B1360</f>
        <v>0</v>
      </c>
      <c r="C1360">
        <f>IF(Sheet1!B1360&gt;0,1,0)</f>
        <v>0</v>
      </c>
    </row>
    <row r="1361" spans="1:3" x14ac:dyDescent="0.25">
      <c r="A1361" s="15">
        <f>Sheet1!A1361</f>
        <v>0</v>
      </c>
      <c r="B1361">
        <f>Sheet1!B1361</f>
        <v>1.77</v>
      </c>
      <c r="C1361">
        <f>IF(Sheet1!B1361&gt;0,1,0)</f>
        <v>1</v>
      </c>
    </row>
    <row r="1362" spans="1:3" x14ac:dyDescent="0.25">
      <c r="A1362" s="15">
        <f>Sheet1!A1362</f>
        <v>0</v>
      </c>
      <c r="B1362">
        <f>Sheet1!B1362</f>
        <v>0</v>
      </c>
      <c r="C1362">
        <f>IF(Sheet1!B1362&gt;0,1,0)</f>
        <v>0</v>
      </c>
    </row>
    <row r="1363" spans="1:3" x14ac:dyDescent="0.25">
      <c r="A1363" s="15">
        <f>Sheet1!A1363</f>
        <v>0</v>
      </c>
      <c r="B1363">
        <f>Sheet1!B1363</f>
        <v>0</v>
      </c>
      <c r="C1363">
        <f>IF(Sheet1!B1363&gt;0,1,0)</f>
        <v>0</v>
      </c>
    </row>
    <row r="1364" spans="1:3" x14ac:dyDescent="0.25">
      <c r="A1364" s="15">
        <f>Sheet1!A1364</f>
        <v>0</v>
      </c>
      <c r="B1364">
        <f>Sheet1!B1364</f>
        <v>0</v>
      </c>
      <c r="C1364">
        <f>IF(Sheet1!B1364&gt;0,1,0)</f>
        <v>0</v>
      </c>
    </row>
    <row r="1365" spans="1:3" x14ac:dyDescent="0.25">
      <c r="A1365" s="15">
        <f>Sheet1!A1365</f>
        <v>0</v>
      </c>
      <c r="B1365">
        <f>Sheet1!B1365</f>
        <v>1.31</v>
      </c>
      <c r="C1365">
        <f>IF(Sheet1!B1365&gt;0,1,0)</f>
        <v>1</v>
      </c>
    </row>
    <row r="1366" spans="1:3" x14ac:dyDescent="0.25">
      <c r="A1366" s="15">
        <f>Sheet1!A1366</f>
        <v>0</v>
      </c>
      <c r="B1366">
        <f>Sheet1!B1366</f>
        <v>0</v>
      </c>
      <c r="C1366">
        <f>IF(Sheet1!B1366&gt;0,1,0)</f>
        <v>0</v>
      </c>
    </row>
    <row r="1367" spans="1:3" x14ac:dyDescent="0.25">
      <c r="A1367" s="15">
        <f>Sheet1!A1367</f>
        <v>0</v>
      </c>
      <c r="B1367">
        <f>Sheet1!B1367</f>
        <v>0</v>
      </c>
      <c r="C1367">
        <f>IF(Sheet1!B1367&gt;0,1,0)</f>
        <v>0</v>
      </c>
    </row>
    <row r="1368" spans="1:3" x14ac:dyDescent="0.25">
      <c r="A1368" s="15">
        <f>Sheet1!A1368</f>
        <v>0</v>
      </c>
      <c r="B1368">
        <f>Sheet1!B1368</f>
        <v>0.98</v>
      </c>
      <c r="C1368">
        <f>IF(Sheet1!B1368&gt;0,1,0)</f>
        <v>1</v>
      </c>
    </row>
    <row r="1369" spans="1:3" x14ac:dyDescent="0.25">
      <c r="A1369" s="15">
        <f>Sheet1!A1369</f>
        <v>0</v>
      </c>
      <c r="B1369">
        <f>Sheet1!B1369</f>
        <v>1.17</v>
      </c>
      <c r="C1369">
        <f>IF(Sheet1!B1369&gt;0,1,0)</f>
        <v>1</v>
      </c>
    </row>
    <row r="1370" spans="1:3" x14ac:dyDescent="0.25">
      <c r="A1370" s="15">
        <f>Sheet1!A1370</f>
        <v>0</v>
      </c>
      <c r="B1370">
        <f>Sheet1!B1370</f>
        <v>0.82</v>
      </c>
      <c r="C1370">
        <f>IF(Sheet1!B1370&gt;0,1,0)</f>
        <v>1</v>
      </c>
    </row>
    <row r="1371" spans="1:3" x14ac:dyDescent="0.25">
      <c r="A1371" s="15">
        <f>Sheet1!A1371</f>
        <v>0</v>
      </c>
      <c r="B1371">
        <f>Sheet1!B1371</f>
        <v>1.1399999999999999</v>
      </c>
      <c r="C1371">
        <f>IF(Sheet1!B1371&gt;0,1,0)</f>
        <v>1</v>
      </c>
    </row>
    <row r="1372" spans="1:3" x14ac:dyDescent="0.25">
      <c r="A1372" s="15">
        <f>Sheet1!A1372</f>
        <v>0</v>
      </c>
      <c r="B1372">
        <f>Sheet1!B1372</f>
        <v>0.91</v>
      </c>
      <c r="C1372">
        <f>IF(Sheet1!B1372&gt;0,1,0)</f>
        <v>1</v>
      </c>
    </row>
    <row r="1373" spans="1:3" x14ac:dyDescent="0.25">
      <c r="A1373" s="15">
        <f>Sheet1!A1373</f>
        <v>0</v>
      </c>
      <c r="B1373">
        <f>Sheet1!B1373</f>
        <v>1.2</v>
      </c>
      <c r="C1373">
        <f>IF(Sheet1!B1373&gt;0,1,0)</f>
        <v>1</v>
      </c>
    </row>
    <row r="1374" spans="1:3" x14ac:dyDescent="0.25">
      <c r="A1374" s="15">
        <f>Sheet1!A1374</f>
        <v>0</v>
      </c>
      <c r="B1374">
        <f>Sheet1!B1374</f>
        <v>1.55</v>
      </c>
      <c r="C1374">
        <f>IF(Sheet1!B1374&gt;0,1,0)</f>
        <v>1</v>
      </c>
    </row>
    <row r="1375" spans="1:3" x14ac:dyDescent="0.25">
      <c r="A1375" s="15">
        <f>Sheet1!A1375</f>
        <v>0</v>
      </c>
      <c r="B1375">
        <f>Sheet1!B1375</f>
        <v>0.6</v>
      </c>
      <c r="C1375">
        <f>IF(Sheet1!B1375&gt;0,1,0)</f>
        <v>1</v>
      </c>
    </row>
    <row r="1376" spans="1:3" x14ac:dyDescent="0.25">
      <c r="A1376" s="15">
        <f>Sheet1!A1376</f>
        <v>0</v>
      </c>
      <c r="B1376">
        <f>Sheet1!B1376</f>
        <v>0.43</v>
      </c>
      <c r="C1376">
        <f>IF(Sheet1!B1376&gt;0,1,0)</f>
        <v>1</v>
      </c>
    </row>
    <row r="1377" spans="1:3" x14ac:dyDescent="0.25">
      <c r="A1377" s="15">
        <f>Sheet1!A1377</f>
        <v>0</v>
      </c>
      <c r="B1377">
        <f>Sheet1!B1377</f>
        <v>0.72</v>
      </c>
      <c r="C1377">
        <f>IF(Sheet1!B1377&gt;0,1,0)</f>
        <v>1</v>
      </c>
    </row>
    <row r="1378" spans="1:3" x14ac:dyDescent="0.25">
      <c r="A1378" s="15">
        <f>Sheet1!A1378</f>
        <v>0</v>
      </c>
      <c r="B1378">
        <f>Sheet1!B1378</f>
        <v>0.41</v>
      </c>
      <c r="C1378">
        <f>IF(Sheet1!B1378&gt;0,1,0)</f>
        <v>1</v>
      </c>
    </row>
    <row r="1379" spans="1:3" x14ac:dyDescent="0.25">
      <c r="A1379" s="15">
        <f>Sheet1!A1379</f>
        <v>0</v>
      </c>
      <c r="B1379">
        <f>Sheet1!B1379</f>
        <v>0.3</v>
      </c>
      <c r="C1379">
        <f>IF(Sheet1!B1379&gt;0,1,0)</f>
        <v>1</v>
      </c>
    </row>
    <row r="1380" spans="1:3" x14ac:dyDescent="0.25">
      <c r="A1380" s="15">
        <f>Sheet1!A1380</f>
        <v>0</v>
      </c>
      <c r="B1380">
        <f>Sheet1!B1380</f>
        <v>0.41</v>
      </c>
      <c r="C1380">
        <f>IF(Sheet1!B1380&gt;0,1,0)</f>
        <v>1</v>
      </c>
    </row>
    <row r="1381" spans="1:3" x14ac:dyDescent="0.25">
      <c r="A1381" s="15">
        <f>Sheet1!A1381</f>
        <v>0</v>
      </c>
      <c r="B1381">
        <f>Sheet1!B1381</f>
        <v>0</v>
      </c>
      <c r="C1381">
        <f>IF(Sheet1!B1381&gt;0,1,0)</f>
        <v>0</v>
      </c>
    </row>
    <row r="1382" spans="1:3" x14ac:dyDescent="0.25">
      <c r="A1382" s="15">
        <f>Sheet1!A1382</f>
        <v>0</v>
      </c>
      <c r="B1382">
        <f>Sheet1!B1382</f>
        <v>0</v>
      </c>
      <c r="C1382">
        <f>IF(Sheet1!B1382&gt;0,1,0)</f>
        <v>0</v>
      </c>
    </row>
    <row r="1383" spans="1:3" x14ac:dyDescent="0.25">
      <c r="A1383" s="15">
        <f>Sheet1!A1383</f>
        <v>0</v>
      </c>
      <c r="B1383">
        <f>Sheet1!B1383</f>
        <v>1.47</v>
      </c>
      <c r="C1383">
        <f>IF(Sheet1!B1383&gt;0,1,0)</f>
        <v>1</v>
      </c>
    </row>
    <row r="1384" spans="1:3" x14ac:dyDescent="0.25">
      <c r="A1384" s="15">
        <f>Sheet1!A1384</f>
        <v>0</v>
      </c>
      <c r="B1384">
        <f>Sheet1!B1384</f>
        <v>1.89</v>
      </c>
      <c r="C1384">
        <f>IF(Sheet1!B1384&gt;0,1,0)</f>
        <v>1</v>
      </c>
    </row>
    <row r="1385" spans="1:3" x14ac:dyDescent="0.25">
      <c r="A1385" s="15">
        <f>Sheet1!A1385</f>
        <v>0</v>
      </c>
      <c r="B1385">
        <f>Sheet1!B1385</f>
        <v>1.05</v>
      </c>
      <c r="C1385">
        <f>IF(Sheet1!B1385&gt;0,1,0)</f>
        <v>1</v>
      </c>
    </row>
    <row r="1386" spans="1:3" x14ac:dyDescent="0.25">
      <c r="A1386" s="15">
        <f>Sheet1!A1386</f>
        <v>0</v>
      </c>
      <c r="B1386">
        <f>Sheet1!B1386</f>
        <v>0</v>
      </c>
      <c r="C1386">
        <f>IF(Sheet1!B1386&gt;0,1,0)</f>
        <v>0</v>
      </c>
    </row>
    <row r="1387" spans="1:3" x14ac:dyDescent="0.25">
      <c r="A1387" s="15">
        <f>Sheet1!A1387</f>
        <v>0</v>
      </c>
      <c r="B1387">
        <f>Sheet1!B1387</f>
        <v>0</v>
      </c>
      <c r="C1387">
        <f>IF(Sheet1!B1387&gt;0,1,0)</f>
        <v>0</v>
      </c>
    </row>
    <row r="1388" spans="1:3" x14ac:dyDescent="0.25">
      <c r="A1388" s="15">
        <f>Sheet1!A1388</f>
        <v>0</v>
      </c>
      <c r="B1388">
        <f>Sheet1!B1388</f>
        <v>0</v>
      </c>
      <c r="C1388">
        <f>IF(Sheet1!B1388&gt;0,1,0)</f>
        <v>0</v>
      </c>
    </row>
    <row r="1389" spans="1:3" x14ac:dyDescent="0.25">
      <c r="A1389" s="15">
        <f>Sheet1!A1389</f>
        <v>0</v>
      </c>
      <c r="B1389">
        <f>Sheet1!B1389</f>
        <v>0.99</v>
      </c>
      <c r="C1389">
        <f>IF(Sheet1!B1389&gt;0,1,0)</f>
        <v>1</v>
      </c>
    </row>
    <row r="1390" spans="1:3" x14ac:dyDescent="0.25">
      <c r="A1390" s="15">
        <f>Sheet1!A1390</f>
        <v>0</v>
      </c>
      <c r="B1390">
        <f>Sheet1!B1390</f>
        <v>0</v>
      </c>
      <c r="C1390">
        <f>IF(Sheet1!B1390&gt;0,1,0)</f>
        <v>0</v>
      </c>
    </row>
    <row r="1391" spans="1:3" x14ac:dyDescent="0.25">
      <c r="A1391" s="15">
        <f>Sheet1!A1391</f>
        <v>0</v>
      </c>
      <c r="B1391">
        <f>Sheet1!B1391</f>
        <v>0.84</v>
      </c>
      <c r="C1391">
        <f>IF(Sheet1!B1391&gt;0,1,0)</f>
        <v>1</v>
      </c>
    </row>
    <row r="1392" spans="1:3" x14ac:dyDescent="0.25">
      <c r="A1392" s="15">
        <f>Sheet1!A1392</f>
        <v>0</v>
      </c>
      <c r="B1392">
        <f>Sheet1!B1392</f>
        <v>0.88</v>
      </c>
      <c r="C1392">
        <f>IF(Sheet1!B1392&gt;0,1,0)</f>
        <v>1</v>
      </c>
    </row>
    <row r="1393" spans="1:3" x14ac:dyDescent="0.25">
      <c r="A1393" s="15">
        <f>Sheet1!A1393</f>
        <v>0</v>
      </c>
      <c r="B1393">
        <f>Sheet1!B1393</f>
        <v>1.3</v>
      </c>
      <c r="C1393">
        <f>IF(Sheet1!B1393&gt;0,1,0)</f>
        <v>1</v>
      </c>
    </row>
    <row r="1394" spans="1:3" x14ac:dyDescent="0.25">
      <c r="A1394" s="15">
        <f>Sheet1!A1394</f>
        <v>0</v>
      </c>
      <c r="B1394">
        <f>Sheet1!B1394</f>
        <v>0.83</v>
      </c>
      <c r="C1394">
        <f>IF(Sheet1!B1394&gt;0,1,0)</f>
        <v>1</v>
      </c>
    </row>
    <row r="1395" spans="1:3" x14ac:dyDescent="0.25">
      <c r="A1395" s="15">
        <f>Sheet1!A1395</f>
        <v>0</v>
      </c>
      <c r="B1395">
        <f>Sheet1!B1395</f>
        <v>1.25</v>
      </c>
      <c r="C1395">
        <f>IF(Sheet1!B1395&gt;0,1,0)</f>
        <v>1</v>
      </c>
    </row>
    <row r="1396" spans="1:3" x14ac:dyDescent="0.25">
      <c r="A1396" s="15">
        <f>Sheet1!A1396</f>
        <v>0</v>
      </c>
      <c r="B1396">
        <f>Sheet1!B1396</f>
        <v>0.93</v>
      </c>
      <c r="C1396">
        <f>IF(Sheet1!B1396&gt;0,1,0)</f>
        <v>1</v>
      </c>
    </row>
    <row r="1397" spans="1:3" x14ac:dyDescent="0.25">
      <c r="A1397" s="15">
        <f>Sheet1!A1397</f>
        <v>0</v>
      </c>
      <c r="B1397">
        <f>Sheet1!B1397</f>
        <v>1.1499999999999999</v>
      </c>
      <c r="C1397">
        <f>IF(Sheet1!B1397&gt;0,1,0)</f>
        <v>1</v>
      </c>
    </row>
    <row r="1398" spans="1:3" x14ac:dyDescent="0.25">
      <c r="A1398" s="15">
        <f>Sheet1!A1398</f>
        <v>0</v>
      </c>
      <c r="B1398">
        <f>Sheet1!B1398</f>
        <v>1.37</v>
      </c>
      <c r="C1398">
        <f>IF(Sheet1!B1398&gt;0,1,0)</f>
        <v>1</v>
      </c>
    </row>
    <row r="1399" spans="1:3" x14ac:dyDescent="0.25">
      <c r="A1399" s="15">
        <f>Sheet1!A1399</f>
        <v>0</v>
      </c>
      <c r="B1399">
        <f>Sheet1!B1399</f>
        <v>1.04</v>
      </c>
      <c r="C1399">
        <f>IF(Sheet1!B1399&gt;0,1,0)</f>
        <v>1</v>
      </c>
    </row>
    <row r="1400" spans="1:3" x14ac:dyDescent="0.25">
      <c r="A1400" s="15">
        <f>Sheet1!A1400</f>
        <v>0</v>
      </c>
      <c r="B1400">
        <f>Sheet1!B1400</f>
        <v>0.65</v>
      </c>
      <c r="C1400">
        <f>IF(Sheet1!B1400&gt;0,1,0)</f>
        <v>1</v>
      </c>
    </row>
    <row r="1401" spans="1:3" x14ac:dyDescent="0.25">
      <c r="A1401" s="15">
        <f>Sheet1!A1401</f>
        <v>0</v>
      </c>
      <c r="B1401">
        <f>Sheet1!B1401</f>
        <v>0.65</v>
      </c>
      <c r="C1401">
        <f>IF(Sheet1!B1401&gt;0,1,0)</f>
        <v>1</v>
      </c>
    </row>
    <row r="1402" spans="1:3" x14ac:dyDescent="0.25">
      <c r="A1402" s="15">
        <f>Sheet1!A1402</f>
        <v>0</v>
      </c>
      <c r="B1402">
        <f>Sheet1!B1402</f>
        <v>0</v>
      </c>
      <c r="C1402">
        <f>IF(Sheet1!B1402&gt;0,1,0)</f>
        <v>0</v>
      </c>
    </row>
    <row r="1403" spans="1:3" x14ac:dyDescent="0.25">
      <c r="A1403" s="15">
        <f>Sheet1!A1403</f>
        <v>0</v>
      </c>
      <c r="B1403">
        <f>Sheet1!B1403</f>
        <v>0</v>
      </c>
      <c r="C1403">
        <f>IF(Sheet1!B1403&gt;0,1,0)</f>
        <v>0</v>
      </c>
    </row>
    <row r="1404" spans="1:3" x14ac:dyDescent="0.25">
      <c r="A1404" s="15">
        <f>Sheet1!A1404</f>
        <v>0</v>
      </c>
      <c r="B1404">
        <f>Sheet1!B1404</f>
        <v>0.67</v>
      </c>
      <c r="C1404">
        <f>IF(Sheet1!B1404&gt;0,1,0)</f>
        <v>1</v>
      </c>
    </row>
    <row r="1405" spans="1:3" x14ac:dyDescent="0.25">
      <c r="A1405" s="15">
        <f>Sheet1!A1405</f>
        <v>0</v>
      </c>
      <c r="B1405">
        <f>Sheet1!B1405</f>
        <v>0.75</v>
      </c>
      <c r="C1405">
        <f>IF(Sheet1!B1405&gt;0,1,0)</f>
        <v>1</v>
      </c>
    </row>
    <row r="1406" spans="1:3" x14ac:dyDescent="0.25">
      <c r="A1406" s="15">
        <f>Sheet1!A1406</f>
        <v>0</v>
      </c>
      <c r="B1406">
        <f>Sheet1!B1406</f>
        <v>0.9</v>
      </c>
      <c r="C1406">
        <f>IF(Sheet1!B1406&gt;0,1,0)</f>
        <v>1</v>
      </c>
    </row>
    <row r="1407" spans="1:3" x14ac:dyDescent="0.25">
      <c r="A1407" s="15">
        <f>Sheet1!A1407</f>
        <v>0</v>
      </c>
      <c r="B1407">
        <f>Sheet1!B1407</f>
        <v>0.68</v>
      </c>
      <c r="C1407">
        <f>IF(Sheet1!B1407&gt;0,1,0)</f>
        <v>1</v>
      </c>
    </row>
    <row r="1408" spans="1:3" x14ac:dyDescent="0.25">
      <c r="A1408" s="15">
        <f>Sheet1!A1408</f>
        <v>0</v>
      </c>
      <c r="B1408">
        <f>Sheet1!B1408</f>
        <v>1.58</v>
      </c>
      <c r="C1408">
        <f>IF(Sheet1!B1408&gt;0,1,0)</f>
        <v>1</v>
      </c>
    </row>
    <row r="1409" spans="1:3" x14ac:dyDescent="0.25">
      <c r="A1409" s="15">
        <f>Sheet1!A1409</f>
        <v>0</v>
      </c>
      <c r="B1409">
        <f>Sheet1!B1409</f>
        <v>0.95</v>
      </c>
      <c r="C1409">
        <f>IF(Sheet1!B1409&gt;0,1,0)</f>
        <v>1</v>
      </c>
    </row>
    <row r="1410" spans="1:3" x14ac:dyDescent="0.25">
      <c r="A1410" s="15">
        <f>Sheet1!A1410</f>
        <v>0</v>
      </c>
      <c r="B1410">
        <f>Sheet1!B1410</f>
        <v>0</v>
      </c>
      <c r="C1410">
        <f>IF(Sheet1!B1410&gt;0,1,0)</f>
        <v>0</v>
      </c>
    </row>
    <row r="1411" spans="1:3" x14ac:dyDescent="0.25">
      <c r="A1411" s="15">
        <f>Sheet1!A1411</f>
        <v>0</v>
      </c>
      <c r="B1411">
        <f>Sheet1!B1411</f>
        <v>0</v>
      </c>
      <c r="C1411">
        <f>IF(Sheet1!B1411&gt;0,1,0)</f>
        <v>0</v>
      </c>
    </row>
    <row r="1412" spans="1:3" x14ac:dyDescent="0.25">
      <c r="A1412" s="15">
        <f>Sheet1!A1412</f>
        <v>0</v>
      </c>
      <c r="B1412">
        <f>Sheet1!B1412</f>
        <v>0</v>
      </c>
      <c r="C1412">
        <f>IF(Sheet1!B1412&gt;0,1,0)</f>
        <v>0</v>
      </c>
    </row>
    <row r="1413" spans="1:3" x14ac:dyDescent="0.25">
      <c r="A1413" s="15">
        <f>Sheet1!A1413</f>
        <v>0</v>
      </c>
      <c r="B1413">
        <f>Sheet1!B1413</f>
        <v>1.33</v>
      </c>
      <c r="C1413">
        <f>IF(Sheet1!B1413&gt;0,1,0)</f>
        <v>1</v>
      </c>
    </row>
    <row r="1414" spans="1:3" x14ac:dyDescent="0.25">
      <c r="A1414" s="15">
        <f>Sheet1!A1414</f>
        <v>0</v>
      </c>
      <c r="B1414">
        <f>Sheet1!B1414</f>
        <v>1.1499999999999999</v>
      </c>
      <c r="C1414">
        <f>IF(Sheet1!B1414&gt;0,1,0)</f>
        <v>1</v>
      </c>
    </row>
    <row r="1415" spans="1:3" x14ac:dyDescent="0.25">
      <c r="A1415" s="15">
        <f>Sheet1!A1415</f>
        <v>0</v>
      </c>
      <c r="B1415">
        <f>Sheet1!B1415</f>
        <v>1.02</v>
      </c>
      <c r="C1415">
        <f>IF(Sheet1!B1415&gt;0,1,0)</f>
        <v>1</v>
      </c>
    </row>
    <row r="1416" spans="1:3" x14ac:dyDescent="0.25">
      <c r="A1416" s="15">
        <f>Sheet1!A1416</f>
        <v>0</v>
      </c>
      <c r="B1416">
        <f>Sheet1!B1416</f>
        <v>0.63</v>
      </c>
      <c r="C1416">
        <f>IF(Sheet1!B1416&gt;0,1,0)</f>
        <v>1</v>
      </c>
    </row>
    <row r="1417" spans="1:3" x14ac:dyDescent="0.25">
      <c r="A1417" s="15">
        <f>Sheet1!A1417</f>
        <v>0</v>
      </c>
      <c r="B1417">
        <f>Sheet1!B1417</f>
        <v>1.07</v>
      </c>
      <c r="C1417">
        <f>IF(Sheet1!B1417&gt;0,1,0)</f>
        <v>1</v>
      </c>
    </row>
    <row r="1418" spans="1:3" x14ac:dyDescent="0.25">
      <c r="A1418" s="15">
        <f>Sheet1!A1418</f>
        <v>0</v>
      </c>
      <c r="B1418">
        <f>Sheet1!B1418</f>
        <v>1.07</v>
      </c>
      <c r="C1418">
        <f>IF(Sheet1!B1418&gt;0,1,0)</f>
        <v>1</v>
      </c>
    </row>
    <row r="1419" spans="1:3" x14ac:dyDescent="0.25">
      <c r="A1419" s="15">
        <f>Sheet1!A1419</f>
        <v>0</v>
      </c>
      <c r="B1419">
        <f>Sheet1!B1419</f>
        <v>0.86</v>
      </c>
      <c r="C1419">
        <f>IF(Sheet1!B1419&gt;0,1,0)</f>
        <v>1</v>
      </c>
    </row>
    <row r="1420" spans="1:3" x14ac:dyDescent="0.25">
      <c r="A1420" s="15">
        <f>Sheet1!A1420</f>
        <v>0</v>
      </c>
      <c r="B1420">
        <f>Sheet1!B1420</f>
        <v>0.96</v>
      </c>
      <c r="C1420">
        <f>IF(Sheet1!B1420&gt;0,1,0)</f>
        <v>1</v>
      </c>
    </row>
    <row r="1421" spans="1:3" x14ac:dyDescent="0.25">
      <c r="A1421" s="15">
        <f>Sheet1!A1421</f>
        <v>0</v>
      </c>
      <c r="B1421">
        <f>Sheet1!B1421</f>
        <v>1.05</v>
      </c>
      <c r="C1421">
        <f>IF(Sheet1!B1421&gt;0,1,0)</f>
        <v>1</v>
      </c>
    </row>
    <row r="1422" spans="1:3" x14ac:dyDescent="0.25">
      <c r="A1422" s="15">
        <f>Sheet1!A1422</f>
        <v>0</v>
      </c>
      <c r="B1422">
        <f>Sheet1!B1422</f>
        <v>1.22</v>
      </c>
      <c r="C1422">
        <f>IF(Sheet1!B1422&gt;0,1,0)</f>
        <v>1</v>
      </c>
    </row>
    <row r="1423" spans="1:3" x14ac:dyDescent="0.25">
      <c r="A1423" s="15">
        <f>Sheet1!A1423</f>
        <v>0</v>
      </c>
      <c r="B1423">
        <f>Sheet1!B1423</f>
        <v>0.8</v>
      </c>
      <c r="C1423">
        <f>IF(Sheet1!B1423&gt;0,1,0)</f>
        <v>1</v>
      </c>
    </row>
    <row r="1424" spans="1:3" x14ac:dyDescent="0.25">
      <c r="A1424" s="15">
        <f>Sheet1!A1424</f>
        <v>0</v>
      </c>
      <c r="B1424">
        <f>Sheet1!B1424</f>
        <v>0.28999999999999998</v>
      </c>
      <c r="C1424">
        <f>IF(Sheet1!B1424&gt;0,1,0)</f>
        <v>1</v>
      </c>
    </row>
    <row r="1425" spans="1:3" x14ac:dyDescent="0.25">
      <c r="A1425" s="15">
        <f>Sheet1!A1425</f>
        <v>0</v>
      </c>
      <c r="B1425">
        <f>Sheet1!B1425</f>
        <v>0.66</v>
      </c>
      <c r="C1425">
        <f>IF(Sheet1!B1425&gt;0,1,0)</f>
        <v>1</v>
      </c>
    </row>
    <row r="1426" spans="1:3" x14ac:dyDescent="0.25">
      <c r="A1426" s="15">
        <f>Sheet1!A1426</f>
        <v>0</v>
      </c>
      <c r="B1426">
        <f>Sheet1!B1426</f>
        <v>0.34</v>
      </c>
      <c r="C1426">
        <f>IF(Sheet1!B1426&gt;0,1,0)</f>
        <v>1</v>
      </c>
    </row>
    <row r="1427" spans="1:3" x14ac:dyDescent="0.25">
      <c r="A1427" s="15">
        <f>Sheet1!A1427</f>
        <v>0</v>
      </c>
      <c r="B1427">
        <f>Sheet1!B1427</f>
        <v>0.86</v>
      </c>
      <c r="C1427">
        <f>IF(Sheet1!B1427&gt;0,1,0)</f>
        <v>1</v>
      </c>
    </row>
    <row r="1428" spans="1:3" x14ac:dyDescent="0.25">
      <c r="A1428" s="15">
        <f>Sheet1!A1428</f>
        <v>0</v>
      </c>
      <c r="B1428">
        <f>Sheet1!B1428</f>
        <v>0.6</v>
      </c>
      <c r="C1428">
        <f>IF(Sheet1!B1428&gt;0,1,0)</f>
        <v>1</v>
      </c>
    </row>
    <row r="1429" spans="1:3" x14ac:dyDescent="0.25">
      <c r="A1429" s="15">
        <f>Sheet1!A1429</f>
        <v>0</v>
      </c>
      <c r="B1429">
        <f>Sheet1!B1429</f>
        <v>0.57999999999999996</v>
      </c>
      <c r="C1429">
        <f>IF(Sheet1!B1429&gt;0,1,0)</f>
        <v>1</v>
      </c>
    </row>
    <row r="1430" spans="1:3" x14ac:dyDescent="0.25">
      <c r="A1430" s="15">
        <f>Sheet1!A1430</f>
        <v>0</v>
      </c>
      <c r="B1430">
        <f>Sheet1!B1430</f>
        <v>0.53</v>
      </c>
      <c r="C1430">
        <f>IF(Sheet1!B1430&gt;0,1,0)</f>
        <v>1</v>
      </c>
    </row>
    <row r="1431" spans="1:3" x14ac:dyDescent="0.25">
      <c r="A1431" s="15">
        <f>Sheet1!A1431</f>
        <v>0</v>
      </c>
      <c r="B1431">
        <f>Sheet1!B1431</f>
        <v>1.0900000000000001</v>
      </c>
      <c r="C1431">
        <f>IF(Sheet1!B1431&gt;0,1,0)</f>
        <v>1</v>
      </c>
    </row>
    <row r="1432" spans="1:3" x14ac:dyDescent="0.25">
      <c r="A1432" s="15">
        <f>Sheet1!A1432</f>
        <v>0</v>
      </c>
      <c r="B1432">
        <f>Sheet1!B1432</f>
        <v>0.88</v>
      </c>
      <c r="C1432">
        <f>IF(Sheet1!B1432&gt;0,1,0)</f>
        <v>1</v>
      </c>
    </row>
    <row r="1433" spans="1:3" x14ac:dyDescent="0.25">
      <c r="A1433" s="15">
        <f>Sheet1!A1433</f>
        <v>0</v>
      </c>
      <c r="B1433">
        <f>Sheet1!B1433</f>
        <v>1.02</v>
      </c>
      <c r="C1433">
        <f>IF(Sheet1!B1433&gt;0,1,0)</f>
        <v>1</v>
      </c>
    </row>
    <row r="1434" spans="1:3" x14ac:dyDescent="0.25">
      <c r="A1434" s="15">
        <f>Sheet1!A1434</f>
        <v>0</v>
      </c>
      <c r="B1434">
        <f>Sheet1!B1434</f>
        <v>0.77</v>
      </c>
      <c r="C1434">
        <f>IF(Sheet1!B1434&gt;0,1,0)</f>
        <v>1</v>
      </c>
    </row>
    <row r="1435" spans="1:3" x14ac:dyDescent="0.25">
      <c r="A1435" s="15">
        <f>Sheet1!A1435</f>
        <v>0</v>
      </c>
      <c r="B1435">
        <f>Sheet1!B1435</f>
        <v>0.85</v>
      </c>
      <c r="C1435">
        <f>IF(Sheet1!B1435&gt;0,1,0)</f>
        <v>1</v>
      </c>
    </row>
    <row r="1436" spans="1:3" x14ac:dyDescent="0.25">
      <c r="A1436" s="15">
        <f>Sheet1!A1436</f>
        <v>0</v>
      </c>
      <c r="B1436">
        <f>Sheet1!B1436</f>
        <v>0.82</v>
      </c>
      <c r="C1436">
        <f>IF(Sheet1!B1436&gt;0,1,0)</f>
        <v>1</v>
      </c>
    </row>
    <row r="1437" spans="1:3" x14ac:dyDescent="0.25">
      <c r="A1437" s="15">
        <f>Sheet1!A1437</f>
        <v>0</v>
      </c>
      <c r="B1437">
        <f>Sheet1!B1437</f>
        <v>0</v>
      </c>
      <c r="C1437">
        <f>IF(Sheet1!B1437&gt;0,1,0)</f>
        <v>0</v>
      </c>
    </row>
    <row r="1438" spans="1:3" x14ac:dyDescent="0.25">
      <c r="A1438" s="15">
        <f>Sheet1!A1438</f>
        <v>0</v>
      </c>
      <c r="B1438">
        <f>Sheet1!B1438</f>
        <v>3.83</v>
      </c>
      <c r="C1438">
        <f>IF(Sheet1!B1438&gt;0,1,0)</f>
        <v>1</v>
      </c>
    </row>
    <row r="1439" spans="1:3" x14ac:dyDescent="0.25">
      <c r="A1439" s="15">
        <f>Sheet1!A1439</f>
        <v>0</v>
      </c>
      <c r="B1439">
        <f>Sheet1!B1439</f>
        <v>1.6</v>
      </c>
      <c r="C1439">
        <f>IF(Sheet1!B1439&gt;0,1,0)</f>
        <v>1</v>
      </c>
    </row>
    <row r="1440" spans="1:3" x14ac:dyDescent="0.25">
      <c r="A1440" s="15">
        <f>Sheet1!A1440</f>
        <v>0</v>
      </c>
      <c r="B1440">
        <f>Sheet1!B1440</f>
        <v>1.39</v>
      </c>
      <c r="C1440">
        <f>IF(Sheet1!B1440&gt;0,1,0)</f>
        <v>1</v>
      </c>
    </row>
    <row r="1441" spans="1:3" x14ac:dyDescent="0.25">
      <c r="A1441" s="15">
        <f>Sheet1!A1441</f>
        <v>0</v>
      </c>
      <c r="B1441">
        <f>Sheet1!B1441</f>
        <v>2.2200000000000002</v>
      </c>
      <c r="C1441">
        <f>IF(Sheet1!B1441&gt;0,1,0)</f>
        <v>1</v>
      </c>
    </row>
    <row r="1442" spans="1:3" x14ac:dyDescent="0.25">
      <c r="A1442" s="15">
        <f>Sheet1!A1442</f>
        <v>0</v>
      </c>
      <c r="B1442">
        <f>Sheet1!B1442</f>
        <v>1</v>
      </c>
      <c r="C1442">
        <f>IF(Sheet1!B1442&gt;0,1,0)</f>
        <v>1</v>
      </c>
    </row>
    <row r="1443" spans="1:3" x14ac:dyDescent="0.25">
      <c r="A1443" s="15">
        <f>Sheet1!A1443</f>
        <v>0</v>
      </c>
      <c r="B1443">
        <f>Sheet1!B1443</f>
        <v>1.18</v>
      </c>
      <c r="C1443">
        <f>IF(Sheet1!B1443&gt;0,1,0)</f>
        <v>1</v>
      </c>
    </row>
    <row r="1444" spans="1:3" x14ac:dyDescent="0.25">
      <c r="A1444" s="15">
        <f>Sheet1!A1444</f>
        <v>0</v>
      </c>
      <c r="B1444">
        <f>Sheet1!B1444</f>
        <v>0.65</v>
      </c>
      <c r="C1444">
        <f>IF(Sheet1!B1444&gt;0,1,0)</f>
        <v>1</v>
      </c>
    </row>
    <row r="1445" spans="1:3" x14ac:dyDescent="0.25">
      <c r="A1445" s="15">
        <f>Sheet1!A1445</f>
        <v>0</v>
      </c>
      <c r="B1445">
        <f>Sheet1!B1445</f>
        <v>0.76</v>
      </c>
      <c r="C1445">
        <f>IF(Sheet1!B1445&gt;0,1,0)</f>
        <v>1</v>
      </c>
    </row>
    <row r="1446" spans="1:3" x14ac:dyDescent="0.25">
      <c r="A1446" s="15">
        <f>Sheet1!A1446</f>
        <v>0</v>
      </c>
      <c r="B1446">
        <f>Sheet1!B1446</f>
        <v>0.6</v>
      </c>
      <c r="C1446">
        <f>IF(Sheet1!B1446&gt;0,1,0)</f>
        <v>1</v>
      </c>
    </row>
    <row r="1447" spans="1:3" x14ac:dyDescent="0.25">
      <c r="A1447" s="15">
        <f>Sheet1!A1447</f>
        <v>0</v>
      </c>
      <c r="B1447">
        <f>Sheet1!B1447</f>
        <v>1.0900000000000001</v>
      </c>
      <c r="C1447">
        <f>IF(Sheet1!B1447&gt;0,1,0)</f>
        <v>1</v>
      </c>
    </row>
    <row r="1448" spans="1:3" x14ac:dyDescent="0.25">
      <c r="A1448" s="15">
        <f>Sheet1!A1448</f>
        <v>0</v>
      </c>
      <c r="B1448">
        <f>Sheet1!B1448</f>
        <v>0.98</v>
      </c>
      <c r="C1448">
        <f>IF(Sheet1!B1448&gt;0,1,0)</f>
        <v>1</v>
      </c>
    </row>
    <row r="1449" spans="1:3" x14ac:dyDescent="0.25">
      <c r="A1449" s="15">
        <f>Sheet1!A1449</f>
        <v>0</v>
      </c>
      <c r="B1449">
        <f>Sheet1!B1449</f>
        <v>0.97</v>
      </c>
      <c r="C1449">
        <f>IF(Sheet1!B1449&gt;0,1,0)</f>
        <v>1</v>
      </c>
    </row>
    <row r="1450" spans="1:3" x14ac:dyDescent="0.25">
      <c r="A1450" s="15">
        <f>Sheet1!A1450</f>
        <v>0</v>
      </c>
      <c r="B1450">
        <f>Sheet1!B1450</f>
        <v>1.08</v>
      </c>
      <c r="C1450">
        <f>IF(Sheet1!B1450&gt;0,1,0)</f>
        <v>1</v>
      </c>
    </row>
    <row r="1451" spans="1:3" x14ac:dyDescent="0.25">
      <c r="A1451" s="15">
        <f>Sheet1!A1451</f>
        <v>0</v>
      </c>
      <c r="B1451">
        <f>Sheet1!B1451</f>
        <v>0</v>
      </c>
      <c r="C1451">
        <f>IF(Sheet1!B1451&gt;0,1,0)</f>
        <v>0</v>
      </c>
    </row>
    <row r="1452" spans="1:3" x14ac:dyDescent="0.25">
      <c r="A1452" s="15">
        <f>Sheet1!A1452</f>
        <v>0</v>
      </c>
      <c r="B1452">
        <f>Sheet1!B1452</f>
        <v>0</v>
      </c>
      <c r="C1452">
        <f>IF(Sheet1!B1452&gt;0,1,0)</f>
        <v>0</v>
      </c>
    </row>
    <row r="1453" spans="1:3" x14ac:dyDescent="0.25">
      <c r="A1453" s="15">
        <f>Sheet1!A1453</f>
        <v>0</v>
      </c>
      <c r="B1453">
        <f>Sheet1!B1453</f>
        <v>0.74</v>
      </c>
      <c r="C1453">
        <f>IF(Sheet1!B1453&gt;0,1,0)</f>
        <v>1</v>
      </c>
    </row>
    <row r="1454" spans="1:3" x14ac:dyDescent="0.25">
      <c r="A1454" s="15">
        <f>Sheet1!A1454</f>
        <v>0</v>
      </c>
      <c r="B1454">
        <f>Sheet1!B1454</f>
        <v>0.81</v>
      </c>
      <c r="C1454">
        <f>IF(Sheet1!B1454&gt;0,1,0)</f>
        <v>1</v>
      </c>
    </row>
    <row r="1455" spans="1:3" x14ac:dyDescent="0.25">
      <c r="A1455" s="15">
        <f>Sheet1!A1455</f>
        <v>0</v>
      </c>
      <c r="B1455">
        <f>Sheet1!B1455</f>
        <v>0.73</v>
      </c>
      <c r="C1455">
        <f>IF(Sheet1!B1455&gt;0,1,0)</f>
        <v>1</v>
      </c>
    </row>
    <row r="1456" spans="1:3" x14ac:dyDescent="0.25">
      <c r="A1456" s="15">
        <f>Sheet1!A1456</f>
        <v>0</v>
      </c>
      <c r="B1456">
        <f>Sheet1!B1456</f>
        <v>1.22</v>
      </c>
      <c r="C1456">
        <f>IF(Sheet1!B1456&gt;0,1,0)</f>
        <v>1</v>
      </c>
    </row>
    <row r="1457" spans="1:3" x14ac:dyDescent="0.25">
      <c r="A1457" s="15">
        <f>Sheet1!A1457</f>
        <v>0</v>
      </c>
      <c r="B1457">
        <f>Sheet1!B1457</f>
        <v>1.1000000000000001</v>
      </c>
      <c r="C1457">
        <f>IF(Sheet1!B1457&gt;0,1,0)</f>
        <v>1</v>
      </c>
    </row>
    <row r="1458" spans="1:3" x14ac:dyDescent="0.25">
      <c r="A1458" s="15">
        <f>Sheet1!A1458</f>
        <v>0</v>
      </c>
      <c r="B1458">
        <f>Sheet1!B1458</f>
        <v>0</v>
      </c>
      <c r="C1458">
        <f>IF(Sheet1!B1458&gt;0,1,0)</f>
        <v>0</v>
      </c>
    </row>
    <row r="1459" spans="1:3" x14ac:dyDescent="0.25">
      <c r="A1459" s="15">
        <f>Sheet1!A1459</f>
        <v>0</v>
      </c>
      <c r="B1459">
        <f>Sheet1!B1459</f>
        <v>0.82</v>
      </c>
      <c r="C1459">
        <f>IF(Sheet1!B1459&gt;0,1,0)</f>
        <v>1</v>
      </c>
    </row>
    <row r="1460" spans="1:3" x14ac:dyDescent="0.25">
      <c r="A1460" s="15">
        <f>Sheet1!A1460</f>
        <v>0</v>
      </c>
      <c r="B1460">
        <f>Sheet1!B1460</f>
        <v>1.39</v>
      </c>
      <c r="C1460">
        <f>IF(Sheet1!B1460&gt;0,1,0)</f>
        <v>1</v>
      </c>
    </row>
    <row r="1461" spans="1:3" x14ac:dyDescent="0.25">
      <c r="A1461" s="15">
        <f>Sheet1!A1461</f>
        <v>0</v>
      </c>
      <c r="B1461">
        <f>Sheet1!B1461</f>
        <v>1.25</v>
      </c>
      <c r="C1461">
        <f>IF(Sheet1!B1461&gt;0,1,0)</f>
        <v>1</v>
      </c>
    </row>
    <row r="1462" spans="1:3" x14ac:dyDescent="0.25">
      <c r="A1462" s="15">
        <f>Sheet1!A1462</f>
        <v>0</v>
      </c>
      <c r="B1462">
        <f>Sheet1!B1462</f>
        <v>0.89</v>
      </c>
      <c r="C1462">
        <f>IF(Sheet1!B1462&gt;0,1,0)</f>
        <v>1</v>
      </c>
    </row>
    <row r="1463" spans="1:3" x14ac:dyDescent="0.25">
      <c r="A1463" s="15">
        <f>Sheet1!A1463</f>
        <v>0</v>
      </c>
      <c r="B1463">
        <f>Sheet1!B1463</f>
        <v>1.81</v>
      </c>
      <c r="C1463">
        <f>IF(Sheet1!B1463&gt;0,1,0)</f>
        <v>1</v>
      </c>
    </row>
    <row r="1464" spans="1:3" x14ac:dyDescent="0.25">
      <c r="A1464" s="15">
        <f>Sheet1!A1464</f>
        <v>0</v>
      </c>
      <c r="B1464">
        <f>Sheet1!B1464</f>
        <v>0.45</v>
      </c>
      <c r="C1464">
        <f>IF(Sheet1!B1464&gt;0,1,0)</f>
        <v>1</v>
      </c>
    </row>
    <row r="1465" spans="1:3" x14ac:dyDescent="0.25">
      <c r="A1465" s="15">
        <f>Sheet1!A1465</f>
        <v>0</v>
      </c>
      <c r="B1465">
        <f>Sheet1!B1465</f>
        <v>0.54</v>
      </c>
      <c r="C1465">
        <f>IF(Sheet1!B1465&gt;0,1,0)</f>
        <v>1</v>
      </c>
    </row>
    <row r="1466" spans="1:3" x14ac:dyDescent="0.25">
      <c r="A1466" s="15">
        <f>Sheet1!A1466</f>
        <v>0</v>
      </c>
      <c r="B1466">
        <f>Sheet1!B1466</f>
        <v>0.48</v>
      </c>
      <c r="C1466">
        <f>IF(Sheet1!B1466&gt;0,1,0)</f>
        <v>1</v>
      </c>
    </row>
    <row r="1467" spans="1:3" x14ac:dyDescent="0.25">
      <c r="A1467" s="15">
        <f>Sheet1!A1467</f>
        <v>0</v>
      </c>
      <c r="B1467">
        <f>Sheet1!B1467</f>
        <v>0.8</v>
      </c>
      <c r="C1467">
        <f>IF(Sheet1!B1467&gt;0,1,0)</f>
        <v>1</v>
      </c>
    </row>
    <row r="1468" spans="1:3" x14ac:dyDescent="0.25">
      <c r="A1468" s="15">
        <f>Sheet1!A1468</f>
        <v>0</v>
      </c>
      <c r="B1468">
        <f>Sheet1!B1468</f>
        <v>0.36</v>
      </c>
      <c r="C1468">
        <f>IF(Sheet1!B1468&gt;0,1,0)</f>
        <v>1</v>
      </c>
    </row>
    <row r="1469" spans="1:3" x14ac:dyDescent="0.25">
      <c r="A1469" s="15">
        <f>Sheet1!A1469</f>
        <v>0</v>
      </c>
      <c r="B1469">
        <f>Sheet1!B1469</f>
        <v>0.4</v>
      </c>
      <c r="C1469">
        <f>IF(Sheet1!B1469&gt;0,1,0)</f>
        <v>1</v>
      </c>
    </row>
    <row r="1470" spans="1:3" x14ac:dyDescent="0.25">
      <c r="A1470" s="15">
        <f>Sheet1!A1470</f>
        <v>0</v>
      </c>
      <c r="B1470">
        <f>Sheet1!B1470</f>
        <v>0.53</v>
      </c>
      <c r="C1470">
        <f>IF(Sheet1!B1470&gt;0,1,0)</f>
        <v>1</v>
      </c>
    </row>
    <row r="1471" spans="1:3" x14ac:dyDescent="0.25">
      <c r="A1471" s="15">
        <f>Sheet1!A1471</f>
        <v>0</v>
      </c>
      <c r="B1471">
        <f>Sheet1!B1471</f>
        <v>0.4</v>
      </c>
      <c r="C1471">
        <f>IF(Sheet1!B1471&gt;0,1,0)</f>
        <v>1</v>
      </c>
    </row>
    <row r="1472" spans="1:3" x14ac:dyDescent="0.25">
      <c r="A1472" s="15">
        <f>Sheet1!A1472</f>
        <v>0</v>
      </c>
      <c r="B1472">
        <f>Sheet1!B1472</f>
        <v>1.37</v>
      </c>
      <c r="C1472">
        <f>IF(Sheet1!B1472&gt;0,1,0)</f>
        <v>1</v>
      </c>
    </row>
    <row r="1473" spans="1:3" x14ac:dyDescent="0.25">
      <c r="A1473" s="15">
        <f>Sheet1!A1473</f>
        <v>0</v>
      </c>
      <c r="B1473">
        <f>Sheet1!B1473</f>
        <v>0.39</v>
      </c>
      <c r="C1473">
        <f>IF(Sheet1!B1473&gt;0,1,0)</f>
        <v>1</v>
      </c>
    </row>
    <row r="1474" spans="1:3" x14ac:dyDescent="0.25">
      <c r="A1474" s="15">
        <f>Sheet1!A1474</f>
        <v>0</v>
      </c>
      <c r="B1474">
        <f>Sheet1!B1474</f>
        <v>0.61</v>
      </c>
      <c r="C1474">
        <f>IF(Sheet1!B1474&gt;0,1,0)</f>
        <v>1</v>
      </c>
    </row>
    <row r="1475" spans="1:3" x14ac:dyDescent="0.25">
      <c r="A1475" s="15">
        <f>Sheet1!A1475</f>
        <v>0</v>
      </c>
      <c r="B1475">
        <f>Sheet1!B1475</f>
        <v>1.41</v>
      </c>
      <c r="C1475">
        <f>IF(Sheet1!B1475&gt;0,1,0)</f>
        <v>1</v>
      </c>
    </row>
    <row r="1476" spans="1:3" x14ac:dyDescent="0.25">
      <c r="A1476" s="15">
        <f>Sheet1!A1476</f>
        <v>0</v>
      </c>
      <c r="B1476">
        <f>Sheet1!B1476</f>
        <v>0.76</v>
      </c>
      <c r="C1476">
        <f>IF(Sheet1!B1476&gt;0,1,0)</f>
        <v>1</v>
      </c>
    </row>
    <row r="1477" spans="1:3" x14ac:dyDescent="0.25">
      <c r="A1477" s="15">
        <f>Sheet1!A1477</f>
        <v>0</v>
      </c>
      <c r="B1477">
        <f>Sheet1!B1477</f>
        <v>1.1200000000000001</v>
      </c>
      <c r="C1477">
        <f>IF(Sheet1!B1477&gt;0,1,0)</f>
        <v>1</v>
      </c>
    </row>
    <row r="1478" spans="1:3" x14ac:dyDescent="0.25">
      <c r="A1478" s="15">
        <f>Sheet1!A1478</f>
        <v>0</v>
      </c>
      <c r="B1478">
        <f>Sheet1!B1478</f>
        <v>1.36</v>
      </c>
      <c r="C1478">
        <f>IF(Sheet1!B1478&gt;0,1,0)</f>
        <v>1</v>
      </c>
    </row>
    <row r="1479" spans="1:3" x14ac:dyDescent="0.25">
      <c r="A1479" s="15">
        <f>Sheet1!A1479</f>
        <v>0</v>
      </c>
      <c r="B1479">
        <f>Sheet1!B1479</f>
        <v>0.88</v>
      </c>
      <c r="C1479">
        <f>IF(Sheet1!B1479&gt;0,1,0)</f>
        <v>1</v>
      </c>
    </row>
    <row r="1480" spans="1:3" x14ac:dyDescent="0.25">
      <c r="A1480" s="15">
        <f>Sheet1!A1480</f>
        <v>0</v>
      </c>
      <c r="B1480">
        <f>Sheet1!B1480</f>
        <v>1.08</v>
      </c>
      <c r="C1480">
        <f>IF(Sheet1!B1480&gt;0,1,0)</f>
        <v>1</v>
      </c>
    </row>
    <row r="1481" spans="1:3" x14ac:dyDescent="0.25">
      <c r="A1481" s="15">
        <f>Sheet1!A1481</f>
        <v>0</v>
      </c>
      <c r="B1481">
        <f>Sheet1!B1481</f>
        <v>1.18</v>
      </c>
      <c r="C1481">
        <f>IF(Sheet1!B1481&gt;0,1,0)</f>
        <v>1</v>
      </c>
    </row>
    <row r="1482" spans="1:3" x14ac:dyDescent="0.25">
      <c r="A1482" s="15">
        <f>Sheet1!A1482</f>
        <v>0</v>
      </c>
      <c r="B1482">
        <f>Sheet1!B1482</f>
        <v>1.02</v>
      </c>
      <c r="C1482">
        <f>IF(Sheet1!B1482&gt;0,1,0)</f>
        <v>1</v>
      </c>
    </row>
    <row r="1483" spans="1:3" x14ac:dyDescent="0.25">
      <c r="A1483" s="15">
        <f>Sheet1!A1483</f>
        <v>0</v>
      </c>
      <c r="B1483">
        <f>Sheet1!B1483</f>
        <v>0.74</v>
      </c>
      <c r="C1483">
        <f>IF(Sheet1!B1483&gt;0,1,0)</f>
        <v>1</v>
      </c>
    </row>
    <row r="1484" spans="1:3" x14ac:dyDescent="0.25">
      <c r="A1484" s="15">
        <f>Sheet1!A1484</f>
        <v>0</v>
      </c>
      <c r="B1484">
        <f>Sheet1!B1484</f>
        <v>2.1</v>
      </c>
      <c r="C1484">
        <f>IF(Sheet1!B1484&gt;0,1,0)</f>
        <v>1</v>
      </c>
    </row>
    <row r="1485" spans="1:3" x14ac:dyDescent="0.25">
      <c r="A1485" s="15">
        <f>Sheet1!A1485</f>
        <v>0</v>
      </c>
      <c r="B1485">
        <f>Sheet1!B1485</f>
        <v>3.47</v>
      </c>
      <c r="C1485">
        <f>IF(Sheet1!B1485&gt;0,1,0)</f>
        <v>1</v>
      </c>
    </row>
    <row r="1486" spans="1:3" x14ac:dyDescent="0.25">
      <c r="A1486" s="15">
        <f>Sheet1!A1486</f>
        <v>0</v>
      </c>
      <c r="B1486">
        <f>Sheet1!B1486</f>
        <v>2.64</v>
      </c>
      <c r="C1486">
        <f>IF(Sheet1!B1486&gt;0,1,0)</f>
        <v>1</v>
      </c>
    </row>
    <row r="1487" spans="1:3" x14ac:dyDescent="0.25">
      <c r="A1487" s="15">
        <f>Sheet1!A1487</f>
        <v>0</v>
      </c>
      <c r="B1487">
        <f>Sheet1!B1487</f>
        <v>1.32</v>
      </c>
      <c r="C1487">
        <f>IF(Sheet1!B1487&gt;0,1,0)</f>
        <v>1</v>
      </c>
    </row>
    <row r="1488" spans="1:3" x14ac:dyDescent="0.25">
      <c r="A1488" s="15">
        <f>Sheet1!A1488</f>
        <v>0</v>
      </c>
      <c r="B1488">
        <f>Sheet1!B1488</f>
        <v>1.53</v>
      </c>
      <c r="C1488">
        <f>IF(Sheet1!B1488&gt;0,1,0)</f>
        <v>1</v>
      </c>
    </row>
    <row r="1489" spans="1:3" x14ac:dyDescent="0.25">
      <c r="A1489" s="15">
        <f>Sheet1!A1489</f>
        <v>0</v>
      </c>
      <c r="B1489">
        <f>Sheet1!B1489</f>
        <v>0.88</v>
      </c>
      <c r="C1489">
        <f>IF(Sheet1!B1489&gt;0,1,0)</f>
        <v>1</v>
      </c>
    </row>
    <row r="1490" spans="1:3" x14ac:dyDescent="0.25">
      <c r="A1490" s="15">
        <f>Sheet1!A1490</f>
        <v>0</v>
      </c>
      <c r="B1490">
        <f>Sheet1!B1490</f>
        <v>0.48</v>
      </c>
      <c r="C1490">
        <f>IF(Sheet1!B1490&gt;0,1,0)</f>
        <v>1</v>
      </c>
    </row>
    <row r="1491" spans="1:3" x14ac:dyDescent="0.25">
      <c r="A1491" s="15">
        <f>Sheet1!A1491</f>
        <v>0</v>
      </c>
      <c r="B1491">
        <f>Sheet1!B1491</f>
        <v>0.6</v>
      </c>
      <c r="C1491">
        <f>IF(Sheet1!B1491&gt;0,1,0)</f>
        <v>1</v>
      </c>
    </row>
    <row r="1492" spans="1:3" x14ac:dyDescent="0.25">
      <c r="A1492" s="15">
        <f>Sheet1!A1492</f>
        <v>0</v>
      </c>
      <c r="B1492">
        <f>Sheet1!B1492</f>
        <v>0.4</v>
      </c>
      <c r="C1492">
        <f>IF(Sheet1!B1492&gt;0,1,0)</f>
        <v>1</v>
      </c>
    </row>
    <row r="1493" spans="1:3" x14ac:dyDescent="0.25">
      <c r="A1493" s="15">
        <f>Sheet1!A1493</f>
        <v>0</v>
      </c>
      <c r="B1493">
        <f>Sheet1!B1493</f>
        <v>0.46</v>
      </c>
      <c r="C1493">
        <f>IF(Sheet1!B1493&gt;0,1,0)</f>
        <v>1</v>
      </c>
    </row>
    <row r="1494" spans="1:3" x14ac:dyDescent="0.25">
      <c r="A1494" s="15">
        <f>Sheet1!A1494</f>
        <v>0</v>
      </c>
      <c r="B1494">
        <f>Sheet1!B1494</f>
        <v>0.73</v>
      </c>
      <c r="C1494">
        <f>IF(Sheet1!B1494&gt;0,1,0)</f>
        <v>1</v>
      </c>
    </row>
    <row r="1495" spans="1:3" x14ac:dyDescent="0.25">
      <c r="A1495" s="15">
        <f>Sheet1!A1495</f>
        <v>0</v>
      </c>
      <c r="B1495">
        <f>Sheet1!B1495</f>
        <v>0.93</v>
      </c>
      <c r="C1495">
        <f>IF(Sheet1!B1495&gt;0,1,0)</f>
        <v>1</v>
      </c>
    </row>
    <row r="1496" spans="1:3" x14ac:dyDescent="0.25">
      <c r="A1496" s="15">
        <f>Sheet1!A1496</f>
        <v>0</v>
      </c>
      <c r="B1496">
        <f>Sheet1!B1496</f>
        <v>0.3</v>
      </c>
      <c r="C1496">
        <f>IF(Sheet1!B1496&gt;0,1,0)</f>
        <v>1</v>
      </c>
    </row>
    <row r="1497" spans="1:3" x14ac:dyDescent="0.25">
      <c r="A1497" s="15">
        <f>Sheet1!A1497</f>
        <v>0</v>
      </c>
      <c r="B1497">
        <f>Sheet1!B1497</f>
        <v>0.42</v>
      </c>
      <c r="C1497">
        <f>IF(Sheet1!B1497&gt;0,1,0)</f>
        <v>1</v>
      </c>
    </row>
    <row r="1498" spans="1:3" x14ac:dyDescent="0.25">
      <c r="A1498" s="15">
        <f>Sheet1!A1498</f>
        <v>0</v>
      </c>
      <c r="B1498">
        <f>Sheet1!B1498</f>
        <v>0.3</v>
      </c>
      <c r="C1498">
        <f>IF(Sheet1!B1498&gt;0,1,0)</f>
        <v>1</v>
      </c>
    </row>
    <row r="1499" spans="1:3" x14ac:dyDescent="0.25">
      <c r="A1499" s="15">
        <f>Sheet1!A1499</f>
        <v>0</v>
      </c>
      <c r="B1499">
        <f>Sheet1!B1499</f>
        <v>0.4</v>
      </c>
      <c r="C1499">
        <f>IF(Sheet1!B1499&gt;0,1,0)</f>
        <v>1</v>
      </c>
    </row>
    <row r="1500" spans="1:3" x14ac:dyDescent="0.25">
      <c r="A1500" s="15">
        <f>Sheet1!A1500</f>
        <v>0</v>
      </c>
      <c r="B1500">
        <f>Sheet1!B1500</f>
        <v>0.54</v>
      </c>
      <c r="C1500">
        <f>IF(Sheet1!B1500&gt;0,1,0)</f>
        <v>1</v>
      </c>
    </row>
    <row r="1501" spans="1:3" x14ac:dyDescent="0.25">
      <c r="A1501" s="15">
        <f>Sheet1!A1501</f>
        <v>0</v>
      </c>
      <c r="B1501">
        <f>Sheet1!B1501</f>
        <v>0.6</v>
      </c>
      <c r="C1501">
        <f>IF(Sheet1!B1501&gt;0,1,0)</f>
        <v>1</v>
      </c>
    </row>
    <row r="1502" spans="1:3" x14ac:dyDescent="0.25">
      <c r="A1502" s="15">
        <f>Sheet1!A1502</f>
        <v>0</v>
      </c>
      <c r="B1502">
        <f>Sheet1!B1502</f>
        <v>0.47</v>
      </c>
      <c r="C1502">
        <f>IF(Sheet1!B1502&gt;0,1,0)</f>
        <v>1</v>
      </c>
    </row>
    <row r="1503" spans="1:3" x14ac:dyDescent="0.25">
      <c r="A1503" s="15">
        <f>Sheet1!A1503</f>
        <v>0</v>
      </c>
      <c r="B1503">
        <f>Sheet1!B1503</f>
        <v>0.84</v>
      </c>
      <c r="C1503">
        <f>IF(Sheet1!B1503&gt;0,1,0)</f>
        <v>1</v>
      </c>
    </row>
    <row r="1504" spans="1:3" x14ac:dyDescent="0.25">
      <c r="A1504" s="15">
        <f>Sheet1!A1504</f>
        <v>0</v>
      </c>
      <c r="B1504">
        <f>Sheet1!B1504</f>
        <v>0.4</v>
      </c>
      <c r="C1504">
        <f>IF(Sheet1!B1504&gt;0,1,0)</f>
        <v>1</v>
      </c>
    </row>
    <row r="1505" spans="1:3" x14ac:dyDescent="0.25">
      <c r="A1505" s="15">
        <f>Sheet1!A1505</f>
        <v>0</v>
      </c>
      <c r="B1505">
        <f>Sheet1!B1505</f>
        <v>0.59</v>
      </c>
      <c r="C1505">
        <f>IF(Sheet1!B1505&gt;0,1,0)</f>
        <v>1</v>
      </c>
    </row>
    <row r="1506" spans="1:3" x14ac:dyDescent="0.25">
      <c r="A1506" s="15">
        <f>Sheet1!A1506</f>
        <v>0</v>
      </c>
      <c r="B1506">
        <f>Sheet1!B1506</f>
        <v>1.23</v>
      </c>
      <c r="C1506">
        <f>IF(Sheet1!B1506&gt;0,1,0)</f>
        <v>1</v>
      </c>
    </row>
    <row r="1507" spans="1:3" x14ac:dyDescent="0.25">
      <c r="A1507" s="15">
        <f>Sheet1!A1507</f>
        <v>0</v>
      </c>
      <c r="B1507">
        <f>Sheet1!B1507</f>
        <v>1.02</v>
      </c>
      <c r="C1507">
        <f>IF(Sheet1!B1507&gt;0,1,0)</f>
        <v>1</v>
      </c>
    </row>
    <row r="1508" spans="1:3" x14ac:dyDescent="0.25">
      <c r="A1508" s="15">
        <f>Sheet1!A1508</f>
        <v>0</v>
      </c>
      <c r="B1508">
        <f>Sheet1!B1508</f>
        <v>0.95</v>
      </c>
      <c r="C1508">
        <f>IF(Sheet1!B1508&gt;0,1,0)</f>
        <v>1</v>
      </c>
    </row>
    <row r="1509" spans="1:3" x14ac:dyDescent="0.25">
      <c r="A1509" s="15">
        <f>Sheet1!A1509</f>
        <v>0</v>
      </c>
      <c r="B1509">
        <f>Sheet1!B1509</f>
        <v>1.49</v>
      </c>
      <c r="C1509">
        <f>IF(Sheet1!B1509&gt;0,1,0)</f>
        <v>1</v>
      </c>
    </row>
    <row r="1510" spans="1:3" x14ac:dyDescent="0.25">
      <c r="A1510" s="15">
        <f>Sheet1!A1510</f>
        <v>0</v>
      </c>
      <c r="B1510">
        <f>Sheet1!B1510</f>
        <v>1.19</v>
      </c>
      <c r="C1510">
        <f>IF(Sheet1!B1510&gt;0,1,0)</f>
        <v>1</v>
      </c>
    </row>
    <row r="1511" spans="1:3" x14ac:dyDescent="0.25">
      <c r="A1511" s="15">
        <f>Sheet1!A1511</f>
        <v>0</v>
      </c>
      <c r="B1511">
        <f>Sheet1!B1511</f>
        <v>1.73</v>
      </c>
      <c r="C1511">
        <f>IF(Sheet1!B1511&gt;0,1,0)</f>
        <v>1</v>
      </c>
    </row>
    <row r="1512" spans="1:3" x14ac:dyDescent="0.25">
      <c r="A1512" s="15">
        <f>Sheet1!A1512</f>
        <v>0</v>
      </c>
      <c r="B1512">
        <f>Sheet1!B1512</f>
        <v>1.05</v>
      </c>
      <c r="C1512">
        <f>IF(Sheet1!B1512&gt;0,1,0)</f>
        <v>1</v>
      </c>
    </row>
    <row r="1513" spans="1:3" x14ac:dyDescent="0.25">
      <c r="A1513" s="15">
        <f>Sheet1!A1513</f>
        <v>0</v>
      </c>
      <c r="B1513">
        <f>Sheet1!B1513</f>
        <v>0.79</v>
      </c>
      <c r="C1513">
        <f>IF(Sheet1!B1513&gt;0,1,0)</f>
        <v>1</v>
      </c>
    </row>
    <row r="1514" spans="1:3" x14ac:dyDescent="0.25">
      <c r="A1514" s="15">
        <f>Sheet1!A1514</f>
        <v>0</v>
      </c>
      <c r="B1514">
        <f>Sheet1!B1514</f>
        <v>0.54</v>
      </c>
      <c r="C1514">
        <f>IF(Sheet1!B1514&gt;0,1,0)</f>
        <v>1</v>
      </c>
    </row>
    <row r="1515" spans="1:3" x14ac:dyDescent="0.25">
      <c r="A1515" s="15">
        <f>Sheet1!A1515</f>
        <v>0</v>
      </c>
      <c r="B1515">
        <f>Sheet1!B1515</f>
        <v>0.38</v>
      </c>
      <c r="C1515">
        <f>IF(Sheet1!B1515&gt;0,1,0)</f>
        <v>1</v>
      </c>
    </row>
    <row r="1516" spans="1:3" x14ac:dyDescent="0.25">
      <c r="A1516" s="15">
        <f>Sheet1!A1516</f>
        <v>0</v>
      </c>
      <c r="B1516">
        <f>Sheet1!B1516</f>
        <v>0.8</v>
      </c>
      <c r="C1516">
        <f>IF(Sheet1!B1516&gt;0,1,0)</f>
        <v>1</v>
      </c>
    </row>
    <row r="1517" spans="1:3" x14ac:dyDescent="0.25">
      <c r="A1517" s="15">
        <f>Sheet1!A1517</f>
        <v>0</v>
      </c>
      <c r="B1517">
        <f>Sheet1!B1517</f>
        <v>0.57999999999999996</v>
      </c>
      <c r="C1517">
        <f>IF(Sheet1!B1517&gt;0,1,0)</f>
        <v>1</v>
      </c>
    </row>
    <row r="1518" spans="1:3" x14ac:dyDescent="0.25">
      <c r="A1518" s="15">
        <f>Sheet1!A1518</f>
        <v>0</v>
      </c>
      <c r="B1518">
        <f>Sheet1!B1518</f>
        <v>0.65</v>
      </c>
      <c r="C1518">
        <f>IF(Sheet1!B1518&gt;0,1,0)</f>
        <v>1</v>
      </c>
    </row>
    <row r="1519" spans="1:3" x14ac:dyDescent="0.25">
      <c r="A1519" s="15">
        <f>Sheet1!A1519</f>
        <v>0</v>
      </c>
      <c r="B1519">
        <f>Sheet1!B1519</f>
        <v>0.85</v>
      </c>
      <c r="C1519">
        <f>IF(Sheet1!B1519&gt;0,1,0)</f>
        <v>1</v>
      </c>
    </row>
    <row r="1520" spans="1:3" x14ac:dyDescent="0.25">
      <c r="A1520" s="15">
        <f>Sheet1!A1520</f>
        <v>0</v>
      </c>
      <c r="B1520">
        <f>Sheet1!B1520</f>
        <v>0.59</v>
      </c>
      <c r="C1520">
        <f>IF(Sheet1!B1520&gt;0,1,0)</f>
        <v>1</v>
      </c>
    </row>
    <row r="1521" spans="1:3" x14ac:dyDescent="0.25">
      <c r="A1521" s="15">
        <f>Sheet1!A1521</f>
        <v>0</v>
      </c>
      <c r="B1521">
        <f>Sheet1!B1521</f>
        <v>0.32</v>
      </c>
      <c r="C1521">
        <f>IF(Sheet1!B1521&gt;0,1,0)</f>
        <v>1</v>
      </c>
    </row>
    <row r="1522" spans="1:3" x14ac:dyDescent="0.25">
      <c r="A1522" s="15">
        <f>Sheet1!A1522</f>
        <v>0</v>
      </c>
      <c r="B1522">
        <f>Sheet1!B1522</f>
        <v>0.56999999999999995</v>
      </c>
      <c r="C1522">
        <f>IF(Sheet1!B1522&gt;0,1,0)</f>
        <v>1</v>
      </c>
    </row>
    <row r="1523" spans="1:3" x14ac:dyDescent="0.25">
      <c r="A1523" s="15">
        <f>Sheet1!A1523</f>
        <v>0</v>
      </c>
      <c r="B1523">
        <f>Sheet1!B1523</f>
        <v>0.33</v>
      </c>
      <c r="C1523">
        <f>IF(Sheet1!B1523&gt;0,1,0)</f>
        <v>1</v>
      </c>
    </row>
    <row r="1524" spans="1:3" x14ac:dyDescent="0.25">
      <c r="A1524" s="15">
        <f>Sheet1!A1524</f>
        <v>0</v>
      </c>
      <c r="B1524">
        <f>Sheet1!B1524</f>
        <v>0.64</v>
      </c>
      <c r="C1524">
        <f>IF(Sheet1!B1524&gt;0,1,0)</f>
        <v>1</v>
      </c>
    </row>
    <row r="1525" spans="1:3" x14ac:dyDescent="0.25">
      <c r="A1525" s="15">
        <f>Sheet1!A1525</f>
        <v>0</v>
      </c>
      <c r="B1525">
        <f>Sheet1!B1525</f>
        <v>0.52</v>
      </c>
      <c r="C1525">
        <f>IF(Sheet1!B1525&gt;0,1,0)</f>
        <v>1</v>
      </c>
    </row>
    <row r="1526" spans="1:3" x14ac:dyDescent="0.25">
      <c r="A1526" s="15">
        <f>Sheet1!A1526</f>
        <v>0</v>
      </c>
      <c r="B1526">
        <f>Sheet1!B1526</f>
        <v>0.52</v>
      </c>
      <c r="C1526">
        <f>IF(Sheet1!B1526&gt;0,1,0)</f>
        <v>1</v>
      </c>
    </row>
    <row r="1527" spans="1:3" x14ac:dyDescent="0.25">
      <c r="A1527" s="15">
        <f>Sheet1!A1527</f>
        <v>0</v>
      </c>
      <c r="B1527">
        <f>Sheet1!B1527</f>
        <v>0.57999999999999996</v>
      </c>
      <c r="C1527">
        <f>IF(Sheet1!B1527&gt;0,1,0)</f>
        <v>1</v>
      </c>
    </row>
    <row r="1528" spans="1:3" x14ac:dyDescent="0.25">
      <c r="A1528" s="15">
        <f>Sheet1!A1528</f>
        <v>0</v>
      </c>
      <c r="B1528">
        <f>Sheet1!B1528</f>
        <v>1.48</v>
      </c>
      <c r="C1528">
        <f>IF(Sheet1!B1528&gt;0,1,0)</f>
        <v>1</v>
      </c>
    </row>
    <row r="1529" spans="1:3" x14ac:dyDescent="0.25">
      <c r="A1529" s="15">
        <f>Sheet1!A1529</f>
        <v>0</v>
      </c>
      <c r="B1529">
        <f>Sheet1!B1529</f>
        <v>1.33</v>
      </c>
      <c r="C1529">
        <f>IF(Sheet1!B1529&gt;0,1,0)</f>
        <v>1</v>
      </c>
    </row>
    <row r="1530" spans="1:3" x14ac:dyDescent="0.25">
      <c r="A1530" s="15">
        <f>Sheet1!A1530</f>
        <v>0</v>
      </c>
      <c r="B1530">
        <f>Sheet1!B1530</f>
        <v>1.21</v>
      </c>
      <c r="C1530">
        <f>IF(Sheet1!B1530&gt;0,1,0)</f>
        <v>1</v>
      </c>
    </row>
    <row r="1531" spans="1:3" x14ac:dyDescent="0.25">
      <c r="A1531" s="15">
        <f>Sheet1!A1531</f>
        <v>0</v>
      </c>
      <c r="B1531">
        <f>Sheet1!B1531</f>
        <v>1.79</v>
      </c>
      <c r="C1531">
        <f>IF(Sheet1!B1531&gt;0,1,0)</f>
        <v>1</v>
      </c>
    </row>
    <row r="1532" spans="1:3" x14ac:dyDescent="0.25">
      <c r="A1532" s="15">
        <f>Sheet1!A1532</f>
        <v>0</v>
      </c>
      <c r="B1532">
        <f>Sheet1!B1532</f>
        <v>1</v>
      </c>
      <c r="C1532">
        <f>IF(Sheet1!B1532&gt;0,1,0)</f>
        <v>1</v>
      </c>
    </row>
    <row r="1533" spans="1:3" x14ac:dyDescent="0.25">
      <c r="A1533" s="15">
        <f>Sheet1!A1533</f>
        <v>0</v>
      </c>
      <c r="B1533">
        <f>Sheet1!B1533</f>
        <v>1.28</v>
      </c>
      <c r="C1533">
        <f>IF(Sheet1!B1533&gt;0,1,0)</f>
        <v>1</v>
      </c>
    </row>
    <row r="1534" spans="1:3" x14ac:dyDescent="0.25">
      <c r="A1534" s="15">
        <f>Sheet1!A1534</f>
        <v>0</v>
      </c>
      <c r="B1534">
        <f>Sheet1!B1534</f>
        <v>1.02</v>
      </c>
      <c r="C1534">
        <f>IF(Sheet1!B1534&gt;0,1,0)</f>
        <v>1</v>
      </c>
    </row>
    <row r="1535" spans="1:3" x14ac:dyDescent="0.25">
      <c r="A1535" s="15">
        <f>Sheet1!A1535</f>
        <v>0</v>
      </c>
      <c r="B1535">
        <f>Sheet1!B1535</f>
        <v>1.73</v>
      </c>
      <c r="C1535">
        <f>IF(Sheet1!B1535&gt;0,1,0)</f>
        <v>1</v>
      </c>
    </row>
    <row r="1536" spans="1:3" x14ac:dyDescent="0.25">
      <c r="A1536" s="15">
        <f>Sheet1!A1536</f>
        <v>0</v>
      </c>
      <c r="B1536">
        <f>Sheet1!B1536</f>
        <v>0.9</v>
      </c>
      <c r="C1536">
        <f>IF(Sheet1!B1536&gt;0,1,0)</f>
        <v>1</v>
      </c>
    </row>
    <row r="1537" spans="1:3" x14ac:dyDescent="0.25">
      <c r="A1537" s="15">
        <f>Sheet1!A1537</f>
        <v>0</v>
      </c>
      <c r="B1537">
        <f>Sheet1!B1537</f>
        <v>0.49</v>
      </c>
      <c r="C1537">
        <f>IF(Sheet1!B1537&gt;0,1,0)</f>
        <v>1</v>
      </c>
    </row>
    <row r="1538" spans="1:3" x14ac:dyDescent="0.25">
      <c r="A1538" s="15">
        <f>Sheet1!A1538</f>
        <v>0</v>
      </c>
      <c r="B1538">
        <f>Sheet1!B1538</f>
        <v>0.69</v>
      </c>
      <c r="C1538">
        <f>IF(Sheet1!B1538&gt;0,1,0)</f>
        <v>1</v>
      </c>
    </row>
    <row r="1539" spans="1:3" x14ac:dyDescent="0.25">
      <c r="A1539" s="15">
        <f>Sheet1!A1539</f>
        <v>0</v>
      </c>
      <c r="B1539">
        <f>Sheet1!B1539</f>
        <v>0.52</v>
      </c>
      <c r="C1539">
        <f>IF(Sheet1!B1539&gt;0,1,0)</f>
        <v>1</v>
      </c>
    </row>
    <row r="1540" spans="1:3" x14ac:dyDescent="0.25">
      <c r="A1540" s="15">
        <f>Sheet1!A1540</f>
        <v>0</v>
      </c>
      <c r="B1540">
        <f>Sheet1!B1540</f>
        <v>0.54</v>
      </c>
      <c r="C1540">
        <f>IF(Sheet1!B1540&gt;0,1,0)</f>
        <v>1</v>
      </c>
    </row>
    <row r="1541" spans="1:3" x14ac:dyDescent="0.25">
      <c r="A1541" s="15">
        <f>Sheet1!A1541</f>
        <v>0</v>
      </c>
      <c r="B1541">
        <f>Sheet1!B1541</f>
        <v>0.6</v>
      </c>
      <c r="C1541">
        <f>IF(Sheet1!B1541&gt;0,1,0)</f>
        <v>1</v>
      </c>
    </row>
    <row r="1542" spans="1:3" x14ac:dyDescent="0.25">
      <c r="A1542" s="15">
        <f>Sheet1!A1542</f>
        <v>0</v>
      </c>
      <c r="B1542">
        <f>Sheet1!B1542</f>
        <v>0.89</v>
      </c>
      <c r="C1542">
        <f>IF(Sheet1!B1542&gt;0,1,0)</f>
        <v>1</v>
      </c>
    </row>
    <row r="1543" spans="1:3" x14ac:dyDescent="0.25">
      <c r="A1543" s="15">
        <f>Sheet1!A1543</f>
        <v>0</v>
      </c>
      <c r="B1543">
        <f>Sheet1!B1543</f>
        <v>0</v>
      </c>
      <c r="C1543">
        <f>IF(Sheet1!B1543&gt;0,1,0)</f>
        <v>0</v>
      </c>
    </row>
    <row r="1544" spans="1:3" x14ac:dyDescent="0.25">
      <c r="A1544" s="15">
        <f>Sheet1!A1544</f>
        <v>0</v>
      </c>
      <c r="B1544">
        <f>Sheet1!B1544</f>
        <v>0.2</v>
      </c>
      <c r="C1544">
        <f>IF(Sheet1!B1544&gt;0,1,0)</f>
        <v>1</v>
      </c>
    </row>
    <row r="1545" spans="1:3" x14ac:dyDescent="0.25">
      <c r="A1545" s="15">
        <f>Sheet1!A1545</f>
        <v>0</v>
      </c>
      <c r="B1545">
        <f>Sheet1!B1545</f>
        <v>0.37</v>
      </c>
      <c r="C1545">
        <f>IF(Sheet1!B1545&gt;0,1,0)</f>
        <v>1</v>
      </c>
    </row>
    <row r="1546" spans="1:3" x14ac:dyDescent="0.25">
      <c r="A1546" s="15">
        <f>Sheet1!A1546</f>
        <v>0</v>
      </c>
      <c r="B1546">
        <f>Sheet1!B1546</f>
        <v>0.78</v>
      </c>
      <c r="C1546">
        <f>IF(Sheet1!B1546&gt;0,1,0)</f>
        <v>1</v>
      </c>
    </row>
    <row r="1547" spans="1:3" x14ac:dyDescent="0.25">
      <c r="A1547" s="15">
        <f>Sheet1!A1547</f>
        <v>0</v>
      </c>
      <c r="B1547">
        <f>Sheet1!B1547</f>
        <v>0.73</v>
      </c>
      <c r="C1547">
        <f>IF(Sheet1!B1547&gt;0,1,0)</f>
        <v>1</v>
      </c>
    </row>
    <row r="1548" spans="1:3" x14ac:dyDescent="0.25">
      <c r="A1548" s="15">
        <f>Sheet1!A1548</f>
        <v>0</v>
      </c>
      <c r="B1548">
        <f>Sheet1!B1548</f>
        <v>0.89</v>
      </c>
      <c r="C1548">
        <f>IF(Sheet1!B1548&gt;0,1,0)</f>
        <v>1</v>
      </c>
    </row>
    <row r="1549" spans="1:3" x14ac:dyDescent="0.25">
      <c r="A1549" s="15">
        <f>Sheet1!A1549</f>
        <v>0</v>
      </c>
      <c r="B1549">
        <f>Sheet1!B1549</f>
        <v>0.56000000000000005</v>
      </c>
      <c r="C1549">
        <f>IF(Sheet1!B1549&gt;0,1,0)</f>
        <v>1</v>
      </c>
    </row>
    <row r="1550" spans="1:3" x14ac:dyDescent="0.25">
      <c r="A1550" s="15">
        <f>Sheet1!A1550</f>
        <v>0</v>
      </c>
      <c r="B1550">
        <f>Sheet1!B1550</f>
        <v>0.67</v>
      </c>
      <c r="C1550">
        <f>IF(Sheet1!B1550&gt;0,1,0)</f>
        <v>1</v>
      </c>
    </row>
    <row r="1551" spans="1:3" x14ac:dyDescent="0.25">
      <c r="A1551" s="15">
        <f>Sheet1!A1551</f>
        <v>0</v>
      </c>
      <c r="B1551">
        <f>Sheet1!B1551</f>
        <v>1.23</v>
      </c>
      <c r="C1551">
        <f>IF(Sheet1!B1551&gt;0,1,0)</f>
        <v>1</v>
      </c>
    </row>
    <row r="1552" spans="1:3" x14ac:dyDescent="0.25">
      <c r="A1552" s="15">
        <f>Sheet1!A1552</f>
        <v>0</v>
      </c>
      <c r="B1552">
        <f>Sheet1!B1552</f>
        <v>1.41</v>
      </c>
      <c r="C1552">
        <f>IF(Sheet1!B1552&gt;0,1,0)</f>
        <v>1</v>
      </c>
    </row>
    <row r="1553" spans="1:3" x14ac:dyDescent="0.25">
      <c r="A1553" s="15">
        <f>Sheet1!A1553</f>
        <v>0</v>
      </c>
      <c r="B1553">
        <f>Sheet1!B1553</f>
        <v>0.73</v>
      </c>
      <c r="C1553">
        <f>IF(Sheet1!B1553&gt;0,1,0)</f>
        <v>1</v>
      </c>
    </row>
    <row r="1554" spans="1:3" x14ac:dyDescent="0.25">
      <c r="A1554" s="15">
        <f>Sheet1!A1554</f>
        <v>0</v>
      </c>
      <c r="B1554">
        <f>Sheet1!B1554</f>
        <v>0.81</v>
      </c>
      <c r="C1554">
        <f>IF(Sheet1!B1554&gt;0,1,0)</f>
        <v>1</v>
      </c>
    </row>
    <row r="1555" spans="1:3" x14ac:dyDescent="0.25">
      <c r="A1555" s="15">
        <f>Sheet1!A1555</f>
        <v>0</v>
      </c>
      <c r="B1555">
        <f>Sheet1!B1555</f>
        <v>1.01</v>
      </c>
      <c r="C1555">
        <f>IF(Sheet1!B1555&gt;0,1,0)</f>
        <v>1</v>
      </c>
    </row>
    <row r="1556" spans="1:3" x14ac:dyDescent="0.25">
      <c r="A1556" s="15">
        <f>Sheet1!A1556</f>
        <v>0</v>
      </c>
      <c r="B1556">
        <f>Sheet1!B1556</f>
        <v>1.21</v>
      </c>
      <c r="C1556">
        <f>IF(Sheet1!B1556&gt;0,1,0)</f>
        <v>1</v>
      </c>
    </row>
    <row r="1557" spans="1:3" x14ac:dyDescent="0.25">
      <c r="A1557" s="15">
        <f>Sheet1!A1557</f>
        <v>0</v>
      </c>
      <c r="B1557">
        <f>Sheet1!B1557</f>
        <v>1</v>
      </c>
      <c r="C1557">
        <f>IF(Sheet1!B1557&gt;0,1,0)</f>
        <v>1</v>
      </c>
    </row>
    <row r="1558" spans="1:3" x14ac:dyDescent="0.25">
      <c r="A1558" s="15">
        <f>Sheet1!A1558</f>
        <v>0</v>
      </c>
      <c r="B1558">
        <f>Sheet1!B1558</f>
        <v>1.02</v>
      </c>
      <c r="C1558">
        <f>IF(Sheet1!B1558&gt;0,1,0)</f>
        <v>1</v>
      </c>
    </row>
    <row r="1559" spans="1:3" x14ac:dyDescent="0.25">
      <c r="A1559" s="15">
        <f>Sheet1!A1559</f>
        <v>0</v>
      </c>
      <c r="B1559">
        <f>Sheet1!B1559</f>
        <v>2.39</v>
      </c>
      <c r="C1559">
        <f>IF(Sheet1!B1559&gt;0,1,0)</f>
        <v>1</v>
      </c>
    </row>
    <row r="1560" spans="1:3" x14ac:dyDescent="0.25">
      <c r="A1560" s="15">
        <f>Sheet1!A1560</f>
        <v>0</v>
      </c>
      <c r="B1560">
        <f>Sheet1!B1560</f>
        <v>1.44</v>
      </c>
      <c r="C1560">
        <f>IF(Sheet1!B1560&gt;0,1,0)</f>
        <v>1</v>
      </c>
    </row>
    <row r="1561" spans="1:3" x14ac:dyDescent="0.25">
      <c r="A1561" s="15">
        <f>Sheet1!A1561</f>
        <v>0</v>
      </c>
      <c r="B1561">
        <f>Sheet1!B1561</f>
        <v>0.84</v>
      </c>
      <c r="C1561">
        <f>IF(Sheet1!B1561&gt;0,1,0)</f>
        <v>1</v>
      </c>
    </row>
    <row r="1562" spans="1:3" x14ac:dyDescent="0.25">
      <c r="A1562" s="15">
        <f>Sheet1!A1562</f>
        <v>0</v>
      </c>
      <c r="B1562">
        <f>Sheet1!B1562</f>
        <v>0.63</v>
      </c>
      <c r="C1562">
        <f>IF(Sheet1!B1562&gt;0,1,0)</f>
        <v>1</v>
      </c>
    </row>
    <row r="1563" spans="1:3" x14ac:dyDescent="0.25">
      <c r="A1563" s="15">
        <f>Sheet1!A1563</f>
        <v>0</v>
      </c>
      <c r="B1563">
        <f>Sheet1!B1563</f>
        <v>0.48</v>
      </c>
      <c r="C1563">
        <f>IF(Sheet1!B1563&gt;0,1,0)</f>
        <v>1</v>
      </c>
    </row>
    <row r="1564" spans="1:3" x14ac:dyDescent="0.25">
      <c r="A1564" s="15">
        <f>Sheet1!A1564</f>
        <v>0</v>
      </c>
      <c r="B1564">
        <f>Sheet1!B1564</f>
        <v>0.79</v>
      </c>
      <c r="C1564">
        <f>IF(Sheet1!B1564&gt;0,1,0)</f>
        <v>1</v>
      </c>
    </row>
    <row r="1565" spans="1:3" x14ac:dyDescent="0.25">
      <c r="A1565" s="15">
        <f>Sheet1!A1565</f>
        <v>0</v>
      </c>
      <c r="B1565">
        <f>Sheet1!B1565</f>
        <v>0.5</v>
      </c>
      <c r="C1565">
        <f>IF(Sheet1!B1565&gt;0,1,0)</f>
        <v>1</v>
      </c>
    </row>
    <row r="1566" spans="1:3" x14ac:dyDescent="0.25">
      <c r="A1566" s="15">
        <f>Sheet1!A1566</f>
        <v>0</v>
      </c>
      <c r="B1566">
        <f>Sheet1!B1566</f>
        <v>0.84</v>
      </c>
      <c r="C1566">
        <f>IF(Sheet1!B1566&gt;0,1,0)</f>
        <v>1</v>
      </c>
    </row>
    <row r="1567" spans="1:3" x14ac:dyDescent="0.25">
      <c r="A1567" s="15">
        <f>Sheet1!A1567</f>
        <v>0</v>
      </c>
      <c r="B1567">
        <f>Sheet1!B1567</f>
        <v>1.22</v>
      </c>
      <c r="C1567">
        <f>IF(Sheet1!B1567&gt;0,1,0)</f>
        <v>1</v>
      </c>
    </row>
    <row r="1568" spans="1:3" x14ac:dyDescent="0.25">
      <c r="A1568" s="15">
        <f>Sheet1!A1568</f>
        <v>0</v>
      </c>
      <c r="B1568">
        <f>Sheet1!B1568</f>
        <v>0.87</v>
      </c>
      <c r="C1568">
        <f>IF(Sheet1!B1568&gt;0,1,0)</f>
        <v>1</v>
      </c>
    </row>
    <row r="1569" spans="1:3" x14ac:dyDescent="0.25">
      <c r="A1569" s="15">
        <f>Sheet1!A1569</f>
        <v>0</v>
      </c>
      <c r="B1569">
        <f>Sheet1!B1569</f>
        <v>0</v>
      </c>
      <c r="C1569">
        <f>IF(Sheet1!B1569&gt;0,1,0)</f>
        <v>0</v>
      </c>
    </row>
    <row r="1570" spans="1:3" x14ac:dyDescent="0.25">
      <c r="A1570" s="15">
        <f>Sheet1!A1570</f>
        <v>0</v>
      </c>
      <c r="B1570">
        <f>Sheet1!B1570</f>
        <v>0</v>
      </c>
      <c r="C1570">
        <f>IF(Sheet1!B1570&gt;0,1,0)</f>
        <v>0</v>
      </c>
    </row>
    <row r="1571" spans="1:3" x14ac:dyDescent="0.25">
      <c r="A1571" s="15">
        <f>Sheet1!A1571</f>
        <v>0</v>
      </c>
      <c r="B1571">
        <f>Sheet1!B1571</f>
        <v>0.49</v>
      </c>
      <c r="C1571">
        <f>IF(Sheet1!B1571&gt;0,1,0)</f>
        <v>1</v>
      </c>
    </row>
    <row r="1572" spans="1:3" x14ac:dyDescent="0.25">
      <c r="A1572" s="15">
        <f>Sheet1!A1572</f>
        <v>0</v>
      </c>
      <c r="B1572">
        <f>Sheet1!B1572</f>
        <v>0.43</v>
      </c>
      <c r="C1572">
        <f>IF(Sheet1!B1572&gt;0,1,0)</f>
        <v>1</v>
      </c>
    </row>
    <row r="1573" spans="1:3" x14ac:dyDescent="0.25">
      <c r="A1573" s="15">
        <f>Sheet1!A1573</f>
        <v>0</v>
      </c>
      <c r="B1573">
        <f>Sheet1!B1573</f>
        <v>0.42</v>
      </c>
      <c r="C1573">
        <f>IF(Sheet1!B1573&gt;0,1,0)</f>
        <v>1</v>
      </c>
    </row>
    <row r="1574" spans="1:3" x14ac:dyDescent="0.25">
      <c r="A1574" s="15">
        <f>Sheet1!A1574</f>
        <v>0</v>
      </c>
      <c r="B1574">
        <f>Sheet1!B1574</f>
        <v>0.72</v>
      </c>
      <c r="C1574">
        <f>IF(Sheet1!B1574&gt;0,1,0)</f>
        <v>1</v>
      </c>
    </row>
    <row r="1575" spans="1:3" x14ac:dyDescent="0.25">
      <c r="A1575" s="15">
        <f>Sheet1!A1575</f>
        <v>0</v>
      </c>
      <c r="B1575">
        <f>Sheet1!B1575</f>
        <v>0.75</v>
      </c>
      <c r="C1575">
        <f>IF(Sheet1!B1575&gt;0,1,0)</f>
        <v>1</v>
      </c>
    </row>
    <row r="1576" spans="1:3" x14ac:dyDescent="0.25">
      <c r="A1576" s="15">
        <f>Sheet1!A1576</f>
        <v>0</v>
      </c>
      <c r="B1576">
        <f>Sheet1!B1576</f>
        <v>0.98</v>
      </c>
      <c r="C1576">
        <f>IF(Sheet1!B1576&gt;0,1,0)</f>
        <v>1</v>
      </c>
    </row>
    <row r="1577" spans="1:3" x14ac:dyDescent="0.25">
      <c r="A1577" s="15">
        <f>Sheet1!A1577</f>
        <v>0</v>
      </c>
      <c r="B1577">
        <f>Sheet1!B1577</f>
        <v>0.5</v>
      </c>
      <c r="C1577">
        <f>IF(Sheet1!B1577&gt;0,1,0)</f>
        <v>1</v>
      </c>
    </row>
    <row r="1578" spans="1:3" x14ac:dyDescent="0.25">
      <c r="A1578" s="15">
        <f>Sheet1!A1578</f>
        <v>0</v>
      </c>
      <c r="B1578">
        <f>Sheet1!B1578</f>
        <v>1.28</v>
      </c>
      <c r="C1578">
        <f>IF(Sheet1!B1578&gt;0,1,0)</f>
        <v>1</v>
      </c>
    </row>
    <row r="1579" spans="1:3" x14ac:dyDescent="0.25">
      <c r="A1579" s="15">
        <f>Sheet1!A1579</f>
        <v>0</v>
      </c>
      <c r="B1579">
        <f>Sheet1!B1579</f>
        <v>0.91</v>
      </c>
      <c r="C1579">
        <f>IF(Sheet1!B1579&gt;0,1,0)</f>
        <v>1</v>
      </c>
    </row>
    <row r="1580" spans="1:3" x14ac:dyDescent="0.25">
      <c r="A1580" s="15">
        <f>Sheet1!A1580</f>
        <v>0</v>
      </c>
      <c r="B1580">
        <f>Sheet1!B1580</f>
        <v>0</v>
      </c>
      <c r="C1580">
        <f>IF(Sheet1!B1580&gt;0,1,0)</f>
        <v>0</v>
      </c>
    </row>
    <row r="1581" spans="1:3" x14ac:dyDescent="0.25">
      <c r="A1581" s="15">
        <f>Sheet1!A1581</f>
        <v>0</v>
      </c>
      <c r="B1581">
        <f>Sheet1!B1581</f>
        <v>0</v>
      </c>
      <c r="C1581">
        <f>IF(Sheet1!B1581&gt;0,1,0)</f>
        <v>0</v>
      </c>
    </row>
    <row r="1582" spans="1:3" x14ac:dyDescent="0.25">
      <c r="A1582" s="15">
        <f>Sheet1!A1582</f>
        <v>0</v>
      </c>
      <c r="B1582">
        <f>Sheet1!B1582</f>
        <v>2.34</v>
      </c>
      <c r="C1582">
        <f>IF(Sheet1!B1582&gt;0,1,0)</f>
        <v>1</v>
      </c>
    </row>
    <row r="1583" spans="1:3" x14ac:dyDescent="0.25">
      <c r="A1583" s="15">
        <f>Sheet1!A1583</f>
        <v>0</v>
      </c>
      <c r="B1583">
        <f>Sheet1!B1583</f>
        <v>1.76</v>
      </c>
      <c r="C1583">
        <f>IF(Sheet1!B1583&gt;0,1,0)</f>
        <v>1</v>
      </c>
    </row>
    <row r="1584" spans="1:3" x14ac:dyDescent="0.25">
      <c r="A1584" s="15">
        <f>Sheet1!A1584</f>
        <v>0</v>
      </c>
      <c r="B1584">
        <f>Sheet1!B1584</f>
        <v>0.49</v>
      </c>
      <c r="C1584">
        <f>IF(Sheet1!B1584&gt;0,1,0)</f>
        <v>1</v>
      </c>
    </row>
    <row r="1585" spans="1:3" x14ac:dyDescent="0.25">
      <c r="A1585" s="15">
        <f>Sheet1!A1585</f>
        <v>0</v>
      </c>
      <c r="B1585">
        <f>Sheet1!B1585</f>
        <v>0.56999999999999995</v>
      </c>
      <c r="C1585">
        <f>IF(Sheet1!B1585&gt;0,1,0)</f>
        <v>1</v>
      </c>
    </row>
    <row r="1586" spans="1:3" x14ac:dyDescent="0.25">
      <c r="A1586" s="15">
        <f>Sheet1!A1586</f>
        <v>0</v>
      </c>
      <c r="B1586">
        <f>Sheet1!B1586</f>
        <v>0.74</v>
      </c>
      <c r="C1586">
        <f>IF(Sheet1!B1586&gt;0,1,0)</f>
        <v>1</v>
      </c>
    </row>
    <row r="1587" spans="1:3" x14ac:dyDescent="0.25">
      <c r="A1587" s="15">
        <f>Sheet1!A1587</f>
        <v>0</v>
      </c>
      <c r="B1587">
        <f>Sheet1!B1587</f>
        <v>0.44</v>
      </c>
      <c r="C1587">
        <f>IF(Sheet1!B1587&gt;0,1,0)</f>
        <v>1</v>
      </c>
    </row>
    <row r="1588" spans="1:3" x14ac:dyDescent="0.25">
      <c r="A1588" s="15">
        <f>Sheet1!A1588</f>
        <v>0</v>
      </c>
      <c r="B1588">
        <f>Sheet1!B1588</f>
        <v>0.47</v>
      </c>
      <c r="C1588">
        <f>IF(Sheet1!B1588&gt;0,1,0)</f>
        <v>1</v>
      </c>
    </row>
    <row r="1589" spans="1:3" x14ac:dyDescent="0.25">
      <c r="A1589" s="15">
        <f>Sheet1!A1589</f>
        <v>0</v>
      </c>
      <c r="B1589">
        <f>Sheet1!B1589</f>
        <v>0.68</v>
      </c>
      <c r="C1589">
        <f>IF(Sheet1!B1589&gt;0,1,0)</f>
        <v>1</v>
      </c>
    </row>
    <row r="1590" spans="1:3" x14ac:dyDescent="0.25">
      <c r="A1590" s="15">
        <f>Sheet1!A1590</f>
        <v>0</v>
      </c>
      <c r="B1590">
        <f>Sheet1!B1590</f>
        <v>0.8</v>
      </c>
      <c r="C1590">
        <f>IF(Sheet1!B1590&gt;0,1,0)</f>
        <v>1</v>
      </c>
    </row>
    <row r="1591" spans="1:3" x14ac:dyDescent="0.25">
      <c r="A1591" s="15">
        <f>Sheet1!A1591</f>
        <v>0</v>
      </c>
      <c r="B1591">
        <f>Sheet1!B1591</f>
        <v>1.07</v>
      </c>
      <c r="C1591">
        <f>IF(Sheet1!B1591&gt;0,1,0)</f>
        <v>1</v>
      </c>
    </row>
    <row r="1592" spans="1:3" x14ac:dyDescent="0.25">
      <c r="A1592" s="15">
        <f>Sheet1!A1592</f>
        <v>0</v>
      </c>
      <c r="B1592">
        <f>Sheet1!B1592</f>
        <v>0.71</v>
      </c>
      <c r="C1592">
        <f>IF(Sheet1!B1592&gt;0,1,0)</f>
        <v>1</v>
      </c>
    </row>
    <row r="1593" spans="1:3" x14ac:dyDescent="0.25">
      <c r="A1593" s="15">
        <f>Sheet1!A1593</f>
        <v>0</v>
      </c>
      <c r="B1593">
        <f>Sheet1!B1593</f>
        <v>0.36</v>
      </c>
      <c r="C1593">
        <f>IF(Sheet1!B1593&gt;0,1,0)</f>
        <v>1</v>
      </c>
    </row>
    <row r="1594" spans="1:3" x14ac:dyDescent="0.25">
      <c r="A1594" s="15">
        <f>Sheet1!A1594</f>
        <v>0</v>
      </c>
      <c r="B1594">
        <f>Sheet1!B1594</f>
        <v>0.68</v>
      </c>
      <c r="C1594">
        <f>IF(Sheet1!B1594&gt;0,1,0)</f>
        <v>1</v>
      </c>
    </row>
    <row r="1595" spans="1:3" x14ac:dyDescent="0.25">
      <c r="A1595" s="15">
        <f>Sheet1!A1595</f>
        <v>0</v>
      </c>
      <c r="B1595">
        <f>Sheet1!B1595</f>
        <v>0.57999999999999996</v>
      </c>
      <c r="C1595">
        <f>IF(Sheet1!B1595&gt;0,1,0)</f>
        <v>1</v>
      </c>
    </row>
    <row r="1596" spans="1:3" x14ac:dyDescent="0.25">
      <c r="A1596" s="15">
        <f>Sheet1!A1596</f>
        <v>0</v>
      </c>
      <c r="B1596">
        <f>Sheet1!B1596</f>
        <v>0.9</v>
      </c>
      <c r="C1596">
        <f>IF(Sheet1!B1596&gt;0,1,0)</f>
        <v>1</v>
      </c>
    </row>
    <row r="1597" spans="1:3" x14ac:dyDescent="0.25">
      <c r="A1597" s="15">
        <f>Sheet1!A1597</f>
        <v>0</v>
      </c>
      <c r="B1597">
        <f>Sheet1!B1597</f>
        <v>0.73</v>
      </c>
      <c r="C1597">
        <f>IF(Sheet1!B1597&gt;0,1,0)</f>
        <v>1</v>
      </c>
    </row>
    <row r="1598" spans="1:3" x14ac:dyDescent="0.25">
      <c r="A1598" s="15">
        <f>Sheet1!A1598</f>
        <v>0</v>
      </c>
      <c r="B1598">
        <f>Sheet1!B1598</f>
        <v>0.98</v>
      </c>
      <c r="C1598">
        <f>IF(Sheet1!B1598&gt;0,1,0)</f>
        <v>1</v>
      </c>
    </row>
    <row r="1599" spans="1:3" x14ac:dyDescent="0.25">
      <c r="A1599" s="15">
        <f>Sheet1!A1599</f>
        <v>0</v>
      </c>
      <c r="B1599">
        <f>Sheet1!B1599</f>
        <v>0.88</v>
      </c>
      <c r="C1599">
        <f>IF(Sheet1!B1599&gt;0,1,0)</f>
        <v>1</v>
      </c>
    </row>
    <row r="1600" spans="1:3" x14ac:dyDescent="0.25">
      <c r="A1600" s="15">
        <f>Sheet1!A1600</f>
        <v>0</v>
      </c>
      <c r="B1600">
        <f>Sheet1!B1600</f>
        <v>1.31</v>
      </c>
      <c r="C1600">
        <f>IF(Sheet1!B1600&gt;0,1,0)</f>
        <v>1</v>
      </c>
    </row>
    <row r="1601" spans="1:3" x14ac:dyDescent="0.25">
      <c r="A1601" s="15">
        <f>Sheet1!A1601</f>
        <v>0</v>
      </c>
      <c r="B1601">
        <f>Sheet1!B1601</f>
        <v>0.87</v>
      </c>
      <c r="C1601">
        <f>IF(Sheet1!B1601&gt;0,1,0)</f>
        <v>1</v>
      </c>
    </row>
    <row r="1602" spans="1:3" x14ac:dyDescent="0.25">
      <c r="A1602" s="15">
        <f>Sheet1!A1602</f>
        <v>0</v>
      </c>
      <c r="B1602">
        <f>Sheet1!B1602</f>
        <v>0.69</v>
      </c>
      <c r="C1602">
        <f>IF(Sheet1!B1602&gt;0,1,0)</f>
        <v>1</v>
      </c>
    </row>
    <row r="1603" spans="1:3" x14ac:dyDescent="0.25">
      <c r="A1603" s="15">
        <f>Sheet1!A1603</f>
        <v>0</v>
      </c>
      <c r="B1603">
        <f>Sheet1!B1603</f>
        <v>0.88</v>
      </c>
      <c r="C1603">
        <f>IF(Sheet1!B1603&gt;0,1,0)</f>
        <v>1</v>
      </c>
    </row>
    <row r="1604" spans="1:3" x14ac:dyDescent="0.25">
      <c r="A1604" s="15">
        <f>Sheet1!A1604</f>
        <v>0</v>
      </c>
      <c r="B1604">
        <f>Sheet1!B1604</f>
        <v>1.1299999999999999</v>
      </c>
      <c r="C1604">
        <f>IF(Sheet1!B1604&gt;0,1,0)</f>
        <v>1</v>
      </c>
    </row>
    <row r="1605" spans="1:3" x14ac:dyDescent="0.25">
      <c r="A1605" s="15">
        <f>Sheet1!A1605</f>
        <v>0</v>
      </c>
      <c r="B1605">
        <f>Sheet1!B1605</f>
        <v>0.91</v>
      </c>
      <c r="C1605">
        <f>IF(Sheet1!B1605&gt;0,1,0)</f>
        <v>1</v>
      </c>
    </row>
    <row r="1606" spans="1:3" x14ac:dyDescent="0.25">
      <c r="A1606" s="15">
        <f>Sheet1!A1606</f>
        <v>0</v>
      </c>
      <c r="B1606">
        <f>Sheet1!B1606</f>
        <v>1.01</v>
      </c>
      <c r="C1606">
        <f>IF(Sheet1!B1606&gt;0,1,0)</f>
        <v>1</v>
      </c>
    </row>
    <row r="1607" spans="1:3" x14ac:dyDescent="0.25">
      <c r="A1607" s="15">
        <f>Sheet1!A1607</f>
        <v>0</v>
      </c>
      <c r="B1607">
        <f>Sheet1!B1607</f>
        <v>1.56</v>
      </c>
      <c r="C1607">
        <f>IF(Sheet1!B1607&gt;0,1,0)</f>
        <v>1</v>
      </c>
    </row>
    <row r="1608" spans="1:3" x14ac:dyDescent="0.25">
      <c r="A1608" s="15">
        <f>Sheet1!A1608</f>
        <v>0</v>
      </c>
      <c r="B1608">
        <f>Sheet1!B1608</f>
        <v>0.76</v>
      </c>
      <c r="C1608">
        <f>IF(Sheet1!B1608&gt;0,1,0)</f>
        <v>1</v>
      </c>
    </row>
    <row r="1609" spans="1:3" x14ac:dyDescent="0.25">
      <c r="A1609" s="15">
        <f>Sheet1!A1609</f>
        <v>0</v>
      </c>
      <c r="B1609">
        <f>Sheet1!B1609</f>
        <v>0.56000000000000005</v>
      </c>
      <c r="C1609">
        <f>IF(Sheet1!B1609&gt;0,1,0)</f>
        <v>1</v>
      </c>
    </row>
    <row r="1610" spans="1:3" x14ac:dyDescent="0.25">
      <c r="A1610" s="15">
        <f>Sheet1!A1610</f>
        <v>0</v>
      </c>
      <c r="B1610">
        <f>Sheet1!B1610</f>
        <v>0.41</v>
      </c>
      <c r="C1610">
        <f>IF(Sheet1!B1610&gt;0,1,0)</f>
        <v>1</v>
      </c>
    </row>
    <row r="1611" spans="1:3" x14ac:dyDescent="0.25">
      <c r="A1611" s="15">
        <f>Sheet1!A1611</f>
        <v>0</v>
      </c>
      <c r="B1611">
        <f>Sheet1!B1611</f>
        <v>0.72</v>
      </c>
      <c r="C1611">
        <f>IF(Sheet1!B1611&gt;0,1,0)</f>
        <v>1</v>
      </c>
    </row>
    <row r="1612" spans="1:3" x14ac:dyDescent="0.25">
      <c r="A1612" s="15">
        <f>Sheet1!A1612</f>
        <v>0</v>
      </c>
      <c r="B1612">
        <f>Sheet1!B1612</f>
        <v>0.41</v>
      </c>
      <c r="C1612">
        <f>IF(Sheet1!B1612&gt;0,1,0)</f>
        <v>1</v>
      </c>
    </row>
    <row r="1613" spans="1:3" x14ac:dyDescent="0.25">
      <c r="A1613" s="15">
        <f>Sheet1!A1613</f>
        <v>0</v>
      </c>
      <c r="B1613">
        <f>Sheet1!B1613</f>
        <v>0.51</v>
      </c>
      <c r="C1613">
        <f>IF(Sheet1!B1613&gt;0,1,0)</f>
        <v>1</v>
      </c>
    </row>
    <row r="1614" spans="1:3" x14ac:dyDescent="0.25">
      <c r="A1614" s="15">
        <f>Sheet1!A1614</f>
        <v>0</v>
      </c>
      <c r="B1614">
        <f>Sheet1!B1614</f>
        <v>0.88</v>
      </c>
      <c r="C1614">
        <f>IF(Sheet1!B1614&gt;0,1,0)</f>
        <v>1</v>
      </c>
    </row>
    <row r="1615" spans="1:3" x14ac:dyDescent="0.25">
      <c r="A1615" s="15">
        <f>Sheet1!A1615</f>
        <v>0</v>
      </c>
      <c r="B1615">
        <f>Sheet1!B1615</f>
        <v>0.49</v>
      </c>
      <c r="C1615">
        <f>IF(Sheet1!B1615&gt;0,1,0)</f>
        <v>1</v>
      </c>
    </row>
    <row r="1616" spans="1:3" x14ac:dyDescent="0.25">
      <c r="A1616" s="15">
        <f>Sheet1!A1616</f>
        <v>0</v>
      </c>
      <c r="B1616">
        <f>Sheet1!B1616</f>
        <v>1.1599999999999999</v>
      </c>
      <c r="C1616">
        <f>IF(Sheet1!B1616&gt;0,1,0)</f>
        <v>1</v>
      </c>
    </row>
    <row r="1617" spans="1:3" x14ac:dyDescent="0.25">
      <c r="A1617" s="15">
        <f>Sheet1!A1617</f>
        <v>0</v>
      </c>
      <c r="B1617">
        <f>Sheet1!B1617</f>
        <v>0.64</v>
      </c>
      <c r="C1617">
        <f>IF(Sheet1!B1617&gt;0,1,0)</f>
        <v>1</v>
      </c>
    </row>
    <row r="1618" spans="1:3" x14ac:dyDescent="0.25">
      <c r="A1618" s="15">
        <f>Sheet1!A1618</f>
        <v>0</v>
      </c>
      <c r="B1618">
        <f>Sheet1!B1618</f>
        <v>1.1499999999999999</v>
      </c>
      <c r="C1618">
        <f>IF(Sheet1!B1618&gt;0,1,0)</f>
        <v>1</v>
      </c>
    </row>
    <row r="1619" spans="1:3" x14ac:dyDescent="0.25">
      <c r="A1619" s="15">
        <f>Sheet1!A1619</f>
        <v>0</v>
      </c>
      <c r="B1619">
        <f>Sheet1!B1619</f>
        <v>0</v>
      </c>
      <c r="C1619">
        <f>IF(Sheet1!B1619&gt;0,1,0)</f>
        <v>0</v>
      </c>
    </row>
    <row r="1620" spans="1:3" x14ac:dyDescent="0.25">
      <c r="A1620" s="15">
        <f>Sheet1!A1620</f>
        <v>0</v>
      </c>
      <c r="B1620">
        <f>Sheet1!B1620</f>
        <v>0</v>
      </c>
      <c r="C1620">
        <f>IF(Sheet1!B1620&gt;0,1,0)</f>
        <v>0</v>
      </c>
    </row>
    <row r="1621" spans="1:3" x14ac:dyDescent="0.25">
      <c r="A1621" s="15">
        <f>Sheet1!A1621</f>
        <v>0</v>
      </c>
      <c r="B1621">
        <f>Sheet1!B1621</f>
        <v>0</v>
      </c>
      <c r="C1621">
        <f>IF(Sheet1!B1621&gt;0,1,0)</f>
        <v>0</v>
      </c>
    </row>
    <row r="1622" spans="1:3" x14ac:dyDescent="0.25">
      <c r="A1622" s="15">
        <f>Sheet1!A1622</f>
        <v>0</v>
      </c>
      <c r="B1622">
        <f>Sheet1!B1622</f>
        <v>1.3</v>
      </c>
      <c r="C1622">
        <f>IF(Sheet1!B1622&gt;0,1,0)</f>
        <v>1</v>
      </c>
    </row>
    <row r="1623" spans="1:3" x14ac:dyDescent="0.25">
      <c r="A1623" s="15">
        <f>Sheet1!A1623</f>
        <v>0</v>
      </c>
      <c r="B1623">
        <f>Sheet1!B1623</f>
        <v>1.18</v>
      </c>
      <c r="C1623">
        <f>IF(Sheet1!B1623&gt;0,1,0)</f>
        <v>1</v>
      </c>
    </row>
    <row r="1624" spans="1:3" x14ac:dyDescent="0.25">
      <c r="A1624" s="15">
        <f>Sheet1!A1624</f>
        <v>0</v>
      </c>
      <c r="B1624">
        <f>Sheet1!B1624</f>
        <v>1.26</v>
      </c>
      <c r="C1624">
        <f>IF(Sheet1!B1624&gt;0,1,0)</f>
        <v>1</v>
      </c>
    </row>
    <row r="1625" spans="1:3" x14ac:dyDescent="0.25">
      <c r="A1625" s="15">
        <f>Sheet1!A1625</f>
        <v>0</v>
      </c>
      <c r="B1625">
        <f>Sheet1!B1625</f>
        <v>1.63</v>
      </c>
      <c r="C1625">
        <f>IF(Sheet1!B1625&gt;0,1,0)</f>
        <v>1</v>
      </c>
    </row>
    <row r="1626" spans="1:3" x14ac:dyDescent="0.25">
      <c r="A1626" s="15">
        <f>Sheet1!A1626</f>
        <v>0</v>
      </c>
      <c r="B1626">
        <f>Sheet1!B1626</f>
        <v>2.27</v>
      </c>
      <c r="C1626">
        <f>IF(Sheet1!B1626&gt;0,1,0)</f>
        <v>1</v>
      </c>
    </row>
    <row r="1627" spans="1:3" x14ac:dyDescent="0.25">
      <c r="A1627" s="15">
        <f>Sheet1!A1627</f>
        <v>0</v>
      </c>
      <c r="B1627">
        <f>Sheet1!B1627</f>
        <v>1.17</v>
      </c>
      <c r="C1627">
        <f>IF(Sheet1!B1627&gt;0,1,0)</f>
        <v>1</v>
      </c>
    </row>
    <row r="1628" spans="1:3" x14ac:dyDescent="0.25">
      <c r="A1628" s="15">
        <f>Sheet1!A1628</f>
        <v>0</v>
      </c>
      <c r="B1628">
        <f>Sheet1!B1628</f>
        <v>1.56</v>
      </c>
      <c r="C1628">
        <f>IF(Sheet1!B1628&gt;0,1,0)</f>
        <v>1</v>
      </c>
    </row>
    <row r="1629" spans="1:3" x14ac:dyDescent="0.25">
      <c r="A1629" s="15">
        <f>Sheet1!A1629</f>
        <v>0</v>
      </c>
      <c r="B1629">
        <f>Sheet1!B1629</f>
        <v>1.54</v>
      </c>
      <c r="C1629">
        <f>IF(Sheet1!B1629&gt;0,1,0)</f>
        <v>1</v>
      </c>
    </row>
    <row r="1630" spans="1:3" x14ac:dyDescent="0.25">
      <c r="A1630" s="15">
        <f>Sheet1!A1630</f>
        <v>0</v>
      </c>
      <c r="B1630">
        <f>Sheet1!B1630</f>
        <v>1.1399999999999999</v>
      </c>
      <c r="C1630">
        <f>IF(Sheet1!B1630&gt;0,1,0)</f>
        <v>1</v>
      </c>
    </row>
    <row r="1631" spans="1:3" x14ac:dyDescent="0.25">
      <c r="A1631" s="15">
        <f>Sheet1!A1631</f>
        <v>0</v>
      </c>
      <c r="B1631">
        <f>Sheet1!B1631</f>
        <v>1.18</v>
      </c>
      <c r="C1631">
        <f>IF(Sheet1!B1631&gt;0,1,0)</f>
        <v>1</v>
      </c>
    </row>
    <row r="1632" spans="1:3" x14ac:dyDescent="0.25">
      <c r="A1632" s="15">
        <f>Sheet1!A1632</f>
        <v>0</v>
      </c>
      <c r="B1632">
        <f>Sheet1!B1632</f>
        <v>0.72</v>
      </c>
      <c r="C1632">
        <f>IF(Sheet1!B1632&gt;0,1,0)</f>
        <v>1</v>
      </c>
    </row>
    <row r="1633" spans="1:3" x14ac:dyDescent="0.25">
      <c r="A1633" s="15">
        <f>Sheet1!A1633</f>
        <v>0</v>
      </c>
      <c r="B1633">
        <f>Sheet1!B1633</f>
        <v>0.41</v>
      </c>
      <c r="C1633">
        <f>IF(Sheet1!B1633&gt;0,1,0)</f>
        <v>1</v>
      </c>
    </row>
    <row r="1634" spans="1:3" x14ac:dyDescent="0.25">
      <c r="A1634" s="15">
        <f>Sheet1!A1634</f>
        <v>0</v>
      </c>
      <c r="B1634">
        <f>Sheet1!B1634</f>
        <v>0.54</v>
      </c>
      <c r="C1634">
        <f>IF(Sheet1!B1634&gt;0,1,0)</f>
        <v>1</v>
      </c>
    </row>
    <row r="1635" spans="1:3" x14ac:dyDescent="0.25">
      <c r="A1635" s="15">
        <f>Sheet1!A1635</f>
        <v>0</v>
      </c>
      <c r="B1635">
        <f>Sheet1!B1635</f>
        <v>0.69</v>
      </c>
      <c r="C1635">
        <f>IF(Sheet1!B1635&gt;0,1,0)</f>
        <v>1</v>
      </c>
    </row>
    <row r="1636" spans="1:3" x14ac:dyDescent="0.25">
      <c r="A1636" s="15">
        <f>Sheet1!A1636</f>
        <v>0</v>
      </c>
      <c r="B1636">
        <f>Sheet1!B1636</f>
        <v>0.49</v>
      </c>
      <c r="C1636">
        <f>IF(Sheet1!B1636&gt;0,1,0)</f>
        <v>1</v>
      </c>
    </row>
    <row r="1637" spans="1:3" x14ac:dyDescent="0.25">
      <c r="A1637" s="15">
        <f>Sheet1!A1637</f>
        <v>0</v>
      </c>
      <c r="B1637">
        <f>Sheet1!B1637</f>
        <v>0.53</v>
      </c>
      <c r="C1637">
        <f>IF(Sheet1!B1637&gt;0,1,0)</f>
        <v>1</v>
      </c>
    </row>
    <row r="1638" spans="1:3" x14ac:dyDescent="0.25">
      <c r="A1638" s="15">
        <f>Sheet1!A1638</f>
        <v>0</v>
      </c>
      <c r="B1638">
        <f>Sheet1!B1638</f>
        <v>0.96</v>
      </c>
      <c r="C1638">
        <f>IF(Sheet1!B1638&gt;0,1,0)</f>
        <v>1</v>
      </c>
    </row>
    <row r="1639" spans="1:3" x14ac:dyDescent="0.25">
      <c r="A1639" s="15">
        <f>Sheet1!A1639</f>
        <v>0</v>
      </c>
      <c r="B1639">
        <f>Sheet1!B1639</f>
        <v>0.51</v>
      </c>
      <c r="C1639">
        <f>IF(Sheet1!B1639&gt;0,1,0)</f>
        <v>1</v>
      </c>
    </row>
    <row r="1640" spans="1:3" x14ac:dyDescent="0.25">
      <c r="A1640" s="15">
        <f>Sheet1!A1640</f>
        <v>0</v>
      </c>
      <c r="B1640">
        <f>Sheet1!B1640</f>
        <v>1.19</v>
      </c>
      <c r="C1640">
        <f>IF(Sheet1!B1640&gt;0,1,0)</f>
        <v>1</v>
      </c>
    </row>
    <row r="1641" spans="1:3" x14ac:dyDescent="0.25">
      <c r="A1641" s="15">
        <f>Sheet1!A1641</f>
        <v>0</v>
      </c>
      <c r="B1641">
        <f>Sheet1!B1641</f>
        <v>0.79</v>
      </c>
      <c r="C1641">
        <f>IF(Sheet1!B1641&gt;0,1,0)</f>
        <v>1</v>
      </c>
    </row>
    <row r="1642" spans="1:3" x14ac:dyDescent="0.25">
      <c r="A1642" s="15">
        <f>Sheet1!A1642</f>
        <v>0</v>
      </c>
      <c r="B1642">
        <f>Sheet1!B1642</f>
        <v>0.96</v>
      </c>
      <c r="C1642">
        <f>IF(Sheet1!B1642&gt;0,1,0)</f>
        <v>1</v>
      </c>
    </row>
    <row r="1643" spans="1:3" x14ac:dyDescent="0.25">
      <c r="A1643" s="15">
        <f>Sheet1!A1643</f>
        <v>0</v>
      </c>
      <c r="B1643">
        <f>Sheet1!B1643</f>
        <v>0.71</v>
      </c>
      <c r="C1643">
        <f>IF(Sheet1!B1643&gt;0,1,0)</f>
        <v>1</v>
      </c>
    </row>
    <row r="1644" spans="1:3" x14ac:dyDescent="0.25">
      <c r="A1644" s="15">
        <f>Sheet1!A1644</f>
        <v>0</v>
      </c>
      <c r="B1644">
        <f>Sheet1!B1644</f>
        <v>0.84</v>
      </c>
      <c r="C1644">
        <f>IF(Sheet1!B1644&gt;0,1,0)</f>
        <v>1</v>
      </c>
    </row>
    <row r="1645" spans="1:3" x14ac:dyDescent="0.25">
      <c r="A1645" s="15">
        <f>Sheet1!A1645</f>
        <v>0</v>
      </c>
      <c r="B1645">
        <f>Sheet1!B1645</f>
        <v>0.59</v>
      </c>
      <c r="C1645">
        <f>IF(Sheet1!B1645&gt;0,1,0)</f>
        <v>1</v>
      </c>
    </row>
    <row r="1646" spans="1:3" x14ac:dyDescent="0.25">
      <c r="A1646" s="15">
        <f>Sheet1!A1646</f>
        <v>0</v>
      </c>
      <c r="B1646">
        <f>Sheet1!B1646</f>
        <v>0.79</v>
      </c>
      <c r="C1646">
        <f>IF(Sheet1!B1646&gt;0,1,0)</f>
        <v>1</v>
      </c>
    </row>
    <row r="1647" spans="1:3" x14ac:dyDescent="0.25">
      <c r="A1647" s="15">
        <f>Sheet1!A1647</f>
        <v>0</v>
      </c>
      <c r="B1647">
        <f>Sheet1!B1647</f>
        <v>0.77</v>
      </c>
      <c r="C1647">
        <f>IF(Sheet1!B1647&gt;0,1,0)</f>
        <v>1</v>
      </c>
    </row>
    <row r="1648" spans="1:3" x14ac:dyDescent="0.25">
      <c r="A1648" s="15">
        <f>Sheet1!A1648</f>
        <v>0</v>
      </c>
      <c r="B1648">
        <f>Sheet1!B1648</f>
        <v>0.97</v>
      </c>
      <c r="C1648">
        <f>IF(Sheet1!B1648&gt;0,1,0)</f>
        <v>1</v>
      </c>
    </row>
    <row r="1649" spans="1:3" x14ac:dyDescent="0.25">
      <c r="A1649" s="15">
        <f>Sheet1!A1649</f>
        <v>0</v>
      </c>
      <c r="B1649">
        <f>Sheet1!B1649</f>
        <v>0.81</v>
      </c>
      <c r="C1649">
        <f>IF(Sheet1!B1649&gt;0,1,0)</f>
        <v>1</v>
      </c>
    </row>
    <row r="1650" spans="1:3" x14ac:dyDescent="0.25">
      <c r="A1650" s="15">
        <f>Sheet1!A1650</f>
        <v>0</v>
      </c>
      <c r="B1650">
        <f>Sheet1!B1650</f>
        <v>0</v>
      </c>
      <c r="C1650">
        <f>IF(Sheet1!B1650&gt;0,1,0)</f>
        <v>0</v>
      </c>
    </row>
    <row r="1651" spans="1:3" x14ac:dyDescent="0.25">
      <c r="A1651" s="15">
        <f>Sheet1!A1651</f>
        <v>0</v>
      </c>
      <c r="B1651">
        <f>Sheet1!B1651</f>
        <v>0</v>
      </c>
      <c r="C1651">
        <f>IF(Sheet1!B1651&gt;0,1,0)</f>
        <v>0</v>
      </c>
    </row>
    <row r="1652" spans="1:3" x14ac:dyDescent="0.25">
      <c r="A1652" s="15">
        <f>Sheet1!A1652</f>
        <v>0</v>
      </c>
      <c r="B1652">
        <f>Sheet1!B1652</f>
        <v>1.39</v>
      </c>
      <c r="C1652">
        <f>IF(Sheet1!B1652&gt;0,1,0)</f>
        <v>1</v>
      </c>
    </row>
    <row r="1653" spans="1:3" x14ac:dyDescent="0.25">
      <c r="A1653" s="15">
        <f>Sheet1!A1653</f>
        <v>0</v>
      </c>
      <c r="B1653">
        <f>Sheet1!B1653</f>
        <v>0.96</v>
      </c>
      <c r="C1653">
        <f>IF(Sheet1!B1653&gt;0,1,0)</f>
        <v>1</v>
      </c>
    </row>
    <row r="1654" spans="1:3" x14ac:dyDescent="0.25">
      <c r="A1654" s="15">
        <f>Sheet1!A1654</f>
        <v>0</v>
      </c>
      <c r="B1654">
        <f>Sheet1!B1654</f>
        <v>1.1200000000000001</v>
      </c>
      <c r="C1654">
        <f>IF(Sheet1!B1654&gt;0,1,0)</f>
        <v>1</v>
      </c>
    </row>
    <row r="1655" spans="1:3" x14ac:dyDescent="0.25">
      <c r="A1655" s="15">
        <f>Sheet1!A1655</f>
        <v>0</v>
      </c>
      <c r="B1655">
        <f>Sheet1!B1655</f>
        <v>2.2599999999999998</v>
      </c>
      <c r="C1655">
        <f>IF(Sheet1!B1655&gt;0,1,0)</f>
        <v>1</v>
      </c>
    </row>
    <row r="1656" spans="1:3" x14ac:dyDescent="0.25">
      <c r="A1656" s="15">
        <f>Sheet1!A1656</f>
        <v>0</v>
      </c>
      <c r="B1656">
        <f>Sheet1!B1656</f>
        <v>1.45</v>
      </c>
      <c r="C1656">
        <f>IF(Sheet1!B1656&gt;0,1,0)</f>
        <v>1</v>
      </c>
    </row>
    <row r="1657" spans="1:3" x14ac:dyDescent="0.25">
      <c r="A1657" s="15">
        <f>Sheet1!A1657</f>
        <v>0</v>
      </c>
      <c r="B1657">
        <f>Sheet1!B1657</f>
        <v>0.48</v>
      </c>
      <c r="C1657">
        <f>IF(Sheet1!B1657&gt;0,1,0)</f>
        <v>1</v>
      </c>
    </row>
    <row r="1658" spans="1:3" x14ac:dyDescent="0.25">
      <c r="A1658" s="15">
        <f>Sheet1!A1658</f>
        <v>0</v>
      </c>
      <c r="B1658">
        <f>Sheet1!B1658</f>
        <v>0.72</v>
      </c>
      <c r="C1658">
        <f>IF(Sheet1!B1658&gt;0,1,0)</f>
        <v>1</v>
      </c>
    </row>
    <row r="1659" spans="1:3" x14ac:dyDescent="0.25">
      <c r="A1659" s="15">
        <f>Sheet1!A1659</f>
        <v>0</v>
      </c>
      <c r="B1659">
        <f>Sheet1!B1659</f>
        <v>0.41</v>
      </c>
      <c r="C1659">
        <f>IF(Sheet1!B1659&gt;0,1,0)</f>
        <v>1</v>
      </c>
    </row>
    <row r="1660" spans="1:3" x14ac:dyDescent="0.25">
      <c r="A1660" s="15">
        <f>Sheet1!A1660</f>
        <v>0</v>
      </c>
      <c r="B1660">
        <f>Sheet1!B1660</f>
        <v>0.76</v>
      </c>
      <c r="C1660">
        <f>IF(Sheet1!B1660&gt;0,1,0)</f>
        <v>1</v>
      </c>
    </row>
    <row r="1661" spans="1:3" x14ac:dyDescent="0.25">
      <c r="A1661" s="15">
        <f>Sheet1!A1661</f>
        <v>0</v>
      </c>
      <c r="B1661">
        <f>Sheet1!B1661</f>
        <v>0.39</v>
      </c>
      <c r="C1661">
        <f>IF(Sheet1!B1661&gt;0,1,0)</f>
        <v>1</v>
      </c>
    </row>
    <row r="1662" spans="1:3" x14ac:dyDescent="0.25">
      <c r="A1662" s="15">
        <f>Sheet1!A1662</f>
        <v>0</v>
      </c>
      <c r="B1662">
        <f>Sheet1!B1662</f>
        <v>0.86</v>
      </c>
      <c r="C1662">
        <f>IF(Sheet1!B1662&gt;0,1,0)</f>
        <v>1</v>
      </c>
    </row>
    <row r="1663" spans="1:3" x14ac:dyDescent="0.25">
      <c r="A1663" s="15">
        <f>Sheet1!A1663</f>
        <v>0</v>
      </c>
      <c r="B1663">
        <f>Sheet1!B1663</f>
        <v>1.22</v>
      </c>
      <c r="C1663">
        <f>IF(Sheet1!B1663&gt;0,1,0)</f>
        <v>1</v>
      </c>
    </row>
    <row r="1664" spans="1:3" x14ac:dyDescent="0.25">
      <c r="A1664" s="15">
        <f>Sheet1!A1664</f>
        <v>0</v>
      </c>
      <c r="B1664">
        <f>Sheet1!B1664</f>
        <v>0.59</v>
      </c>
      <c r="C1664">
        <f>IF(Sheet1!B1664&gt;0,1,0)</f>
        <v>1</v>
      </c>
    </row>
    <row r="1665" spans="1:3" x14ac:dyDescent="0.25">
      <c r="A1665" s="15">
        <f>Sheet1!A1665</f>
        <v>0</v>
      </c>
      <c r="B1665">
        <f>Sheet1!B1665</f>
        <v>0.48</v>
      </c>
      <c r="C1665">
        <f>IF(Sheet1!B1665&gt;0,1,0)</f>
        <v>1</v>
      </c>
    </row>
    <row r="1666" spans="1:3" x14ac:dyDescent="0.25">
      <c r="A1666" s="15">
        <f>Sheet1!A1666</f>
        <v>0</v>
      </c>
      <c r="B1666">
        <f>Sheet1!B1666</f>
        <v>0.39</v>
      </c>
      <c r="C1666">
        <f>IF(Sheet1!B1666&gt;0,1,0)</f>
        <v>1</v>
      </c>
    </row>
    <row r="1667" spans="1:3" x14ac:dyDescent="0.25">
      <c r="A1667" s="15">
        <f>Sheet1!A1667</f>
        <v>0</v>
      </c>
      <c r="B1667">
        <f>Sheet1!B1667</f>
        <v>0.46</v>
      </c>
      <c r="C1667">
        <f>IF(Sheet1!B1667&gt;0,1,0)</f>
        <v>1</v>
      </c>
    </row>
    <row r="1668" spans="1:3" x14ac:dyDescent="0.25">
      <c r="A1668" s="15">
        <f>Sheet1!A1668</f>
        <v>0</v>
      </c>
      <c r="B1668">
        <f>Sheet1!B1668</f>
        <v>0.57999999999999996</v>
      </c>
      <c r="C1668">
        <f>IF(Sheet1!B1668&gt;0,1,0)</f>
        <v>1</v>
      </c>
    </row>
    <row r="1669" spans="1:3" x14ac:dyDescent="0.25">
      <c r="A1669" s="15">
        <f>Sheet1!A1669</f>
        <v>0</v>
      </c>
      <c r="B1669">
        <f>Sheet1!B1669</f>
        <v>0.33</v>
      </c>
      <c r="C1669">
        <f>IF(Sheet1!B1669&gt;0,1,0)</f>
        <v>1</v>
      </c>
    </row>
    <row r="1670" spans="1:3" x14ac:dyDescent="0.25">
      <c r="A1670" s="15">
        <f>Sheet1!A1670</f>
        <v>0</v>
      </c>
      <c r="B1670">
        <f>Sheet1!B1670</f>
        <v>0.88</v>
      </c>
      <c r="C1670">
        <f>IF(Sheet1!B1670&gt;0,1,0)</f>
        <v>1</v>
      </c>
    </row>
    <row r="1671" spans="1:3" x14ac:dyDescent="0.25">
      <c r="A1671" s="15">
        <f>Sheet1!A1671</f>
        <v>0</v>
      </c>
      <c r="B1671">
        <f>Sheet1!B1671</f>
        <v>0.83</v>
      </c>
      <c r="C1671">
        <f>IF(Sheet1!B1671&gt;0,1,0)</f>
        <v>1</v>
      </c>
    </row>
    <row r="1672" spans="1:3" x14ac:dyDescent="0.25">
      <c r="A1672" s="15">
        <f>Sheet1!A1672</f>
        <v>0</v>
      </c>
      <c r="B1672">
        <f>Sheet1!B1672</f>
        <v>0.99</v>
      </c>
      <c r="C1672">
        <f>IF(Sheet1!B1672&gt;0,1,0)</f>
        <v>1</v>
      </c>
    </row>
    <row r="1673" spans="1:3" x14ac:dyDescent="0.25">
      <c r="A1673" s="15">
        <f>Sheet1!A1673</f>
        <v>0</v>
      </c>
      <c r="B1673">
        <f>Sheet1!B1673</f>
        <v>1.1599999999999999</v>
      </c>
      <c r="C1673">
        <f>IF(Sheet1!B1673&gt;0,1,0)</f>
        <v>1</v>
      </c>
    </row>
    <row r="1674" spans="1:3" x14ac:dyDescent="0.25">
      <c r="A1674" s="15">
        <f>Sheet1!A1674</f>
        <v>0</v>
      </c>
      <c r="B1674">
        <f>Sheet1!B1674</f>
        <v>0.97</v>
      </c>
      <c r="C1674">
        <f>IF(Sheet1!B1674&gt;0,1,0)</f>
        <v>1</v>
      </c>
    </row>
    <row r="1675" spans="1:3" x14ac:dyDescent="0.25">
      <c r="A1675" s="15">
        <f>Sheet1!A1675</f>
        <v>0</v>
      </c>
      <c r="B1675">
        <f>Sheet1!B1675</f>
        <v>0</v>
      </c>
      <c r="C1675">
        <f>IF(Sheet1!B1675&gt;0,1,0)</f>
        <v>0</v>
      </c>
    </row>
    <row r="1676" spans="1:3" x14ac:dyDescent="0.25">
      <c r="A1676" s="15">
        <f>Sheet1!A1676</f>
        <v>0</v>
      </c>
      <c r="B1676">
        <f>Sheet1!B1676</f>
        <v>0</v>
      </c>
      <c r="C1676">
        <f>IF(Sheet1!B1676&gt;0,1,0)</f>
        <v>0</v>
      </c>
    </row>
    <row r="1677" spans="1:3" x14ac:dyDescent="0.25">
      <c r="A1677" s="15">
        <f>Sheet1!A1677</f>
        <v>0</v>
      </c>
      <c r="B1677">
        <f>Sheet1!B1677</f>
        <v>1.25</v>
      </c>
      <c r="C1677">
        <f>IF(Sheet1!B1677&gt;0,1,0)</f>
        <v>1</v>
      </c>
    </row>
    <row r="1678" spans="1:3" x14ac:dyDescent="0.25">
      <c r="A1678" s="15">
        <f>Sheet1!A1678</f>
        <v>0</v>
      </c>
      <c r="B1678">
        <f>Sheet1!B1678</f>
        <v>1.44</v>
      </c>
      <c r="C1678">
        <f>IF(Sheet1!B1678&gt;0,1,0)</f>
        <v>1</v>
      </c>
    </row>
    <row r="1679" spans="1:3" x14ac:dyDescent="0.25">
      <c r="A1679" s="15">
        <f>Sheet1!A1679</f>
        <v>0</v>
      </c>
      <c r="B1679">
        <f>Sheet1!B1679</f>
        <v>1.02</v>
      </c>
      <c r="C1679">
        <f>IF(Sheet1!B1679&gt;0,1,0)</f>
        <v>1</v>
      </c>
    </row>
    <row r="1680" spans="1:3" x14ac:dyDescent="0.25">
      <c r="A1680" s="15">
        <f>Sheet1!A1680</f>
        <v>0</v>
      </c>
      <c r="B1680">
        <f>Sheet1!B1680</f>
        <v>0.96</v>
      </c>
      <c r="C1680">
        <f>IF(Sheet1!B1680&gt;0,1,0)</f>
        <v>1</v>
      </c>
    </row>
    <row r="1681" spans="1:3" x14ac:dyDescent="0.25">
      <c r="A1681" s="15">
        <f>Sheet1!A1681</f>
        <v>0</v>
      </c>
      <c r="B1681">
        <f>Sheet1!B1681</f>
        <v>0.75</v>
      </c>
      <c r="C1681">
        <f>IF(Sheet1!B1681&gt;0,1,0)</f>
        <v>1</v>
      </c>
    </row>
    <row r="1682" spans="1:3" x14ac:dyDescent="0.25">
      <c r="A1682" s="15">
        <f>Sheet1!A1682</f>
        <v>0</v>
      </c>
      <c r="B1682">
        <f>Sheet1!B1682</f>
        <v>0.4</v>
      </c>
      <c r="C1682">
        <f>IF(Sheet1!B1682&gt;0,1,0)</f>
        <v>1</v>
      </c>
    </row>
    <row r="1683" spans="1:3" x14ac:dyDescent="0.25">
      <c r="A1683" s="15">
        <f>Sheet1!A1683</f>
        <v>0</v>
      </c>
      <c r="B1683">
        <f>Sheet1!B1683</f>
        <v>0.48</v>
      </c>
      <c r="C1683">
        <f>IF(Sheet1!B1683&gt;0,1,0)</f>
        <v>1</v>
      </c>
    </row>
    <row r="1684" spans="1:3" x14ac:dyDescent="0.25">
      <c r="A1684" s="15">
        <f>Sheet1!A1684</f>
        <v>0</v>
      </c>
      <c r="B1684">
        <f>Sheet1!B1684</f>
        <v>0.6</v>
      </c>
      <c r="C1684">
        <f>IF(Sheet1!B1684&gt;0,1,0)</f>
        <v>1</v>
      </c>
    </row>
    <row r="1685" spans="1:3" x14ac:dyDescent="0.25">
      <c r="A1685" s="15">
        <f>Sheet1!A1685</f>
        <v>0</v>
      </c>
      <c r="B1685">
        <f>Sheet1!B1685</f>
        <v>0.48</v>
      </c>
      <c r="C1685">
        <f>IF(Sheet1!B1685&gt;0,1,0)</f>
        <v>1</v>
      </c>
    </row>
    <row r="1686" spans="1:3" x14ac:dyDescent="0.25">
      <c r="A1686" s="15">
        <f>Sheet1!A1686</f>
        <v>0</v>
      </c>
      <c r="B1686">
        <f>Sheet1!B1686</f>
        <v>0.68</v>
      </c>
      <c r="C1686">
        <f>IF(Sheet1!B1686&gt;0,1,0)</f>
        <v>1</v>
      </c>
    </row>
    <row r="1687" spans="1:3" x14ac:dyDescent="0.25">
      <c r="A1687" s="15">
        <f>Sheet1!A1687</f>
        <v>0</v>
      </c>
      <c r="B1687">
        <f>Sheet1!B1687</f>
        <v>1.46</v>
      </c>
      <c r="C1687">
        <f>IF(Sheet1!B1687&gt;0,1,0)</f>
        <v>1</v>
      </c>
    </row>
    <row r="1688" spans="1:3" x14ac:dyDescent="0.25">
      <c r="A1688" s="15">
        <f>Sheet1!A1688</f>
        <v>0</v>
      </c>
      <c r="B1688">
        <f>Sheet1!B1688</f>
        <v>0.16</v>
      </c>
      <c r="C1688">
        <f>IF(Sheet1!B1688&gt;0,1,0)</f>
        <v>1</v>
      </c>
    </row>
    <row r="1689" spans="1:3" x14ac:dyDescent="0.25">
      <c r="A1689" s="15">
        <f>Sheet1!A1689</f>
        <v>0</v>
      </c>
      <c r="B1689">
        <f>Sheet1!B1689</f>
        <v>0.38</v>
      </c>
      <c r="C1689">
        <f>IF(Sheet1!B1689&gt;0,1,0)</f>
        <v>1</v>
      </c>
    </row>
    <row r="1690" spans="1:3" x14ac:dyDescent="0.25">
      <c r="A1690" s="15">
        <f>Sheet1!A1690</f>
        <v>0</v>
      </c>
      <c r="B1690">
        <f>Sheet1!B1690</f>
        <v>0.16</v>
      </c>
      <c r="C1690">
        <f>IF(Sheet1!B1690&gt;0,1,0)</f>
        <v>1</v>
      </c>
    </row>
    <row r="1691" spans="1:3" x14ac:dyDescent="0.25">
      <c r="A1691" s="15">
        <f>Sheet1!A1691</f>
        <v>0</v>
      </c>
      <c r="B1691">
        <f>Sheet1!B1691</f>
        <v>0.62</v>
      </c>
      <c r="C1691">
        <f>IF(Sheet1!B1691&gt;0,1,0)</f>
        <v>1</v>
      </c>
    </row>
    <row r="1692" spans="1:3" x14ac:dyDescent="0.25">
      <c r="A1692" s="15">
        <f>Sheet1!A1692</f>
        <v>0</v>
      </c>
      <c r="B1692">
        <f>Sheet1!B1692</f>
        <v>0.36</v>
      </c>
      <c r="C1692">
        <f>IF(Sheet1!B1692&gt;0,1,0)</f>
        <v>1</v>
      </c>
    </row>
    <row r="1693" spans="1:3" x14ac:dyDescent="0.25">
      <c r="A1693" s="15">
        <f>Sheet1!A1693</f>
        <v>0</v>
      </c>
      <c r="B1693">
        <f>Sheet1!B1693</f>
        <v>0</v>
      </c>
      <c r="C1693">
        <f>IF(Sheet1!B1693&gt;0,1,0)</f>
        <v>0</v>
      </c>
    </row>
    <row r="1694" spans="1:3" x14ac:dyDescent="0.25">
      <c r="A1694" s="15">
        <f>Sheet1!A1694</f>
        <v>0</v>
      </c>
      <c r="B1694">
        <f>Sheet1!B1694</f>
        <v>0</v>
      </c>
      <c r="C1694">
        <f>IF(Sheet1!B1694&gt;0,1,0)</f>
        <v>0</v>
      </c>
    </row>
    <row r="1695" spans="1:3" x14ac:dyDescent="0.25">
      <c r="A1695" s="15">
        <f>Sheet1!A1695</f>
        <v>0</v>
      </c>
      <c r="B1695">
        <f>Sheet1!B1695</f>
        <v>0.6</v>
      </c>
      <c r="C1695">
        <f>IF(Sheet1!B1695&gt;0,1,0)</f>
        <v>1</v>
      </c>
    </row>
    <row r="1696" spans="1:3" x14ac:dyDescent="0.25">
      <c r="A1696" s="15">
        <f>Sheet1!A1696</f>
        <v>0</v>
      </c>
      <c r="B1696">
        <f>Sheet1!B1696</f>
        <v>0.66</v>
      </c>
      <c r="C1696">
        <f>IF(Sheet1!B1696&gt;0,1,0)</f>
        <v>1</v>
      </c>
    </row>
    <row r="1697" spans="1:3" x14ac:dyDescent="0.25">
      <c r="A1697" s="15">
        <f>Sheet1!A1697</f>
        <v>0</v>
      </c>
      <c r="B1697">
        <f>Sheet1!B1697</f>
        <v>0</v>
      </c>
      <c r="C1697">
        <f>IF(Sheet1!B1697&gt;0,1,0)</f>
        <v>0</v>
      </c>
    </row>
    <row r="1698" spans="1:3" x14ac:dyDescent="0.25">
      <c r="A1698" s="15">
        <f>Sheet1!A1698</f>
        <v>0</v>
      </c>
      <c r="B1698">
        <f>Sheet1!B1698</f>
        <v>0</v>
      </c>
      <c r="C1698">
        <f>IF(Sheet1!B1698&gt;0,1,0)</f>
        <v>0</v>
      </c>
    </row>
    <row r="1699" spans="1:3" x14ac:dyDescent="0.25">
      <c r="A1699" s="15">
        <f>Sheet1!A1699</f>
        <v>0</v>
      </c>
      <c r="B1699">
        <f>Sheet1!B1699</f>
        <v>0</v>
      </c>
      <c r="C1699">
        <f>IF(Sheet1!B1699&gt;0,1,0)</f>
        <v>0</v>
      </c>
    </row>
    <row r="1700" spans="1:3" x14ac:dyDescent="0.25">
      <c r="A1700" s="15">
        <f>Sheet1!A1700</f>
        <v>0</v>
      </c>
      <c r="B1700">
        <f>Sheet1!B1700</f>
        <v>1.19</v>
      </c>
      <c r="C1700">
        <f>IF(Sheet1!B1700&gt;0,1,0)</f>
        <v>1</v>
      </c>
    </row>
    <row r="1701" spans="1:3" x14ac:dyDescent="0.25">
      <c r="A1701" s="15">
        <f>Sheet1!A1701</f>
        <v>0</v>
      </c>
      <c r="B1701">
        <f>Sheet1!B1701</f>
        <v>0</v>
      </c>
      <c r="C1701">
        <f>IF(Sheet1!B1701&gt;0,1,0)</f>
        <v>0</v>
      </c>
    </row>
    <row r="1702" spans="1:3" x14ac:dyDescent="0.25">
      <c r="A1702" s="15">
        <f>Sheet1!A1702</f>
        <v>0</v>
      </c>
      <c r="B1702">
        <f>Sheet1!B1702</f>
        <v>0</v>
      </c>
      <c r="C1702">
        <f>IF(Sheet1!B1702&gt;0,1,0)</f>
        <v>0</v>
      </c>
    </row>
    <row r="1703" spans="1:3" x14ac:dyDescent="0.25">
      <c r="A1703" s="15">
        <f>Sheet1!A1703</f>
        <v>0</v>
      </c>
      <c r="B1703">
        <f>Sheet1!B1703</f>
        <v>0.81</v>
      </c>
      <c r="C1703">
        <f>IF(Sheet1!B1703&gt;0,1,0)</f>
        <v>1</v>
      </c>
    </row>
    <row r="1704" spans="1:3" x14ac:dyDescent="0.25">
      <c r="A1704" s="15">
        <f>Sheet1!A1704</f>
        <v>0</v>
      </c>
      <c r="B1704">
        <f>Sheet1!B1704</f>
        <v>0.73</v>
      </c>
      <c r="C1704">
        <f>IF(Sheet1!B1704&gt;0,1,0)</f>
        <v>1</v>
      </c>
    </row>
    <row r="1705" spans="1:3" x14ac:dyDescent="0.25">
      <c r="A1705" s="15">
        <f>Sheet1!A1705</f>
        <v>0</v>
      </c>
      <c r="B1705">
        <f>Sheet1!B1705</f>
        <v>0.5</v>
      </c>
      <c r="C1705">
        <f>IF(Sheet1!B1705&gt;0,1,0)</f>
        <v>1</v>
      </c>
    </row>
    <row r="1706" spans="1:3" x14ac:dyDescent="0.25">
      <c r="A1706" s="15">
        <f>Sheet1!A1706</f>
        <v>0</v>
      </c>
      <c r="B1706">
        <f>Sheet1!B1706</f>
        <v>0.55000000000000004</v>
      </c>
      <c r="C1706">
        <f>IF(Sheet1!B1706&gt;0,1,0)</f>
        <v>1</v>
      </c>
    </row>
    <row r="1707" spans="1:3" x14ac:dyDescent="0.25">
      <c r="A1707" s="15">
        <f>Sheet1!A1707</f>
        <v>0</v>
      </c>
      <c r="B1707">
        <f>Sheet1!B1707</f>
        <v>0.71</v>
      </c>
      <c r="C1707">
        <f>IF(Sheet1!B1707&gt;0,1,0)</f>
        <v>1</v>
      </c>
    </row>
    <row r="1708" spans="1:3" x14ac:dyDescent="0.25">
      <c r="A1708" s="15">
        <f>Sheet1!A1708</f>
        <v>0</v>
      </c>
      <c r="B1708">
        <f>Sheet1!B1708</f>
        <v>0.52</v>
      </c>
      <c r="C1708">
        <f>IF(Sheet1!B1708&gt;0,1,0)</f>
        <v>1</v>
      </c>
    </row>
    <row r="1709" spans="1:3" x14ac:dyDescent="0.25">
      <c r="A1709" s="15">
        <f>Sheet1!A1709</f>
        <v>0</v>
      </c>
      <c r="B1709">
        <f>Sheet1!B1709</f>
        <v>0.47</v>
      </c>
      <c r="C1709">
        <f>IF(Sheet1!B1709&gt;0,1,0)</f>
        <v>1</v>
      </c>
    </row>
    <row r="1710" spans="1:3" x14ac:dyDescent="0.25">
      <c r="A1710" s="15">
        <f>Sheet1!A1710</f>
        <v>0</v>
      </c>
      <c r="B1710">
        <f>Sheet1!B1710</f>
        <v>1.1200000000000001</v>
      </c>
      <c r="C1710">
        <f>IF(Sheet1!B1710&gt;0,1,0)</f>
        <v>1</v>
      </c>
    </row>
    <row r="1711" spans="1:3" x14ac:dyDescent="0.25">
      <c r="A1711" s="15">
        <f>Sheet1!A1711</f>
        <v>0</v>
      </c>
      <c r="B1711">
        <f>Sheet1!B1711</f>
        <v>2.56</v>
      </c>
      <c r="C1711">
        <f>IF(Sheet1!B1711&gt;0,1,0)</f>
        <v>1</v>
      </c>
    </row>
    <row r="1712" spans="1:3" x14ac:dyDescent="0.25">
      <c r="A1712" s="15">
        <f>Sheet1!A1712</f>
        <v>0</v>
      </c>
      <c r="B1712">
        <f>Sheet1!B1712</f>
        <v>1.01</v>
      </c>
      <c r="C1712">
        <f>IF(Sheet1!B1712&gt;0,1,0)</f>
        <v>1</v>
      </c>
    </row>
    <row r="1713" spans="1:3" x14ac:dyDescent="0.25">
      <c r="A1713" s="15">
        <f>Sheet1!A1713</f>
        <v>0</v>
      </c>
      <c r="B1713">
        <f>Sheet1!B1713</f>
        <v>0.52</v>
      </c>
      <c r="C1713">
        <f>IF(Sheet1!B1713&gt;0,1,0)</f>
        <v>1</v>
      </c>
    </row>
    <row r="1714" spans="1:3" x14ac:dyDescent="0.25">
      <c r="A1714" s="15">
        <f>Sheet1!A1714</f>
        <v>0</v>
      </c>
      <c r="B1714">
        <f>Sheet1!B1714</f>
        <v>0.35</v>
      </c>
      <c r="C1714">
        <f>IF(Sheet1!B1714&gt;0,1,0)</f>
        <v>1</v>
      </c>
    </row>
    <row r="1715" spans="1:3" x14ac:dyDescent="0.25">
      <c r="A1715" s="15">
        <f>Sheet1!A1715</f>
        <v>0</v>
      </c>
      <c r="B1715">
        <f>Sheet1!B1715</f>
        <v>0.51</v>
      </c>
      <c r="C1715">
        <f>IF(Sheet1!B1715&gt;0,1,0)</f>
        <v>1</v>
      </c>
    </row>
    <row r="1716" spans="1:3" x14ac:dyDescent="0.25">
      <c r="A1716" s="15">
        <f>Sheet1!A1716</f>
        <v>0</v>
      </c>
      <c r="B1716">
        <f>Sheet1!B1716</f>
        <v>0.9</v>
      </c>
      <c r="C1716">
        <f>IF(Sheet1!B1716&gt;0,1,0)</f>
        <v>1</v>
      </c>
    </row>
    <row r="1717" spans="1:3" x14ac:dyDescent="0.25">
      <c r="A1717" s="15">
        <f>Sheet1!A1717</f>
        <v>0</v>
      </c>
      <c r="B1717">
        <f>Sheet1!B1717</f>
        <v>0.69</v>
      </c>
      <c r="C1717">
        <f>IF(Sheet1!B1717&gt;0,1,0)</f>
        <v>1</v>
      </c>
    </row>
    <row r="1718" spans="1:3" x14ac:dyDescent="0.25">
      <c r="A1718" s="15">
        <f>Sheet1!A1718</f>
        <v>0</v>
      </c>
      <c r="B1718">
        <f>Sheet1!B1718</f>
        <v>0.57999999999999996</v>
      </c>
      <c r="C1718">
        <f>IF(Sheet1!B1718&gt;0,1,0)</f>
        <v>1</v>
      </c>
    </row>
    <row r="1719" spans="1:3" x14ac:dyDescent="0.25">
      <c r="A1719" s="15">
        <f>Sheet1!A1719</f>
        <v>0</v>
      </c>
      <c r="B1719">
        <f>Sheet1!B1719</f>
        <v>0</v>
      </c>
      <c r="C1719">
        <f>IF(Sheet1!B1719&gt;0,1,0)</f>
        <v>0</v>
      </c>
    </row>
    <row r="1720" spans="1:3" x14ac:dyDescent="0.25">
      <c r="A1720" s="15">
        <f>Sheet1!A1720</f>
        <v>0</v>
      </c>
      <c r="B1720">
        <f>Sheet1!B1720</f>
        <v>0</v>
      </c>
      <c r="C1720">
        <f>IF(Sheet1!B1720&gt;0,1,0)</f>
        <v>0</v>
      </c>
    </row>
    <row r="1721" spans="1:3" x14ac:dyDescent="0.25">
      <c r="A1721" s="15">
        <f>Sheet1!A1721</f>
        <v>0</v>
      </c>
      <c r="B1721">
        <f>Sheet1!B1721</f>
        <v>0.77</v>
      </c>
      <c r="C1721">
        <f>IF(Sheet1!B1721&gt;0,1,0)</f>
        <v>1</v>
      </c>
    </row>
    <row r="1722" spans="1:3" x14ac:dyDescent="0.25">
      <c r="A1722" s="15">
        <f>Sheet1!A1722</f>
        <v>0</v>
      </c>
      <c r="B1722">
        <f>Sheet1!B1722</f>
        <v>1.75</v>
      </c>
      <c r="C1722">
        <f>IF(Sheet1!B1722&gt;0,1,0)</f>
        <v>1</v>
      </c>
    </row>
    <row r="1723" spans="1:3" x14ac:dyDescent="0.25">
      <c r="A1723" s="15">
        <f>Sheet1!A1723</f>
        <v>0</v>
      </c>
      <c r="B1723">
        <f>Sheet1!B1723</f>
        <v>1.76</v>
      </c>
      <c r="C1723">
        <f>IF(Sheet1!B1723&gt;0,1,0)</f>
        <v>1</v>
      </c>
    </row>
    <row r="1724" spans="1:3" x14ac:dyDescent="0.25">
      <c r="A1724" s="15">
        <f>Sheet1!A1724</f>
        <v>0</v>
      </c>
      <c r="B1724">
        <f>Sheet1!B1724</f>
        <v>4.09</v>
      </c>
      <c r="C1724">
        <f>IF(Sheet1!B1724&gt;0,1,0)</f>
        <v>1</v>
      </c>
    </row>
    <row r="1725" spans="1:3" x14ac:dyDescent="0.25">
      <c r="A1725" s="15">
        <f>Sheet1!A1725</f>
        <v>0</v>
      </c>
      <c r="B1725">
        <f>Sheet1!B1725</f>
        <v>1.57</v>
      </c>
      <c r="C1725">
        <f>IF(Sheet1!B1725&gt;0,1,0)</f>
        <v>1</v>
      </c>
    </row>
    <row r="1726" spans="1:3" x14ac:dyDescent="0.25">
      <c r="A1726" s="15">
        <f>Sheet1!A1726</f>
        <v>0</v>
      </c>
      <c r="B1726">
        <f>Sheet1!B1726</f>
        <v>1.46</v>
      </c>
      <c r="C1726">
        <f>IF(Sheet1!B1726&gt;0,1,0)</f>
        <v>1</v>
      </c>
    </row>
    <row r="1727" spans="1:3" x14ac:dyDescent="0.25">
      <c r="A1727" s="15">
        <f>Sheet1!A1727</f>
        <v>0</v>
      </c>
      <c r="B1727">
        <f>Sheet1!B1727</f>
        <v>1.06</v>
      </c>
      <c r="C1727">
        <f>IF(Sheet1!B1727&gt;0,1,0)</f>
        <v>1</v>
      </c>
    </row>
    <row r="1728" spans="1:3" x14ac:dyDescent="0.25">
      <c r="A1728" s="15">
        <f>Sheet1!A1728</f>
        <v>0</v>
      </c>
      <c r="B1728">
        <f>Sheet1!B1728</f>
        <v>0.82</v>
      </c>
      <c r="C1728">
        <f>IF(Sheet1!B1728&gt;0,1,0)</f>
        <v>1</v>
      </c>
    </row>
    <row r="1729" spans="1:3" x14ac:dyDescent="0.25">
      <c r="A1729" s="15">
        <f>Sheet1!A1729</f>
        <v>0</v>
      </c>
      <c r="B1729">
        <f>Sheet1!B1729</f>
        <v>0.45</v>
      </c>
      <c r="C1729">
        <f>IF(Sheet1!B1729&gt;0,1,0)</f>
        <v>1</v>
      </c>
    </row>
    <row r="1730" spans="1:3" x14ac:dyDescent="0.25">
      <c r="A1730" s="15">
        <f>Sheet1!A1730</f>
        <v>0</v>
      </c>
      <c r="B1730">
        <f>Sheet1!B1730</f>
        <v>0.65</v>
      </c>
      <c r="C1730">
        <f>IF(Sheet1!B1730&gt;0,1,0)</f>
        <v>1</v>
      </c>
    </row>
    <row r="1731" spans="1:3" x14ac:dyDescent="0.25">
      <c r="A1731" s="15">
        <f>Sheet1!A1731</f>
        <v>0</v>
      </c>
      <c r="B1731">
        <f>Sheet1!B1731</f>
        <v>0.66</v>
      </c>
      <c r="C1731">
        <f>IF(Sheet1!B1731&gt;0,1,0)</f>
        <v>1</v>
      </c>
    </row>
    <row r="1732" spans="1:3" x14ac:dyDescent="0.25">
      <c r="A1732" s="15">
        <f>Sheet1!A1732</f>
        <v>0</v>
      </c>
      <c r="B1732">
        <f>Sheet1!B1732</f>
        <v>0.56000000000000005</v>
      </c>
      <c r="C1732">
        <f>IF(Sheet1!B1732&gt;0,1,0)</f>
        <v>1</v>
      </c>
    </row>
    <row r="1733" spans="1:3" x14ac:dyDescent="0.25">
      <c r="A1733" s="15">
        <f>Sheet1!A1733</f>
        <v>0</v>
      </c>
      <c r="B1733">
        <f>Sheet1!B1733</f>
        <v>0.52</v>
      </c>
      <c r="C1733">
        <f>IF(Sheet1!B1733&gt;0,1,0)</f>
        <v>1</v>
      </c>
    </row>
    <row r="1734" spans="1:3" x14ac:dyDescent="0.25">
      <c r="A1734" s="15">
        <f>Sheet1!A1734</f>
        <v>0</v>
      </c>
      <c r="B1734">
        <f>Sheet1!B1734</f>
        <v>1.28</v>
      </c>
      <c r="C1734">
        <f>IF(Sheet1!B1734&gt;0,1,0)</f>
        <v>1</v>
      </c>
    </row>
    <row r="1735" spans="1:3" x14ac:dyDescent="0.25">
      <c r="A1735" s="15">
        <f>Sheet1!A1735</f>
        <v>0</v>
      </c>
      <c r="B1735">
        <f>Sheet1!B1735</f>
        <v>1.07</v>
      </c>
      <c r="C1735">
        <f>IF(Sheet1!B1735&gt;0,1,0)</f>
        <v>1</v>
      </c>
    </row>
    <row r="1736" spans="1:3" x14ac:dyDescent="0.25">
      <c r="A1736" s="15">
        <f>Sheet1!A1736</f>
        <v>0</v>
      </c>
      <c r="B1736">
        <f>Sheet1!B1736</f>
        <v>0.75</v>
      </c>
      <c r="C1736">
        <f>IF(Sheet1!B1736&gt;0,1,0)</f>
        <v>1</v>
      </c>
    </row>
    <row r="1737" spans="1:3" x14ac:dyDescent="0.25">
      <c r="A1737" s="15">
        <f>Sheet1!A1737</f>
        <v>0</v>
      </c>
      <c r="B1737">
        <f>Sheet1!B1737</f>
        <v>0.83</v>
      </c>
      <c r="C1737">
        <f>IF(Sheet1!B1737&gt;0,1,0)</f>
        <v>1</v>
      </c>
    </row>
    <row r="1738" spans="1:3" x14ac:dyDescent="0.25">
      <c r="A1738" s="15">
        <f>Sheet1!A1738</f>
        <v>0</v>
      </c>
      <c r="B1738">
        <f>Sheet1!B1738</f>
        <v>0.67</v>
      </c>
      <c r="C1738">
        <f>IF(Sheet1!B1738&gt;0,1,0)</f>
        <v>1</v>
      </c>
    </row>
    <row r="1739" spans="1:3" x14ac:dyDescent="0.25">
      <c r="A1739" s="15">
        <f>Sheet1!A1739</f>
        <v>0</v>
      </c>
      <c r="B1739">
        <f>Sheet1!B1739</f>
        <v>0.56999999999999995</v>
      </c>
      <c r="C1739">
        <f>IF(Sheet1!B1739&gt;0,1,0)</f>
        <v>1</v>
      </c>
    </row>
    <row r="1740" spans="1:3" x14ac:dyDescent="0.25">
      <c r="A1740" s="15">
        <f>Sheet1!A1740</f>
        <v>0</v>
      </c>
      <c r="B1740">
        <f>Sheet1!B1740</f>
        <v>0.68</v>
      </c>
      <c r="C1740">
        <f>IF(Sheet1!B1740&gt;0,1,0)</f>
        <v>1</v>
      </c>
    </row>
    <row r="1741" spans="1:3" x14ac:dyDescent="0.25">
      <c r="A1741" s="15">
        <f>Sheet1!A1741</f>
        <v>0</v>
      </c>
      <c r="B1741">
        <f>Sheet1!B1741</f>
        <v>1.05</v>
      </c>
      <c r="C1741">
        <f>IF(Sheet1!B1741&gt;0,1,0)</f>
        <v>1</v>
      </c>
    </row>
    <row r="1742" spans="1:3" x14ac:dyDescent="0.25">
      <c r="A1742" s="15">
        <f>Sheet1!A1742</f>
        <v>0</v>
      </c>
      <c r="B1742">
        <f>Sheet1!B1742</f>
        <v>0.75</v>
      </c>
      <c r="C1742">
        <f>IF(Sheet1!B1742&gt;0,1,0)</f>
        <v>1</v>
      </c>
    </row>
    <row r="1743" spans="1:3" x14ac:dyDescent="0.25">
      <c r="A1743" s="15">
        <f>Sheet1!A1743</f>
        <v>0</v>
      </c>
      <c r="B1743">
        <f>Sheet1!B1743</f>
        <v>0.66</v>
      </c>
      <c r="C1743">
        <f>IF(Sheet1!B1743&gt;0,1,0)</f>
        <v>1</v>
      </c>
    </row>
    <row r="1744" spans="1:3" x14ac:dyDescent="0.25">
      <c r="A1744" s="15">
        <f>Sheet1!A1744</f>
        <v>0</v>
      </c>
      <c r="B1744">
        <f>Sheet1!B1744</f>
        <v>1.02</v>
      </c>
      <c r="C1744">
        <f>IF(Sheet1!B1744&gt;0,1,0)</f>
        <v>1</v>
      </c>
    </row>
    <row r="1745" spans="1:3" x14ac:dyDescent="0.25">
      <c r="A1745" s="15">
        <f>Sheet1!A1745</f>
        <v>0</v>
      </c>
      <c r="B1745">
        <f>Sheet1!B1745</f>
        <v>0.83</v>
      </c>
      <c r="C1745">
        <f>IF(Sheet1!B1745&gt;0,1,0)</f>
        <v>1</v>
      </c>
    </row>
    <row r="1746" spans="1:3" x14ac:dyDescent="0.25">
      <c r="A1746" s="15">
        <f>Sheet1!A1746</f>
        <v>0</v>
      </c>
      <c r="B1746">
        <f>Sheet1!B1746</f>
        <v>0</v>
      </c>
      <c r="C1746">
        <f>IF(Sheet1!B1746&gt;0,1,0)</f>
        <v>0</v>
      </c>
    </row>
    <row r="1747" spans="1:3" x14ac:dyDescent="0.25">
      <c r="A1747" s="15">
        <f>Sheet1!A1747</f>
        <v>0</v>
      </c>
      <c r="B1747">
        <f>Sheet1!B1747</f>
        <v>0</v>
      </c>
      <c r="C1747">
        <f>IF(Sheet1!B1747&gt;0,1,0)</f>
        <v>0</v>
      </c>
    </row>
    <row r="1748" spans="1:3" x14ac:dyDescent="0.25">
      <c r="A1748" s="15">
        <f>Sheet1!A1748</f>
        <v>0</v>
      </c>
      <c r="B1748">
        <f>Sheet1!B1748</f>
        <v>1.62</v>
      </c>
      <c r="C1748">
        <f>IF(Sheet1!B1748&gt;0,1,0)</f>
        <v>1</v>
      </c>
    </row>
    <row r="1749" spans="1:3" x14ac:dyDescent="0.25">
      <c r="A1749" s="15">
        <f>Sheet1!A1749</f>
        <v>0</v>
      </c>
      <c r="B1749">
        <f>Sheet1!B1749</f>
        <v>2.16</v>
      </c>
      <c r="C1749">
        <f>IF(Sheet1!B1749&gt;0,1,0)</f>
        <v>1</v>
      </c>
    </row>
    <row r="1750" spans="1:3" x14ac:dyDescent="0.25">
      <c r="A1750" s="15">
        <f>Sheet1!A1750</f>
        <v>0</v>
      </c>
      <c r="B1750">
        <f>Sheet1!B1750</f>
        <v>2.08</v>
      </c>
      <c r="C1750">
        <f>IF(Sheet1!B1750&gt;0,1,0)</f>
        <v>1</v>
      </c>
    </row>
    <row r="1751" spans="1:3" x14ac:dyDescent="0.25">
      <c r="A1751" s="15">
        <f>Sheet1!A1751</f>
        <v>0</v>
      </c>
      <c r="B1751">
        <f>Sheet1!B1751</f>
        <v>1.93</v>
      </c>
      <c r="C1751">
        <f>IF(Sheet1!B1751&gt;0,1,0)</f>
        <v>1</v>
      </c>
    </row>
    <row r="1752" spans="1:3" x14ac:dyDescent="0.25">
      <c r="A1752" s="15">
        <f>Sheet1!A1752</f>
        <v>0</v>
      </c>
      <c r="B1752">
        <f>Sheet1!B1752</f>
        <v>0.74</v>
      </c>
      <c r="C1752">
        <f>IF(Sheet1!B1752&gt;0,1,0)</f>
        <v>1</v>
      </c>
    </row>
    <row r="1753" spans="1:3" x14ac:dyDescent="0.25">
      <c r="A1753" s="15">
        <f>Sheet1!A1753</f>
        <v>0</v>
      </c>
      <c r="B1753">
        <f>Sheet1!B1753</f>
        <v>0.7</v>
      </c>
      <c r="C1753">
        <f>IF(Sheet1!B1753&gt;0,1,0)</f>
        <v>1</v>
      </c>
    </row>
    <row r="1754" spans="1:3" x14ac:dyDescent="0.25">
      <c r="A1754" s="15">
        <f>Sheet1!A1754</f>
        <v>0</v>
      </c>
      <c r="B1754">
        <f>Sheet1!B1754</f>
        <v>0.8</v>
      </c>
      <c r="C1754">
        <f>IF(Sheet1!B1754&gt;0,1,0)</f>
        <v>1</v>
      </c>
    </row>
    <row r="1755" spans="1:3" x14ac:dyDescent="0.25">
      <c r="A1755" s="15">
        <f>Sheet1!A1755</f>
        <v>0</v>
      </c>
      <c r="B1755">
        <f>Sheet1!B1755</f>
        <v>0.46</v>
      </c>
      <c r="C1755">
        <f>IF(Sheet1!B1755&gt;0,1,0)</f>
        <v>1</v>
      </c>
    </row>
    <row r="1756" spans="1:3" x14ac:dyDescent="0.25">
      <c r="A1756" s="15">
        <f>Sheet1!A1756</f>
        <v>0</v>
      </c>
      <c r="B1756">
        <f>Sheet1!B1756</f>
        <v>0.59</v>
      </c>
      <c r="C1756">
        <f>IF(Sheet1!B1756&gt;0,1,0)</f>
        <v>1</v>
      </c>
    </row>
    <row r="1757" spans="1:3" x14ac:dyDescent="0.25">
      <c r="A1757" s="15">
        <f>Sheet1!A1757</f>
        <v>0</v>
      </c>
      <c r="B1757">
        <f>Sheet1!B1757</f>
        <v>0.72</v>
      </c>
      <c r="C1757">
        <f>IF(Sheet1!B1757&gt;0,1,0)</f>
        <v>1</v>
      </c>
    </row>
    <row r="1758" spans="1:3" x14ac:dyDescent="0.25">
      <c r="A1758" s="15">
        <f>Sheet1!A1758</f>
        <v>0</v>
      </c>
      <c r="B1758">
        <f>Sheet1!B1758</f>
        <v>1.02</v>
      </c>
      <c r="C1758">
        <f>IF(Sheet1!B1758&gt;0,1,0)</f>
        <v>1</v>
      </c>
    </row>
    <row r="1759" spans="1:3" x14ac:dyDescent="0.25">
      <c r="A1759" s="15">
        <f>Sheet1!A1759</f>
        <v>0</v>
      </c>
      <c r="B1759">
        <f>Sheet1!B1759</f>
        <v>1.06</v>
      </c>
      <c r="C1759">
        <f>IF(Sheet1!B1759&gt;0,1,0)</f>
        <v>1</v>
      </c>
    </row>
    <row r="1760" spans="1:3" x14ac:dyDescent="0.25">
      <c r="A1760" s="15">
        <f>Sheet1!A1760</f>
        <v>0</v>
      </c>
      <c r="B1760">
        <f>Sheet1!B1760</f>
        <v>0.73</v>
      </c>
      <c r="C1760">
        <f>IF(Sheet1!B1760&gt;0,1,0)</f>
        <v>1</v>
      </c>
    </row>
    <row r="1761" spans="1:3" x14ac:dyDescent="0.25">
      <c r="A1761" s="15">
        <f>Sheet1!A1761</f>
        <v>0</v>
      </c>
      <c r="B1761">
        <f>Sheet1!B1761</f>
        <v>0.49</v>
      </c>
      <c r="C1761">
        <f>IF(Sheet1!B1761&gt;0,1,0)</f>
        <v>1</v>
      </c>
    </row>
    <row r="1762" spans="1:3" x14ac:dyDescent="0.25">
      <c r="A1762" s="15">
        <f>Sheet1!A1762</f>
        <v>0</v>
      </c>
      <c r="B1762">
        <f>Sheet1!B1762</f>
        <v>0.92</v>
      </c>
      <c r="C1762">
        <f>IF(Sheet1!B1762&gt;0,1,0)</f>
        <v>1</v>
      </c>
    </row>
    <row r="1763" spans="1:3" x14ac:dyDescent="0.25">
      <c r="A1763" s="15">
        <f>Sheet1!A1763</f>
        <v>0</v>
      </c>
      <c r="B1763">
        <f>Sheet1!B1763</f>
        <v>0.56999999999999995</v>
      </c>
      <c r="C1763">
        <f>IF(Sheet1!B1763&gt;0,1,0)</f>
        <v>1</v>
      </c>
    </row>
    <row r="1764" spans="1:3" x14ac:dyDescent="0.25">
      <c r="A1764" s="15">
        <f>Sheet1!A1764</f>
        <v>0</v>
      </c>
      <c r="B1764">
        <f>Sheet1!B1764</f>
        <v>0.84</v>
      </c>
      <c r="C1764">
        <f>IF(Sheet1!B1764&gt;0,1,0)</f>
        <v>1</v>
      </c>
    </row>
    <row r="1765" spans="1:3" x14ac:dyDescent="0.25">
      <c r="A1765" s="15">
        <f>Sheet1!A1765</f>
        <v>0</v>
      </c>
      <c r="B1765">
        <f>Sheet1!B1765</f>
        <v>0.64</v>
      </c>
      <c r="C1765">
        <f>IF(Sheet1!B1765&gt;0,1,0)</f>
        <v>1</v>
      </c>
    </row>
    <row r="1766" spans="1:3" x14ac:dyDescent="0.25">
      <c r="A1766" s="15">
        <f>Sheet1!A1766</f>
        <v>0</v>
      </c>
      <c r="B1766">
        <f>Sheet1!B1766</f>
        <v>0.7</v>
      </c>
      <c r="C1766">
        <f>IF(Sheet1!B1766&gt;0,1,0)</f>
        <v>1</v>
      </c>
    </row>
    <row r="1767" spans="1:3" x14ac:dyDescent="0.25">
      <c r="A1767" s="15">
        <f>Sheet1!A1767</f>
        <v>0</v>
      </c>
      <c r="B1767">
        <f>Sheet1!B1767</f>
        <v>0.84</v>
      </c>
      <c r="C1767">
        <f>IF(Sheet1!B1767&gt;0,1,0)</f>
        <v>1</v>
      </c>
    </row>
    <row r="1768" spans="1:3" x14ac:dyDescent="0.25">
      <c r="A1768" s="15">
        <f>Sheet1!A1768</f>
        <v>0</v>
      </c>
      <c r="B1768">
        <f>Sheet1!B1768</f>
        <v>0.93</v>
      </c>
      <c r="C1768">
        <f>IF(Sheet1!B1768&gt;0,1,0)</f>
        <v>1</v>
      </c>
    </row>
    <row r="1769" spans="1:3" x14ac:dyDescent="0.25">
      <c r="A1769" s="15">
        <f>Sheet1!A1769</f>
        <v>0</v>
      </c>
      <c r="B1769">
        <f>Sheet1!B1769</f>
        <v>0.86</v>
      </c>
      <c r="C1769">
        <f>IF(Sheet1!B1769&gt;0,1,0)</f>
        <v>1</v>
      </c>
    </row>
    <row r="1770" spans="1:3" x14ac:dyDescent="0.25">
      <c r="A1770" s="15">
        <f>Sheet1!A1770</f>
        <v>0</v>
      </c>
      <c r="B1770">
        <f>Sheet1!B1770</f>
        <v>2.08</v>
      </c>
      <c r="C1770">
        <f>IF(Sheet1!B1770&gt;0,1,0)</f>
        <v>1</v>
      </c>
    </row>
    <row r="1771" spans="1:3" x14ac:dyDescent="0.25">
      <c r="A1771" s="15">
        <f>Sheet1!A1771</f>
        <v>0</v>
      </c>
      <c r="B1771">
        <f>Sheet1!B1771</f>
        <v>0.81</v>
      </c>
      <c r="C1771">
        <f>IF(Sheet1!B1771&gt;0,1,0)</f>
        <v>1</v>
      </c>
    </row>
    <row r="1772" spans="1:3" x14ac:dyDescent="0.25">
      <c r="A1772" s="15">
        <f>Sheet1!A1772</f>
        <v>0</v>
      </c>
      <c r="B1772">
        <f>Sheet1!B1772</f>
        <v>0.9</v>
      </c>
      <c r="C1772">
        <f>IF(Sheet1!B1772&gt;0,1,0)</f>
        <v>1</v>
      </c>
    </row>
    <row r="1773" spans="1:3" x14ac:dyDescent="0.25">
      <c r="A1773" s="15">
        <f>Sheet1!A1773</f>
        <v>0</v>
      </c>
      <c r="B1773">
        <f>Sheet1!B1773</f>
        <v>0.8</v>
      </c>
      <c r="C1773">
        <f>IF(Sheet1!B1773&gt;0,1,0)</f>
        <v>1</v>
      </c>
    </row>
    <row r="1774" spans="1:3" x14ac:dyDescent="0.25">
      <c r="A1774" s="15">
        <f>Sheet1!A1774</f>
        <v>0</v>
      </c>
      <c r="B1774">
        <f>Sheet1!B1774</f>
        <v>1.1100000000000001</v>
      </c>
      <c r="C1774">
        <f>IF(Sheet1!B1774&gt;0,1,0)</f>
        <v>1</v>
      </c>
    </row>
    <row r="1775" spans="1:3" x14ac:dyDescent="0.25">
      <c r="A1775" s="15">
        <f>Sheet1!A1775</f>
        <v>0</v>
      </c>
      <c r="B1775">
        <f>Sheet1!B1775</f>
        <v>1.22</v>
      </c>
      <c r="C1775">
        <f>IF(Sheet1!B1775&gt;0,1,0)</f>
        <v>1</v>
      </c>
    </row>
    <row r="1776" spans="1:3" x14ac:dyDescent="0.25">
      <c r="A1776" s="15">
        <f>Sheet1!A1776</f>
        <v>0</v>
      </c>
      <c r="B1776">
        <f>Sheet1!B1776</f>
        <v>0.81</v>
      </c>
      <c r="C1776">
        <f>IF(Sheet1!B1776&gt;0,1,0)</f>
        <v>1</v>
      </c>
    </row>
    <row r="1777" spans="1:3" x14ac:dyDescent="0.25">
      <c r="A1777" s="15">
        <f>Sheet1!A1777</f>
        <v>0</v>
      </c>
      <c r="B1777">
        <f>Sheet1!B1777</f>
        <v>0.81</v>
      </c>
      <c r="C1777">
        <f>IF(Sheet1!B1777&gt;0,1,0)</f>
        <v>1</v>
      </c>
    </row>
    <row r="1778" spans="1:3" x14ac:dyDescent="0.25">
      <c r="A1778" s="15">
        <f>Sheet1!A1778</f>
        <v>0</v>
      </c>
      <c r="B1778">
        <f>Sheet1!B1778</f>
        <v>0.63</v>
      </c>
      <c r="C1778">
        <f>IF(Sheet1!B1778&gt;0,1,0)</f>
        <v>1</v>
      </c>
    </row>
    <row r="1779" spans="1:3" x14ac:dyDescent="0.25">
      <c r="A1779" s="15">
        <f>Sheet1!A1779</f>
        <v>0</v>
      </c>
      <c r="B1779">
        <f>Sheet1!B1779</f>
        <v>0.6</v>
      </c>
      <c r="C1779">
        <f>IF(Sheet1!B1779&gt;0,1,0)</f>
        <v>1</v>
      </c>
    </row>
    <row r="1780" spans="1:3" x14ac:dyDescent="0.25">
      <c r="A1780" s="15">
        <f>Sheet1!A1780</f>
        <v>0</v>
      </c>
      <c r="B1780">
        <f>Sheet1!B1780</f>
        <v>0.62</v>
      </c>
      <c r="C1780">
        <f>IF(Sheet1!B1780&gt;0,1,0)</f>
        <v>1</v>
      </c>
    </row>
    <row r="1781" spans="1:3" x14ac:dyDescent="0.25">
      <c r="A1781" s="15">
        <f>Sheet1!A1781</f>
        <v>0</v>
      </c>
      <c r="B1781">
        <f>Sheet1!B1781</f>
        <v>0.81</v>
      </c>
      <c r="C1781">
        <f>IF(Sheet1!B1781&gt;0,1,0)</f>
        <v>1</v>
      </c>
    </row>
    <row r="1782" spans="1:3" x14ac:dyDescent="0.25">
      <c r="A1782" s="15">
        <f>Sheet1!A1782</f>
        <v>0</v>
      </c>
      <c r="B1782">
        <f>Sheet1!B1782</f>
        <v>0.47</v>
      </c>
      <c r="C1782">
        <f>IF(Sheet1!B1782&gt;0,1,0)</f>
        <v>1</v>
      </c>
    </row>
    <row r="1783" spans="1:3" x14ac:dyDescent="0.25">
      <c r="A1783" s="15">
        <f>Sheet1!A1783</f>
        <v>0</v>
      </c>
      <c r="B1783">
        <f>Sheet1!B1783</f>
        <v>0.59</v>
      </c>
      <c r="C1783">
        <f>IF(Sheet1!B1783&gt;0,1,0)</f>
        <v>1</v>
      </c>
    </row>
    <row r="1784" spans="1:3" x14ac:dyDescent="0.25">
      <c r="A1784" s="15">
        <f>Sheet1!A1784</f>
        <v>0</v>
      </c>
      <c r="B1784">
        <f>Sheet1!B1784</f>
        <v>1.34</v>
      </c>
      <c r="C1784">
        <f>IF(Sheet1!B1784&gt;0,1,0)</f>
        <v>1</v>
      </c>
    </row>
    <row r="1785" spans="1:3" x14ac:dyDescent="0.25">
      <c r="A1785" s="15">
        <f>Sheet1!A1785</f>
        <v>0</v>
      </c>
      <c r="B1785">
        <f>Sheet1!B1785</f>
        <v>0.67</v>
      </c>
      <c r="C1785">
        <f>IF(Sheet1!B1785&gt;0,1,0)</f>
        <v>1</v>
      </c>
    </row>
    <row r="1786" spans="1:3" x14ac:dyDescent="0.25">
      <c r="A1786" s="15">
        <f>Sheet1!A1786</f>
        <v>0</v>
      </c>
      <c r="B1786">
        <f>Sheet1!B1786</f>
        <v>0.54</v>
      </c>
      <c r="C1786">
        <f>IF(Sheet1!B1786&gt;0,1,0)</f>
        <v>1</v>
      </c>
    </row>
    <row r="1787" spans="1:3" x14ac:dyDescent="0.25">
      <c r="A1787" s="15">
        <f>Sheet1!A1787</f>
        <v>0</v>
      </c>
      <c r="B1787">
        <f>Sheet1!B1787</f>
        <v>0</v>
      </c>
      <c r="C1787">
        <f>IF(Sheet1!B1787&gt;0,1,0)</f>
        <v>0</v>
      </c>
    </row>
    <row r="1788" spans="1:3" x14ac:dyDescent="0.25">
      <c r="A1788" s="15">
        <f>Sheet1!A1788</f>
        <v>0</v>
      </c>
      <c r="B1788">
        <f>Sheet1!B1788</f>
        <v>0</v>
      </c>
      <c r="C1788">
        <f>IF(Sheet1!B1788&gt;0,1,0)</f>
        <v>0</v>
      </c>
    </row>
    <row r="1789" spans="1:3" x14ac:dyDescent="0.25">
      <c r="A1789" s="15">
        <f>Sheet1!A1789</f>
        <v>0</v>
      </c>
      <c r="B1789">
        <f>Sheet1!B1789</f>
        <v>0</v>
      </c>
      <c r="C1789">
        <f>IF(Sheet1!B1789&gt;0,1,0)</f>
        <v>0</v>
      </c>
    </row>
    <row r="1790" spans="1:3" x14ac:dyDescent="0.25">
      <c r="A1790" s="15">
        <f>Sheet1!A1790</f>
        <v>0</v>
      </c>
      <c r="B1790">
        <f>Sheet1!B1790</f>
        <v>1.21</v>
      </c>
      <c r="C1790">
        <f>IF(Sheet1!B1790&gt;0,1,0)</f>
        <v>1</v>
      </c>
    </row>
    <row r="1791" spans="1:3" x14ac:dyDescent="0.25">
      <c r="A1791" s="15">
        <f>Sheet1!A1791</f>
        <v>0</v>
      </c>
      <c r="B1791">
        <f>Sheet1!B1791</f>
        <v>1.49</v>
      </c>
      <c r="C1791">
        <f>IF(Sheet1!B1791&gt;0,1,0)</f>
        <v>1</v>
      </c>
    </row>
    <row r="1792" spans="1:3" x14ac:dyDescent="0.25">
      <c r="A1792" s="15">
        <f>Sheet1!A1792</f>
        <v>0</v>
      </c>
      <c r="B1792">
        <f>Sheet1!B1792</f>
        <v>1.24</v>
      </c>
      <c r="C1792">
        <f>IF(Sheet1!B1792&gt;0,1,0)</f>
        <v>1</v>
      </c>
    </row>
    <row r="1793" spans="1:3" x14ac:dyDescent="0.25">
      <c r="A1793" s="15">
        <f>Sheet1!A1793</f>
        <v>0</v>
      </c>
      <c r="B1793">
        <f>Sheet1!B1793</f>
        <v>0.8</v>
      </c>
      <c r="C1793">
        <f>IF(Sheet1!B1793&gt;0,1,0)</f>
        <v>1</v>
      </c>
    </row>
    <row r="1794" spans="1:3" x14ac:dyDescent="0.25">
      <c r="A1794" s="15">
        <f>Sheet1!A1794</f>
        <v>0</v>
      </c>
      <c r="B1794">
        <f>Sheet1!B1794</f>
        <v>1.34</v>
      </c>
      <c r="C1794">
        <f>IF(Sheet1!B1794&gt;0,1,0)</f>
        <v>1</v>
      </c>
    </row>
    <row r="1795" spans="1:3" x14ac:dyDescent="0.25">
      <c r="A1795" s="15">
        <f>Sheet1!A1795</f>
        <v>0</v>
      </c>
      <c r="B1795">
        <f>Sheet1!B1795</f>
        <v>0.99</v>
      </c>
      <c r="C1795">
        <f>IF(Sheet1!B1795&gt;0,1,0)</f>
        <v>1</v>
      </c>
    </row>
    <row r="1796" spans="1:3" x14ac:dyDescent="0.25">
      <c r="A1796" s="15">
        <f>Sheet1!A1796</f>
        <v>0</v>
      </c>
      <c r="B1796">
        <f>Sheet1!B1796</f>
        <v>1.58</v>
      </c>
      <c r="C1796">
        <f>IF(Sheet1!B1796&gt;0,1,0)</f>
        <v>1</v>
      </c>
    </row>
    <row r="1797" spans="1:3" x14ac:dyDescent="0.25">
      <c r="A1797" s="15">
        <f>Sheet1!A1797</f>
        <v>0</v>
      </c>
      <c r="B1797">
        <f>Sheet1!B1797</f>
        <v>1.38</v>
      </c>
      <c r="C1797">
        <f>IF(Sheet1!B1797&gt;0,1,0)</f>
        <v>1</v>
      </c>
    </row>
    <row r="1798" spans="1:3" x14ac:dyDescent="0.25">
      <c r="A1798" s="15">
        <f>Sheet1!A1798</f>
        <v>0</v>
      </c>
      <c r="B1798">
        <f>Sheet1!B1798</f>
        <v>1.71</v>
      </c>
      <c r="C1798">
        <f>IF(Sheet1!B1798&gt;0,1,0)</f>
        <v>1</v>
      </c>
    </row>
    <row r="1799" spans="1:3" x14ac:dyDescent="0.25">
      <c r="A1799" s="15">
        <f>Sheet1!A1799</f>
        <v>0</v>
      </c>
      <c r="B1799">
        <f>Sheet1!B1799</f>
        <v>0.86</v>
      </c>
      <c r="C1799">
        <f>IF(Sheet1!B1799&gt;0,1,0)</f>
        <v>1</v>
      </c>
    </row>
    <row r="1800" spans="1:3" x14ac:dyDescent="0.25">
      <c r="A1800" s="15">
        <f>Sheet1!A1800</f>
        <v>0</v>
      </c>
      <c r="B1800">
        <f>Sheet1!B1800</f>
        <v>0.56999999999999995</v>
      </c>
      <c r="C1800">
        <f>IF(Sheet1!B1800&gt;0,1,0)</f>
        <v>1</v>
      </c>
    </row>
    <row r="1801" spans="1:3" x14ac:dyDescent="0.25">
      <c r="A1801" s="15">
        <f>Sheet1!A1801</f>
        <v>0</v>
      </c>
      <c r="B1801">
        <f>Sheet1!B1801</f>
        <v>0.8</v>
      </c>
      <c r="C1801">
        <f>IF(Sheet1!B1801&gt;0,1,0)</f>
        <v>1</v>
      </c>
    </row>
    <row r="1802" spans="1:3" x14ac:dyDescent="0.25">
      <c r="A1802" s="15">
        <f>Sheet1!A1802</f>
        <v>0</v>
      </c>
      <c r="B1802">
        <f>Sheet1!B1802</f>
        <v>0.47</v>
      </c>
      <c r="C1802">
        <f>IF(Sheet1!B1802&gt;0,1,0)</f>
        <v>1</v>
      </c>
    </row>
    <row r="1803" spans="1:3" x14ac:dyDescent="0.25">
      <c r="A1803" s="15">
        <f>Sheet1!A1803</f>
        <v>0</v>
      </c>
      <c r="B1803">
        <f>Sheet1!B1803</f>
        <v>0.55000000000000004</v>
      </c>
      <c r="C1803">
        <f>IF(Sheet1!B1803&gt;0,1,0)</f>
        <v>1</v>
      </c>
    </row>
    <row r="1804" spans="1:3" x14ac:dyDescent="0.25">
      <c r="A1804" s="15">
        <f>Sheet1!A1804</f>
        <v>0</v>
      </c>
      <c r="B1804">
        <f>Sheet1!B1804</f>
        <v>0.64</v>
      </c>
      <c r="C1804">
        <f>IF(Sheet1!B1804&gt;0,1,0)</f>
        <v>1</v>
      </c>
    </row>
    <row r="1805" spans="1:3" x14ac:dyDescent="0.25">
      <c r="A1805" s="15">
        <f>Sheet1!A1805</f>
        <v>0</v>
      </c>
      <c r="B1805">
        <f>Sheet1!B1805</f>
        <v>0.89</v>
      </c>
      <c r="C1805">
        <f>IF(Sheet1!B1805&gt;0,1,0)</f>
        <v>1</v>
      </c>
    </row>
    <row r="1806" spans="1:3" x14ac:dyDescent="0.25">
      <c r="A1806" s="15">
        <f>Sheet1!A1806</f>
        <v>0</v>
      </c>
      <c r="B1806">
        <f>Sheet1!B1806</f>
        <v>1.08</v>
      </c>
      <c r="C1806">
        <f>IF(Sheet1!B1806&gt;0,1,0)</f>
        <v>1</v>
      </c>
    </row>
    <row r="1807" spans="1:3" x14ac:dyDescent="0.25">
      <c r="A1807" s="15">
        <f>Sheet1!A1807</f>
        <v>0</v>
      </c>
      <c r="B1807">
        <f>Sheet1!B1807</f>
        <v>0.57999999999999996</v>
      </c>
      <c r="C1807">
        <f>IF(Sheet1!B1807&gt;0,1,0)</f>
        <v>1</v>
      </c>
    </row>
    <row r="1808" spans="1:3" x14ac:dyDescent="0.25">
      <c r="A1808" s="15">
        <f>Sheet1!A1808</f>
        <v>0</v>
      </c>
      <c r="B1808">
        <f>Sheet1!B1808</f>
        <v>1.23</v>
      </c>
      <c r="C1808">
        <f>IF(Sheet1!B1808&gt;0,1,0)</f>
        <v>1</v>
      </c>
    </row>
    <row r="1809" spans="1:3" x14ac:dyDescent="0.25">
      <c r="A1809" s="15">
        <f>Sheet1!A1809</f>
        <v>0</v>
      </c>
      <c r="B1809">
        <f>Sheet1!B1809</f>
        <v>0.83</v>
      </c>
      <c r="C1809">
        <f>IF(Sheet1!B1809&gt;0,1,0)</f>
        <v>1</v>
      </c>
    </row>
    <row r="1810" spans="1:3" x14ac:dyDescent="0.25">
      <c r="A1810" s="15">
        <f>Sheet1!A1810</f>
        <v>0</v>
      </c>
      <c r="B1810">
        <f>Sheet1!B1810</f>
        <v>0.97</v>
      </c>
      <c r="C1810">
        <f>IF(Sheet1!B1810&gt;0,1,0)</f>
        <v>1</v>
      </c>
    </row>
    <row r="1811" spans="1:3" x14ac:dyDescent="0.25">
      <c r="A1811" s="15">
        <f>Sheet1!A1811</f>
        <v>0</v>
      </c>
      <c r="B1811">
        <f>Sheet1!B1811</f>
        <v>1.72</v>
      </c>
      <c r="C1811">
        <f>IF(Sheet1!B1811&gt;0,1,0)</f>
        <v>1</v>
      </c>
    </row>
    <row r="1812" spans="1:3" x14ac:dyDescent="0.25">
      <c r="A1812" s="15">
        <f>Sheet1!A1812</f>
        <v>0</v>
      </c>
      <c r="B1812">
        <f>Sheet1!B1812</f>
        <v>1.34</v>
      </c>
      <c r="C1812">
        <f>IF(Sheet1!B1812&gt;0,1,0)</f>
        <v>1</v>
      </c>
    </row>
    <row r="1813" spans="1:3" x14ac:dyDescent="0.25">
      <c r="A1813" s="15">
        <f>Sheet1!A1813</f>
        <v>0</v>
      </c>
      <c r="B1813">
        <f>Sheet1!B1813</f>
        <v>1.03</v>
      </c>
      <c r="C1813">
        <f>IF(Sheet1!B1813&gt;0,1,0)</f>
        <v>1</v>
      </c>
    </row>
    <row r="1814" spans="1:3" x14ac:dyDescent="0.25">
      <c r="A1814" s="15">
        <f>Sheet1!A1814</f>
        <v>0</v>
      </c>
      <c r="B1814">
        <f>Sheet1!B1814</f>
        <v>1.42</v>
      </c>
      <c r="C1814">
        <f>IF(Sheet1!B1814&gt;0,1,0)</f>
        <v>1</v>
      </c>
    </row>
    <row r="1815" spans="1:3" x14ac:dyDescent="0.25">
      <c r="A1815" s="15">
        <f>Sheet1!A1815</f>
        <v>0</v>
      </c>
      <c r="B1815">
        <f>Sheet1!B1815</f>
        <v>0.95</v>
      </c>
      <c r="C1815">
        <f>IF(Sheet1!B1815&gt;0,1,0)</f>
        <v>1</v>
      </c>
    </row>
    <row r="1816" spans="1:3" x14ac:dyDescent="0.25">
      <c r="A1816" s="15">
        <f>Sheet1!A1816</f>
        <v>0</v>
      </c>
      <c r="B1816">
        <f>Sheet1!B1816</f>
        <v>1.19</v>
      </c>
      <c r="C1816">
        <f>IF(Sheet1!B1816&gt;0,1,0)</f>
        <v>1</v>
      </c>
    </row>
    <row r="1817" spans="1:3" x14ac:dyDescent="0.25">
      <c r="A1817" s="15">
        <f>Sheet1!A1817</f>
        <v>0</v>
      </c>
      <c r="B1817">
        <f>Sheet1!B1817</f>
        <v>1.1299999999999999</v>
      </c>
      <c r="C1817">
        <f>IF(Sheet1!B1817&gt;0,1,0)</f>
        <v>1</v>
      </c>
    </row>
    <row r="1818" spans="1:3" x14ac:dyDescent="0.25">
      <c r="A1818" s="15">
        <f>Sheet1!A1818</f>
        <v>0</v>
      </c>
      <c r="B1818">
        <f>Sheet1!B1818</f>
        <v>1.85</v>
      </c>
      <c r="C1818">
        <f>IF(Sheet1!B1818&gt;0,1,0)</f>
        <v>1</v>
      </c>
    </row>
    <row r="1819" spans="1:3" x14ac:dyDescent="0.25">
      <c r="A1819" s="15">
        <f>Sheet1!A1819</f>
        <v>0</v>
      </c>
      <c r="B1819">
        <f>Sheet1!B1819</f>
        <v>1.31</v>
      </c>
      <c r="C1819">
        <f>IF(Sheet1!B1819&gt;0,1,0)</f>
        <v>1</v>
      </c>
    </row>
    <row r="1820" spans="1:3" x14ac:dyDescent="0.25">
      <c r="A1820" s="15">
        <f>Sheet1!A1820</f>
        <v>0</v>
      </c>
      <c r="B1820">
        <f>Sheet1!B1820</f>
        <v>1.85</v>
      </c>
      <c r="C1820">
        <f>IF(Sheet1!B1820&gt;0,1,0)</f>
        <v>1</v>
      </c>
    </row>
    <row r="1821" spans="1:3" x14ac:dyDescent="0.25">
      <c r="A1821" s="15">
        <f>Sheet1!A1821</f>
        <v>0</v>
      </c>
      <c r="B1821">
        <f>Sheet1!B1821</f>
        <v>1.41</v>
      </c>
      <c r="C1821">
        <f>IF(Sheet1!B1821&gt;0,1,0)</f>
        <v>1</v>
      </c>
    </row>
    <row r="1822" spans="1:3" x14ac:dyDescent="0.25">
      <c r="A1822" s="15">
        <f>Sheet1!A1822</f>
        <v>0</v>
      </c>
      <c r="B1822">
        <f>Sheet1!B1822</f>
        <v>0.82</v>
      </c>
      <c r="C1822">
        <f>IF(Sheet1!B1822&gt;0,1,0)</f>
        <v>1</v>
      </c>
    </row>
    <row r="1823" spans="1:3" x14ac:dyDescent="0.25">
      <c r="A1823" s="15">
        <f>Sheet1!A1823</f>
        <v>0</v>
      </c>
      <c r="B1823">
        <f>Sheet1!B1823</f>
        <v>0.88</v>
      </c>
      <c r="C1823">
        <f>IF(Sheet1!B1823&gt;0,1,0)</f>
        <v>1</v>
      </c>
    </row>
    <row r="1824" spans="1:3" x14ac:dyDescent="0.25">
      <c r="A1824" s="15">
        <f>Sheet1!A1824</f>
        <v>0</v>
      </c>
      <c r="B1824">
        <f>Sheet1!B1824</f>
        <v>0.76</v>
      </c>
      <c r="C1824">
        <f>IF(Sheet1!B1824&gt;0,1,0)</f>
        <v>1</v>
      </c>
    </row>
    <row r="1825" spans="1:3" x14ac:dyDescent="0.25">
      <c r="A1825" s="15">
        <f>Sheet1!A1825</f>
        <v>0</v>
      </c>
      <c r="B1825">
        <f>Sheet1!B1825</f>
        <v>0.55000000000000004</v>
      </c>
      <c r="C1825">
        <f>IF(Sheet1!B1825&gt;0,1,0)</f>
        <v>1</v>
      </c>
    </row>
    <row r="1826" spans="1:3" x14ac:dyDescent="0.25">
      <c r="A1826" s="15">
        <f>Sheet1!A1826</f>
        <v>0</v>
      </c>
      <c r="B1826">
        <f>Sheet1!B1826</f>
        <v>0.74</v>
      </c>
      <c r="C1826">
        <f>IF(Sheet1!B1826&gt;0,1,0)</f>
        <v>1</v>
      </c>
    </row>
    <row r="1827" spans="1:3" x14ac:dyDescent="0.25">
      <c r="A1827" s="15">
        <f>Sheet1!A1827</f>
        <v>0</v>
      </c>
      <c r="B1827">
        <f>Sheet1!B1827</f>
        <v>0.45</v>
      </c>
      <c r="C1827">
        <f>IF(Sheet1!B1827&gt;0,1,0)</f>
        <v>1</v>
      </c>
    </row>
    <row r="1828" spans="1:3" x14ac:dyDescent="0.25">
      <c r="A1828" s="15">
        <f>Sheet1!A1828</f>
        <v>0</v>
      </c>
      <c r="B1828">
        <f>Sheet1!B1828</f>
        <v>0.7</v>
      </c>
      <c r="C1828">
        <f>IF(Sheet1!B1828&gt;0,1,0)</f>
        <v>1</v>
      </c>
    </row>
    <row r="1829" spans="1:3" x14ac:dyDescent="0.25">
      <c r="A1829" s="15">
        <f>Sheet1!A1829</f>
        <v>0</v>
      </c>
      <c r="B1829">
        <f>Sheet1!B1829</f>
        <v>0.71</v>
      </c>
      <c r="C1829">
        <f>IF(Sheet1!B1829&gt;0,1,0)</f>
        <v>1</v>
      </c>
    </row>
    <row r="1830" spans="1:3" x14ac:dyDescent="0.25">
      <c r="A1830" s="15">
        <f>Sheet1!A1830</f>
        <v>0</v>
      </c>
      <c r="B1830">
        <f>Sheet1!B1830</f>
        <v>0.61</v>
      </c>
      <c r="C1830">
        <f>IF(Sheet1!B1830&gt;0,1,0)</f>
        <v>1</v>
      </c>
    </row>
    <row r="1831" spans="1:3" x14ac:dyDescent="0.25">
      <c r="A1831" s="15">
        <f>Sheet1!A1831</f>
        <v>0</v>
      </c>
      <c r="B1831">
        <f>Sheet1!B1831</f>
        <v>1.31</v>
      </c>
      <c r="C1831">
        <f>IF(Sheet1!B1831&gt;0,1,0)</f>
        <v>1</v>
      </c>
    </row>
    <row r="1832" spans="1:3" x14ac:dyDescent="0.25">
      <c r="A1832" s="15">
        <f>Sheet1!A1832</f>
        <v>0</v>
      </c>
      <c r="B1832">
        <f>Sheet1!B1832</f>
        <v>0.94</v>
      </c>
      <c r="C1832">
        <f>IF(Sheet1!B1832&gt;0,1,0)</f>
        <v>1</v>
      </c>
    </row>
    <row r="1833" spans="1:3" x14ac:dyDescent="0.25">
      <c r="A1833" s="15">
        <f>Sheet1!A1833</f>
        <v>0</v>
      </c>
      <c r="B1833">
        <f>Sheet1!B1833</f>
        <v>0.61</v>
      </c>
      <c r="C1833">
        <f>IF(Sheet1!B1833&gt;0,1,0)</f>
        <v>1</v>
      </c>
    </row>
    <row r="1834" spans="1:3" x14ac:dyDescent="0.25">
      <c r="A1834" s="15">
        <f>Sheet1!A1834</f>
        <v>0</v>
      </c>
      <c r="B1834">
        <f>Sheet1!B1834</f>
        <v>0.52</v>
      </c>
      <c r="C1834">
        <f>IF(Sheet1!B1834&gt;0,1,0)</f>
        <v>1</v>
      </c>
    </row>
    <row r="1835" spans="1:3" x14ac:dyDescent="0.25">
      <c r="A1835" s="15">
        <f>Sheet1!A1835</f>
        <v>0</v>
      </c>
      <c r="B1835">
        <f>Sheet1!B1835</f>
        <v>0.66</v>
      </c>
      <c r="C1835">
        <f>IF(Sheet1!B1835&gt;0,1,0)</f>
        <v>1</v>
      </c>
    </row>
    <row r="1836" spans="1:3" x14ac:dyDescent="0.25">
      <c r="A1836" s="15">
        <f>Sheet1!A1836</f>
        <v>0</v>
      </c>
      <c r="B1836">
        <f>Sheet1!B1836</f>
        <v>0.79</v>
      </c>
      <c r="C1836">
        <f>IF(Sheet1!B1836&gt;0,1,0)</f>
        <v>1</v>
      </c>
    </row>
    <row r="1837" spans="1:3" x14ac:dyDescent="0.25">
      <c r="A1837" s="15">
        <f>Sheet1!A1837</f>
        <v>0</v>
      </c>
      <c r="B1837">
        <f>Sheet1!B1837</f>
        <v>1.07</v>
      </c>
      <c r="C1837">
        <f>IF(Sheet1!B1837&gt;0,1,0)</f>
        <v>1</v>
      </c>
    </row>
    <row r="1838" spans="1:3" x14ac:dyDescent="0.25">
      <c r="A1838" s="15">
        <f>Sheet1!A1838</f>
        <v>0</v>
      </c>
      <c r="B1838">
        <f>Sheet1!B1838</f>
        <v>0.68</v>
      </c>
      <c r="C1838">
        <f>IF(Sheet1!B1838&gt;0,1,0)</f>
        <v>1</v>
      </c>
    </row>
    <row r="1839" spans="1:3" x14ac:dyDescent="0.25">
      <c r="A1839" s="15">
        <f>Sheet1!A1839</f>
        <v>0</v>
      </c>
      <c r="B1839">
        <f>Sheet1!B1839</f>
        <v>0.65</v>
      </c>
      <c r="C1839">
        <f>IF(Sheet1!B1839&gt;0,1,0)</f>
        <v>1</v>
      </c>
    </row>
    <row r="1840" spans="1:3" x14ac:dyDescent="0.25">
      <c r="A1840" s="15">
        <f>Sheet1!A1840</f>
        <v>0</v>
      </c>
      <c r="B1840">
        <f>Sheet1!B1840</f>
        <v>1.32</v>
      </c>
      <c r="C1840">
        <f>IF(Sheet1!B1840&gt;0,1,0)</f>
        <v>1</v>
      </c>
    </row>
    <row r="1841" spans="1:3" x14ac:dyDescent="0.25">
      <c r="A1841" s="15">
        <f>Sheet1!A1841</f>
        <v>0</v>
      </c>
      <c r="B1841">
        <f>Sheet1!B1841</f>
        <v>0.82</v>
      </c>
      <c r="C1841">
        <f>IF(Sheet1!B1841&gt;0,1,0)</f>
        <v>1</v>
      </c>
    </row>
    <row r="1842" spans="1:3" x14ac:dyDescent="0.25">
      <c r="A1842" s="15">
        <f>Sheet1!A1842</f>
        <v>0</v>
      </c>
      <c r="B1842">
        <f>Sheet1!B1842</f>
        <v>1.17</v>
      </c>
      <c r="C1842">
        <f>IF(Sheet1!B1842&gt;0,1,0)</f>
        <v>1</v>
      </c>
    </row>
    <row r="1843" spans="1:3" x14ac:dyDescent="0.25">
      <c r="A1843" s="15">
        <f>Sheet1!A1843</f>
        <v>0</v>
      </c>
      <c r="B1843">
        <f>Sheet1!B1843</f>
        <v>1.07</v>
      </c>
      <c r="C1843">
        <f>IF(Sheet1!B1843&gt;0,1,0)</f>
        <v>1</v>
      </c>
    </row>
    <row r="1844" spans="1:3" x14ac:dyDescent="0.25">
      <c r="A1844" s="15">
        <f>Sheet1!A1844</f>
        <v>0</v>
      </c>
      <c r="B1844">
        <f>Sheet1!B1844</f>
        <v>1.23</v>
      </c>
      <c r="C1844">
        <f>IF(Sheet1!B1844&gt;0,1,0)</f>
        <v>1</v>
      </c>
    </row>
    <row r="1845" spans="1:3" x14ac:dyDescent="0.25">
      <c r="A1845" s="15">
        <f>Sheet1!A1845</f>
        <v>0</v>
      </c>
      <c r="B1845">
        <f>Sheet1!B1845</f>
        <v>1.06</v>
      </c>
      <c r="C1845">
        <f>IF(Sheet1!B1845&gt;0,1,0)</f>
        <v>1</v>
      </c>
    </row>
    <row r="1846" spans="1:3" x14ac:dyDescent="0.25">
      <c r="A1846" s="15">
        <f>Sheet1!A1846</f>
        <v>0</v>
      </c>
      <c r="B1846">
        <f>Sheet1!B1846</f>
        <v>1.36</v>
      </c>
      <c r="C1846">
        <f>IF(Sheet1!B1846&gt;0,1,0)</f>
        <v>1</v>
      </c>
    </row>
    <row r="1847" spans="1:3" x14ac:dyDescent="0.25">
      <c r="A1847" s="15">
        <f>Sheet1!A1847</f>
        <v>0</v>
      </c>
      <c r="B1847">
        <f>Sheet1!B1847</f>
        <v>1.06</v>
      </c>
      <c r="C1847">
        <f>IF(Sheet1!B1847&gt;0,1,0)</f>
        <v>1</v>
      </c>
    </row>
    <row r="1848" spans="1:3" x14ac:dyDescent="0.25">
      <c r="A1848" s="15">
        <f>Sheet1!A1848</f>
        <v>0</v>
      </c>
      <c r="B1848">
        <f>Sheet1!B1848</f>
        <v>0.56999999999999995</v>
      </c>
      <c r="C1848">
        <f>IF(Sheet1!B1848&gt;0,1,0)</f>
        <v>1</v>
      </c>
    </row>
    <row r="1849" spans="1:3" x14ac:dyDescent="0.25">
      <c r="A1849" s="15">
        <f>Sheet1!A1849</f>
        <v>0</v>
      </c>
      <c r="B1849">
        <f>Sheet1!B1849</f>
        <v>0.39</v>
      </c>
      <c r="C1849">
        <f>IF(Sheet1!B1849&gt;0,1,0)</f>
        <v>1</v>
      </c>
    </row>
    <row r="1850" spans="1:3" x14ac:dyDescent="0.25">
      <c r="A1850" s="15">
        <f>Sheet1!A1850</f>
        <v>0</v>
      </c>
      <c r="B1850">
        <f>Sheet1!B1850</f>
        <v>0.78</v>
      </c>
      <c r="C1850">
        <f>IF(Sheet1!B1850&gt;0,1,0)</f>
        <v>1</v>
      </c>
    </row>
    <row r="1851" spans="1:3" x14ac:dyDescent="0.25">
      <c r="A1851" s="15">
        <f>Sheet1!A1851</f>
        <v>0</v>
      </c>
      <c r="B1851">
        <f>Sheet1!B1851</f>
        <v>0.42</v>
      </c>
      <c r="C1851">
        <f>IF(Sheet1!B1851&gt;0,1,0)</f>
        <v>1</v>
      </c>
    </row>
    <row r="1852" spans="1:3" x14ac:dyDescent="0.25">
      <c r="A1852" s="15">
        <f>Sheet1!A1852</f>
        <v>0</v>
      </c>
      <c r="B1852">
        <f>Sheet1!B1852</f>
        <v>0.46</v>
      </c>
      <c r="C1852">
        <f>IF(Sheet1!B1852&gt;0,1,0)</f>
        <v>1</v>
      </c>
    </row>
    <row r="1853" spans="1:3" x14ac:dyDescent="0.25">
      <c r="A1853" s="15">
        <f>Sheet1!A1853</f>
        <v>0</v>
      </c>
      <c r="B1853">
        <f>Sheet1!B1853</f>
        <v>0.4</v>
      </c>
      <c r="C1853">
        <f>IF(Sheet1!B1853&gt;0,1,0)</f>
        <v>1</v>
      </c>
    </row>
    <row r="1854" spans="1:3" x14ac:dyDescent="0.25">
      <c r="A1854" s="15">
        <f>Sheet1!A1854</f>
        <v>0</v>
      </c>
      <c r="B1854">
        <f>Sheet1!B1854</f>
        <v>1.07</v>
      </c>
      <c r="C1854">
        <f>IF(Sheet1!B1854&gt;0,1,0)</f>
        <v>1</v>
      </c>
    </row>
    <row r="1855" spans="1:3" x14ac:dyDescent="0.25">
      <c r="A1855" s="15">
        <f>Sheet1!A1855</f>
        <v>0</v>
      </c>
      <c r="B1855">
        <f>Sheet1!B1855</f>
        <v>1.25</v>
      </c>
      <c r="C1855">
        <f>IF(Sheet1!B1855&gt;0,1,0)</f>
        <v>1</v>
      </c>
    </row>
    <row r="1856" spans="1:3" x14ac:dyDescent="0.25">
      <c r="A1856" s="15">
        <f>Sheet1!A1856</f>
        <v>0</v>
      </c>
      <c r="B1856">
        <f>Sheet1!B1856</f>
        <v>0.61</v>
      </c>
      <c r="C1856">
        <f>IF(Sheet1!B1856&gt;0,1,0)</f>
        <v>1</v>
      </c>
    </row>
    <row r="1857" spans="1:3" x14ac:dyDescent="0.25">
      <c r="A1857" s="15">
        <f>Sheet1!A1857</f>
        <v>0</v>
      </c>
      <c r="B1857">
        <f>Sheet1!B1857</f>
        <v>0.74</v>
      </c>
      <c r="C1857">
        <f>IF(Sheet1!B1857&gt;0,1,0)</f>
        <v>1</v>
      </c>
    </row>
    <row r="1858" spans="1:3" x14ac:dyDescent="0.25">
      <c r="A1858" s="15">
        <f>Sheet1!A1858</f>
        <v>0</v>
      </c>
      <c r="B1858">
        <f>Sheet1!B1858</f>
        <v>0.66</v>
      </c>
      <c r="C1858">
        <f>IF(Sheet1!B1858&gt;0,1,0)</f>
        <v>1</v>
      </c>
    </row>
    <row r="1859" spans="1:3" x14ac:dyDescent="0.25">
      <c r="A1859" s="15">
        <f>Sheet1!A1859</f>
        <v>0</v>
      </c>
      <c r="B1859">
        <f>Sheet1!B1859</f>
        <v>0.56000000000000005</v>
      </c>
      <c r="C1859">
        <f>IF(Sheet1!B1859&gt;0,1,0)</f>
        <v>1</v>
      </c>
    </row>
    <row r="1860" spans="1:3" x14ac:dyDescent="0.25">
      <c r="A1860" s="15">
        <f>Sheet1!A1860</f>
        <v>0</v>
      </c>
      <c r="B1860">
        <f>Sheet1!B1860</f>
        <v>0.79</v>
      </c>
      <c r="C1860">
        <f>IF(Sheet1!B1860&gt;0,1,0)</f>
        <v>1</v>
      </c>
    </row>
    <row r="1861" spans="1:3" x14ac:dyDescent="0.25">
      <c r="A1861" s="15">
        <f>Sheet1!A1861</f>
        <v>0</v>
      </c>
      <c r="B1861">
        <f>Sheet1!B1861</f>
        <v>1.07</v>
      </c>
      <c r="C1861">
        <f>IF(Sheet1!B1861&gt;0,1,0)</f>
        <v>1</v>
      </c>
    </row>
    <row r="1862" spans="1:3" x14ac:dyDescent="0.25">
      <c r="A1862" s="15">
        <f>Sheet1!A1862</f>
        <v>0</v>
      </c>
      <c r="B1862">
        <f>Sheet1!B1862</f>
        <v>0.68</v>
      </c>
      <c r="C1862">
        <f>IF(Sheet1!B1862&gt;0,1,0)</f>
        <v>1</v>
      </c>
    </row>
    <row r="1863" spans="1:3" x14ac:dyDescent="0.25">
      <c r="A1863" s="15">
        <f>Sheet1!A1863</f>
        <v>0</v>
      </c>
      <c r="B1863">
        <f>Sheet1!B1863</f>
        <v>0.65</v>
      </c>
      <c r="C1863">
        <f>IF(Sheet1!B1863&gt;0,1,0)</f>
        <v>1</v>
      </c>
    </row>
    <row r="1864" spans="1:3" x14ac:dyDescent="0.25">
      <c r="A1864" s="15">
        <f>Sheet1!A1864</f>
        <v>0</v>
      </c>
      <c r="B1864">
        <f>Sheet1!B1864</f>
        <v>1.32</v>
      </c>
      <c r="C1864">
        <f>IF(Sheet1!B1864&gt;0,1,0)</f>
        <v>1</v>
      </c>
    </row>
    <row r="1865" spans="1:3" x14ac:dyDescent="0.25">
      <c r="A1865" s="15">
        <f>Sheet1!A1865</f>
        <v>0</v>
      </c>
      <c r="B1865">
        <f>Sheet1!B1865</f>
        <v>0.82</v>
      </c>
      <c r="C1865">
        <f>IF(Sheet1!B1865&gt;0,1,0)</f>
        <v>1</v>
      </c>
    </row>
    <row r="1866" spans="1:3" x14ac:dyDescent="0.25">
      <c r="A1866" s="15">
        <f>Sheet1!A1866</f>
        <v>0</v>
      </c>
      <c r="B1866">
        <f>Sheet1!B1866</f>
        <v>1.17</v>
      </c>
      <c r="C1866">
        <f>IF(Sheet1!B1866&gt;0,1,0)</f>
        <v>1</v>
      </c>
    </row>
    <row r="1867" spans="1:3" x14ac:dyDescent="0.25">
      <c r="A1867" s="15">
        <f>Sheet1!A1867</f>
        <v>0</v>
      </c>
      <c r="B1867">
        <f>Sheet1!B1867</f>
        <v>1.53</v>
      </c>
      <c r="C1867">
        <f>IF(Sheet1!B1867&gt;0,1,0)</f>
        <v>1</v>
      </c>
    </row>
    <row r="1868" spans="1:3" x14ac:dyDescent="0.25">
      <c r="A1868" s="15">
        <f>Sheet1!A1868</f>
        <v>0</v>
      </c>
      <c r="B1868">
        <f>Sheet1!B1868</f>
        <v>1.25</v>
      </c>
      <c r="C1868">
        <f>IF(Sheet1!B1868&gt;0,1,0)</f>
        <v>1</v>
      </c>
    </row>
    <row r="1869" spans="1:3" x14ac:dyDescent="0.25">
      <c r="A1869" s="15">
        <f>Sheet1!A1869</f>
        <v>0</v>
      </c>
      <c r="B1869">
        <f>Sheet1!B1869</f>
        <v>0.93</v>
      </c>
      <c r="C1869">
        <f>IF(Sheet1!B1869&gt;0,1,0)</f>
        <v>1</v>
      </c>
    </row>
    <row r="1870" spans="1:3" x14ac:dyDescent="0.25">
      <c r="A1870" s="15">
        <f>Sheet1!A1870</f>
        <v>0</v>
      </c>
      <c r="B1870">
        <f>Sheet1!B1870</f>
        <v>1.31</v>
      </c>
      <c r="C1870">
        <f>IF(Sheet1!B1870&gt;0,1,0)</f>
        <v>1</v>
      </c>
    </row>
    <row r="1871" spans="1:3" x14ac:dyDescent="0.25">
      <c r="A1871" s="15">
        <f>Sheet1!A1871</f>
        <v>0</v>
      </c>
      <c r="B1871">
        <f>Sheet1!B1871</f>
        <v>1.42</v>
      </c>
      <c r="C1871">
        <f>IF(Sheet1!B1871&gt;0,1,0)</f>
        <v>1</v>
      </c>
    </row>
    <row r="1872" spans="1:3" x14ac:dyDescent="0.25">
      <c r="A1872" s="15">
        <f>Sheet1!A1872</f>
        <v>0</v>
      </c>
      <c r="B1872">
        <f>Sheet1!B1872</f>
        <v>0.38</v>
      </c>
      <c r="C1872">
        <f>IF(Sheet1!B1872&gt;0,1,0)</f>
        <v>1</v>
      </c>
    </row>
    <row r="1873" spans="1:3" x14ac:dyDescent="0.25">
      <c r="A1873" s="15">
        <f>Sheet1!A1873</f>
        <v>0</v>
      </c>
      <c r="B1873">
        <f>Sheet1!B1873</f>
        <v>0.79</v>
      </c>
      <c r="C1873">
        <f>IF(Sheet1!B1873&gt;0,1,0)</f>
        <v>1</v>
      </c>
    </row>
    <row r="1874" spans="1:3" x14ac:dyDescent="0.25">
      <c r="A1874" s="15">
        <f>Sheet1!A1874</f>
        <v>0</v>
      </c>
      <c r="B1874">
        <f>Sheet1!B1874</f>
        <v>0.4</v>
      </c>
      <c r="C1874">
        <f>IF(Sheet1!B1874&gt;0,1,0)</f>
        <v>1</v>
      </c>
    </row>
    <row r="1875" spans="1:3" x14ac:dyDescent="0.25">
      <c r="A1875" s="15">
        <f>Sheet1!A1875</f>
        <v>0</v>
      </c>
      <c r="B1875">
        <f>Sheet1!B1875</f>
        <v>0.45</v>
      </c>
      <c r="C1875">
        <f>IF(Sheet1!B1875&gt;0,1,0)</f>
        <v>1</v>
      </c>
    </row>
    <row r="1876" spans="1:3" x14ac:dyDescent="0.25">
      <c r="A1876" s="15">
        <f>Sheet1!A1876</f>
        <v>0</v>
      </c>
      <c r="B1876">
        <f>Sheet1!B1876</f>
        <v>0.44</v>
      </c>
      <c r="C1876">
        <f>IF(Sheet1!B1876&gt;0,1,0)</f>
        <v>1</v>
      </c>
    </row>
    <row r="1877" spans="1:3" x14ac:dyDescent="0.25">
      <c r="A1877" s="15">
        <f>Sheet1!A1877</f>
        <v>0</v>
      </c>
      <c r="B1877">
        <f>Sheet1!B1877</f>
        <v>0.78</v>
      </c>
      <c r="C1877">
        <f>IF(Sheet1!B1877&gt;0,1,0)</f>
        <v>1</v>
      </c>
    </row>
    <row r="1878" spans="1:3" x14ac:dyDescent="0.25">
      <c r="A1878" s="15">
        <f>Sheet1!A1878</f>
        <v>0</v>
      </c>
      <c r="B1878">
        <f>Sheet1!B1878</f>
        <v>0.94</v>
      </c>
      <c r="C1878">
        <f>IF(Sheet1!B1878&gt;0,1,0)</f>
        <v>1</v>
      </c>
    </row>
    <row r="1879" spans="1:3" x14ac:dyDescent="0.25">
      <c r="A1879" s="15">
        <f>Sheet1!A1879</f>
        <v>0</v>
      </c>
      <c r="B1879">
        <f>Sheet1!B1879</f>
        <v>1.01</v>
      </c>
      <c r="C1879">
        <f>IF(Sheet1!B1879&gt;0,1,0)</f>
        <v>1</v>
      </c>
    </row>
    <row r="1880" spans="1:3" x14ac:dyDescent="0.25">
      <c r="A1880" s="15">
        <f>Sheet1!A1880</f>
        <v>0</v>
      </c>
      <c r="B1880">
        <f>Sheet1!B1880</f>
        <v>0.67</v>
      </c>
      <c r="C1880">
        <f>IF(Sheet1!B1880&gt;0,1,0)</f>
        <v>1</v>
      </c>
    </row>
    <row r="1881" spans="1:3" x14ac:dyDescent="0.25">
      <c r="A1881" s="15">
        <f>Sheet1!A1881</f>
        <v>0</v>
      </c>
      <c r="B1881">
        <f>Sheet1!B1881</f>
        <v>0.7</v>
      </c>
      <c r="C1881">
        <f>IF(Sheet1!B1881&gt;0,1,0)</f>
        <v>1</v>
      </c>
    </row>
    <row r="1882" spans="1:3" x14ac:dyDescent="0.25">
      <c r="A1882" s="15">
        <f>Sheet1!A1882</f>
        <v>0</v>
      </c>
      <c r="B1882">
        <f>Sheet1!B1882</f>
        <v>0.81</v>
      </c>
      <c r="C1882">
        <f>IF(Sheet1!B1882&gt;0,1,0)</f>
        <v>1</v>
      </c>
    </row>
    <row r="1883" spans="1:3" x14ac:dyDescent="0.25">
      <c r="A1883" s="15">
        <f>Sheet1!A1883</f>
        <v>0</v>
      </c>
      <c r="B1883">
        <f>Sheet1!B1883</f>
        <v>0.8</v>
      </c>
      <c r="C1883">
        <f>IF(Sheet1!B1883&gt;0,1,0)</f>
        <v>1</v>
      </c>
    </row>
    <row r="1884" spans="1:3" x14ac:dyDescent="0.25">
      <c r="A1884" s="15">
        <f>Sheet1!A1884</f>
        <v>0</v>
      </c>
      <c r="B1884">
        <f>Sheet1!B1884</f>
        <v>0.61</v>
      </c>
      <c r="C1884">
        <f>IF(Sheet1!B1884&gt;0,1,0)</f>
        <v>1</v>
      </c>
    </row>
    <row r="1885" spans="1:3" x14ac:dyDescent="0.25">
      <c r="A1885" s="15">
        <f>Sheet1!A1885</f>
        <v>0</v>
      </c>
      <c r="B1885">
        <f>Sheet1!B1885</f>
        <v>1.1100000000000001</v>
      </c>
      <c r="C1885">
        <f>IF(Sheet1!B1885&gt;0,1,0)</f>
        <v>1</v>
      </c>
    </row>
    <row r="1886" spans="1:3" x14ac:dyDescent="0.25">
      <c r="A1886" s="15">
        <f>Sheet1!A1886</f>
        <v>0</v>
      </c>
      <c r="B1886">
        <f>Sheet1!B1886</f>
        <v>0.71</v>
      </c>
      <c r="C1886">
        <f>IF(Sheet1!B1886&gt;0,1,0)</f>
        <v>1</v>
      </c>
    </row>
    <row r="1887" spans="1:3" x14ac:dyDescent="0.25">
      <c r="A1887" s="15">
        <f>Sheet1!A1887</f>
        <v>0</v>
      </c>
      <c r="B1887">
        <f>Sheet1!B1887</f>
        <v>0.83</v>
      </c>
      <c r="C1887">
        <f>IF(Sheet1!B1887&gt;0,1,0)</f>
        <v>1</v>
      </c>
    </row>
    <row r="1888" spans="1:3" x14ac:dyDescent="0.25">
      <c r="A1888" s="15">
        <f>Sheet1!A1888</f>
        <v>0</v>
      </c>
      <c r="B1888">
        <f>Sheet1!B1888</f>
        <v>1.0900000000000001</v>
      </c>
      <c r="C1888">
        <f>IF(Sheet1!B1888&gt;0,1,0)</f>
        <v>1</v>
      </c>
    </row>
    <row r="1889" spans="1:3" x14ac:dyDescent="0.25">
      <c r="A1889" s="15">
        <f>Sheet1!A1889</f>
        <v>0</v>
      </c>
      <c r="B1889">
        <f>Sheet1!B1889</f>
        <v>1.25</v>
      </c>
      <c r="C1889">
        <f>IF(Sheet1!B1889&gt;0,1,0)</f>
        <v>1</v>
      </c>
    </row>
    <row r="1890" spans="1:3" x14ac:dyDescent="0.25">
      <c r="A1890" s="15">
        <f>Sheet1!A1890</f>
        <v>0</v>
      </c>
      <c r="B1890">
        <f>Sheet1!B1890</f>
        <v>1.18</v>
      </c>
      <c r="C1890">
        <f>IF(Sheet1!B1890&gt;0,1,0)</f>
        <v>1</v>
      </c>
    </row>
    <row r="1891" spans="1:3" x14ac:dyDescent="0.25">
      <c r="A1891" s="15">
        <f>Sheet1!A1891</f>
        <v>0</v>
      </c>
      <c r="B1891">
        <f>Sheet1!B1891</f>
        <v>0</v>
      </c>
      <c r="C1891">
        <f>IF(Sheet1!B1891&gt;0,1,0)</f>
        <v>0</v>
      </c>
    </row>
    <row r="1892" spans="1:3" x14ac:dyDescent="0.25">
      <c r="A1892" s="15">
        <f>Sheet1!A1892</f>
        <v>0</v>
      </c>
      <c r="B1892">
        <f>Sheet1!B1892</f>
        <v>0</v>
      </c>
      <c r="C1892">
        <f>IF(Sheet1!B1892&gt;0,1,0)</f>
        <v>0</v>
      </c>
    </row>
    <row r="1893" spans="1:3" x14ac:dyDescent="0.25">
      <c r="A1893" s="15">
        <f>Sheet1!A1893</f>
        <v>0</v>
      </c>
      <c r="B1893">
        <f>Sheet1!B1893</f>
        <v>1.39</v>
      </c>
      <c r="C1893">
        <f>IF(Sheet1!B1893&gt;0,1,0)</f>
        <v>1</v>
      </c>
    </row>
    <row r="1894" spans="1:3" x14ac:dyDescent="0.25">
      <c r="A1894" s="15">
        <f>Sheet1!A1894</f>
        <v>0</v>
      </c>
      <c r="B1894">
        <f>Sheet1!B1894</f>
        <v>1.1299999999999999</v>
      </c>
      <c r="C1894">
        <f>IF(Sheet1!B1894&gt;0,1,0)</f>
        <v>1</v>
      </c>
    </row>
    <row r="1895" spans="1:3" x14ac:dyDescent="0.25">
      <c r="A1895" s="15">
        <f>Sheet1!A1895</f>
        <v>0</v>
      </c>
      <c r="B1895">
        <f>Sheet1!B1895</f>
        <v>0.87</v>
      </c>
      <c r="C1895">
        <f>IF(Sheet1!B1895&gt;0,1,0)</f>
        <v>1</v>
      </c>
    </row>
    <row r="1896" spans="1:3" x14ac:dyDescent="0.25">
      <c r="A1896" s="15">
        <f>Sheet1!A1896</f>
        <v>0</v>
      </c>
      <c r="B1896">
        <f>Sheet1!B1896</f>
        <v>0.54</v>
      </c>
      <c r="C1896">
        <f>IF(Sheet1!B1896&gt;0,1,0)</f>
        <v>1</v>
      </c>
    </row>
    <row r="1897" spans="1:3" x14ac:dyDescent="0.25">
      <c r="A1897" s="15">
        <f>Sheet1!A1897</f>
        <v>0</v>
      </c>
      <c r="B1897">
        <f>Sheet1!B1897</f>
        <v>0.56000000000000005</v>
      </c>
      <c r="C1897">
        <f>IF(Sheet1!B1897&gt;0,1,0)</f>
        <v>1</v>
      </c>
    </row>
    <row r="1898" spans="1:3" x14ac:dyDescent="0.25">
      <c r="A1898" s="15">
        <f>Sheet1!A1898</f>
        <v>0</v>
      </c>
      <c r="B1898">
        <f>Sheet1!B1898</f>
        <v>0.64</v>
      </c>
      <c r="C1898">
        <f>IF(Sheet1!B1898&gt;0,1,0)</f>
        <v>1</v>
      </c>
    </row>
    <row r="1899" spans="1:3" x14ac:dyDescent="0.25">
      <c r="A1899" s="15">
        <f>Sheet1!A1899</f>
        <v>0</v>
      </c>
      <c r="B1899">
        <f>Sheet1!B1899</f>
        <v>0.6</v>
      </c>
      <c r="C1899">
        <f>IF(Sheet1!B1899&gt;0,1,0)</f>
        <v>1</v>
      </c>
    </row>
    <row r="1900" spans="1:3" x14ac:dyDescent="0.25">
      <c r="A1900" s="15">
        <f>Sheet1!A1900</f>
        <v>0</v>
      </c>
      <c r="B1900">
        <f>Sheet1!B1900</f>
        <v>0.71</v>
      </c>
      <c r="C1900">
        <f>IF(Sheet1!B1900&gt;0,1,0)</f>
        <v>1</v>
      </c>
    </row>
    <row r="1901" spans="1:3" x14ac:dyDescent="0.25">
      <c r="A1901" s="15">
        <f>Sheet1!A1901</f>
        <v>0</v>
      </c>
      <c r="B1901">
        <f>Sheet1!B1901</f>
        <v>0.71</v>
      </c>
      <c r="C1901">
        <f>IF(Sheet1!B1901&gt;0,1,0)</f>
        <v>1</v>
      </c>
    </row>
    <row r="1902" spans="1:3" x14ac:dyDescent="0.25">
      <c r="A1902" s="15">
        <f>Sheet1!A1902</f>
        <v>0</v>
      </c>
      <c r="B1902">
        <f>Sheet1!B1902</f>
        <v>0.52</v>
      </c>
      <c r="C1902">
        <f>IF(Sheet1!B1902&gt;0,1,0)</f>
        <v>1</v>
      </c>
    </row>
    <row r="1903" spans="1:3" x14ac:dyDescent="0.25">
      <c r="A1903" s="15">
        <f>Sheet1!A1903</f>
        <v>0</v>
      </c>
      <c r="B1903">
        <f>Sheet1!B1903</f>
        <v>0.74</v>
      </c>
      <c r="C1903">
        <f>IF(Sheet1!B1903&gt;0,1,0)</f>
        <v>1</v>
      </c>
    </row>
    <row r="1904" spans="1:3" x14ac:dyDescent="0.25">
      <c r="A1904" s="15">
        <f>Sheet1!A1904</f>
        <v>0</v>
      </c>
      <c r="B1904">
        <f>Sheet1!B1904</f>
        <v>1.59</v>
      </c>
      <c r="C1904">
        <f>IF(Sheet1!B1904&gt;0,1,0)</f>
        <v>1</v>
      </c>
    </row>
    <row r="1905" spans="1:3" x14ac:dyDescent="0.25">
      <c r="A1905" s="15">
        <f>Sheet1!A1905</f>
        <v>0</v>
      </c>
      <c r="B1905">
        <f>Sheet1!B1905</f>
        <v>0.96</v>
      </c>
      <c r="C1905">
        <f>IF(Sheet1!B1905&gt;0,1,0)</f>
        <v>1</v>
      </c>
    </row>
    <row r="1906" spans="1:3" x14ac:dyDescent="0.25">
      <c r="A1906" s="15">
        <f>Sheet1!A1906</f>
        <v>0</v>
      </c>
      <c r="B1906">
        <f>Sheet1!B1906</f>
        <v>1.26</v>
      </c>
      <c r="C1906">
        <f>IF(Sheet1!B1906&gt;0,1,0)</f>
        <v>1</v>
      </c>
    </row>
    <row r="1907" spans="1:3" x14ac:dyDescent="0.25">
      <c r="A1907" s="15">
        <f>Sheet1!A1907</f>
        <v>0</v>
      </c>
      <c r="B1907">
        <f>Sheet1!B1907</f>
        <v>1.1200000000000001</v>
      </c>
      <c r="C1907">
        <f>IF(Sheet1!B1907&gt;0,1,0)</f>
        <v>1</v>
      </c>
    </row>
    <row r="1908" spans="1:3" x14ac:dyDescent="0.25">
      <c r="A1908" s="15">
        <f>Sheet1!A1908</f>
        <v>0</v>
      </c>
      <c r="B1908">
        <f>Sheet1!B1908</f>
        <v>1.38</v>
      </c>
      <c r="C1908">
        <f>IF(Sheet1!B1908&gt;0,1,0)</f>
        <v>1</v>
      </c>
    </row>
    <row r="1909" spans="1:3" x14ac:dyDescent="0.25">
      <c r="A1909" s="15">
        <f>Sheet1!A1909</f>
        <v>0</v>
      </c>
      <c r="B1909">
        <f>Sheet1!B1909</f>
        <v>2.4500000000000002</v>
      </c>
      <c r="C1909">
        <f>IF(Sheet1!B1909&gt;0,1,0)</f>
        <v>1</v>
      </c>
    </row>
    <row r="1910" spans="1:3" x14ac:dyDescent="0.25">
      <c r="A1910" s="15">
        <f>Sheet1!A1910</f>
        <v>0</v>
      </c>
      <c r="B1910">
        <f>Sheet1!B1910</f>
        <v>3.88</v>
      </c>
      <c r="C1910">
        <f>IF(Sheet1!B1910&gt;0,1,0)</f>
        <v>1</v>
      </c>
    </row>
    <row r="1911" spans="1:3" x14ac:dyDescent="0.25">
      <c r="A1911" s="15">
        <f>Sheet1!A1911</f>
        <v>0</v>
      </c>
      <c r="B1911">
        <f>Sheet1!B1911</f>
        <v>1.1100000000000001</v>
      </c>
      <c r="C1911">
        <f>IF(Sheet1!B1911&gt;0,1,0)</f>
        <v>1</v>
      </c>
    </row>
    <row r="1912" spans="1:3" x14ac:dyDescent="0.25">
      <c r="A1912" s="15">
        <f>Sheet1!A1912</f>
        <v>0</v>
      </c>
      <c r="B1912">
        <f>Sheet1!B1912</f>
        <v>0.95</v>
      </c>
      <c r="C1912">
        <f>IF(Sheet1!B1912&gt;0,1,0)</f>
        <v>1</v>
      </c>
    </row>
    <row r="1913" spans="1:3" x14ac:dyDescent="0.25">
      <c r="A1913" s="15">
        <f>Sheet1!A1913</f>
        <v>0</v>
      </c>
      <c r="B1913">
        <f>Sheet1!B1913</f>
        <v>0.72</v>
      </c>
      <c r="C1913">
        <f>IF(Sheet1!B1913&gt;0,1,0)</f>
        <v>1</v>
      </c>
    </row>
    <row r="1914" spans="1:3" x14ac:dyDescent="0.25">
      <c r="A1914" s="15">
        <f>Sheet1!A1914</f>
        <v>0</v>
      </c>
      <c r="B1914">
        <f>Sheet1!B1914</f>
        <v>1.25</v>
      </c>
      <c r="C1914">
        <f>IF(Sheet1!B1914&gt;0,1,0)</f>
        <v>1</v>
      </c>
    </row>
    <row r="1915" spans="1:3" x14ac:dyDescent="0.25">
      <c r="A1915" s="15">
        <f>Sheet1!A1915</f>
        <v>0</v>
      </c>
      <c r="B1915">
        <f>Sheet1!B1915</f>
        <v>0.81</v>
      </c>
      <c r="C1915">
        <f>IF(Sheet1!B1915&gt;0,1,0)</f>
        <v>1</v>
      </c>
    </row>
    <row r="1916" spans="1:3" x14ac:dyDescent="0.25">
      <c r="A1916" s="15">
        <f>Sheet1!A1916</f>
        <v>0</v>
      </c>
      <c r="B1916">
        <f>Sheet1!B1916</f>
        <v>1.54</v>
      </c>
      <c r="C1916">
        <f>IF(Sheet1!B1916&gt;0,1,0)</f>
        <v>1</v>
      </c>
    </row>
    <row r="1917" spans="1:3" x14ac:dyDescent="0.25">
      <c r="A1917" s="15">
        <f>Sheet1!A1917</f>
        <v>0</v>
      </c>
      <c r="B1917">
        <f>Sheet1!B1917</f>
        <v>1.18</v>
      </c>
      <c r="C1917">
        <f>IF(Sheet1!B1917&gt;0,1,0)</f>
        <v>1</v>
      </c>
    </row>
    <row r="1918" spans="1:3" x14ac:dyDescent="0.25">
      <c r="A1918" s="15">
        <f>Sheet1!A1918</f>
        <v>0</v>
      </c>
      <c r="B1918">
        <f>Sheet1!B1918</f>
        <v>0.92</v>
      </c>
      <c r="C1918">
        <f>IF(Sheet1!B1918&gt;0,1,0)</f>
        <v>1</v>
      </c>
    </row>
    <row r="1919" spans="1:3" x14ac:dyDescent="0.25">
      <c r="A1919" s="15">
        <f>Sheet1!A1919</f>
        <v>0</v>
      </c>
      <c r="B1919">
        <f>Sheet1!B1919</f>
        <v>1.24</v>
      </c>
      <c r="C1919">
        <f>IF(Sheet1!B1919&gt;0,1,0)</f>
        <v>1</v>
      </c>
    </row>
    <row r="1920" spans="1:3" x14ac:dyDescent="0.25">
      <c r="A1920" s="15">
        <f>Sheet1!A1920</f>
        <v>0</v>
      </c>
      <c r="B1920">
        <f>Sheet1!B1920</f>
        <v>1.34</v>
      </c>
      <c r="C1920">
        <f>IF(Sheet1!B1920&gt;0,1,0)</f>
        <v>1</v>
      </c>
    </row>
    <row r="1921" spans="1:3" x14ac:dyDescent="0.25">
      <c r="A1921" s="15">
        <f>Sheet1!A1921</f>
        <v>0</v>
      </c>
      <c r="B1921">
        <f>Sheet1!B1921</f>
        <v>0.56000000000000005</v>
      </c>
      <c r="C1921">
        <f>IF(Sheet1!B1921&gt;0,1,0)</f>
        <v>1</v>
      </c>
    </row>
    <row r="1922" spans="1:3" x14ac:dyDescent="0.25">
      <c r="A1922" s="15">
        <f>Sheet1!A1922</f>
        <v>0</v>
      </c>
      <c r="B1922">
        <f>Sheet1!B1922</f>
        <v>0.72</v>
      </c>
      <c r="C1922">
        <f>IF(Sheet1!B1922&gt;0,1,0)</f>
        <v>1</v>
      </c>
    </row>
    <row r="1923" spans="1:3" x14ac:dyDescent="0.25">
      <c r="A1923" s="15">
        <f>Sheet1!A1923</f>
        <v>0</v>
      </c>
      <c r="B1923">
        <f>Sheet1!B1923</f>
        <v>0.51</v>
      </c>
      <c r="C1923">
        <f>IF(Sheet1!B1923&gt;0,1,0)</f>
        <v>1</v>
      </c>
    </row>
    <row r="1924" spans="1:3" x14ac:dyDescent="0.25">
      <c r="A1924" s="15">
        <f>Sheet1!A1924</f>
        <v>0</v>
      </c>
      <c r="B1924">
        <f>Sheet1!B1924</f>
        <v>0.52</v>
      </c>
      <c r="C1924">
        <f>IF(Sheet1!B1924&gt;0,1,0)</f>
        <v>1</v>
      </c>
    </row>
    <row r="1925" spans="1:3" x14ac:dyDescent="0.25">
      <c r="A1925" s="15">
        <f>Sheet1!A1925</f>
        <v>0</v>
      </c>
      <c r="B1925">
        <f>Sheet1!B1925</f>
        <v>0.64</v>
      </c>
      <c r="C1925">
        <f>IF(Sheet1!B1925&gt;0,1,0)</f>
        <v>1</v>
      </c>
    </row>
    <row r="1926" spans="1:3" x14ac:dyDescent="0.25">
      <c r="A1926" s="15">
        <f>Sheet1!A1926</f>
        <v>0</v>
      </c>
      <c r="B1926">
        <f>Sheet1!B1926</f>
        <v>0.53</v>
      </c>
      <c r="C1926">
        <f>IF(Sheet1!B1926&gt;0,1,0)</f>
        <v>1</v>
      </c>
    </row>
    <row r="1927" spans="1:3" x14ac:dyDescent="0.25">
      <c r="A1927" s="15">
        <f>Sheet1!A1927</f>
        <v>0</v>
      </c>
      <c r="B1927">
        <f>Sheet1!B1927</f>
        <v>0.43</v>
      </c>
      <c r="C1927">
        <f>IF(Sheet1!B1927&gt;0,1,0)</f>
        <v>1</v>
      </c>
    </row>
    <row r="1928" spans="1:3" x14ac:dyDescent="0.25">
      <c r="A1928" s="15">
        <f>Sheet1!A1928</f>
        <v>0</v>
      </c>
      <c r="B1928">
        <f>Sheet1!B1928</f>
        <v>1.49</v>
      </c>
      <c r="C1928">
        <f>IF(Sheet1!B1928&gt;0,1,0)</f>
        <v>1</v>
      </c>
    </row>
    <row r="1929" spans="1:3" x14ac:dyDescent="0.25">
      <c r="A1929" s="15">
        <f>Sheet1!A1929</f>
        <v>0</v>
      </c>
      <c r="B1929">
        <f>Sheet1!B1929</f>
        <v>1.02</v>
      </c>
      <c r="C1929">
        <f>IF(Sheet1!B1929&gt;0,1,0)</f>
        <v>1</v>
      </c>
    </row>
    <row r="1930" spans="1:3" x14ac:dyDescent="0.25">
      <c r="A1930" s="15">
        <f>Sheet1!A1930</f>
        <v>0</v>
      </c>
      <c r="B1930">
        <f>Sheet1!B1930</f>
        <v>1.45</v>
      </c>
      <c r="C1930">
        <f>IF(Sheet1!B1930&gt;0,1,0)</f>
        <v>1</v>
      </c>
    </row>
    <row r="1931" spans="1:3" x14ac:dyDescent="0.25">
      <c r="A1931" s="15">
        <f>Sheet1!A1931</f>
        <v>0</v>
      </c>
      <c r="B1931">
        <f>Sheet1!B1931</f>
        <v>1</v>
      </c>
      <c r="C1931">
        <f>IF(Sheet1!B1931&gt;0,1,0)</f>
        <v>1</v>
      </c>
    </row>
    <row r="1932" spans="1:3" x14ac:dyDescent="0.25">
      <c r="A1932" s="15">
        <f>Sheet1!A1932</f>
        <v>0</v>
      </c>
      <c r="B1932">
        <f>Sheet1!B1932</f>
        <v>1.26</v>
      </c>
      <c r="C1932">
        <f>IF(Sheet1!B1932&gt;0,1,0)</f>
        <v>1</v>
      </c>
    </row>
    <row r="1933" spans="1:3" x14ac:dyDescent="0.25">
      <c r="A1933" s="15">
        <f>Sheet1!A1933</f>
        <v>0</v>
      </c>
      <c r="B1933">
        <f>Sheet1!B1933</f>
        <v>1.33</v>
      </c>
      <c r="C1933">
        <f>IF(Sheet1!B1933&gt;0,1,0)</f>
        <v>1</v>
      </c>
    </row>
    <row r="1934" spans="1:3" x14ac:dyDescent="0.25">
      <c r="A1934" s="15">
        <f>Sheet1!A1934</f>
        <v>0</v>
      </c>
      <c r="B1934">
        <f>Sheet1!B1934</f>
        <v>1.35</v>
      </c>
      <c r="C1934">
        <f>IF(Sheet1!B1934&gt;0,1,0)</f>
        <v>1</v>
      </c>
    </row>
    <row r="1935" spans="1:3" x14ac:dyDescent="0.25">
      <c r="A1935" s="15">
        <f>Sheet1!A1935</f>
        <v>0</v>
      </c>
      <c r="B1935">
        <f>Sheet1!B1935</f>
        <v>1.36</v>
      </c>
      <c r="C1935">
        <f>IF(Sheet1!B1935&gt;0,1,0)</f>
        <v>1</v>
      </c>
    </row>
    <row r="1936" spans="1:3" x14ac:dyDescent="0.25">
      <c r="A1936" s="15">
        <f>Sheet1!A1936</f>
        <v>0</v>
      </c>
      <c r="B1936">
        <f>Sheet1!B1936</f>
        <v>1.2</v>
      </c>
      <c r="C1936">
        <f>IF(Sheet1!B1936&gt;0,1,0)</f>
        <v>1</v>
      </c>
    </row>
    <row r="1937" spans="1:3" x14ac:dyDescent="0.25">
      <c r="A1937" s="15">
        <f>Sheet1!A1937</f>
        <v>0</v>
      </c>
      <c r="B1937">
        <f>Sheet1!B1937</f>
        <v>1.29</v>
      </c>
      <c r="C1937">
        <f>IF(Sheet1!B1937&gt;0,1,0)</f>
        <v>1</v>
      </c>
    </row>
    <row r="1938" spans="1:3" x14ac:dyDescent="0.25">
      <c r="A1938" s="15">
        <f>Sheet1!A1938</f>
        <v>0</v>
      </c>
      <c r="B1938">
        <f>Sheet1!B1938</f>
        <v>1.21</v>
      </c>
      <c r="C1938">
        <f>IF(Sheet1!B1938&gt;0,1,0)</f>
        <v>1</v>
      </c>
    </row>
    <row r="1939" spans="1:3" x14ac:dyDescent="0.25">
      <c r="A1939" s="15">
        <f>Sheet1!A1939</f>
        <v>0</v>
      </c>
      <c r="B1939">
        <f>Sheet1!B1939</f>
        <v>1.06</v>
      </c>
      <c r="C1939">
        <f>IF(Sheet1!B1939&gt;0,1,0)</f>
        <v>1</v>
      </c>
    </row>
    <row r="1940" spans="1:3" x14ac:dyDescent="0.25">
      <c r="A1940" s="15">
        <f>Sheet1!A1940</f>
        <v>0</v>
      </c>
      <c r="B1940">
        <f>Sheet1!B1940</f>
        <v>1.1499999999999999</v>
      </c>
      <c r="C1940">
        <f>IF(Sheet1!B1940&gt;0,1,0)</f>
        <v>1</v>
      </c>
    </row>
    <row r="1941" spans="1:3" x14ac:dyDescent="0.25">
      <c r="A1941" s="15">
        <f>Sheet1!A1941</f>
        <v>0</v>
      </c>
      <c r="B1941">
        <f>Sheet1!B1941</f>
        <v>1.91</v>
      </c>
      <c r="C1941">
        <f>IF(Sheet1!B1941&gt;0,1,0)</f>
        <v>1</v>
      </c>
    </row>
    <row r="1942" spans="1:3" x14ac:dyDescent="0.25">
      <c r="A1942" s="15">
        <f>Sheet1!A1942</f>
        <v>0</v>
      </c>
      <c r="B1942">
        <f>Sheet1!B1942</f>
        <v>1.1000000000000001</v>
      </c>
      <c r="C1942">
        <f>IF(Sheet1!B1942&gt;0,1,0)</f>
        <v>1</v>
      </c>
    </row>
    <row r="1943" spans="1:3" x14ac:dyDescent="0.25">
      <c r="A1943" s="15">
        <f>Sheet1!A1943</f>
        <v>0</v>
      </c>
      <c r="B1943">
        <f>Sheet1!B1943</f>
        <v>0.84</v>
      </c>
      <c r="C1943">
        <f>IF(Sheet1!B1943&gt;0,1,0)</f>
        <v>1</v>
      </c>
    </row>
    <row r="1944" spans="1:3" x14ac:dyDescent="0.25">
      <c r="A1944" s="15">
        <f>Sheet1!A1944</f>
        <v>0</v>
      </c>
      <c r="B1944">
        <f>Sheet1!B1944</f>
        <v>0.75</v>
      </c>
      <c r="C1944">
        <f>IF(Sheet1!B1944&gt;0,1,0)</f>
        <v>1</v>
      </c>
    </row>
    <row r="1945" spans="1:3" x14ac:dyDescent="0.25">
      <c r="A1945" s="15">
        <f>Sheet1!A1945</f>
        <v>0</v>
      </c>
      <c r="B1945">
        <f>Sheet1!B1945</f>
        <v>0.78</v>
      </c>
      <c r="C1945">
        <f>IF(Sheet1!B1945&gt;0,1,0)</f>
        <v>1</v>
      </c>
    </row>
    <row r="1946" spans="1:3" x14ac:dyDescent="0.25">
      <c r="A1946" s="15">
        <f>Sheet1!A1946</f>
        <v>0</v>
      </c>
      <c r="B1946">
        <f>Sheet1!B1946</f>
        <v>0.62</v>
      </c>
      <c r="C1946">
        <f>IF(Sheet1!B1946&gt;0,1,0)</f>
        <v>1</v>
      </c>
    </row>
    <row r="1947" spans="1:3" x14ac:dyDescent="0.25">
      <c r="A1947" s="15">
        <f>Sheet1!A1947</f>
        <v>0</v>
      </c>
      <c r="B1947">
        <f>Sheet1!B1947</f>
        <v>0.86</v>
      </c>
      <c r="C1947">
        <f>IF(Sheet1!B1947&gt;0,1,0)</f>
        <v>1</v>
      </c>
    </row>
    <row r="1948" spans="1:3" x14ac:dyDescent="0.25">
      <c r="A1948" s="15">
        <f>Sheet1!A1948</f>
        <v>0</v>
      </c>
      <c r="B1948">
        <f>Sheet1!B1948</f>
        <v>0.62</v>
      </c>
      <c r="C1948">
        <f>IF(Sheet1!B1948&gt;0,1,0)</f>
        <v>1</v>
      </c>
    </row>
    <row r="1949" spans="1:3" x14ac:dyDescent="0.25">
      <c r="A1949" s="15">
        <f>Sheet1!A1949</f>
        <v>0</v>
      </c>
      <c r="B1949">
        <f>Sheet1!B1949</f>
        <v>0.92</v>
      </c>
      <c r="C1949">
        <f>IF(Sheet1!B1949&gt;0,1,0)</f>
        <v>1</v>
      </c>
    </row>
    <row r="1950" spans="1:3" x14ac:dyDescent="0.25">
      <c r="A1950" s="15">
        <f>Sheet1!A1950</f>
        <v>0</v>
      </c>
      <c r="B1950">
        <f>Sheet1!B1950</f>
        <v>0.64</v>
      </c>
      <c r="C1950">
        <f>IF(Sheet1!B1950&gt;0,1,0)</f>
        <v>1</v>
      </c>
    </row>
    <row r="1951" spans="1:3" x14ac:dyDescent="0.25">
      <c r="A1951" s="15">
        <f>Sheet1!A1951</f>
        <v>0</v>
      </c>
      <c r="B1951">
        <f>Sheet1!B1951</f>
        <v>0.62</v>
      </c>
      <c r="C1951">
        <f>IF(Sheet1!B1951&gt;0,1,0)</f>
        <v>1</v>
      </c>
    </row>
    <row r="1952" spans="1:3" x14ac:dyDescent="0.25">
      <c r="A1952" s="15">
        <f>Sheet1!A1952</f>
        <v>0</v>
      </c>
      <c r="B1952">
        <f>Sheet1!B1952</f>
        <v>1.53</v>
      </c>
      <c r="C1952">
        <f>IF(Sheet1!B1952&gt;0,1,0)</f>
        <v>1</v>
      </c>
    </row>
    <row r="1953" spans="1:3" x14ac:dyDescent="0.25">
      <c r="A1953" s="15">
        <f>Sheet1!A1953</f>
        <v>0</v>
      </c>
      <c r="B1953">
        <f>Sheet1!B1953</f>
        <v>0.92</v>
      </c>
      <c r="C1953">
        <f>IF(Sheet1!B1953&gt;0,1,0)</f>
        <v>1</v>
      </c>
    </row>
    <row r="1954" spans="1:3" x14ac:dyDescent="0.25">
      <c r="A1954" s="15">
        <f>Sheet1!A1954</f>
        <v>0</v>
      </c>
      <c r="B1954">
        <f>Sheet1!B1954</f>
        <v>0.69</v>
      </c>
      <c r="C1954">
        <f>IF(Sheet1!B1954&gt;0,1,0)</f>
        <v>1</v>
      </c>
    </row>
    <row r="1955" spans="1:3" x14ac:dyDescent="0.25">
      <c r="A1955" s="15">
        <f>Sheet1!A1955</f>
        <v>0</v>
      </c>
      <c r="B1955">
        <f>Sheet1!B1955</f>
        <v>0</v>
      </c>
      <c r="C1955">
        <f>IF(Sheet1!B1955&gt;0,1,0)</f>
        <v>0</v>
      </c>
    </row>
    <row r="1956" spans="1:3" x14ac:dyDescent="0.25">
      <c r="A1956" s="15">
        <f>Sheet1!A1956</f>
        <v>0</v>
      </c>
      <c r="B1956">
        <f>Sheet1!B1956</f>
        <v>0</v>
      </c>
      <c r="C1956">
        <f>IF(Sheet1!B1956&gt;0,1,0)</f>
        <v>0</v>
      </c>
    </row>
    <row r="1957" spans="1:3" x14ac:dyDescent="0.25">
      <c r="A1957" s="15">
        <f>Sheet1!A1957</f>
        <v>0</v>
      </c>
      <c r="B1957">
        <f>Sheet1!B1957</f>
        <v>1.21</v>
      </c>
      <c r="C1957">
        <f>IF(Sheet1!B1957&gt;0,1,0)</f>
        <v>1</v>
      </c>
    </row>
    <row r="1958" spans="1:3" x14ac:dyDescent="0.25">
      <c r="A1958" s="15">
        <f>Sheet1!A1958</f>
        <v>0</v>
      </c>
      <c r="B1958">
        <f>Sheet1!B1958</f>
        <v>1.52</v>
      </c>
      <c r="C1958">
        <f>IF(Sheet1!B1958&gt;0,1,0)</f>
        <v>1</v>
      </c>
    </row>
    <row r="1959" spans="1:3" x14ac:dyDescent="0.25">
      <c r="A1959" s="15">
        <f>Sheet1!A1959</f>
        <v>0</v>
      </c>
      <c r="B1959">
        <f>Sheet1!B1959</f>
        <v>1.28</v>
      </c>
      <c r="C1959">
        <f>IF(Sheet1!B1959&gt;0,1,0)</f>
        <v>1</v>
      </c>
    </row>
    <row r="1960" spans="1:3" x14ac:dyDescent="0.25">
      <c r="A1960" s="15">
        <f>Sheet1!A1960</f>
        <v>0</v>
      </c>
      <c r="B1960">
        <f>Sheet1!B1960</f>
        <v>0.9</v>
      </c>
      <c r="C1960">
        <f>IF(Sheet1!B1960&gt;0,1,0)</f>
        <v>1</v>
      </c>
    </row>
    <row r="1961" spans="1:3" x14ac:dyDescent="0.25">
      <c r="A1961" s="15">
        <f>Sheet1!A1961</f>
        <v>0</v>
      </c>
      <c r="B1961">
        <f>Sheet1!B1961</f>
        <v>2.2400000000000002</v>
      </c>
      <c r="C1961">
        <f>IF(Sheet1!B1961&gt;0,1,0)</f>
        <v>1</v>
      </c>
    </row>
    <row r="1962" spans="1:3" x14ac:dyDescent="0.25">
      <c r="A1962" s="15">
        <f>Sheet1!A1962</f>
        <v>0</v>
      </c>
      <c r="B1962">
        <f>Sheet1!B1962</f>
        <v>4.24</v>
      </c>
      <c r="C1962">
        <f>IF(Sheet1!B1962&gt;0,1,0)</f>
        <v>1</v>
      </c>
    </row>
    <row r="1963" spans="1:3" x14ac:dyDescent="0.25">
      <c r="A1963" s="15">
        <f>Sheet1!A1963</f>
        <v>0</v>
      </c>
      <c r="B1963">
        <f>Sheet1!B1963</f>
        <v>1.83</v>
      </c>
      <c r="C1963">
        <f>IF(Sheet1!B1963&gt;0,1,0)</f>
        <v>1</v>
      </c>
    </row>
    <row r="1964" spans="1:3" x14ac:dyDescent="0.25">
      <c r="A1964" s="15">
        <f>Sheet1!A1964</f>
        <v>0</v>
      </c>
      <c r="B1964">
        <f>Sheet1!B1964</f>
        <v>0</v>
      </c>
      <c r="C1964">
        <f>IF(Sheet1!B1964&gt;0,1,0)</f>
        <v>0</v>
      </c>
    </row>
    <row r="1965" spans="1:3" x14ac:dyDescent="0.25">
      <c r="A1965" s="15">
        <f>Sheet1!A1965</f>
        <v>0</v>
      </c>
      <c r="B1965">
        <f>Sheet1!B1965</f>
        <v>1.33</v>
      </c>
      <c r="C1965">
        <f>IF(Sheet1!B1965&gt;0,1,0)</f>
        <v>1</v>
      </c>
    </row>
    <row r="1966" spans="1:3" x14ac:dyDescent="0.25">
      <c r="A1966" s="15">
        <f>Sheet1!A1966</f>
        <v>0</v>
      </c>
      <c r="B1966">
        <f>Sheet1!B1966</f>
        <v>1.1599999999999999</v>
      </c>
      <c r="C1966">
        <f>IF(Sheet1!B1966&gt;0,1,0)</f>
        <v>1</v>
      </c>
    </row>
    <row r="1967" spans="1:3" x14ac:dyDescent="0.25">
      <c r="A1967" s="15">
        <f>Sheet1!A1967</f>
        <v>0</v>
      </c>
      <c r="B1967">
        <f>Sheet1!B1967</f>
        <v>1.58</v>
      </c>
      <c r="C1967">
        <f>IF(Sheet1!B1967&gt;0,1,0)</f>
        <v>1</v>
      </c>
    </row>
    <row r="1968" spans="1:3" x14ac:dyDescent="0.25">
      <c r="A1968" s="15">
        <f>Sheet1!A1968</f>
        <v>0</v>
      </c>
      <c r="B1968">
        <f>Sheet1!B1968</f>
        <v>0.97</v>
      </c>
      <c r="C1968">
        <f>IF(Sheet1!B1968&gt;0,1,0)</f>
        <v>1</v>
      </c>
    </row>
    <row r="1969" spans="1:3" x14ac:dyDescent="0.25">
      <c r="A1969" s="15">
        <f>Sheet1!A1969</f>
        <v>0</v>
      </c>
      <c r="B1969">
        <f>Sheet1!B1969</f>
        <v>0.67</v>
      </c>
      <c r="C1969">
        <f>IF(Sheet1!B1969&gt;0,1,0)</f>
        <v>1</v>
      </c>
    </row>
    <row r="1970" spans="1:3" x14ac:dyDescent="0.25">
      <c r="A1970" s="15">
        <f>Sheet1!A1970</f>
        <v>0</v>
      </c>
      <c r="B1970">
        <f>Sheet1!B1970</f>
        <v>0.57999999999999996</v>
      </c>
      <c r="C1970">
        <f>IF(Sheet1!B1970&gt;0,1,0)</f>
        <v>1</v>
      </c>
    </row>
    <row r="1971" spans="1:3" x14ac:dyDescent="0.25">
      <c r="A1971" s="15">
        <f>Sheet1!A1971</f>
        <v>0</v>
      </c>
      <c r="B1971">
        <f>Sheet1!B1971</f>
        <v>0.68</v>
      </c>
      <c r="C1971">
        <f>IF(Sheet1!B1971&gt;0,1,0)</f>
        <v>1</v>
      </c>
    </row>
    <row r="1972" spans="1:3" x14ac:dyDescent="0.25">
      <c r="A1972" s="15">
        <f>Sheet1!A1972</f>
        <v>0</v>
      </c>
      <c r="B1972">
        <f>Sheet1!B1972</f>
        <v>0.8</v>
      </c>
      <c r="C1972">
        <f>IF(Sheet1!B1972&gt;0,1,0)</f>
        <v>1</v>
      </c>
    </row>
    <row r="1973" spans="1:3" x14ac:dyDescent="0.25">
      <c r="A1973" s="15">
        <f>Sheet1!A1973</f>
        <v>0</v>
      </c>
      <c r="B1973">
        <f>Sheet1!B1973</f>
        <v>0.95</v>
      </c>
      <c r="C1973">
        <f>IF(Sheet1!B1973&gt;0,1,0)</f>
        <v>1</v>
      </c>
    </row>
    <row r="1974" spans="1:3" x14ac:dyDescent="0.25">
      <c r="A1974" s="15">
        <f>Sheet1!A1974</f>
        <v>0</v>
      </c>
      <c r="B1974">
        <f>Sheet1!B1974</f>
        <v>0.57999999999999996</v>
      </c>
      <c r="C1974">
        <f>IF(Sheet1!B1974&gt;0,1,0)</f>
        <v>1</v>
      </c>
    </row>
    <row r="1975" spans="1:3" x14ac:dyDescent="0.25">
      <c r="A1975" s="15">
        <f>Sheet1!A1975</f>
        <v>0</v>
      </c>
      <c r="B1975">
        <f>Sheet1!B1975</f>
        <v>0.59</v>
      </c>
      <c r="C1975">
        <f>IF(Sheet1!B1975&gt;0,1,0)</f>
        <v>1</v>
      </c>
    </row>
    <row r="1976" spans="1:3" x14ac:dyDescent="0.25">
      <c r="A1976" s="15">
        <f>Sheet1!A1976</f>
        <v>0</v>
      </c>
      <c r="B1976">
        <f>Sheet1!B1976</f>
        <v>1.85</v>
      </c>
      <c r="C1976">
        <f>IF(Sheet1!B1976&gt;0,1,0)</f>
        <v>1</v>
      </c>
    </row>
    <row r="1977" spans="1:3" x14ac:dyDescent="0.25">
      <c r="A1977" s="15">
        <f>Sheet1!A1977</f>
        <v>0</v>
      </c>
      <c r="B1977">
        <f>Sheet1!B1977</f>
        <v>1.51</v>
      </c>
      <c r="C1977">
        <f>IF(Sheet1!B1977&gt;0,1,0)</f>
        <v>1</v>
      </c>
    </row>
    <row r="1978" spans="1:3" x14ac:dyDescent="0.25">
      <c r="A1978" s="15">
        <f>Sheet1!A1978</f>
        <v>0</v>
      </c>
      <c r="B1978">
        <f>Sheet1!B1978</f>
        <v>2.4</v>
      </c>
      <c r="C1978">
        <f>IF(Sheet1!B1978&gt;0,1,0)</f>
        <v>1</v>
      </c>
    </row>
    <row r="1979" spans="1:3" x14ac:dyDescent="0.25">
      <c r="A1979" s="15">
        <f>Sheet1!A1979</f>
        <v>0</v>
      </c>
      <c r="B1979">
        <f>Sheet1!B1979</f>
        <v>0</v>
      </c>
      <c r="C1979">
        <f>IF(Sheet1!B1979&gt;0,1,0)</f>
        <v>0</v>
      </c>
    </row>
    <row r="1980" spans="1:3" x14ac:dyDescent="0.25">
      <c r="A1980" s="15">
        <f>Sheet1!A1980</f>
        <v>0</v>
      </c>
      <c r="B1980">
        <f>Sheet1!B1980</f>
        <v>0</v>
      </c>
      <c r="C1980">
        <f>IF(Sheet1!B1980&gt;0,1,0)</f>
        <v>0</v>
      </c>
    </row>
    <row r="1981" spans="1:3" x14ac:dyDescent="0.25">
      <c r="A1981" s="15">
        <f>Sheet1!A1981</f>
        <v>0</v>
      </c>
      <c r="B1981">
        <f>Sheet1!B1981</f>
        <v>0</v>
      </c>
      <c r="C1981">
        <f>IF(Sheet1!B1981&gt;0,1,0)</f>
        <v>0</v>
      </c>
    </row>
    <row r="1982" spans="1:3" x14ac:dyDescent="0.25">
      <c r="A1982" s="15">
        <f>Sheet1!A1982</f>
        <v>0</v>
      </c>
      <c r="B1982">
        <f>Sheet1!B1982</f>
        <v>1.82</v>
      </c>
      <c r="C1982">
        <f>IF(Sheet1!B1982&gt;0,1,0)</f>
        <v>1</v>
      </c>
    </row>
    <row r="1983" spans="1:3" x14ac:dyDescent="0.25">
      <c r="A1983" s="15">
        <f>Sheet1!A1983</f>
        <v>0</v>
      </c>
      <c r="B1983">
        <f>Sheet1!B1983</f>
        <v>1.31</v>
      </c>
      <c r="C1983">
        <f>IF(Sheet1!B1983&gt;0,1,0)</f>
        <v>1</v>
      </c>
    </row>
    <row r="1984" spans="1:3" x14ac:dyDescent="0.25">
      <c r="A1984" s="15">
        <f>Sheet1!A1984</f>
        <v>0</v>
      </c>
      <c r="B1984">
        <f>Sheet1!B1984</f>
        <v>1.31</v>
      </c>
      <c r="C1984">
        <f>IF(Sheet1!B1984&gt;0,1,0)</f>
        <v>1</v>
      </c>
    </row>
    <row r="1985" spans="1:3" x14ac:dyDescent="0.25">
      <c r="A1985" s="15">
        <f>Sheet1!A1985</f>
        <v>0</v>
      </c>
      <c r="B1985">
        <f>Sheet1!B1985</f>
        <v>1.1200000000000001</v>
      </c>
      <c r="C1985">
        <f>IF(Sheet1!B1985&gt;0,1,0)</f>
        <v>1</v>
      </c>
    </row>
    <row r="1986" spans="1:3" x14ac:dyDescent="0.25">
      <c r="A1986" s="15">
        <f>Sheet1!A1986</f>
        <v>0</v>
      </c>
      <c r="B1986">
        <f>Sheet1!B1986</f>
        <v>1.57</v>
      </c>
      <c r="C1986">
        <f>IF(Sheet1!B1986&gt;0,1,0)</f>
        <v>1</v>
      </c>
    </row>
    <row r="1987" spans="1:3" x14ac:dyDescent="0.25">
      <c r="A1987" s="15">
        <f>Sheet1!A1987</f>
        <v>0</v>
      </c>
      <c r="B1987">
        <f>Sheet1!B1987</f>
        <v>1.54</v>
      </c>
      <c r="C1987">
        <f>IF(Sheet1!B1987&gt;0,1,0)</f>
        <v>1</v>
      </c>
    </row>
    <row r="1988" spans="1:3" x14ac:dyDescent="0.25">
      <c r="A1988" s="15">
        <f>Sheet1!A1988</f>
        <v>0</v>
      </c>
      <c r="B1988">
        <f>Sheet1!B1988</f>
        <v>1.27</v>
      </c>
      <c r="C1988">
        <f>IF(Sheet1!B1988&gt;0,1,0)</f>
        <v>1</v>
      </c>
    </row>
    <row r="1989" spans="1:3" x14ac:dyDescent="0.25">
      <c r="A1989" s="15">
        <f>Sheet1!A1989</f>
        <v>0</v>
      </c>
      <c r="B1989">
        <f>Sheet1!B1989</f>
        <v>1.1499999999999999</v>
      </c>
      <c r="C1989">
        <f>IF(Sheet1!B1989&gt;0,1,0)</f>
        <v>1</v>
      </c>
    </row>
    <row r="1990" spans="1:3" x14ac:dyDescent="0.25">
      <c r="A1990" s="15">
        <f>Sheet1!A1990</f>
        <v>0</v>
      </c>
      <c r="B1990">
        <f>Sheet1!B1990</f>
        <v>0.97</v>
      </c>
      <c r="C1990">
        <f>IF(Sheet1!B1990&gt;0,1,0)</f>
        <v>1</v>
      </c>
    </row>
    <row r="1991" spans="1:3" x14ac:dyDescent="0.25">
      <c r="A1991" s="15">
        <f>Sheet1!A1991</f>
        <v>0</v>
      </c>
      <c r="B1991">
        <f>Sheet1!B1991</f>
        <v>1.35</v>
      </c>
      <c r="C1991">
        <f>IF(Sheet1!B1991&gt;0,1,0)</f>
        <v>1</v>
      </c>
    </row>
    <row r="1992" spans="1:3" x14ac:dyDescent="0.25">
      <c r="A1992" s="15">
        <f>Sheet1!A1992</f>
        <v>0</v>
      </c>
      <c r="B1992">
        <f>Sheet1!B1992</f>
        <v>0.45</v>
      </c>
      <c r="C1992">
        <f>IF(Sheet1!B1992&gt;0,1,0)</f>
        <v>1</v>
      </c>
    </row>
    <row r="1993" spans="1:3" x14ac:dyDescent="0.25">
      <c r="A1993" s="15">
        <f>Sheet1!A1993</f>
        <v>0</v>
      </c>
      <c r="B1993">
        <f>Sheet1!B1993</f>
        <v>0.46</v>
      </c>
      <c r="C1993">
        <f>IF(Sheet1!B1993&gt;0,1,0)</f>
        <v>1</v>
      </c>
    </row>
    <row r="1994" spans="1:3" x14ac:dyDescent="0.25">
      <c r="A1994" s="15">
        <f>Sheet1!A1994</f>
        <v>0</v>
      </c>
      <c r="B1994">
        <f>Sheet1!B1994</f>
        <v>0.51</v>
      </c>
      <c r="C1994">
        <f>IF(Sheet1!B1994&gt;0,1,0)</f>
        <v>1</v>
      </c>
    </row>
    <row r="1995" spans="1:3" x14ac:dyDescent="0.25">
      <c r="A1995" s="15">
        <f>Sheet1!A1995</f>
        <v>0</v>
      </c>
      <c r="B1995">
        <f>Sheet1!B1995</f>
        <v>0.83</v>
      </c>
      <c r="C1995">
        <f>IF(Sheet1!B1995&gt;0,1,0)</f>
        <v>1</v>
      </c>
    </row>
    <row r="1996" spans="1:3" x14ac:dyDescent="0.25">
      <c r="A1996" s="15">
        <f>Sheet1!A1996</f>
        <v>0</v>
      </c>
      <c r="B1996">
        <f>Sheet1!B1996</f>
        <v>0.69</v>
      </c>
      <c r="C1996">
        <f>IF(Sheet1!B1996&gt;0,1,0)</f>
        <v>1</v>
      </c>
    </row>
    <row r="1997" spans="1:3" x14ac:dyDescent="0.25">
      <c r="A1997" s="15">
        <f>Sheet1!A1997</f>
        <v>0</v>
      </c>
      <c r="B1997">
        <f>Sheet1!B1997</f>
        <v>0.61</v>
      </c>
      <c r="C1997">
        <f>IF(Sheet1!B1997&gt;0,1,0)</f>
        <v>1</v>
      </c>
    </row>
    <row r="1998" spans="1:3" x14ac:dyDescent="0.25">
      <c r="A1998" s="15">
        <f>Sheet1!A1998</f>
        <v>0</v>
      </c>
      <c r="B1998">
        <f>Sheet1!B1998</f>
        <v>0.74</v>
      </c>
      <c r="C1998">
        <f>IF(Sheet1!B1998&gt;0,1,0)</f>
        <v>1</v>
      </c>
    </row>
    <row r="1999" spans="1:3" x14ac:dyDescent="0.25">
      <c r="A1999" s="15">
        <f>Sheet1!A1999</f>
        <v>0</v>
      </c>
      <c r="B1999">
        <f>Sheet1!B1999</f>
        <v>1.27</v>
      </c>
      <c r="C1999">
        <f>IF(Sheet1!B1999&gt;0,1,0)</f>
        <v>1</v>
      </c>
    </row>
    <row r="2000" spans="1:3" x14ac:dyDescent="0.25">
      <c r="A2000" s="15">
        <f>Sheet1!A2000</f>
        <v>0</v>
      </c>
      <c r="B2000">
        <f>Sheet1!B2000</f>
        <v>0.78</v>
      </c>
      <c r="C2000">
        <f>IF(Sheet1!B2000&gt;0,1,0)</f>
        <v>1</v>
      </c>
    </row>
    <row r="2001" spans="1:3" x14ac:dyDescent="0.25">
      <c r="A2001" s="15">
        <f>Sheet1!A2001</f>
        <v>0</v>
      </c>
      <c r="B2001">
        <f>Sheet1!B2001</f>
        <v>1.1100000000000001</v>
      </c>
      <c r="C2001">
        <f>IF(Sheet1!B2001&gt;0,1,0)</f>
        <v>1</v>
      </c>
    </row>
    <row r="2002" spans="1:3" x14ac:dyDescent="0.25">
      <c r="A2002" s="15">
        <f>Sheet1!A2002</f>
        <v>0</v>
      </c>
      <c r="B2002">
        <f>Sheet1!B2002</f>
        <v>0</v>
      </c>
      <c r="C2002">
        <f>IF(Sheet1!B2002&gt;0,1,0)</f>
        <v>0</v>
      </c>
    </row>
    <row r="2003" spans="1:3" x14ac:dyDescent="0.25">
      <c r="A2003" s="15">
        <f>Sheet1!A2003</f>
        <v>0</v>
      </c>
      <c r="B2003">
        <f>Sheet1!B2003</f>
        <v>0</v>
      </c>
      <c r="C2003">
        <f>IF(Sheet1!B2003&gt;0,1,0)</f>
        <v>0</v>
      </c>
    </row>
    <row r="2004" spans="1:3" x14ac:dyDescent="0.25">
      <c r="A2004" s="15">
        <f>Sheet1!A2004</f>
        <v>0</v>
      </c>
      <c r="B2004">
        <f>Sheet1!B2004</f>
        <v>0.9</v>
      </c>
      <c r="C2004">
        <f>IF(Sheet1!B2004&gt;0,1,0)</f>
        <v>1</v>
      </c>
    </row>
    <row r="2005" spans="1:3" x14ac:dyDescent="0.25">
      <c r="A2005" s="15">
        <f>Sheet1!A2005</f>
        <v>0</v>
      </c>
      <c r="B2005">
        <f>Sheet1!B2005</f>
        <v>1.22</v>
      </c>
      <c r="C2005">
        <f>IF(Sheet1!B2005&gt;0,1,0)</f>
        <v>1</v>
      </c>
    </row>
    <row r="2006" spans="1:3" x14ac:dyDescent="0.25">
      <c r="A2006" s="15">
        <f>Sheet1!A2006</f>
        <v>0</v>
      </c>
      <c r="B2006">
        <f>Sheet1!B2006</f>
        <v>0.88</v>
      </c>
      <c r="C2006">
        <f>IF(Sheet1!B2006&gt;0,1,0)</f>
        <v>1</v>
      </c>
    </row>
    <row r="2007" spans="1:3" x14ac:dyDescent="0.25">
      <c r="A2007" s="15">
        <f>Sheet1!A2007</f>
        <v>0</v>
      </c>
      <c r="B2007">
        <f>Sheet1!B2007</f>
        <v>0.9</v>
      </c>
      <c r="C2007">
        <f>IF(Sheet1!B2007&gt;0,1,0)</f>
        <v>1</v>
      </c>
    </row>
    <row r="2008" spans="1:3" x14ac:dyDescent="0.25">
      <c r="A2008" s="15">
        <f>Sheet1!A2008</f>
        <v>0</v>
      </c>
      <c r="B2008">
        <f>Sheet1!B2008</f>
        <v>0</v>
      </c>
      <c r="C2008">
        <f>IF(Sheet1!B2008&gt;0,1,0)</f>
        <v>0</v>
      </c>
    </row>
    <row r="2009" spans="1:3" x14ac:dyDescent="0.25">
      <c r="A2009" s="15">
        <f>Sheet1!A2009</f>
        <v>0</v>
      </c>
      <c r="B2009">
        <f>Sheet1!B2009</f>
        <v>0</v>
      </c>
      <c r="C2009">
        <f>IF(Sheet1!B2009&gt;0,1,0)</f>
        <v>0</v>
      </c>
    </row>
    <row r="2010" spans="1:3" x14ac:dyDescent="0.25">
      <c r="A2010" s="15">
        <f>Sheet1!A2010</f>
        <v>0</v>
      </c>
      <c r="B2010">
        <f>Sheet1!B2010</f>
        <v>3.11</v>
      </c>
      <c r="C2010">
        <f>IF(Sheet1!B2010&gt;0,1,0)</f>
        <v>1</v>
      </c>
    </row>
    <row r="2011" spans="1:3" x14ac:dyDescent="0.25">
      <c r="A2011" s="15">
        <f>Sheet1!A2011</f>
        <v>0</v>
      </c>
      <c r="B2011">
        <f>Sheet1!B2011</f>
        <v>1.45</v>
      </c>
      <c r="C2011">
        <f>IF(Sheet1!B2011&gt;0,1,0)</f>
        <v>1</v>
      </c>
    </row>
    <row r="2012" spans="1:3" x14ac:dyDescent="0.25">
      <c r="A2012" s="15">
        <f>Sheet1!A2012</f>
        <v>0</v>
      </c>
      <c r="B2012">
        <f>Sheet1!B2012</f>
        <v>1.25</v>
      </c>
      <c r="C2012">
        <f>IF(Sheet1!B2012&gt;0,1,0)</f>
        <v>1</v>
      </c>
    </row>
    <row r="2013" spans="1:3" x14ac:dyDescent="0.25">
      <c r="A2013" s="15">
        <f>Sheet1!A2013</f>
        <v>0</v>
      </c>
      <c r="B2013">
        <f>Sheet1!B2013</f>
        <v>1.39</v>
      </c>
      <c r="C2013">
        <f>IF(Sheet1!B2013&gt;0,1,0)</f>
        <v>1</v>
      </c>
    </row>
    <row r="2014" spans="1:3" x14ac:dyDescent="0.25">
      <c r="A2014" s="15">
        <f>Sheet1!A2014</f>
        <v>0</v>
      </c>
      <c r="B2014">
        <f>Sheet1!B2014</f>
        <v>1.67</v>
      </c>
      <c r="C2014">
        <f>IF(Sheet1!B2014&gt;0,1,0)</f>
        <v>1</v>
      </c>
    </row>
    <row r="2015" spans="1:3" x14ac:dyDescent="0.25">
      <c r="A2015" s="15">
        <f>Sheet1!A2015</f>
        <v>0</v>
      </c>
      <c r="B2015">
        <f>Sheet1!B2015</f>
        <v>1.75</v>
      </c>
      <c r="C2015">
        <f>IF(Sheet1!B2015&gt;0,1,0)</f>
        <v>1</v>
      </c>
    </row>
    <row r="2016" spans="1:3" x14ac:dyDescent="0.25">
      <c r="A2016" s="15">
        <f>Sheet1!A2016</f>
        <v>0</v>
      </c>
      <c r="B2016">
        <f>Sheet1!B2016</f>
        <v>0.7</v>
      </c>
      <c r="C2016">
        <f>IF(Sheet1!B2016&gt;0,1,0)</f>
        <v>1</v>
      </c>
    </row>
    <row r="2017" spans="1:3" x14ac:dyDescent="0.25">
      <c r="A2017" s="15">
        <f>Sheet1!A2017</f>
        <v>0</v>
      </c>
      <c r="B2017">
        <f>Sheet1!B2017</f>
        <v>0.9</v>
      </c>
      <c r="C2017">
        <f>IF(Sheet1!B2017&gt;0,1,0)</f>
        <v>1</v>
      </c>
    </row>
    <row r="2018" spans="1:3" x14ac:dyDescent="0.25">
      <c r="A2018" s="15">
        <f>Sheet1!A2018</f>
        <v>0</v>
      </c>
      <c r="B2018">
        <f>Sheet1!B2018</f>
        <v>0.69</v>
      </c>
      <c r="C2018">
        <f>IF(Sheet1!B2018&gt;0,1,0)</f>
        <v>1</v>
      </c>
    </row>
    <row r="2019" spans="1:3" x14ac:dyDescent="0.25">
      <c r="A2019" s="15">
        <f>Sheet1!A2019</f>
        <v>0</v>
      </c>
      <c r="B2019">
        <f>Sheet1!B2019</f>
        <v>0.72</v>
      </c>
      <c r="C2019">
        <f>IF(Sheet1!B2019&gt;0,1,0)</f>
        <v>1</v>
      </c>
    </row>
    <row r="2020" spans="1:3" x14ac:dyDescent="0.25">
      <c r="A2020" s="15">
        <f>Sheet1!A2020</f>
        <v>0</v>
      </c>
      <c r="B2020">
        <f>Sheet1!B2020</f>
        <v>0.71</v>
      </c>
      <c r="C2020">
        <f>IF(Sheet1!B2020&gt;0,1,0)</f>
        <v>1</v>
      </c>
    </row>
    <row r="2021" spans="1:3" x14ac:dyDescent="0.25">
      <c r="A2021" s="15">
        <f>Sheet1!A2021</f>
        <v>0</v>
      </c>
      <c r="B2021">
        <f>Sheet1!B2021</f>
        <v>0.93</v>
      </c>
      <c r="C2021">
        <f>IF(Sheet1!B2021&gt;0,1,0)</f>
        <v>1</v>
      </c>
    </row>
    <row r="2022" spans="1:3" x14ac:dyDescent="0.25">
      <c r="A2022" s="15">
        <f>Sheet1!A2022</f>
        <v>0</v>
      </c>
      <c r="B2022">
        <f>Sheet1!B2022</f>
        <v>1.05</v>
      </c>
      <c r="C2022">
        <f>IF(Sheet1!B2022&gt;0,1,0)</f>
        <v>1</v>
      </c>
    </row>
    <row r="2023" spans="1:3" x14ac:dyDescent="0.25">
      <c r="A2023" s="15">
        <f>Sheet1!A2023</f>
        <v>0</v>
      </c>
      <c r="B2023">
        <f>Sheet1!B2023</f>
        <v>1.55</v>
      </c>
      <c r="C2023">
        <f>IF(Sheet1!B2023&gt;0,1,0)</f>
        <v>1</v>
      </c>
    </row>
    <row r="2024" spans="1:3" x14ac:dyDescent="0.25">
      <c r="A2024" s="15">
        <f>Sheet1!A2024</f>
        <v>0</v>
      </c>
      <c r="B2024">
        <f>Sheet1!B2024</f>
        <v>0.86</v>
      </c>
      <c r="C2024">
        <f>IF(Sheet1!B2024&gt;0,1,0)</f>
        <v>1</v>
      </c>
    </row>
    <row r="2025" spans="1:3" x14ac:dyDescent="0.25">
      <c r="A2025" s="15">
        <f>Sheet1!A2025</f>
        <v>0</v>
      </c>
      <c r="B2025">
        <f>Sheet1!B2025</f>
        <v>1.26</v>
      </c>
      <c r="C2025">
        <f>IF(Sheet1!B2025&gt;0,1,0)</f>
        <v>1</v>
      </c>
    </row>
    <row r="2026" spans="1:3" x14ac:dyDescent="0.25">
      <c r="A2026" s="15">
        <f>Sheet1!A2026</f>
        <v>0</v>
      </c>
      <c r="B2026">
        <f>Sheet1!B2026</f>
        <v>0.59</v>
      </c>
      <c r="C2026">
        <f>IF(Sheet1!B2026&gt;0,1,0)</f>
        <v>1</v>
      </c>
    </row>
    <row r="2027" spans="1:3" x14ac:dyDescent="0.25">
      <c r="A2027" s="15">
        <f>Sheet1!A2027</f>
        <v>0</v>
      </c>
      <c r="B2027">
        <f>Sheet1!B2027</f>
        <v>0</v>
      </c>
      <c r="C2027">
        <f>IF(Sheet1!B2027&gt;0,1,0)</f>
        <v>0</v>
      </c>
    </row>
    <row r="2028" spans="1:3" x14ac:dyDescent="0.25">
      <c r="A2028" s="15">
        <f>Sheet1!A2028</f>
        <v>0</v>
      </c>
      <c r="B2028">
        <f>Sheet1!B2028</f>
        <v>0.89</v>
      </c>
      <c r="C2028">
        <f>IF(Sheet1!B2028&gt;0,1,0)</f>
        <v>1</v>
      </c>
    </row>
    <row r="2029" spans="1:3" x14ac:dyDescent="0.25">
      <c r="A2029" s="15">
        <f>Sheet1!A2029</f>
        <v>0</v>
      </c>
      <c r="B2029">
        <f>Sheet1!B2029</f>
        <v>1.0900000000000001</v>
      </c>
      <c r="C2029">
        <f>IF(Sheet1!B2029&gt;0,1,0)</f>
        <v>1</v>
      </c>
    </row>
    <row r="2030" spans="1:3" x14ac:dyDescent="0.25">
      <c r="A2030" s="15">
        <f>Sheet1!A2030</f>
        <v>0</v>
      </c>
      <c r="B2030">
        <f>Sheet1!B2030</f>
        <v>0.87</v>
      </c>
      <c r="C2030">
        <f>IF(Sheet1!B2030&gt;0,1,0)</f>
        <v>1</v>
      </c>
    </row>
    <row r="2031" spans="1:3" x14ac:dyDescent="0.25">
      <c r="A2031" s="15">
        <f>Sheet1!A2031</f>
        <v>0</v>
      </c>
      <c r="B2031">
        <f>Sheet1!B2031</f>
        <v>0.93</v>
      </c>
      <c r="C2031">
        <f>IF(Sheet1!B2031&gt;0,1,0)</f>
        <v>1</v>
      </c>
    </row>
    <row r="2032" spans="1:3" x14ac:dyDescent="0.25">
      <c r="A2032" s="15">
        <f>Sheet1!A2032</f>
        <v>0</v>
      </c>
      <c r="B2032">
        <f>Sheet1!B2032</f>
        <v>1.39</v>
      </c>
      <c r="C2032">
        <f>IF(Sheet1!B2032&gt;0,1,0)</f>
        <v>1</v>
      </c>
    </row>
    <row r="2033" spans="1:3" x14ac:dyDescent="0.25">
      <c r="A2033" s="15">
        <f>Sheet1!A2033</f>
        <v>0</v>
      </c>
      <c r="B2033">
        <f>Sheet1!B2033</f>
        <v>1.62</v>
      </c>
      <c r="C2033">
        <f>IF(Sheet1!B2033&gt;0,1,0)</f>
        <v>1</v>
      </c>
    </row>
    <row r="2034" spans="1:3" x14ac:dyDescent="0.25">
      <c r="A2034" s="15">
        <f>Sheet1!A2034</f>
        <v>0</v>
      </c>
      <c r="B2034">
        <f>Sheet1!B2034</f>
        <v>0</v>
      </c>
      <c r="C2034">
        <f>IF(Sheet1!B2034&gt;0,1,0)</f>
        <v>0</v>
      </c>
    </row>
    <row r="2035" spans="1:3" x14ac:dyDescent="0.25">
      <c r="A2035" s="15">
        <f>Sheet1!A2035</f>
        <v>0</v>
      </c>
      <c r="B2035">
        <f>Sheet1!B2035</f>
        <v>0</v>
      </c>
      <c r="C2035">
        <f>IF(Sheet1!B2035&gt;0,1,0)</f>
        <v>0</v>
      </c>
    </row>
    <row r="2036" spans="1:3" x14ac:dyDescent="0.25">
      <c r="A2036" s="15">
        <f>Sheet1!A2036</f>
        <v>0</v>
      </c>
      <c r="B2036">
        <f>Sheet1!B2036</f>
        <v>1.46</v>
      </c>
      <c r="C2036">
        <f>IF(Sheet1!B2036&gt;0,1,0)</f>
        <v>1</v>
      </c>
    </row>
    <row r="2037" spans="1:3" x14ac:dyDescent="0.25">
      <c r="A2037" s="15">
        <f>Sheet1!A2037</f>
        <v>0</v>
      </c>
      <c r="B2037">
        <f>Sheet1!B2037</f>
        <v>1.26</v>
      </c>
      <c r="C2037">
        <f>IF(Sheet1!B2037&gt;0,1,0)</f>
        <v>1</v>
      </c>
    </row>
    <row r="2038" spans="1:3" x14ac:dyDescent="0.25">
      <c r="A2038" s="15">
        <f>Sheet1!A2038</f>
        <v>0</v>
      </c>
      <c r="B2038">
        <f>Sheet1!B2038</f>
        <v>1.21</v>
      </c>
      <c r="C2038">
        <f>IF(Sheet1!B2038&gt;0,1,0)</f>
        <v>1</v>
      </c>
    </row>
    <row r="2039" spans="1:3" x14ac:dyDescent="0.25">
      <c r="A2039" s="15">
        <f>Sheet1!A2039</f>
        <v>0</v>
      </c>
      <c r="B2039">
        <f>Sheet1!B2039</f>
        <v>1.77</v>
      </c>
      <c r="C2039">
        <f>IF(Sheet1!B2039&gt;0,1,0)</f>
        <v>1</v>
      </c>
    </row>
    <row r="2040" spans="1:3" x14ac:dyDescent="0.25">
      <c r="A2040" s="15">
        <f>Sheet1!A2040</f>
        <v>0</v>
      </c>
      <c r="B2040">
        <f>Sheet1!B2040</f>
        <v>1.44</v>
      </c>
      <c r="C2040">
        <f>IF(Sheet1!B2040&gt;0,1,0)</f>
        <v>1</v>
      </c>
    </row>
    <row r="2041" spans="1:3" x14ac:dyDescent="0.25">
      <c r="A2041" s="15">
        <f>Sheet1!A2041</f>
        <v>0</v>
      </c>
      <c r="B2041">
        <f>Sheet1!B2041</f>
        <v>0.74</v>
      </c>
      <c r="C2041">
        <f>IF(Sheet1!B2041&gt;0,1,0)</f>
        <v>1</v>
      </c>
    </row>
    <row r="2042" spans="1:3" x14ac:dyDescent="0.25">
      <c r="A2042" s="15">
        <f>Sheet1!A2042</f>
        <v>0</v>
      </c>
      <c r="B2042">
        <f>Sheet1!B2042</f>
        <v>0.92</v>
      </c>
      <c r="C2042">
        <f>IF(Sheet1!B2042&gt;0,1,0)</f>
        <v>1</v>
      </c>
    </row>
    <row r="2043" spans="1:3" x14ac:dyDescent="0.25">
      <c r="A2043" s="15">
        <f>Sheet1!A2043</f>
        <v>0</v>
      </c>
      <c r="B2043">
        <f>Sheet1!B2043</f>
        <v>0.73</v>
      </c>
      <c r="C2043">
        <f>IF(Sheet1!B2043&gt;0,1,0)</f>
        <v>1</v>
      </c>
    </row>
    <row r="2044" spans="1:3" x14ac:dyDescent="0.25">
      <c r="A2044" s="15">
        <f>Sheet1!A2044</f>
        <v>0</v>
      </c>
      <c r="B2044">
        <f>Sheet1!B2044</f>
        <v>0.64</v>
      </c>
      <c r="C2044">
        <f>IF(Sheet1!B2044&gt;0,1,0)</f>
        <v>1</v>
      </c>
    </row>
    <row r="2045" spans="1:3" x14ac:dyDescent="0.25">
      <c r="A2045" s="15">
        <f>Sheet1!A2045</f>
        <v>0</v>
      </c>
      <c r="B2045">
        <f>Sheet1!B2045</f>
        <v>1.1000000000000001</v>
      </c>
      <c r="C2045">
        <f>IF(Sheet1!B2045&gt;0,1,0)</f>
        <v>1</v>
      </c>
    </row>
    <row r="2046" spans="1:3" x14ac:dyDescent="0.25">
      <c r="A2046" s="15">
        <f>Sheet1!A2046</f>
        <v>0</v>
      </c>
      <c r="B2046">
        <f>Sheet1!B2046</f>
        <v>0.96</v>
      </c>
      <c r="C2046">
        <f>IF(Sheet1!B2046&gt;0,1,0)</f>
        <v>1</v>
      </c>
    </row>
    <row r="2047" spans="1:3" x14ac:dyDescent="0.25">
      <c r="A2047" s="15">
        <f>Sheet1!A2047</f>
        <v>0</v>
      </c>
      <c r="B2047">
        <f>Sheet1!B2047</f>
        <v>1.59</v>
      </c>
      <c r="C2047">
        <f>IF(Sheet1!B2047&gt;0,1,0)</f>
        <v>1</v>
      </c>
    </row>
    <row r="2048" spans="1:3" x14ac:dyDescent="0.25">
      <c r="A2048" s="15">
        <f>Sheet1!A2048</f>
        <v>0</v>
      </c>
      <c r="B2048">
        <f>Sheet1!B2048</f>
        <v>0.96</v>
      </c>
      <c r="C2048">
        <f>IF(Sheet1!B2048&gt;0,1,0)</f>
        <v>1</v>
      </c>
    </row>
    <row r="2049" spans="1:3" x14ac:dyDescent="0.25">
      <c r="A2049" s="15">
        <f>Sheet1!A2049</f>
        <v>0</v>
      </c>
      <c r="B2049">
        <f>Sheet1!B2049</f>
        <v>1.26</v>
      </c>
      <c r="C2049">
        <f>IF(Sheet1!B2049&gt;0,1,0)</f>
        <v>1</v>
      </c>
    </row>
    <row r="2050" spans="1:3" x14ac:dyDescent="0.25">
      <c r="A2050" s="15">
        <f>Sheet1!A2050</f>
        <v>0</v>
      </c>
      <c r="B2050">
        <f>Sheet1!B2050</f>
        <v>0.93</v>
      </c>
      <c r="C2050">
        <f>IF(Sheet1!B2050&gt;0,1,0)</f>
        <v>1</v>
      </c>
    </row>
    <row r="2051" spans="1:3" x14ac:dyDescent="0.25">
      <c r="A2051" s="15">
        <f>Sheet1!A2051</f>
        <v>0</v>
      </c>
      <c r="B2051">
        <f>Sheet1!B2051</f>
        <v>1</v>
      </c>
      <c r="C2051">
        <f>IF(Sheet1!B2051&gt;0,1,0)</f>
        <v>1</v>
      </c>
    </row>
    <row r="2052" spans="1:3" x14ac:dyDescent="0.25">
      <c r="A2052" s="15">
        <f>Sheet1!A2052</f>
        <v>0</v>
      </c>
      <c r="B2052">
        <f>Sheet1!B2052</f>
        <v>0</v>
      </c>
      <c r="C2052">
        <f>IF(Sheet1!B2052&gt;0,1,0)</f>
        <v>0</v>
      </c>
    </row>
    <row r="2053" spans="1:3" x14ac:dyDescent="0.25">
      <c r="A2053" s="15">
        <f>Sheet1!A2053</f>
        <v>0</v>
      </c>
      <c r="B2053">
        <f>Sheet1!B2053</f>
        <v>0</v>
      </c>
      <c r="C2053">
        <f>IF(Sheet1!B2053&gt;0,1,0)</f>
        <v>0</v>
      </c>
    </row>
    <row r="2054" spans="1:3" x14ac:dyDescent="0.25">
      <c r="A2054" s="15">
        <f>Sheet1!A2054</f>
        <v>0</v>
      </c>
      <c r="B2054">
        <f>Sheet1!B2054</f>
        <v>1</v>
      </c>
      <c r="C2054">
        <f>IF(Sheet1!B2054&gt;0,1,0)</f>
        <v>1</v>
      </c>
    </row>
    <row r="2055" spans="1:3" x14ac:dyDescent="0.25">
      <c r="A2055" s="15">
        <f>Sheet1!A2055</f>
        <v>0</v>
      </c>
      <c r="B2055">
        <f>Sheet1!B2055</f>
        <v>1.2</v>
      </c>
      <c r="C2055">
        <f>IF(Sheet1!B2055&gt;0,1,0)</f>
        <v>1</v>
      </c>
    </row>
    <row r="2056" spans="1:3" x14ac:dyDescent="0.25">
      <c r="A2056" s="15">
        <f>Sheet1!A2056</f>
        <v>0</v>
      </c>
      <c r="B2056">
        <f>Sheet1!B2056</f>
        <v>1.41</v>
      </c>
      <c r="C2056">
        <f>IF(Sheet1!B2056&gt;0,1,0)</f>
        <v>1</v>
      </c>
    </row>
    <row r="2057" spans="1:3" x14ac:dyDescent="0.25">
      <c r="A2057" s="15">
        <f>Sheet1!A2057</f>
        <v>0</v>
      </c>
      <c r="B2057">
        <f>Sheet1!B2057</f>
        <v>1.75</v>
      </c>
      <c r="C2057">
        <f>IF(Sheet1!B2057&gt;0,1,0)</f>
        <v>1</v>
      </c>
    </row>
    <row r="2058" spans="1:3" x14ac:dyDescent="0.25">
      <c r="A2058" s="15">
        <f>Sheet1!A2058</f>
        <v>0</v>
      </c>
      <c r="B2058">
        <f>Sheet1!B2058</f>
        <v>1.6</v>
      </c>
      <c r="C2058">
        <f>IF(Sheet1!B2058&gt;0,1,0)</f>
        <v>1</v>
      </c>
    </row>
    <row r="2059" spans="1:3" x14ac:dyDescent="0.25">
      <c r="A2059" s="15">
        <f>Sheet1!A2059</f>
        <v>0</v>
      </c>
      <c r="B2059">
        <f>Sheet1!B2059</f>
        <v>0</v>
      </c>
      <c r="C2059">
        <f>IF(Sheet1!B2059&gt;0,1,0)</f>
        <v>0</v>
      </c>
    </row>
    <row r="2060" spans="1:3" x14ac:dyDescent="0.25">
      <c r="A2060" s="15">
        <f>Sheet1!A2060</f>
        <v>0</v>
      </c>
      <c r="B2060">
        <f>Sheet1!B2060</f>
        <v>0</v>
      </c>
      <c r="C2060">
        <f>IF(Sheet1!B2060&gt;0,1,0)</f>
        <v>0</v>
      </c>
    </row>
    <row r="2061" spans="1:3" x14ac:dyDescent="0.25">
      <c r="A2061" s="15">
        <f>Sheet1!A2061</f>
        <v>0</v>
      </c>
      <c r="B2061">
        <f>Sheet1!B2061</f>
        <v>1.36</v>
      </c>
      <c r="C2061">
        <f>IF(Sheet1!B2061&gt;0,1,0)</f>
        <v>1</v>
      </c>
    </row>
    <row r="2062" spans="1:3" x14ac:dyDescent="0.25">
      <c r="A2062" s="15">
        <f>Sheet1!A2062</f>
        <v>0</v>
      </c>
      <c r="B2062">
        <f>Sheet1!B2062</f>
        <v>1.62</v>
      </c>
      <c r="C2062">
        <f>IF(Sheet1!B2062&gt;0,1,0)</f>
        <v>1</v>
      </c>
    </row>
    <row r="2063" spans="1:3" x14ac:dyDescent="0.25">
      <c r="A2063" s="15">
        <f>Sheet1!A2063</f>
        <v>0</v>
      </c>
      <c r="B2063">
        <f>Sheet1!B2063</f>
        <v>1.23</v>
      </c>
      <c r="C2063">
        <f>IF(Sheet1!B2063&gt;0,1,0)</f>
        <v>1</v>
      </c>
    </row>
    <row r="2064" spans="1:3" x14ac:dyDescent="0.25">
      <c r="A2064" s="15">
        <f>Sheet1!A2064</f>
        <v>0</v>
      </c>
      <c r="B2064">
        <f>Sheet1!B2064</f>
        <v>1.02</v>
      </c>
      <c r="C2064">
        <f>IF(Sheet1!B2064&gt;0,1,0)</f>
        <v>1</v>
      </c>
    </row>
    <row r="2065" spans="1:3" x14ac:dyDescent="0.25">
      <c r="A2065" s="15">
        <f>Sheet1!A2065</f>
        <v>0</v>
      </c>
      <c r="B2065">
        <f>Sheet1!B2065</f>
        <v>0.82</v>
      </c>
      <c r="C2065">
        <f>IF(Sheet1!B2065&gt;0,1,0)</f>
        <v>1</v>
      </c>
    </row>
    <row r="2066" spans="1:3" x14ac:dyDescent="0.25">
      <c r="A2066" s="15">
        <f>Sheet1!A2066</f>
        <v>0</v>
      </c>
      <c r="B2066">
        <f>Sheet1!B2066</f>
        <v>0.82</v>
      </c>
      <c r="C2066">
        <f>IF(Sheet1!B2066&gt;0,1,0)</f>
        <v>1</v>
      </c>
    </row>
    <row r="2067" spans="1:3" x14ac:dyDescent="0.25">
      <c r="A2067" s="15">
        <f>Sheet1!A2067</f>
        <v>0</v>
      </c>
      <c r="B2067">
        <f>Sheet1!B2067</f>
        <v>0.75</v>
      </c>
      <c r="C2067">
        <f>IF(Sheet1!B2067&gt;0,1,0)</f>
        <v>1</v>
      </c>
    </row>
    <row r="2068" spans="1:3" x14ac:dyDescent="0.25">
      <c r="A2068" s="15">
        <f>Sheet1!A2068</f>
        <v>0</v>
      </c>
      <c r="B2068">
        <f>Sheet1!B2068</f>
        <v>0.96</v>
      </c>
      <c r="C2068">
        <f>IF(Sheet1!B2068&gt;0,1,0)</f>
        <v>1</v>
      </c>
    </row>
    <row r="2069" spans="1:3" x14ac:dyDescent="0.25">
      <c r="A2069" s="15">
        <f>Sheet1!A2069</f>
        <v>0</v>
      </c>
      <c r="B2069">
        <f>Sheet1!B2069</f>
        <v>0.69</v>
      </c>
      <c r="C2069">
        <f>IF(Sheet1!B2069&gt;0,1,0)</f>
        <v>1</v>
      </c>
    </row>
    <row r="2070" spans="1:3" x14ac:dyDescent="0.25">
      <c r="A2070" s="15">
        <f>Sheet1!A2070</f>
        <v>0</v>
      </c>
      <c r="B2070">
        <f>Sheet1!B2070</f>
        <v>1.1200000000000001</v>
      </c>
      <c r="C2070">
        <f>IF(Sheet1!B2070&gt;0,1,0)</f>
        <v>1</v>
      </c>
    </row>
    <row r="2071" spans="1:3" x14ac:dyDescent="0.25">
      <c r="A2071" s="15">
        <f>Sheet1!A2071</f>
        <v>0</v>
      </c>
      <c r="B2071">
        <f>Sheet1!B2071</f>
        <v>1.46</v>
      </c>
      <c r="C2071">
        <f>IF(Sheet1!B2071&gt;0,1,0)</f>
        <v>1</v>
      </c>
    </row>
    <row r="2072" spans="1:3" x14ac:dyDescent="0.25">
      <c r="A2072" s="15">
        <f>Sheet1!A2072</f>
        <v>0</v>
      </c>
      <c r="B2072">
        <f>Sheet1!B2072</f>
        <v>1</v>
      </c>
      <c r="C2072">
        <f>IF(Sheet1!B2072&gt;0,1,0)</f>
        <v>1</v>
      </c>
    </row>
    <row r="2073" spans="1:3" x14ac:dyDescent="0.25">
      <c r="A2073" s="15">
        <f>Sheet1!A2073</f>
        <v>0</v>
      </c>
      <c r="B2073">
        <f>Sheet1!B2073</f>
        <v>0</v>
      </c>
      <c r="C2073">
        <f>IF(Sheet1!B2073&gt;0,1,0)</f>
        <v>0</v>
      </c>
    </row>
    <row r="2074" spans="1:3" x14ac:dyDescent="0.25">
      <c r="A2074" s="15">
        <f>Sheet1!A2074</f>
        <v>0</v>
      </c>
      <c r="B2074">
        <f>Sheet1!B2074</f>
        <v>1.0900000000000001</v>
      </c>
      <c r="C2074">
        <f>IF(Sheet1!B2074&gt;0,1,0)</f>
        <v>1</v>
      </c>
    </row>
    <row r="2075" spans="1:3" x14ac:dyDescent="0.25">
      <c r="A2075" s="15">
        <f>Sheet1!A2075</f>
        <v>0</v>
      </c>
      <c r="B2075">
        <f>Sheet1!B2075</f>
        <v>0.96</v>
      </c>
      <c r="C2075">
        <f>IF(Sheet1!B2075&gt;0,1,0)</f>
        <v>1</v>
      </c>
    </row>
    <row r="2076" spans="1:3" x14ac:dyDescent="0.25">
      <c r="A2076" s="15">
        <f>Sheet1!A2076</f>
        <v>0</v>
      </c>
      <c r="B2076">
        <f>Sheet1!B2076</f>
        <v>0</v>
      </c>
      <c r="C2076">
        <f>IF(Sheet1!B2076&gt;0,1,0)</f>
        <v>0</v>
      </c>
    </row>
    <row r="2077" spans="1:3" x14ac:dyDescent="0.25">
      <c r="A2077" s="15">
        <f>Sheet1!A2077</f>
        <v>0</v>
      </c>
      <c r="B2077">
        <f>Sheet1!B2077</f>
        <v>0</v>
      </c>
      <c r="C2077">
        <f>IF(Sheet1!B2077&gt;0,1,0)</f>
        <v>0</v>
      </c>
    </row>
    <row r="2078" spans="1:3" x14ac:dyDescent="0.25">
      <c r="A2078" s="15">
        <f>Sheet1!A2078</f>
        <v>0</v>
      </c>
      <c r="B2078">
        <f>Sheet1!B2078</f>
        <v>0</v>
      </c>
      <c r="C2078">
        <f>IF(Sheet1!B2078&gt;0,1,0)</f>
        <v>0</v>
      </c>
    </row>
    <row r="2079" spans="1:3" x14ac:dyDescent="0.25">
      <c r="A2079" s="15">
        <f>Sheet1!A2079</f>
        <v>0</v>
      </c>
      <c r="B2079">
        <f>Sheet1!B2079</f>
        <v>0</v>
      </c>
      <c r="C2079">
        <f>IF(Sheet1!B2079&gt;0,1,0)</f>
        <v>0</v>
      </c>
    </row>
    <row r="2080" spans="1:3" x14ac:dyDescent="0.25">
      <c r="A2080" s="15">
        <f>Sheet1!A2080</f>
        <v>0</v>
      </c>
      <c r="B2080">
        <f>Sheet1!B2080</f>
        <v>0</v>
      </c>
      <c r="C2080">
        <f>IF(Sheet1!B2080&gt;0,1,0)</f>
        <v>0</v>
      </c>
    </row>
    <row r="2081" spans="1:3" x14ac:dyDescent="0.25">
      <c r="A2081" s="15">
        <f>Sheet1!A2081</f>
        <v>0</v>
      </c>
      <c r="B2081">
        <f>Sheet1!B2081</f>
        <v>0</v>
      </c>
      <c r="C2081">
        <f>IF(Sheet1!B2081&gt;0,1,0)</f>
        <v>0</v>
      </c>
    </row>
    <row r="2082" spans="1:3" x14ac:dyDescent="0.25">
      <c r="A2082" s="15">
        <f>Sheet1!A2082</f>
        <v>0</v>
      </c>
      <c r="B2082">
        <f>Sheet1!B2082</f>
        <v>0</v>
      </c>
      <c r="C2082">
        <f>IF(Sheet1!B2082&gt;0,1,0)</f>
        <v>0</v>
      </c>
    </row>
    <row r="2083" spans="1:3" x14ac:dyDescent="0.25">
      <c r="A2083" s="15">
        <f>Sheet1!A2083</f>
        <v>0</v>
      </c>
      <c r="B2083">
        <f>Sheet1!B2083</f>
        <v>0</v>
      </c>
      <c r="C2083">
        <f>IF(Sheet1!B2083&gt;0,1,0)</f>
        <v>0</v>
      </c>
    </row>
    <row r="2084" spans="1:3" x14ac:dyDescent="0.25">
      <c r="A2084" s="15">
        <f>Sheet1!A2084</f>
        <v>0</v>
      </c>
      <c r="B2084">
        <f>Sheet1!B2084</f>
        <v>0</v>
      </c>
      <c r="C2084">
        <f>IF(Sheet1!B2084&gt;0,1,0)</f>
        <v>0</v>
      </c>
    </row>
    <row r="2085" spans="1:3" x14ac:dyDescent="0.25">
      <c r="A2085" s="15">
        <f>Sheet1!A2085</f>
        <v>0</v>
      </c>
      <c r="B2085">
        <f>Sheet1!B2085</f>
        <v>0</v>
      </c>
      <c r="C2085">
        <f>IF(Sheet1!B2085&gt;0,1,0)</f>
        <v>0</v>
      </c>
    </row>
    <row r="2086" spans="1:3" x14ac:dyDescent="0.25">
      <c r="A2086" s="15">
        <f>Sheet1!A2086</f>
        <v>0</v>
      </c>
      <c r="B2086">
        <f>Sheet1!B2086</f>
        <v>0</v>
      </c>
      <c r="C2086">
        <f>IF(Sheet1!B2086&gt;0,1,0)</f>
        <v>0</v>
      </c>
    </row>
    <row r="2087" spans="1:3" x14ac:dyDescent="0.25">
      <c r="A2087" s="15">
        <f>Sheet1!A2087</f>
        <v>0</v>
      </c>
      <c r="B2087">
        <f>Sheet1!B2087</f>
        <v>0</v>
      </c>
      <c r="C2087">
        <f>IF(Sheet1!B2087&gt;0,1,0)</f>
        <v>0</v>
      </c>
    </row>
    <row r="2088" spans="1:3" x14ac:dyDescent="0.25">
      <c r="A2088" s="15">
        <f>Sheet1!A2088</f>
        <v>0</v>
      </c>
      <c r="B2088">
        <f>Sheet1!B2088</f>
        <v>2.72</v>
      </c>
      <c r="C2088">
        <f>IF(Sheet1!B2088&gt;0,1,0)</f>
        <v>1</v>
      </c>
    </row>
    <row r="2089" spans="1:3" x14ac:dyDescent="0.25">
      <c r="A2089" s="15">
        <f>Sheet1!A2089</f>
        <v>0</v>
      </c>
      <c r="B2089">
        <f>Sheet1!B2089</f>
        <v>1.95</v>
      </c>
      <c r="C2089">
        <f>IF(Sheet1!B2089&gt;0,1,0)</f>
        <v>1</v>
      </c>
    </row>
    <row r="2090" spans="1:3" x14ac:dyDescent="0.25">
      <c r="A2090" s="15">
        <f>Sheet1!A2090</f>
        <v>0</v>
      </c>
      <c r="B2090">
        <f>Sheet1!B2090</f>
        <v>2.1</v>
      </c>
      <c r="C2090">
        <f>IF(Sheet1!B2090&gt;0,1,0)</f>
        <v>1</v>
      </c>
    </row>
    <row r="2091" spans="1:3" x14ac:dyDescent="0.25">
      <c r="A2091" s="15">
        <f>Sheet1!A2091</f>
        <v>0</v>
      </c>
      <c r="B2091">
        <f>Sheet1!B2091</f>
        <v>1.64</v>
      </c>
      <c r="C2091">
        <f>IF(Sheet1!B2091&gt;0,1,0)</f>
        <v>1</v>
      </c>
    </row>
    <row r="2092" spans="1:3" x14ac:dyDescent="0.25">
      <c r="A2092" s="15">
        <f>Sheet1!A2092</f>
        <v>0</v>
      </c>
      <c r="B2092">
        <f>Sheet1!B2092</f>
        <v>1.62</v>
      </c>
      <c r="C2092">
        <f>IF(Sheet1!B2092&gt;0,1,0)</f>
        <v>1</v>
      </c>
    </row>
    <row r="2093" spans="1:3" x14ac:dyDescent="0.25">
      <c r="A2093" s="15">
        <f>Sheet1!A2093</f>
        <v>0</v>
      </c>
      <c r="B2093">
        <f>Sheet1!B2093</f>
        <v>1.51</v>
      </c>
      <c r="C2093">
        <f>IF(Sheet1!B2093&gt;0,1,0)</f>
        <v>1</v>
      </c>
    </row>
    <row r="2094" spans="1:3" x14ac:dyDescent="0.25">
      <c r="A2094" s="15">
        <f>Sheet1!A2094</f>
        <v>0</v>
      </c>
      <c r="B2094">
        <f>Sheet1!B2094</f>
        <v>1.51</v>
      </c>
      <c r="C2094">
        <f>IF(Sheet1!B2094&gt;0,1,0)</f>
        <v>1</v>
      </c>
    </row>
    <row r="2095" spans="1:3" x14ac:dyDescent="0.25">
      <c r="A2095" s="15">
        <f>Sheet1!A2095</f>
        <v>0</v>
      </c>
      <c r="B2095">
        <f>Sheet1!B2095</f>
        <v>1.75</v>
      </c>
      <c r="C2095">
        <f>IF(Sheet1!B2095&gt;0,1,0)</f>
        <v>1</v>
      </c>
    </row>
    <row r="2096" spans="1:3" x14ac:dyDescent="0.25">
      <c r="A2096" s="15">
        <f>Sheet1!A2096</f>
        <v>0</v>
      </c>
      <c r="B2096">
        <f>Sheet1!B2096</f>
        <v>0.97</v>
      </c>
      <c r="C2096">
        <f>IF(Sheet1!B2096&gt;0,1,0)</f>
        <v>1</v>
      </c>
    </row>
    <row r="2097" spans="1:3" x14ac:dyDescent="0.25">
      <c r="A2097" s="15">
        <f>Sheet1!A2097</f>
        <v>0</v>
      </c>
      <c r="B2097">
        <f>Sheet1!B2097</f>
        <v>1.1200000000000001</v>
      </c>
      <c r="C2097">
        <f>IF(Sheet1!B2097&gt;0,1,0)</f>
        <v>1</v>
      </c>
    </row>
    <row r="2098" spans="1:3" x14ac:dyDescent="0.25">
      <c r="A2098" s="15">
        <f>Sheet1!A2098</f>
        <v>0</v>
      </c>
      <c r="B2098">
        <f>Sheet1!B2098</f>
        <v>0.95</v>
      </c>
      <c r="C2098">
        <f>IF(Sheet1!B2098&gt;0,1,0)</f>
        <v>1</v>
      </c>
    </row>
    <row r="2099" spans="1:3" x14ac:dyDescent="0.25">
      <c r="A2099" s="15">
        <f>Sheet1!A2099</f>
        <v>0</v>
      </c>
      <c r="B2099">
        <f>Sheet1!B2099</f>
        <v>0</v>
      </c>
      <c r="C2099">
        <f>IF(Sheet1!B2099&gt;0,1,0)</f>
        <v>0</v>
      </c>
    </row>
    <row r="2100" spans="1:3" x14ac:dyDescent="0.25">
      <c r="A2100" s="15">
        <f>Sheet1!A2100</f>
        <v>0</v>
      </c>
      <c r="B2100">
        <f>Sheet1!B2100</f>
        <v>0</v>
      </c>
      <c r="C2100">
        <f>IF(Sheet1!B2100&gt;0,1,0)</f>
        <v>0</v>
      </c>
    </row>
    <row r="2101" spans="1:3" x14ac:dyDescent="0.25">
      <c r="A2101" s="15">
        <f>Sheet1!A2101</f>
        <v>0</v>
      </c>
      <c r="B2101">
        <f>Sheet1!B2101</f>
        <v>0</v>
      </c>
      <c r="C2101">
        <f>IF(Sheet1!B2101&gt;0,1,0)</f>
        <v>0</v>
      </c>
    </row>
    <row r="2102" spans="1:3" x14ac:dyDescent="0.25">
      <c r="A2102" s="15">
        <f>Sheet1!A2102</f>
        <v>0</v>
      </c>
      <c r="B2102">
        <f>Sheet1!B2102</f>
        <v>0</v>
      </c>
      <c r="C2102">
        <f>IF(Sheet1!B2102&gt;0,1,0)</f>
        <v>0</v>
      </c>
    </row>
    <row r="2103" spans="1:3" x14ac:dyDescent="0.25">
      <c r="A2103" s="15">
        <f>Sheet1!A2103</f>
        <v>0</v>
      </c>
      <c r="B2103">
        <f>Sheet1!B2103</f>
        <v>0</v>
      </c>
      <c r="C2103">
        <f>IF(Sheet1!B2103&gt;0,1,0)</f>
        <v>0</v>
      </c>
    </row>
    <row r="2104" spans="1:3" x14ac:dyDescent="0.25">
      <c r="A2104" s="15">
        <f>Sheet1!A2104</f>
        <v>0</v>
      </c>
      <c r="B2104">
        <f>Sheet1!B2104</f>
        <v>0</v>
      </c>
      <c r="C2104">
        <f>IF(Sheet1!B2104&gt;0,1,0)</f>
        <v>0</v>
      </c>
    </row>
    <row r="2105" spans="1:3" x14ac:dyDescent="0.25">
      <c r="A2105" s="15">
        <f>Sheet1!A2105</f>
        <v>0</v>
      </c>
      <c r="B2105">
        <f>Sheet1!B2105</f>
        <v>0</v>
      </c>
      <c r="C2105">
        <f>IF(Sheet1!B2105&gt;0,1,0)</f>
        <v>0</v>
      </c>
    </row>
    <row r="2106" spans="1:3" x14ac:dyDescent="0.25">
      <c r="A2106" s="15">
        <f>Sheet1!A2106</f>
        <v>0</v>
      </c>
      <c r="B2106">
        <f>Sheet1!B2106</f>
        <v>0</v>
      </c>
      <c r="C2106">
        <f>IF(Sheet1!B2106&gt;0,1,0)</f>
        <v>0</v>
      </c>
    </row>
    <row r="2107" spans="1:3" x14ac:dyDescent="0.25">
      <c r="A2107" s="15">
        <f>Sheet1!A2107</f>
        <v>0</v>
      </c>
      <c r="B2107">
        <f>Sheet1!B2107</f>
        <v>0</v>
      </c>
      <c r="C2107">
        <f>IF(Sheet1!B2107&gt;0,1,0)</f>
        <v>0</v>
      </c>
    </row>
    <row r="2108" spans="1:3" x14ac:dyDescent="0.25">
      <c r="A2108" s="15">
        <f>Sheet1!A2108</f>
        <v>0</v>
      </c>
      <c r="B2108">
        <f>Sheet1!B2108</f>
        <v>0</v>
      </c>
      <c r="C2108">
        <f>IF(Sheet1!B2108&gt;0,1,0)</f>
        <v>0</v>
      </c>
    </row>
    <row r="2109" spans="1:3" x14ac:dyDescent="0.25">
      <c r="A2109" s="15">
        <f>Sheet1!A2109</f>
        <v>0</v>
      </c>
      <c r="B2109">
        <f>Sheet1!B2109</f>
        <v>0</v>
      </c>
      <c r="C2109">
        <f>IF(Sheet1!B2109&gt;0,1,0)</f>
        <v>0</v>
      </c>
    </row>
    <row r="2110" spans="1:3" x14ac:dyDescent="0.25">
      <c r="A2110" s="15">
        <f>Sheet1!A2110</f>
        <v>0</v>
      </c>
      <c r="B2110">
        <f>Sheet1!B2110</f>
        <v>0</v>
      </c>
      <c r="C2110">
        <f>IF(Sheet1!B2110&gt;0,1,0)</f>
        <v>0</v>
      </c>
    </row>
    <row r="2111" spans="1:3" x14ac:dyDescent="0.25">
      <c r="A2111" s="15">
        <f>Sheet1!A2111</f>
        <v>0</v>
      </c>
      <c r="B2111">
        <f>Sheet1!B2111</f>
        <v>0</v>
      </c>
      <c r="C2111">
        <f>IF(Sheet1!B2111&gt;0,1,0)</f>
        <v>0</v>
      </c>
    </row>
    <row r="2112" spans="1:3" x14ac:dyDescent="0.25">
      <c r="A2112" s="15">
        <f>Sheet1!A2112</f>
        <v>0</v>
      </c>
      <c r="B2112">
        <f>Sheet1!B2112</f>
        <v>0</v>
      </c>
      <c r="C2112">
        <f>IF(Sheet1!B2112&gt;0,1,0)</f>
        <v>0</v>
      </c>
    </row>
    <row r="2113" spans="1:3" x14ac:dyDescent="0.25">
      <c r="A2113" s="15">
        <f>Sheet1!A2113</f>
        <v>0</v>
      </c>
      <c r="B2113">
        <f>Sheet1!B2113</f>
        <v>6.09</v>
      </c>
      <c r="C2113">
        <f>IF(Sheet1!B2113&gt;0,1,0)</f>
        <v>1</v>
      </c>
    </row>
    <row r="2114" spans="1:3" x14ac:dyDescent="0.25">
      <c r="A2114" s="15">
        <f>Sheet1!A2114</f>
        <v>0</v>
      </c>
      <c r="B2114">
        <f>Sheet1!B2114</f>
        <v>2.63</v>
      </c>
      <c r="C2114">
        <f>IF(Sheet1!B2114&gt;0,1,0)</f>
        <v>1</v>
      </c>
    </row>
    <row r="2115" spans="1:3" x14ac:dyDescent="0.25">
      <c r="A2115" s="15">
        <f>Sheet1!A2115</f>
        <v>0</v>
      </c>
      <c r="B2115">
        <f>Sheet1!B2115</f>
        <v>2.59</v>
      </c>
      <c r="C2115">
        <f>IF(Sheet1!B2115&gt;0,1,0)</f>
        <v>1</v>
      </c>
    </row>
    <row r="2116" spans="1:3" x14ac:dyDescent="0.25">
      <c r="A2116" s="15">
        <f>Sheet1!A2116</f>
        <v>0</v>
      </c>
      <c r="B2116">
        <f>Sheet1!B2116</f>
        <v>2.4700000000000002</v>
      </c>
      <c r="C2116">
        <f>IF(Sheet1!B2116&gt;0,1,0)</f>
        <v>1</v>
      </c>
    </row>
    <row r="2117" spans="1:3" x14ac:dyDescent="0.25">
      <c r="A2117" s="15">
        <f>Sheet1!A2117</f>
        <v>0</v>
      </c>
      <c r="B2117">
        <f>Sheet1!B2117</f>
        <v>2.74</v>
      </c>
      <c r="C2117">
        <f>IF(Sheet1!B2117&gt;0,1,0)</f>
        <v>1</v>
      </c>
    </row>
    <row r="2118" spans="1:3" x14ac:dyDescent="0.25">
      <c r="A2118" s="15">
        <f>Sheet1!A2118</f>
        <v>0</v>
      </c>
      <c r="B2118">
        <f>Sheet1!B2118</f>
        <v>2.4500000000000002</v>
      </c>
      <c r="C2118">
        <f>IF(Sheet1!B2118&gt;0,1,0)</f>
        <v>1</v>
      </c>
    </row>
    <row r="2119" spans="1:3" x14ac:dyDescent="0.25">
      <c r="A2119" s="15">
        <f>Sheet1!A2119</f>
        <v>0</v>
      </c>
      <c r="B2119">
        <f>Sheet1!B2119</f>
        <v>2.44</v>
      </c>
      <c r="C2119">
        <f>IF(Sheet1!B2119&gt;0,1,0)</f>
        <v>1</v>
      </c>
    </row>
    <row r="2120" spans="1:3" x14ac:dyDescent="0.25">
      <c r="A2120" s="15">
        <f>Sheet1!A2120</f>
        <v>0</v>
      </c>
      <c r="B2120">
        <f>Sheet1!B2120</f>
        <v>2.2000000000000002</v>
      </c>
      <c r="C2120">
        <f>IF(Sheet1!B2120&gt;0,1,0)</f>
        <v>1</v>
      </c>
    </row>
    <row r="2121" spans="1:3" x14ac:dyDescent="0.25">
      <c r="A2121" s="15">
        <f>Sheet1!A2121</f>
        <v>0</v>
      </c>
      <c r="B2121">
        <f>Sheet1!B2121</f>
        <v>1.38</v>
      </c>
      <c r="C2121">
        <f>IF(Sheet1!B2121&gt;0,1,0)</f>
        <v>1</v>
      </c>
    </row>
    <row r="2122" spans="1:3" x14ac:dyDescent="0.25">
      <c r="A2122" s="15">
        <f>Sheet1!A2122</f>
        <v>0</v>
      </c>
      <c r="B2122">
        <f>Sheet1!B2122</f>
        <v>1.86</v>
      </c>
      <c r="C2122">
        <f>IF(Sheet1!B2122&gt;0,1,0)</f>
        <v>1</v>
      </c>
    </row>
    <row r="2123" spans="1:3" x14ac:dyDescent="0.25">
      <c r="A2123" s="15">
        <f>Sheet1!A2123</f>
        <v>0</v>
      </c>
      <c r="B2123">
        <f>Sheet1!B2123</f>
        <v>1.71</v>
      </c>
      <c r="C2123">
        <f>IF(Sheet1!B2123&gt;0,1,0)</f>
        <v>1</v>
      </c>
    </row>
    <row r="2124" spans="1:3" x14ac:dyDescent="0.25">
      <c r="A2124" s="15">
        <f>Sheet1!A2124</f>
        <v>0</v>
      </c>
      <c r="B2124">
        <f>Sheet1!B2124</f>
        <v>1.23</v>
      </c>
      <c r="C2124">
        <f>IF(Sheet1!B2124&gt;0,1,0)</f>
        <v>1</v>
      </c>
    </row>
    <row r="2125" spans="1:3" x14ac:dyDescent="0.25">
      <c r="A2125" s="15">
        <f>Sheet1!A2125</f>
        <v>0</v>
      </c>
      <c r="B2125">
        <f>Sheet1!B2125</f>
        <v>2.14</v>
      </c>
      <c r="C2125">
        <f>IF(Sheet1!B2125&gt;0,1,0)</f>
        <v>1</v>
      </c>
    </row>
    <row r="2126" spans="1:3" x14ac:dyDescent="0.25">
      <c r="A2126" s="15">
        <f>Sheet1!A2126</f>
        <v>0</v>
      </c>
      <c r="B2126">
        <f>Sheet1!B2126</f>
        <v>1.45</v>
      </c>
      <c r="C2126">
        <f>IF(Sheet1!B2126&gt;0,1,0)</f>
        <v>1</v>
      </c>
    </row>
    <row r="2127" spans="1:3" x14ac:dyDescent="0.25">
      <c r="A2127" s="15">
        <f>Sheet1!A2127</f>
        <v>0</v>
      </c>
      <c r="B2127">
        <f>Sheet1!B2127</f>
        <v>0</v>
      </c>
      <c r="C2127">
        <f>IF(Sheet1!B2127&gt;0,1,0)</f>
        <v>0</v>
      </c>
    </row>
    <row r="2128" spans="1:3" x14ac:dyDescent="0.25">
      <c r="A2128" s="15">
        <f>Sheet1!A2128</f>
        <v>0</v>
      </c>
      <c r="B2128">
        <f>Sheet1!B2128</f>
        <v>0.98</v>
      </c>
      <c r="C2128">
        <f>IF(Sheet1!B2128&gt;0,1,0)</f>
        <v>1</v>
      </c>
    </row>
    <row r="2129" spans="1:3" x14ac:dyDescent="0.25">
      <c r="A2129" s="15">
        <f>Sheet1!A2129</f>
        <v>0</v>
      </c>
      <c r="B2129">
        <f>Sheet1!B2129</f>
        <v>1.34</v>
      </c>
      <c r="C2129">
        <f>IF(Sheet1!B2129&gt;0,1,0)</f>
        <v>1</v>
      </c>
    </row>
    <row r="2130" spans="1:3" x14ac:dyDescent="0.25">
      <c r="A2130" s="15">
        <f>Sheet1!A2130</f>
        <v>0</v>
      </c>
      <c r="B2130">
        <f>Sheet1!B2130</f>
        <v>2.15</v>
      </c>
      <c r="C2130">
        <f>IF(Sheet1!B2130&gt;0,1,0)</f>
        <v>1</v>
      </c>
    </row>
    <row r="2131" spans="1:3" x14ac:dyDescent="0.25">
      <c r="A2131" s="15">
        <f>Sheet1!A2131</f>
        <v>0</v>
      </c>
      <c r="B2131">
        <f>Sheet1!B2131</f>
        <v>0</v>
      </c>
      <c r="C2131">
        <f>IF(Sheet1!B2131&gt;0,1,0)</f>
        <v>0</v>
      </c>
    </row>
    <row r="2132" spans="1:3" x14ac:dyDescent="0.25">
      <c r="A2132" s="15">
        <f>Sheet1!A2132</f>
        <v>0</v>
      </c>
      <c r="B2132">
        <f>Sheet1!B2132</f>
        <v>0</v>
      </c>
      <c r="C2132">
        <f>IF(Sheet1!B2132&gt;0,1,0)</f>
        <v>0</v>
      </c>
    </row>
    <row r="2133" spans="1:3" x14ac:dyDescent="0.25">
      <c r="A2133" s="15">
        <f>Sheet1!A2133</f>
        <v>0</v>
      </c>
      <c r="B2133">
        <f>Sheet1!B2133</f>
        <v>0</v>
      </c>
      <c r="C2133">
        <f>IF(Sheet1!B2133&gt;0,1,0)</f>
        <v>0</v>
      </c>
    </row>
    <row r="2134" spans="1:3" x14ac:dyDescent="0.25">
      <c r="A2134" s="15">
        <f>Sheet1!A2134</f>
        <v>0</v>
      </c>
      <c r="B2134">
        <f>Sheet1!B2134</f>
        <v>2.0699999999999998</v>
      </c>
      <c r="C2134">
        <f>IF(Sheet1!B2134&gt;0,1,0)</f>
        <v>1</v>
      </c>
    </row>
    <row r="2135" spans="1:3" x14ac:dyDescent="0.25">
      <c r="A2135" s="15">
        <f>Sheet1!A2135</f>
        <v>0</v>
      </c>
      <c r="B2135">
        <f>Sheet1!B2135</f>
        <v>2.57</v>
      </c>
      <c r="C2135">
        <f>IF(Sheet1!B2135&gt;0,1,0)</f>
        <v>1</v>
      </c>
    </row>
    <row r="2136" spans="1:3" x14ac:dyDescent="0.25">
      <c r="A2136" s="15">
        <f>Sheet1!A2136</f>
        <v>0</v>
      </c>
      <c r="B2136">
        <f>Sheet1!B2136</f>
        <v>2.5299999999999998</v>
      </c>
      <c r="C2136">
        <f>IF(Sheet1!B2136&gt;0,1,0)</f>
        <v>1</v>
      </c>
    </row>
    <row r="2137" spans="1:3" x14ac:dyDescent="0.25">
      <c r="A2137" s="15">
        <f>Sheet1!A2137</f>
        <v>0</v>
      </c>
      <c r="B2137">
        <f>Sheet1!B2137</f>
        <v>2.69</v>
      </c>
      <c r="C2137">
        <f>IF(Sheet1!B2137&gt;0,1,0)</f>
        <v>1</v>
      </c>
    </row>
    <row r="2138" spans="1:3" x14ac:dyDescent="0.25">
      <c r="A2138" s="15">
        <f>Sheet1!A2138</f>
        <v>0</v>
      </c>
      <c r="B2138">
        <f>Sheet1!B2138</f>
        <v>2.38</v>
      </c>
      <c r="C2138">
        <f>IF(Sheet1!B2138&gt;0,1,0)</f>
        <v>1</v>
      </c>
    </row>
    <row r="2139" spans="1:3" x14ac:dyDescent="0.25">
      <c r="A2139" s="15">
        <f>Sheet1!A2139</f>
        <v>0</v>
      </c>
      <c r="B2139">
        <f>Sheet1!B2139</f>
        <v>2.5099999999999998</v>
      </c>
      <c r="C2139">
        <f>IF(Sheet1!B2139&gt;0,1,0)</f>
        <v>1</v>
      </c>
    </row>
    <row r="2140" spans="1:3" x14ac:dyDescent="0.25">
      <c r="A2140" s="15">
        <f>Sheet1!A2140</f>
        <v>0</v>
      </c>
      <c r="B2140">
        <f>Sheet1!B2140</f>
        <v>2.0299999999999998</v>
      </c>
      <c r="C2140">
        <f>IF(Sheet1!B2140&gt;0,1,0)</f>
        <v>1</v>
      </c>
    </row>
    <row r="2141" spans="1:3" x14ac:dyDescent="0.25">
      <c r="A2141" s="15">
        <f>Sheet1!A2141</f>
        <v>0</v>
      </c>
      <c r="B2141">
        <f>Sheet1!B2141</f>
        <v>1.98</v>
      </c>
      <c r="C2141">
        <f>IF(Sheet1!B2141&gt;0,1,0)</f>
        <v>1</v>
      </c>
    </row>
    <row r="2142" spans="1:3" x14ac:dyDescent="0.25">
      <c r="A2142" s="15">
        <f>Sheet1!A2142</f>
        <v>0</v>
      </c>
      <c r="B2142">
        <f>Sheet1!B2142</f>
        <v>2.09</v>
      </c>
      <c r="C2142">
        <f>IF(Sheet1!B2142&gt;0,1,0)</f>
        <v>1</v>
      </c>
    </row>
    <row r="2143" spans="1:3" x14ac:dyDescent="0.25">
      <c r="A2143" s="15">
        <f>Sheet1!A2143</f>
        <v>0</v>
      </c>
      <c r="B2143">
        <f>Sheet1!B2143</f>
        <v>1.85</v>
      </c>
      <c r="C2143">
        <f>IF(Sheet1!B2143&gt;0,1,0)</f>
        <v>1</v>
      </c>
    </row>
    <row r="2144" spans="1:3" x14ac:dyDescent="0.25">
      <c r="A2144" s="15">
        <f>Sheet1!A2144</f>
        <v>0</v>
      </c>
      <c r="B2144">
        <f>Sheet1!B2144</f>
        <v>2.02</v>
      </c>
      <c r="C2144">
        <f>IF(Sheet1!B2144&gt;0,1,0)</f>
        <v>1</v>
      </c>
    </row>
    <row r="2145" spans="1:3" x14ac:dyDescent="0.25">
      <c r="A2145" s="15">
        <f>Sheet1!A2145</f>
        <v>0</v>
      </c>
      <c r="B2145">
        <f>Sheet1!B2145</f>
        <v>1.58</v>
      </c>
      <c r="C2145">
        <f>IF(Sheet1!B2145&gt;0,1,0)</f>
        <v>1</v>
      </c>
    </row>
    <row r="2146" spans="1:3" x14ac:dyDescent="0.25">
      <c r="A2146" s="15">
        <f>Sheet1!A2146</f>
        <v>0</v>
      </c>
      <c r="B2146">
        <f>Sheet1!B2146</f>
        <v>1.4</v>
      </c>
      <c r="C2146">
        <f>IF(Sheet1!B2146&gt;0,1,0)</f>
        <v>1</v>
      </c>
    </row>
    <row r="2147" spans="1:3" x14ac:dyDescent="0.25">
      <c r="A2147" s="15">
        <f>Sheet1!A2147</f>
        <v>0</v>
      </c>
      <c r="B2147">
        <f>Sheet1!B2147</f>
        <v>0</v>
      </c>
      <c r="C2147">
        <f>IF(Sheet1!B2147&gt;0,1,0)</f>
        <v>0</v>
      </c>
    </row>
    <row r="2148" spans="1:3" x14ac:dyDescent="0.25">
      <c r="A2148" s="15">
        <f>Sheet1!A2148</f>
        <v>0</v>
      </c>
      <c r="B2148">
        <f>Sheet1!B2148</f>
        <v>0</v>
      </c>
      <c r="C2148">
        <f>IF(Sheet1!B2148&gt;0,1,0)</f>
        <v>0</v>
      </c>
    </row>
    <row r="2149" spans="1:3" x14ac:dyDescent="0.25">
      <c r="A2149" s="15">
        <f>Sheet1!A2149</f>
        <v>0</v>
      </c>
      <c r="B2149">
        <f>Sheet1!B2149</f>
        <v>0</v>
      </c>
      <c r="C2149">
        <f>IF(Sheet1!B2149&gt;0,1,0)</f>
        <v>0</v>
      </c>
    </row>
    <row r="2150" spans="1:3" x14ac:dyDescent="0.25">
      <c r="A2150" s="15">
        <f>Sheet1!A2150</f>
        <v>0</v>
      </c>
      <c r="B2150">
        <f>Sheet1!B2150</f>
        <v>1.95</v>
      </c>
      <c r="C2150">
        <f>IF(Sheet1!B2150&gt;0,1,0)</f>
        <v>1</v>
      </c>
    </row>
    <row r="2151" spans="1:3" x14ac:dyDescent="0.25">
      <c r="A2151" s="15">
        <f>Sheet1!A2151</f>
        <v>0</v>
      </c>
      <c r="B2151">
        <f>Sheet1!B2151</f>
        <v>0</v>
      </c>
      <c r="C2151">
        <f>IF(Sheet1!B2151&gt;0,1,0)</f>
        <v>0</v>
      </c>
    </row>
    <row r="2152" spans="1:3" x14ac:dyDescent="0.25">
      <c r="A2152" s="15">
        <f>Sheet1!A2152</f>
        <v>0</v>
      </c>
      <c r="B2152">
        <f>Sheet1!B2152</f>
        <v>0</v>
      </c>
      <c r="C2152">
        <f>IF(Sheet1!B2152&gt;0,1,0)</f>
        <v>0</v>
      </c>
    </row>
    <row r="2153" spans="1:3" x14ac:dyDescent="0.25">
      <c r="A2153" s="15">
        <f>Sheet1!A2153</f>
        <v>0</v>
      </c>
      <c r="B2153">
        <f>Sheet1!B2153</f>
        <v>0</v>
      </c>
      <c r="C2153">
        <f>IF(Sheet1!B2153&gt;0,1,0)</f>
        <v>0</v>
      </c>
    </row>
    <row r="2154" spans="1:3" x14ac:dyDescent="0.25">
      <c r="A2154" s="15">
        <f>Sheet1!A2154</f>
        <v>0</v>
      </c>
      <c r="B2154">
        <f>Sheet1!B2154</f>
        <v>2.11</v>
      </c>
      <c r="C2154">
        <f>IF(Sheet1!B2154&gt;0,1,0)</f>
        <v>1</v>
      </c>
    </row>
    <row r="2155" spans="1:3" x14ac:dyDescent="0.25">
      <c r="A2155" s="15">
        <f>Sheet1!A2155</f>
        <v>0</v>
      </c>
      <c r="B2155">
        <f>Sheet1!B2155</f>
        <v>0</v>
      </c>
      <c r="C2155">
        <f>IF(Sheet1!B2155&gt;0,1,0)</f>
        <v>0</v>
      </c>
    </row>
    <row r="2156" spans="1:3" x14ac:dyDescent="0.25">
      <c r="A2156" s="15">
        <f>Sheet1!A2156</f>
        <v>0</v>
      </c>
      <c r="B2156">
        <f>Sheet1!B2156</f>
        <v>0</v>
      </c>
      <c r="C2156">
        <f>IF(Sheet1!B2156&gt;0,1,0)</f>
        <v>0</v>
      </c>
    </row>
    <row r="2157" spans="1:3" x14ac:dyDescent="0.25">
      <c r="A2157" s="15">
        <f>Sheet1!A2157</f>
        <v>0</v>
      </c>
      <c r="B2157">
        <f>Sheet1!B2157</f>
        <v>0</v>
      </c>
      <c r="C2157">
        <f>IF(Sheet1!B2157&gt;0,1,0)</f>
        <v>0</v>
      </c>
    </row>
    <row r="2158" spans="1:3" x14ac:dyDescent="0.25">
      <c r="A2158" s="15">
        <f>Sheet1!A2158</f>
        <v>0</v>
      </c>
      <c r="B2158">
        <f>Sheet1!B2158</f>
        <v>2.7</v>
      </c>
      <c r="C2158">
        <f>IF(Sheet1!B2158&gt;0,1,0)</f>
        <v>1</v>
      </c>
    </row>
    <row r="2159" spans="1:3" x14ac:dyDescent="0.25">
      <c r="A2159" s="15">
        <f>Sheet1!A2159</f>
        <v>0</v>
      </c>
      <c r="B2159">
        <f>Sheet1!B2159</f>
        <v>2.11</v>
      </c>
      <c r="C2159">
        <f>IF(Sheet1!B2159&gt;0,1,0)</f>
        <v>1</v>
      </c>
    </row>
    <row r="2160" spans="1:3" x14ac:dyDescent="0.25">
      <c r="A2160" s="15">
        <f>Sheet1!A2160</f>
        <v>0</v>
      </c>
      <c r="B2160">
        <f>Sheet1!B2160</f>
        <v>2.84</v>
      </c>
      <c r="C2160">
        <f>IF(Sheet1!B2160&gt;0,1,0)</f>
        <v>1</v>
      </c>
    </row>
    <row r="2161" spans="1:3" x14ac:dyDescent="0.25">
      <c r="A2161" s="15">
        <f>Sheet1!A2161</f>
        <v>0</v>
      </c>
      <c r="B2161">
        <f>Sheet1!B2161</f>
        <v>2.36</v>
      </c>
      <c r="C2161">
        <f>IF(Sheet1!B2161&gt;0,1,0)</f>
        <v>1</v>
      </c>
    </row>
    <row r="2162" spans="1:3" x14ac:dyDescent="0.25">
      <c r="A2162" s="15">
        <f>Sheet1!A2162</f>
        <v>0</v>
      </c>
      <c r="B2162">
        <f>Sheet1!B2162</f>
        <v>2.15</v>
      </c>
      <c r="C2162">
        <f>IF(Sheet1!B2162&gt;0,1,0)</f>
        <v>1</v>
      </c>
    </row>
    <row r="2163" spans="1:3" x14ac:dyDescent="0.25">
      <c r="A2163" s="15">
        <f>Sheet1!A2163</f>
        <v>0</v>
      </c>
      <c r="B2163">
        <f>Sheet1!B2163</f>
        <v>1.89</v>
      </c>
      <c r="C2163">
        <f>IF(Sheet1!B2163&gt;0,1,0)</f>
        <v>1</v>
      </c>
    </row>
    <row r="2164" spans="1:3" x14ac:dyDescent="0.25">
      <c r="A2164" s="15">
        <f>Sheet1!A2164</f>
        <v>0</v>
      </c>
      <c r="B2164">
        <f>Sheet1!B2164</f>
        <v>1.79</v>
      </c>
      <c r="C2164">
        <f>IF(Sheet1!B2164&gt;0,1,0)</f>
        <v>1</v>
      </c>
    </row>
    <row r="2165" spans="1:3" x14ac:dyDescent="0.25">
      <c r="A2165" s="15">
        <f>Sheet1!A2165</f>
        <v>0</v>
      </c>
      <c r="B2165">
        <f>Sheet1!B2165</f>
        <v>1.92</v>
      </c>
      <c r="C2165">
        <f>IF(Sheet1!B2165&gt;0,1,0)</f>
        <v>1</v>
      </c>
    </row>
    <row r="2166" spans="1:3" x14ac:dyDescent="0.25">
      <c r="A2166" s="15">
        <f>Sheet1!A2166</f>
        <v>0</v>
      </c>
      <c r="B2166">
        <f>Sheet1!B2166</f>
        <v>2.11</v>
      </c>
      <c r="C2166">
        <f>IF(Sheet1!B2166&gt;0,1,0)</f>
        <v>1</v>
      </c>
    </row>
    <row r="2167" spans="1:3" x14ac:dyDescent="0.25">
      <c r="A2167" s="15">
        <f>Sheet1!A2167</f>
        <v>0</v>
      </c>
      <c r="B2167">
        <f>Sheet1!B2167</f>
        <v>1.97</v>
      </c>
      <c r="C2167">
        <f>IF(Sheet1!B2167&gt;0,1,0)</f>
        <v>1</v>
      </c>
    </row>
    <row r="2168" spans="1:3" x14ac:dyDescent="0.25">
      <c r="A2168" s="15">
        <f>Sheet1!A2168</f>
        <v>0</v>
      </c>
      <c r="B2168">
        <f>Sheet1!B2168</f>
        <v>0.93</v>
      </c>
      <c r="C2168">
        <f>IF(Sheet1!B2168&gt;0,1,0)</f>
        <v>1</v>
      </c>
    </row>
    <row r="2169" spans="1:3" x14ac:dyDescent="0.25">
      <c r="A2169" s="15">
        <f>Sheet1!A2169</f>
        <v>0</v>
      </c>
      <c r="B2169">
        <f>Sheet1!B2169</f>
        <v>1.0900000000000001</v>
      </c>
      <c r="C2169">
        <f>IF(Sheet1!B2169&gt;0,1,0)</f>
        <v>1</v>
      </c>
    </row>
    <row r="2170" spans="1:3" x14ac:dyDescent="0.25">
      <c r="A2170" s="15">
        <f>Sheet1!A2170</f>
        <v>0</v>
      </c>
      <c r="B2170">
        <f>Sheet1!B2170</f>
        <v>1</v>
      </c>
      <c r="C2170">
        <f>IF(Sheet1!B2170&gt;0,1,0)</f>
        <v>1</v>
      </c>
    </row>
    <row r="2171" spans="1:3" x14ac:dyDescent="0.25">
      <c r="A2171" s="15">
        <f>Sheet1!A2171</f>
        <v>0</v>
      </c>
      <c r="B2171">
        <f>Sheet1!B2171</f>
        <v>0</v>
      </c>
      <c r="C2171">
        <f>IF(Sheet1!B2171&gt;0,1,0)</f>
        <v>0</v>
      </c>
    </row>
    <row r="2172" spans="1:3" x14ac:dyDescent="0.25">
      <c r="A2172" s="15">
        <f>Sheet1!A2172</f>
        <v>0</v>
      </c>
      <c r="B2172">
        <f>Sheet1!B2172</f>
        <v>0</v>
      </c>
      <c r="C2172">
        <f>IF(Sheet1!B2172&gt;0,1,0)</f>
        <v>0</v>
      </c>
    </row>
    <row r="2173" spans="1:3" x14ac:dyDescent="0.25">
      <c r="A2173" s="15">
        <f>Sheet1!A2173</f>
        <v>0</v>
      </c>
      <c r="B2173">
        <f>Sheet1!B2173</f>
        <v>0</v>
      </c>
      <c r="C2173">
        <f>IF(Sheet1!B2173&gt;0,1,0)</f>
        <v>0</v>
      </c>
    </row>
    <row r="2174" spans="1:3" x14ac:dyDescent="0.25">
      <c r="A2174" s="15">
        <f>Sheet1!A2174</f>
        <v>0</v>
      </c>
      <c r="B2174">
        <f>Sheet1!B2174</f>
        <v>1.23</v>
      </c>
      <c r="C2174">
        <f>IF(Sheet1!B2174&gt;0,1,0)</f>
        <v>1</v>
      </c>
    </row>
    <row r="2175" spans="1:3" x14ac:dyDescent="0.25">
      <c r="A2175" s="15">
        <f>Sheet1!A2175</f>
        <v>0</v>
      </c>
      <c r="B2175">
        <f>Sheet1!B2175</f>
        <v>1.91</v>
      </c>
      <c r="C2175">
        <f>IF(Sheet1!B2175&gt;0,1,0)</f>
        <v>1</v>
      </c>
    </row>
    <row r="2176" spans="1:3" x14ac:dyDescent="0.25">
      <c r="A2176" s="15">
        <f>Sheet1!A2176</f>
        <v>0</v>
      </c>
      <c r="B2176">
        <f>Sheet1!B2176</f>
        <v>2.23</v>
      </c>
      <c r="C2176">
        <f>IF(Sheet1!B2176&gt;0,1,0)</f>
        <v>1</v>
      </c>
    </row>
    <row r="2177" spans="1:3" x14ac:dyDescent="0.25">
      <c r="A2177" s="15">
        <f>Sheet1!A2177</f>
        <v>0</v>
      </c>
      <c r="B2177">
        <f>Sheet1!B2177</f>
        <v>0</v>
      </c>
      <c r="C2177">
        <f>IF(Sheet1!B2177&gt;0,1,0)</f>
        <v>0</v>
      </c>
    </row>
    <row r="2178" spans="1:3" x14ac:dyDescent="0.25">
      <c r="A2178" s="15">
        <f>Sheet1!A2178</f>
        <v>0</v>
      </c>
      <c r="B2178">
        <f>Sheet1!B2178</f>
        <v>0</v>
      </c>
      <c r="C2178">
        <f>IF(Sheet1!B2178&gt;0,1,0)</f>
        <v>0</v>
      </c>
    </row>
    <row r="2179" spans="1:3" x14ac:dyDescent="0.25">
      <c r="A2179" s="15">
        <f>Sheet1!A2179</f>
        <v>0</v>
      </c>
      <c r="B2179">
        <f>Sheet1!B2179</f>
        <v>0</v>
      </c>
      <c r="C2179">
        <f>IF(Sheet1!B2179&gt;0,1,0)</f>
        <v>0</v>
      </c>
    </row>
    <row r="2180" spans="1:3" x14ac:dyDescent="0.25">
      <c r="A2180" s="15">
        <f>Sheet1!A2180</f>
        <v>0</v>
      </c>
      <c r="B2180">
        <f>Sheet1!B2180</f>
        <v>2.37</v>
      </c>
      <c r="C2180">
        <f>IF(Sheet1!B2180&gt;0,1,0)</f>
        <v>1</v>
      </c>
    </row>
    <row r="2181" spans="1:3" x14ac:dyDescent="0.25">
      <c r="A2181" s="15">
        <f>Sheet1!A2181</f>
        <v>0</v>
      </c>
      <c r="B2181">
        <f>Sheet1!B2181</f>
        <v>0</v>
      </c>
      <c r="C2181">
        <f>IF(Sheet1!B2181&gt;0,1,0)</f>
        <v>0</v>
      </c>
    </row>
    <row r="2182" spans="1:3" x14ac:dyDescent="0.25">
      <c r="A2182" s="15">
        <f>Sheet1!A2182</f>
        <v>0</v>
      </c>
      <c r="B2182">
        <f>Sheet1!B2182</f>
        <v>0</v>
      </c>
      <c r="C2182">
        <f>IF(Sheet1!B2182&gt;0,1,0)</f>
        <v>0</v>
      </c>
    </row>
    <row r="2183" spans="1:3" x14ac:dyDescent="0.25">
      <c r="A2183" s="15">
        <f>Sheet1!A2183</f>
        <v>0</v>
      </c>
      <c r="B2183">
        <f>Sheet1!B2183</f>
        <v>2.75</v>
      </c>
      <c r="C2183">
        <f>IF(Sheet1!B2183&gt;0,1,0)</f>
        <v>1</v>
      </c>
    </row>
    <row r="2184" spans="1:3" x14ac:dyDescent="0.25">
      <c r="A2184" s="15">
        <f>Sheet1!A2184</f>
        <v>0</v>
      </c>
      <c r="B2184">
        <f>Sheet1!B2184</f>
        <v>2.67</v>
      </c>
      <c r="C2184">
        <f>IF(Sheet1!B2184&gt;0,1,0)</f>
        <v>1</v>
      </c>
    </row>
    <row r="2185" spans="1:3" x14ac:dyDescent="0.25">
      <c r="A2185" s="15">
        <f>Sheet1!A2185</f>
        <v>0</v>
      </c>
      <c r="B2185">
        <f>Sheet1!B2185</f>
        <v>2.5</v>
      </c>
      <c r="C2185">
        <f>IF(Sheet1!B2185&gt;0,1,0)</f>
        <v>1</v>
      </c>
    </row>
    <row r="2186" spans="1:3" x14ac:dyDescent="0.25">
      <c r="A2186" s="15">
        <f>Sheet1!A2186</f>
        <v>0</v>
      </c>
      <c r="B2186">
        <f>Sheet1!B2186</f>
        <v>2.36</v>
      </c>
      <c r="C2186">
        <f>IF(Sheet1!B2186&gt;0,1,0)</f>
        <v>1</v>
      </c>
    </row>
    <row r="2187" spans="1:3" x14ac:dyDescent="0.25">
      <c r="A2187" s="15">
        <f>Sheet1!A2187</f>
        <v>0</v>
      </c>
      <c r="B2187">
        <f>Sheet1!B2187</f>
        <v>1.94</v>
      </c>
      <c r="C2187">
        <f>IF(Sheet1!B2187&gt;0,1,0)</f>
        <v>1</v>
      </c>
    </row>
    <row r="2188" spans="1:3" x14ac:dyDescent="0.25">
      <c r="A2188" s="15">
        <f>Sheet1!A2188</f>
        <v>0</v>
      </c>
      <c r="B2188">
        <f>Sheet1!B2188</f>
        <v>1.69</v>
      </c>
      <c r="C2188">
        <f>IF(Sheet1!B2188&gt;0,1,0)</f>
        <v>1</v>
      </c>
    </row>
    <row r="2189" spans="1:3" x14ac:dyDescent="0.25">
      <c r="A2189" s="15">
        <f>Sheet1!A2189</f>
        <v>0</v>
      </c>
      <c r="B2189">
        <f>Sheet1!B2189</f>
        <v>1.87</v>
      </c>
      <c r="C2189">
        <f>IF(Sheet1!B2189&gt;0,1,0)</f>
        <v>1</v>
      </c>
    </row>
    <row r="2190" spans="1:3" x14ac:dyDescent="0.25">
      <c r="A2190" s="15">
        <f>Sheet1!A2190</f>
        <v>0</v>
      </c>
      <c r="B2190">
        <f>Sheet1!B2190</f>
        <v>2.0099999999999998</v>
      </c>
      <c r="C2190">
        <f>IF(Sheet1!B2190&gt;0,1,0)</f>
        <v>1</v>
      </c>
    </row>
    <row r="2191" spans="1:3" x14ac:dyDescent="0.25">
      <c r="A2191" s="15">
        <f>Sheet1!A2191</f>
        <v>0</v>
      </c>
      <c r="B2191">
        <f>Sheet1!B2191</f>
        <v>1.68</v>
      </c>
      <c r="C2191">
        <f>IF(Sheet1!B2191&gt;0,1,0)</f>
        <v>1</v>
      </c>
    </row>
    <row r="2192" spans="1:3" x14ac:dyDescent="0.25">
      <c r="A2192" s="15">
        <f>Sheet1!A2192</f>
        <v>0</v>
      </c>
      <c r="B2192">
        <f>Sheet1!B2192</f>
        <v>0.67</v>
      </c>
      <c r="C2192">
        <f>IF(Sheet1!B2192&gt;0,1,0)</f>
        <v>1</v>
      </c>
    </row>
    <row r="2193" spans="1:3" x14ac:dyDescent="0.25">
      <c r="A2193" s="15">
        <f>Sheet1!A2193</f>
        <v>0</v>
      </c>
      <c r="B2193">
        <f>Sheet1!B2193</f>
        <v>1.04</v>
      </c>
      <c r="C2193">
        <f>IF(Sheet1!B2193&gt;0,1,0)</f>
        <v>1</v>
      </c>
    </row>
    <row r="2194" spans="1:3" x14ac:dyDescent="0.25">
      <c r="A2194" s="15">
        <f>Sheet1!A2194</f>
        <v>0</v>
      </c>
      <c r="B2194">
        <f>Sheet1!B2194</f>
        <v>0.86</v>
      </c>
      <c r="C2194">
        <f>IF(Sheet1!B2194&gt;0,1,0)</f>
        <v>1</v>
      </c>
    </row>
    <row r="2195" spans="1:3" x14ac:dyDescent="0.25">
      <c r="A2195" s="15">
        <f>Sheet1!A2195</f>
        <v>0</v>
      </c>
      <c r="B2195">
        <f>Sheet1!B2195</f>
        <v>0.76</v>
      </c>
      <c r="C2195">
        <f>IF(Sheet1!B2195&gt;0,1,0)</f>
        <v>1</v>
      </c>
    </row>
    <row r="2196" spans="1:3" x14ac:dyDescent="0.25">
      <c r="A2196" s="15">
        <f>Sheet1!A2196</f>
        <v>0</v>
      </c>
      <c r="B2196">
        <f>Sheet1!B2196</f>
        <v>1.06</v>
      </c>
      <c r="C2196">
        <f>IF(Sheet1!B2196&gt;0,1,0)</f>
        <v>1</v>
      </c>
    </row>
    <row r="2197" spans="1:3" x14ac:dyDescent="0.25">
      <c r="A2197" s="15">
        <f>Sheet1!A2197</f>
        <v>0</v>
      </c>
      <c r="B2197">
        <f>Sheet1!B2197</f>
        <v>2.68</v>
      </c>
      <c r="C2197">
        <f>IF(Sheet1!B2197&gt;0,1,0)</f>
        <v>1</v>
      </c>
    </row>
    <row r="2198" spans="1:3" x14ac:dyDescent="0.25">
      <c r="A2198" s="15">
        <f>Sheet1!A2198</f>
        <v>0</v>
      </c>
      <c r="B2198">
        <f>Sheet1!B2198</f>
        <v>2.59</v>
      </c>
      <c r="C2198">
        <f>IF(Sheet1!B2198&gt;0,1,0)</f>
        <v>1</v>
      </c>
    </row>
    <row r="2199" spans="1:3" x14ac:dyDescent="0.25">
      <c r="A2199" s="15">
        <f>Sheet1!A2199</f>
        <v>0</v>
      </c>
      <c r="B2199">
        <f>Sheet1!B2199</f>
        <v>2.08</v>
      </c>
      <c r="C2199">
        <f>IF(Sheet1!B2199&gt;0,1,0)</f>
        <v>1</v>
      </c>
    </row>
    <row r="2200" spans="1:3" x14ac:dyDescent="0.25">
      <c r="A2200" s="15">
        <f>Sheet1!A2200</f>
        <v>0</v>
      </c>
      <c r="B2200">
        <f>Sheet1!B2200</f>
        <v>0</v>
      </c>
      <c r="C2200">
        <f>IF(Sheet1!B2200&gt;0,1,0)</f>
        <v>0</v>
      </c>
    </row>
    <row r="2201" spans="1:3" x14ac:dyDescent="0.25">
      <c r="A2201" s="15">
        <f>Sheet1!A2201</f>
        <v>0</v>
      </c>
      <c r="B2201">
        <f>Sheet1!B2201</f>
        <v>0</v>
      </c>
      <c r="C2201">
        <f>IF(Sheet1!B2201&gt;0,1,0)</f>
        <v>0</v>
      </c>
    </row>
    <row r="2202" spans="1:3" x14ac:dyDescent="0.25">
      <c r="A2202" s="15">
        <f>Sheet1!A2202</f>
        <v>0</v>
      </c>
      <c r="B2202">
        <f>Sheet1!B2202</f>
        <v>1.52</v>
      </c>
      <c r="C2202">
        <f>IF(Sheet1!B2202&gt;0,1,0)</f>
        <v>1</v>
      </c>
    </row>
    <row r="2203" spans="1:3" x14ac:dyDescent="0.25">
      <c r="A2203" s="15">
        <f>Sheet1!A2203</f>
        <v>0</v>
      </c>
      <c r="B2203">
        <f>Sheet1!B2203</f>
        <v>1.66</v>
      </c>
      <c r="C2203">
        <f>IF(Sheet1!B2203&gt;0,1,0)</f>
        <v>1</v>
      </c>
    </row>
    <row r="2204" spans="1:3" x14ac:dyDescent="0.25">
      <c r="A2204" s="15">
        <f>Sheet1!A2204</f>
        <v>0</v>
      </c>
      <c r="B2204">
        <f>Sheet1!B2204</f>
        <v>1.92</v>
      </c>
      <c r="C2204">
        <f>IF(Sheet1!B2204&gt;0,1,0)</f>
        <v>1</v>
      </c>
    </row>
    <row r="2205" spans="1:3" x14ac:dyDescent="0.25">
      <c r="A2205" s="15">
        <f>Sheet1!A2205</f>
        <v>0</v>
      </c>
      <c r="B2205">
        <f>Sheet1!B2205</f>
        <v>0</v>
      </c>
      <c r="C2205">
        <f>IF(Sheet1!B2205&gt;0,1,0)</f>
        <v>0</v>
      </c>
    </row>
    <row r="2206" spans="1:3" x14ac:dyDescent="0.25">
      <c r="A2206" s="15">
        <f>Sheet1!A2206</f>
        <v>0</v>
      </c>
      <c r="B2206">
        <f>Sheet1!B2206</f>
        <v>0</v>
      </c>
      <c r="C2206">
        <f>IF(Sheet1!B2206&gt;0,1,0)</f>
        <v>0</v>
      </c>
    </row>
    <row r="2207" spans="1:3" x14ac:dyDescent="0.25">
      <c r="A2207" s="15">
        <f>Sheet1!A2207</f>
        <v>0</v>
      </c>
      <c r="B2207">
        <f>Sheet1!B2207</f>
        <v>3.45</v>
      </c>
      <c r="C2207">
        <f>IF(Sheet1!B2207&gt;0,1,0)</f>
        <v>1</v>
      </c>
    </row>
    <row r="2208" spans="1:3" x14ac:dyDescent="0.25">
      <c r="A2208" s="15">
        <f>Sheet1!A2208</f>
        <v>0</v>
      </c>
      <c r="B2208">
        <f>Sheet1!B2208</f>
        <v>2.59</v>
      </c>
      <c r="C2208">
        <f>IF(Sheet1!B2208&gt;0,1,0)</f>
        <v>1</v>
      </c>
    </row>
    <row r="2209" spans="1:3" x14ac:dyDescent="0.25">
      <c r="A2209" s="15">
        <f>Sheet1!A2209</f>
        <v>0</v>
      </c>
      <c r="B2209">
        <f>Sheet1!B2209</f>
        <v>2.4</v>
      </c>
      <c r="C2209">
        <f>IF(Sheet1!B2209&gt;0,1,0)</f>
        <v>1</v>
      </c>
    </row>
    <row r="2210" spans="1:3" x14ac:dyDescent="0.25">
      <c r="A2210" s="15">
        <f>Sheet1!A2210</f>
        <v>0</v>
      </c>
      <c r="B2210">
        <f>Sheet1!B2210</f>
        <v>2.1800000000000002</v>
      </c>
      <c r="C2210">
        <f>IF(Sheet1!B2210&gt;0,1,0)</f>
        <v>1</v>
      </c>
    </row>
    <row r="2211" spans="1:3" x14ac:dyDescent="0.25">
      <c r="A2211" s="15">
        <f>Sheet1!A2211</f>
        <v>0</v>
      </c>
      <c r="B2211">
        <f>Sheet1!B2211</f>
        <v>2.15</v>
      </c>
      <c r="C2211">
        <f>IF(Sheet1!B2211&gt;0,1,0)</f>
        <v>1</v>
      </c>
    </row>
    <row r="2212" spans="1:3" x14ac:dyDescent="0.25">
      <c r="A2212" s="15">
        <f>Sheet1!A2212</f>
        <v>0</v>
      </c>
      <c r="B2212">
        <f>Sheet1!B2212</f>
        <v>2.0299999999999998</v>
      </c>
      <c r="C2212">
        <f>IF(Sheet1!B2212&gt;0,1,0)</f>
        <v>1</v>
      </c>
    </row>
    <row r="2213" spans="1:3" x14ac:dyDescent="0.25">
      <c r="A2213" s="15">
        <f>Sheet1!A2213</f>
        <v>0</v>
      </c>
      <c r="B2213">
        <f>Sheet1!B2213</f>
        <v>2.2000000000000002</v>
      </c>
      <c r="C2213">
        <f>IF(Sheet1!B2213&gt;0,1,0)</f>
        <v>1</v>
      </c>
    </row>
    <row r="2214" spans="1:3" x14ac:dyDescent="0.25">
      <c r="A2214" s="15">
        <f>Sheet1!A2214</f>
        <v>0</v>
      </c>
      <c r="B2214">
        <f>Sheet1!B2214</f>
        <v>1.96</v>
      </c>
      <c r="C2214">
        <f>IF(Sheet1!B2214&gt;0,1,0)</f>
        <v>1</v>
      </c>
    </row>
    <row r="2215" spans="1:3" x14ac:dyDescent="0.25">
      <c r="A2215" s="15">
        <f>Sheet1!A2215</f>
        <v>0</v>
      </c>
      <c r="B2215">
        <f>Sheet1!B2215</f>
        <v>2.04</v>
      </c>
      <c r="C2215">
        <f>IF(Sheet1!B2215&gt;0,1,0)</f>
        <v>1</v>
      </c>
    </row>
    <row r="2216" spans="1:3" x14ac:dyDescent="0.25">
      <c r="A2216" s="15">
        <f>Sheet1!A2216</f>
        <v>0</v>
      </c>
      <c r="B2216">
        <f>Sheet1!B2216</f>
        <v>1.28</v>
      </c>
      <c r="C2216">
        <f>IF(Sheet1!B2216&gt;0,1,0)</f>
        <v>1</v>
      </c>
    </row>
    <row r="2217" spans="1:3" x14ac:dyDescent="0.25">
      <c r="A2217" s="15">
        <f>Sheet1!A2217</f>
        <v>0</v>
      </c>
      <c r="B2217">
        <f>Sheet1!B2217</f>
        <v>0.83</v>
      </c>
      <c r="C2217">
        <f>IF(Sheet1!B2217&gt;0,1,0)</f>
        <v>1</v>
      </c>
    </row>
    <row r="2218" spans="1:3" x14ac:dyDescent="0.25">
      <c r="A2218" s="15">
        <f>Sheet1!A2218</f>
        <v>0</v>
      </c>
      <c r="B2218">
        <f>Sheet1!B2218</f>
        <v>0.93</v>
      </c>
      <c r="C2218">
        <f>IF(Sheet1!B2218&gt;0,1,0)</f>
        <v>1</v>
      </c>
    </row>
    <row r="2219" spans="1:3" x14ac:dyDescent="0.25">
      <c r="A2219" s="15">
        <f>Sheet1!A2219</f>
        <v>0</v>
      </c>
      <c r="B2219">
        <f>Sheet1!B2219</f>
        <v>0.79</v>
      </c>
      <c r="C2219">
        <f>IF(Sheet1!B2219&gt;0,1,0)</f>
        <v>1</v>
      </c>
    </row>
    <row r="2220" spans="1:3" x14ac:dyDescent="0.25">
      <c r="A2220" s="15">
        <f>Sheet1!A2220</f>
        <v>0</v>
      </c>
      <c r="B2220">
        <f>Sheet1!B2220</f>
        <v>0</v>
      </c>
      <c r="C2220">
        <f>IF(Sheet1!B2220&gt;0,1,0)</f>
        <v>0</v>
      </c>
    </row>
    <row r="2221" spans="1:3" x14ac:dyDescent="0.25">
      <c r="A2221" s="15">
        <f>Sheet1!A2221</f>
        <v>0</v>
      </c>
      <c r="B2221">
        <f>Sheet1!B2221</f>
        <v>0</v>
      </c>
      <c r="C2221">
        <f>IF(Sheet1!B2221&gt;0,1,0)</f>
        <v>0</v>
      </c>
    </row>
    <row r="2222" spans="1:3" x14ac:dyDescent="0.25">
      <c r="A2222" s="15">
        <f>Sheet1!A2222</f>
        <v>0</v>
      </c>
      <c r="B2222">
        <f>Sheet1!B2222</f>
        <v>2.13</v>
      </c>
      <c r="C2222">
        <f>IF(Sheet1!B2222&gt;0,1,0)</f>
        <v>1</v>
      </c>
    </row>
    <row r="2223" spans="1:3" x14ac:dyDescent="0.25">
      <c r="A2223" s="15">
        <f>Sheet1!A2223</f>
        <v>0</v>
      </c>
      <c r="B2223">
        <f>Sheet1!B2223</f>
        <v>3.06</v>
      </c>
      <c r="C2223">
        <f>IF(Sheet1!B2223&gt;0,1,0)</f>
        <v>1</v>
      </c>
    </row>
    <row r="2224" spans="1:3" x14ac:dyDescent="0.25">
      <c r="A2224" s="15">
        <f>Sheet1!A2224</f>
        <v>0</v>
      </c>
      <c r="B2224">
        <f>Sheet1!B2224</f>
        <v>2.0299999999999998</v>
      </c>
      <c r="C2224">
        <f>IF(Sheet1!B2224&gt;0,1,0)</f>
        <v>1</v>
      </c>
    </row>
    <row r="2225" spans="1:3" x14ac:dyDescent="0.25">
      <c r="A2225" s="15">
        <f>Sheet1!A2225</f>
        <v>0</v>
      </c>
      <c r="B2225">
        <f>Sheet1!B2225</f>
        <v>1.39</v>
      </c>
      <c r="C2225">
        <f>IF(Sheet1!B2225&gt;0,1,0)</f>
        <v>1</v>
      </c>
    </row>
    <row r="2226" spans="1:3" x14ac:dyDescent="0.25">
      <c r="A2226" s="15">
        <f>Sheet1!A2226</f>
        <v>0</v>
      </c>
      <c r="B2226">
        <f>Sheet1!B2226</f>
        <v>1.34</v>
      </c>
      <c r="C2226">
        <f>IF(Sheet1!B2226&gt;0,1,0)</f>
        <v>1</v>
      </c>
    </row>
    <row r="2227" spans="1:3" x14ac:dyDescent="0.25">
      <c r="A2227" s="15">
        <f>Sheet1!A2227</f>
        <v>0</v>
      </c>
      <c r="B2227">
        <f>Sheet1!B2227</f>
        <v>0</v>
      </c>
      <c r="C2227">
        <f>IF(Sheet1!B2227&gt;0,1,0)</f>
        <v>0</v>
      </c>
    </row>
    <row r="2228" spans="1:3" x14ac:dyDescent="0.25">
      <c r="A2228" s="15">
        <f>Sheet1!A2228</f>
        <v>0</v>
      </c>
      <c r="B2228">
        <f>Sheet1!B2228</f>
        <v>0</v>
      </c>
      <c r="C2228">
        <f>IF(Sheet1!B2228&gt;0,1,0)</f>
        <v>0</v>
      </c>
    </row>
    <row r="2229" spans="1:3" x14ac:dyDescent="0.25">
      <c r="A2229" s="15">
        <f>Sheet1!A2229</f>
        <v>0</v>
      </c>
      <c r="B2229">
        <f>Sheet1!B2229</f>
        <v>0</v>
      </c>
      <c r="C2229">
        <f>IF(Sheet1!B2229&gt;0,1,0)</f>
        <v>0</v>
      </c>
    </row>
    <row r="2230" spans="1:3" x14ac:dyDescent="0.25">
      <c r="A2230" s="15">
        <f>Sheet1!A2230</f>
        <v>0</v>
      </c>
      <c r="B2230">
        <f>Sheet1!B2230</f>
        <v>1.71</v>
      </c>
      <c r="C2230">
        <f>IF(Sheet1!B2230&gt;0,1,0)</f>
        <v>1</v>
      </c>
    </row>
    <row r="2231" spans="1:3" x14ac:dyDescent="0.25">
      <c r="A2231" s="15">
        <f>Sheet1!A2231</f>
        <v>0</v>
      </c>
      <c r="B2231">
        <f>Sheet1!B2231</f>
        <v>0</v>
      </c>
      <c r="C2231">
        <f>IF(Sheet1!B2231&gt;0,1,0)</f>
        <v>0</v>
      </c>
    </row>
    <row r="2232" spans="1:3" x14ac:dyDescent="0.25">
      <c r="A2232" s="15">
        <f>Sheet1!A2232</f>
        <v>0</v>
      </c>
      <c r="B2232">
        <f>Sheet1!B2232</f>
        <v>2.96</v>
      </c>
      <c r="C2232">
        <f>IF(Sheet1!B2232&gt;0,1,0)</f>
        <v>1</v>
      </c>
    </row>
    <row r="2233" spans="1:3" x14ac:dyDescent="0.25">
      <c r="A2233" s="15">
        <f>Sheet1!A2233</f>
        <v>0</v>
      </c>
      <c r="B2233">
        <f>Sheet1!B2233</f>
        <v>2.54</v>
      </c>
      <c r="C2233">
        <f>IF(Sheet1!B2233&gt;0,1,0)</f>
        <v>1</v>
      </c>
    </row>
    <row r="2234" spans="1:3" x14ac:dyDescent="0.25">
      <c r="A2234" s="15">
        <f>Sheet1!A2234</f>
        <v>0</v>
      </c>
      <c r="B2234">
        <f>Sheet1!B2234</f>
        <v>2.35</v>
      </c>
      <c r="C2234">
        <f>IF(Sheet1!B2234&gt;0,1,0)</f>
        <v>1</v>
      </c>
    </row>
    <row r="2235" spans="1:3" x14ac:dyDescent="0.25">
      <c r="A2235" s="15">
        <f>Sheet1!A2235</f>
        <v>0</v>
      </c>
      <c r="B2235">
        <f>Sheet1!B2235</f>
        <v>2.21</v>
      </c>
      <c r="C2235">
        <f>IF(Sheet1!B2235&gt;0,1,0)</f>
        <v>1</v>
      </c>
    </row>
    <row r="2236" spans="1:3" x14ac:dyDescent="0.25">
      <c r="A2236" s="15">
        <f>Sheet1!A2236</f>
        <v>0</v>
      </c>
      <c r="B2236">
        <f>Sheet1!B2236</f>
        <v>2.41</v>
      </c>
      <c r="C2236">
        <f>IF(Sheet1!B2236&gt;0,1,0)</f>
        <v>1</v>
      </c>
    </row>
    <row r="2237" spans="1:3" x14ac:dyDescent="0.25">
      <c r="A2237" s="15">
        <f>Sheet1!A2237</f>
        <v>0</v>
      </c>
      <c r="B2237">
        <f>Sheet1!B2237</f>
        <v>2.1</v>
      </c>
      <c r="C2237">
        <f>IF(Sheet1!B2237&gt;0,1,0)</f>
        <v>1</v>
      </c>
    </row>
    <row r="2238" spans="1:3" x14ac:dyDescent="0.25">
      <c r="A2238" s="15">
        <f>Sheet1!A2238</f>
        <v>0</v>
      </c>
      <c r="B2238">
        <f>Sheet1!B2238</f>
        <v>2.39</v>
      </c>
      <c r="C2238">
        <f>IF(Sheet1!B2238&gt;0,1,0)</f>
        <v>1</v>
      </c>
    </row>
    <row r="2239" spans="1:3" x14ac:dyDescent="0.25">
      <c r="A2239" s="15">
        <f>Sheet1!A2239</f>
        <v>0</v>
      </c>
      <c r="B2239">
        <f>Sheet1!B2239</f>
        <v>1.61</v>
      </c>
      <c r="C2239">
        <f>IF(Sheet1!B2239&gt;0,1,0)</f>
        <v>1</v>
      </c>
    </row>
    <row r="2240" spans="1:3" x14ac:dyDescent="0.25">
      <c r="A2240" s="15">
        <f>Sheet1!A2240</f>
        <v>0</v>
      </c>
      <c r="B2240">
        <f>Sheet1!B2240</f>
        <v>1.06</v>
      </c>
      <c r="C2240">
        <f>IF(Sheet1!B2240&gt;0,1,0)</f>
        <v>1</v>
      </c>
    </row>
    <row r="2241" spans="1:3" x14ac:dyDescent="0.25">
      <c r="A2241" s="15">
        <f>Sheet1!A2241</f>
        <v>0</v>
      </c>
      <c r="B2241">
        <f>Sheet1!B2241</f>
        <v>0.93</v>
      </c>
      <c r="C2241">
        <f>IF(Sheet1!B2241&gt;0,1,0)</f>
        <v>1</v>
      </c>
    </row>
    <row r="2242" spans="1:3" x14ac:dyDescent="0.25">
      <c r="A2242" s="15">
        <f>Sheet1!A2242</f>
        <v>0</v>
      </c>
      <c r="B2242">
        <f>Sheet1!B2242</f>
        <v>0.78</v>
      </c>
      <c r="C2242">
        <f>IF(Sheet1!B2242&gt;0,1,0)</f>
        <v>1</v>
      </c>
    </row>
    <row r="2243" spans="1:3" x14ac:dyDescent="0.25">
      <c r="A2243" s="15">
        <f>Sheet1!A2243</f>
        <v>0</v>
      </c>
      <c r="B2243">
        <f>Sheet1!B2243</f>
        <v>0</v>
      </c>
      <c r="C2243">
        <f>IF(Sheet1!B2243&gt;0,1,0)</f>
        <v>0</v>
      </c>
    </row>
    <row r="2244" spans="1:3" x14ac:dyDescent="0.25">
      <c r="A2244" s="15">
        <f>Sheet1!A2244</f>
        <v>0</v>
      </c>
      <c r="B2244">
        <f>Sheet1!B2244</f>
        <v>0</v>
      </c>
      <c r="C2244">
        <f>IF(Sheet1!B2244&gt;0,1,0)</f>
        <v>0</v>
      </c>
    </row>
    <row r="2245" spans="1:3" x14ac:dyDescent="0.25">
      <c r="A2245" s="15">
        <f>Sheet1!A2245</f>
        <v>0</v>
      </c>
      <c r="B2245">
        <f>Sheet1!B2245</f>
        <v>0</v>
      </c>
      <c r="C2245">
        <f>IF(Sheet1!B2245&gt;0,1,0)</f>
        <v>0</v>
      </c>
    </row>
    <row r="2246" spans="1:3" x14ac:dyDescent="0.25">
      <c r="A2246" s="15">
        <f>Sheet1!A2246</f>
        <v>0</v>
      </c>
      <c r="B2246">
        <f>Sheet1!B2246</f>
        <v>1.53</v>
      </c>
      <c r="C2246">
        <f>IF(Sheet1!B2246&gt;0,1,0)</f>
        <v>1</v>
      </c>
    </row>
    <row r="2247" spans="1:3" x14ac:dyDescent="0.25">
      <c r="A2247" s="15">
        <f>Sheet1!A2247</f>
        <v>0</v>
      </c>
      <c r="B2247">
        <f>Sheet1!B2247</f>
        <v>0</v>
      </c>
      <c r="C2247">
        <f>IF(Sheet1!B2247&gt;0,1,0)</f>
        <v>0</v>
      </c>
    </row>
    <row r="2248" spans="1:3" x14ac:dyDescent="0.25">
      <c r="A2248" s="15">
        <f>Sheet1!A2248</f>
        <v>0</v>
      </c>
      <c r="B2248">
        <f>Sheet1!B2248</f>
        <v>0</v>
      </c>
      <c r="C2248">
        <f>IF(Sheet1!B2248&gt;0,1,0)</f>
        <v>0</v>
      </c>
    </row>
    <row r="2249" spans="1:3" x14ac:dyDescent="0.25">
      <c r="A2249" s="15">
        <f>Sheet1!A2249</f>
        <v>0</v>
      </c>
      <c r="B2249">
        <f>Sheet1!B2249</f>
        <v>0</v>
      </c>
      <c r="C2249">
        <f>IF(Sheet1!B2249&gt;0,1,0)</f>
        <v>0</v>
      </c>
    </row>
    <row r="2250" spans="1:3" x14ac:dyDescent="0.25">
      <c r="A2250" s="15">
        <f>Sheet1!A2250</f>
        <v>0</v>
      </c>
      <c r="B2250">
        <f>Sheet1!B2250</f>
        <v>1.96</v>
      </c>
      <c r="C2250">
        <f>IF(Sheet1!B2250&gt;0,1,0)</f>
        <v>1</v>
      </c>
    </row>
    <row r="2251" spans="1:3" x14ac:dyDescent="0.25">
      <c r="A2251" s="15">
        <f>Sheet1!A2251</f>
        <v>0</v>
      </c>
      <c r="B2251">
        <f>Sheet1!B2251</f>
        <v>0</v>
      </c>
      <c r="C2251">
        <f>IF(Sheet1!B2251&gt;0,1,0)</f>
        <v>0</v>
      </c>
    </row>
    <row r="2252" spans="1:3" x14ac:dyDescent="0.25">
      <c r="A2252" s="15">
        <f>Sheet1!A2252</f>
        <v>0</v>
      </c>
      <c r="B2252">
        <f>Sheet1!B2252</f>
        <v>0</v>
      </c>
      <c r="C2252">
        <f>IF(Sheet1!B2252&gt;0,1,0)</f>
        <v>0</v>
      </c>
    </row>
    <row r="2253" spans="1:3" x14ac:dyDescent="0.25">
      <c r="A2253" s="15">
        <f>Sheet1!A2253</f>
        <v>0</v>
      </c>
      <c r="B2253">
        <f>Sheet1!B2253</f>
        <v>0</v>
      </c>
      <c r="C2253">
        <f>IF(Sheet1!B2253&gt;0,1,0)</f>
        <v>0</v>
      </c>
    </row>
    <row r="2254" spans="1:3" x14ac:dyDescent="0.25">
      <c r="A2254" s="15">
        <f>Sheet1!A2254</f>
        <v>0</v>
      </c>
      <c r="B2254">
        <f>Sheet1!B2254</f>
        <v>0</v>
      </c>
      <c r="C2254">
        <f>IF(Sheet1!B2254&gt;0,1,0)</f>
        <v>0</v>
      </c>
    </row>
    <row r="2255" spans="1:3" x14ac:dyDescent="0.25">
      <c r="A2255" s="15">
        <f>Sheet1!A2255</f>
        <v>0</v>
      </c>
      <c r="B2255">
        <f>Sheet1!B2255</f>
        <v>2.58</v>
      </c>
      <c r="C2255">
        <f>IF(Sheet1!B2255&gt;0,1,0)</f>
        <v>1</v>
      </c>
    </row>
    <row r="2256" spans="1:3" x14ac:dyDescent="0.25">
      <c r="A2256" s="15">
        <f>Sheet1!A2256</f>
        <v>0</v>
      </c>
      <c r="B2256">
        <f>Sheet1!B2256</f>
        <v>2.4300000000000002</v>
      </c>
      <c r="C2256">
        <f>IF(Sheet1!B2256&gt;0,1,0)</f>
        <v>1</v>
      </c>
    </row>
    <row r="2257" spans="1:3" x14ac:dyDescent="0.25">
      <c r="A2257" s="15">
        <f>Sheet1!A2257</f>
        <v>0</v>
      </c>
      <c r="B2257">
        <f>Sheet1!B2257</f>
        <v>2.56</v>
      </c>
      <c r="C2257">
        <f>IF(Sheet1!B2257&gt;0,1,0)</f>
        <v>1</v>
      </c>
    </row>
    <row r="2258" spans="1:3" x14ac:dyDescent="0.25">
      <c r="A2258" s="15">
        <f>Sheet1!A2258</f>
        <v>0</v>
      </c>
      <c r="B2258">
        <f>Sheet1!B2258</f>
        <v>2.88</v>
      </c>
      <c r="C2258">
        <f>IF(Sheet1!B2258&gt;0,1,0)</f>
        <v>1</v>
      </c>
    </row>
    <row r="2259" spans="1:3" x14ac:dyDescent="0.25">
      <c r="A2259" s="15">
        <f>Sheet1!A2259</f>
        <v>0</v>
      </c>
      <c r="B2259">
        <f>Sheet1!B2259</f>
        <v>2.4900000000000002</v>
      </c>
      <c r="C2259">
        <f>IF(Sheet1!B2259&gt;0,1,0)</f>
        <v>1</v>
      </c>
    </row>
    <row r="2260" spans="1:3" x14ac:dyDescent="0.25">
      <c r="A2260" s="15">
        <f>Sheet1!A2260</f>
        <v>0</v>
      </c>
      <c r="B2260">
        <f>Sheet1!B2260</f>
        <v>2.23</v>
      </c>
      <c r="C2260">
        <f>IF(Sheet1!B2260&gt;0,1,0)</f>
        <v>1</v>
      </c>
    </row>
    <row r="2261" spans="1:3" x14ac:dyDescent="0.25">
      <c r="A2261" s="15">
        <f>Sheet1!A2261</f>
        <v>0</v>
      </c>
      <c r="B2261">
        <f>Sheet1!B2261</f>
        <v>1.98</v>
      </c>
      <c r="C2261">
        <f>IF(Sheet1!B2261&gt;0,1,0)</f>
        <v>1</v>
      </c>
    </row>
    <row r="2262" spans="1:3" x14ac:dyDescent="0.25">
      <c r="A2262" s="15">
        <f>Sheet1!A2262</f>
        <v>0</v>
      </c>
      <c r="B2262">
        <f>Sheet1!B2262</f>
        <v>2.61</v>
      </c>
      <c r="C2262">
        <f>IF(Sheet1!B2262&gt;0,1,0)</f>
        <v>1</v>
      </c>
    </row>
    <row r="2263" spans="1:3" x14ac:dyDescent="0.25">
      <c r="A2263" s="15">
        <f>Sheet1!A2263</f>
        <v>0</v>
      </c>
      <c r="B2263">
        <f>Sheet1!B2263</f>
        <v>2.25</v>
      </c>
      <c r="C2263">
        <f>IF(Sheet1!B2263&gt;0,1,0)</f>
        <v>1</v>
      </c>
    </row>
    <row r="2264" spans="1:3" x14ac:dyDescent="0.25">
      <c r="A2264" s="15">
        <f>Sheet1!A2264</f>
        <v>0</v>
      </c>
      <c r="B2264">
        <f>Sheet1!B2264</f>
        <v>0</v>
      </c>
      <c r="C2264">
        <f>IF(Sheet1!B2264&gt;0,1,0)</f>
        <v>0</v>
      </c>
    </row>
    <row r="2265" spans="1:3" x14ac:dyDescent="0.25">
      <c r="A2265" s="15">
        <f>Sheet1!A2265</f>
        <v>0</v>
      </c>
      <c r="B2265">
        <f>Sheet1!B2265</f>
        <v>0</v>
      </c>
      <c r="C2265">
        <f>IF(Sheet1!B2265&gt;0,1,0)</f>
        <v>0</v>
      </c>
    </row>
    <row r="2266" spans="1:3" x14ac:dyDescent="0.25">
      <c r="A2266" s="15">
        <f>Sheet1!A2266</f>
        <v>0</v>
      </c>
      <c r="B2266">
        <f>Sheet1!B2266</f>
        <v>1.01</v>
      </c>
      <c r="C2266">
        <f>IF(Sheet1!B2266&gt;0,1,0)</f>
        <v>1</v>
      </c>
    </row>
    <row r="2267" spans="1:3" x14ac:dyDescent="0.25">
      <c r="A2267" s="15">
        <f>Sheet1!A2267</f>
        <v>0</v>
      </c>
      <c r="B2267">
        <f>Sheet1!B2267</f>
        <v>0</v>
      </c>
      <c r="C2267">
        <f>IF(Sheet1!B2267&gt;0,1,0)</f>
        <v>0</v>
      </c>
    </row>
    <row r="2268" spans="1:3" x14ac:dyDescent="0.25">
      <c r="A2268" s="15">
        <f>Sheet1!A2268</f>
        <v>0</v>
      </c>
      <c r="B2268">
        <f>Sheet1!B2268</f>
        <v>0</v>
      </c>
      <c r="C2268">
        <f>IF(Sheet1!B2268&gt;0,1,0)</f>
        <v>0</v>
      </c>
    </row>
    <row r="2269" spans="1:3" x14ac:dyDescent="0.25">
      <c r="A2269" s="15">
        <f>Sheet1!A2269</f>
        <v>0</v>
      </c>
      <c r="B2269">
        <f>Sheet1!B2269</f>
        <v>0</v>
      </c>
      <c r="C2269">
        <f>IF(Sheet1!B2269&gt;0,1,0)</f>
        <v>0</v>
      </c>
    </row>
    <row r="2270" spans="1:3" x14ac:dyDescent="0.25">
      <c r="A2270" s="15">
        <f>Sheet1!A2270</f>
        <v>0</v>
      </c>
      <c r="B2270">
        <f>Sheet1!B2270</f>
        <v>0.97</v>
      </c>
      <c r="C2270">
        <f>IF(Sheet1!B2270&gt;0,1,0)</f>
        <v>1</v>
      </c>
    </row>
    <row r="2271" spans="1:3" x14ac:dyDescent="0.25">
      <c r="A2271" s="15">
        <f>Sheet1!A2271</f>
        <v>0</v>
      </c>
      <c r="B2271">
        <f>Sheet1!B2271</f>
        <v>0</v>
      </c>
      <c r="C2271">
        <f>IF(Sheet1!B2271&gt;0,1,0)</f>
        <v>0</v>
      </c>
    </row>
    <row r="2272" spans="1:3" x14ac:dyDescent="0.25">
      <c r="A2272" s="15">
        <f>Sheet1!A2272</f>
        <v>0</v>
      </c>
      <c r="B2272">
        <f>Sheet1!B2272</f>
        <v>0</v>
      </c>
      <c r="C2272">
        <f>IF(Sheet1!B2272&gt;0,1,0)</f>
        <v>0</v>
      </c>
    </row>
    <row r="2273" spans="1:3" x14ac:dyDescent="0.25">
      <c r="A2273" s="15">
        <f>Sheet1!A2273</f>
        <v>0</v>
      </c>
      <c r="B2273">
        <f>Sheet1!B2273</f>
        <v>0</v>
      </c>
      <c r="C2273">
        <f>IF(Sheet1!B2273&gt;0,1,0)</f>
        <v>0</v>
      </c>
    </row>
    <row r="2274" spans="1:3" x14ac:dyDescent="0.25">
      <c r="A2274" s="15">
        <f>Sheet1!A2274</f>
        <v>0</v>
      </c>
      <c r="B2274">
        <f>Sheet1!B2274</f>
        <v>0</v>
      </c>
      <c r="C2274">
        <f>IF(Sheet1!B2274&gt;0,1,0)</f>
        <v>0</v>
      </c>
    </row>
    <row r="2275" spans="1:3" x14ac:dyDescent="0.25">
      <c r="A2275" s="15">
        <f>Sheet1!A2275</f>
        <v>0</v>
      </c>
      <c r="B2275">
        <f>Sheet1!B2275</f>
        <v>0</v>
      </c>
      <c r="C2275">
        <f>IF(Sheet1!B2275&gt;0,1,0)</f>
        <v>0</v>
      </c>
    </row>
    <row r="2276" spans="1:3" x14ac:dyDescent="0.25">
      <c r="A2276" s="15">
        <f>Sheet1!A2276</f>
        <v>0</v>
      </c>
      <c r="B2276">
        <f>Sheet1!B2276</f>
        <v>2.02</v>
      </c>
      <c r="C2276">
        <f>IF(Sheet1!B2276&gt;0,1,0)</f>
        <v>1</v>
      </c>
    </row>
    <row r="2277" spans="1:3" x14ac:dyDescent="0.25">
      <c r="A2277" s="15">
        <f>Sheet1!A2277</f>
        <v>0</v>
      </c>
      <c r="B2277">
        <f>Sheet1!B2277</f>
        <v>0</v>
      </c>
      <c r="C2277">
        <f>IF(Sheet1!B2277&gt;0,1,0)</f>
        <v>0</v>
      </c>
    </row>
    <row r="2278" spans="1:3" x14ac:dyDescent="0.25">
      <c r="A2278" s="15">
        <f>Sheet1!A2278</f>
        <v>0</v>
      </c>
      <c r="B2278">
        <f>Sheet1!B2278</f>
        <v>0</v>
      </c>
      <c r="C2278">
        <f>IF(Sheet1!B2278&gt;0,1,0)</f>
        <v>0</v>
      </c>
    </row>
    <row r="2279" spans="1:3" x14ac:dyDescent="0.25">
      <c r="A2279" s="15">
        <f>Sheet1!A2279</f>
        <v>0</v>
      </c>
      <c r="B2279">
        <f>Sheet1!B2279</f>
        <v>0</v>
      </c>
      <c r="C2279">
        <f>IF(Sheet1!B2279&gt;0,1,0)</f>
        <v>0</v>
      </c>
    </row>
    <row r="2280" spans="1:3" x14ac:dyDescent="0.25">
      <c r="A2280" s="15">
        <f>Sheet1!A2280</f>
        <v>0</v>
      </c>
      <c r="B2280">
        <f>Sheet1!B2280</f>
        <v>0</v>
      </c>
      <c r="C2280">
        <f>IF(Sheet1!B2280&gt;0,1,0)</f>
        <v>0</v>
      </c>
    </row>
    <row r="2281" spans="1:3" x14ac:dyDescent="0.25">
      <c r="A2281" s="15">
        <f>Sheet1!A2281</f>
        <v>0</v>
      </c>
      <c r="B2281">
        <f>Sheet1!B2281</f>
        <v>2.65</v>
      </c>
      <c r="C2281">
        <f>IF(Sheet1!B2281&gt;0,1,0)</f>
        <v>1</v>
      </c>
    </row>
    <row r="2282" spans="1:3" x14ac:dyDescent="0.25">
      <c r="A2282" s="15">
        <f>Sheet1!A2282</f>
        <v>0</v>
      </c>
      <c r="B2282">
        <f>Sheet1!B2282</f>
        <v>2.8</v>
      </c>
      <c r="C2282">
        <f>IF(Sheet1!B2282&gt;0,1,0)</f>
        <v>1</v>
      </c>
    </row>
    <row r="2283" spans="1:3" x14ac:dyDescent="0.25">
      <c r="A2283" s="15">
        <f>Sheet1!A2283</f>
        <v>0</v>
      </c>
      <c r="B2283">
        <f>Sheet1!B2283</f>
        <v>2.5499999999999998</v>
      </c>
      <c r="C2283">
        <f>IF(Sheet1!B2283&gt;0,1,0)</f>
        <v>1</v>
      </c>
    </row>
    <row r="2284" spans="1:3" x14ac:dyDescent="0.25">
      <c r="A2284" s="15">
        <f>Sheet1!A2284</f>
        <v>0</v>
      </c>
      <c r="B2284">
        <f>Sheet1!B2284</f>
        <v>2.87</v>
      </c>
      <c r="C2284">
        <f>IF(Sheet1!B2284&gt;0,1,0)</f>
        <v>1</v>
      </c>
    </row>
    <row r="2285" spans="1:3" x14ac:dyDescent="0.25">
      <c r="A2285" s="15">
        <f>Sheet1!A2285</f>
        <v>0</v>
      </c>
      <c r="B2285">
        <f>Sheet1!B2285</f>
        <v>2.52</v>
      </c>
      <c r="C2285">
        <f>IF(Sheet1!B2285&gt;0,1,0)</f>
        <v>1</v>
      </c>
    </row>
    <row r="2286" spans="1:3" x14ac:dyDescent="0.25">
      <c r="A2286" s="15">
        <f>Sheet1!A2286</f>
        <v>0</v>
      </c>
      <c r="B2286">
        <f>Sheet1!B2286</f>
        <v>2.93</v>
      </c>
      <c r="C2286">
        <f>IF(Sheet1!B2286&gt;0,1,0)</f>
        <v>1</v>
      </c>
    </row>
    <row r="2287" spans="1:3" x14ac:dyDescent="0.25">
      <c r="A2287" s="15">
        <f>Sheet1!A2287</f>
        <v>0</v>
      </c>
      <c r="B2287">
        <f>Sheet1!B2287</f>
        <v>2.81</v>
      </c>
      <c r="C2287">
        <f>IF(Sheet1!B2287&gt;0,1,0)</f>
        <v>1</v>
      </c>
    </row>
    <row r="2288" spans="1:3" x14ac:dyDescent="0.25">
      <c r="A2288" s="15">
        <f>Sheet1!A2288</f>
        <v>0</v>
      </c>
      <c r="B2288">
        <f>Sheet1!B2288</f>
        <v>2.23</v>
      </c>
      <c r="C2288">
        <f>IF(Sheet1!B2288&gt;0,1,0)</f>
        <v>1</v>
      </c>
    </row>
    <row r="2289" spans="1:3" x14ac:dyDescent="0.25">
      <c r="A2289" s="15">
        <f>Sheet1!A2289</f>
        <v>0</v>
      </c>
      <c r="B2289">
        <f>Sheet1!B2289</f>
        <v>2.14</v>
      </c>
      <c r="C2289">
        <f>IF(Sheet1!B2289&gt;0,1,0)</f>
        <v>1</v>
      </c>
    </row>
    <row r="2290" spans="1:3" x14ac:dyDescent="0.25">
      <c r="A2290" s="15">
        <f>Sheet1!A2290</f>
        <v>0</v>
      </c>
      <c r="B2290">
        <f>Sheet1!B2290</f>
        <v>1.38</v>
      </c>
      <c r="C2290">
        <f>IF(Sheet1!B2290&gt;0,1,0)</f>
        <v>1</v>
      </c>
    </row>
    <row r="2291" spans="1:3" x14ac:dyDescent="0.25">
      <c r="A2291" s="15">
        <f>Sheet1!A2291</f>
        <v>0</v>
      </c>
      <c r="B2291">
        <f>Sheet1!B2291</f>
        <v>0</v>
      </c>
      <c r="C2291">
        <f>IF(Sheet1!B2291&gt;0,1,0)</f>
        <v>0</v>
      </c>
    </row>
    <row r="2292" spans="1:3" x14ac:dyDescent="0.25">
      <c r="A2292" s="15">
        <f>Sheet1!A2292</f>
        <v>0</v>
      </c>
      <c r="B2292">
        <f>Sheet1!B2292</f>
        <v>0</v>
      </c>
      <c r="C2292">
        <f>IF(Sheet1!B2292&gt;0,1,0)</f>
        <v>0</v>
      </c>
    </row>
    <row r="2293" spans="1:3" x14ac:dyDescent="0.25">
      <c r="A2293" s="15">
        <f>Sheet1!A2293</f>
        <v>0</v>
      </c>
      <c r="B2293">
        <f>Sheet1!B2293</f>
        <v>0</v>
      </c>
      <c r="C2293">
        <f>IF(Sheet1!B2293&gt;0,1,0)</f>
        <v>0</v>
      </c>
    </row>
    <row r="2294" spans="1:3" x14ac:dyDescent="0.25">
      <c r="A2294" s="15">
        <f>Sheet1!A2294</f>
        <v>0</v>
      </c>
      <c r="B2294">
        <f>Sheet1!B2294</f>
        <v>1.02</v>
      </c>
      <c r="C2294">
        <f>IF(Sheet1!B2294&gt;0,1,0)</f>
        <v>1</v>
      </c>
    </row>
    <row r="2295" spans="1:3" x14ac:dyDescent="0.25">
      <c r="A2295" s="15">
        <f>Sheet1!A2295</f>
        <v>0</v>
      </c>
      <c r="B2295">
        <f>Sheet1!B2295</f>
        <v>1.04</v>
      </c>
      <c r="C2295">
        <f>IF(Sheet1!B2295&gt;0,1,0)</f>
        <v>1</v>
      </c>
    </row>
    <row r="2296" spans="1:3" x14ac:dyDescent="0.25">
      <c r="A2296" s="15">
        <f>Sheet1!A2296</f>
        <v>0</v>
      </c>
      <c r="B2296">
        <f>Sheet1!B2296</f>
        <v>1.06</v>
      </c>
      <c r="C2296">
        <f>IF(Sheet1!B2296&gt;0,1,0)</f>
        <v>1</v>
      </c>
    </row>
    <row r="2297" spans="1:3" x14ac:dyDescent="0.25">
      <c r="A2297" s="15">
        <f>Sheet1!A2297</f>
        <v>0</v>
      </c>
      <c r="B2297">
        <f>Sheet1!B2297</f>
        <v>0</v>
      </c>
      <c r="C2297">
        <f>IF(Sheet1!B2297&gt;0,1,0)</f>
        <v>0</v>
      </c>
    </row>
    <row r="2298" spans="1:3" x14ac:dyDescent="0.25">
      <c r="A2298" s="15">
        <f>Sheet1!A2298</f>
        <v>0</v>
      </c>
      <c r="B2298">
        <f>Sheet1!B2298</f>
        <v>0</v>
      </c>
      <c r="C2298">
        <f>IF(Sheet1!B2298&gt;0,1,0)</f>
        <v>0</v>
      </c>
    </row>
    <row r="2299" spans="1:3" x14ac:dyDescent="0.25">
      <c r="A2299" s="15">
        <f>Sheet1!A2299</f>
        <v>0</v>
      </c>
      <c r="B2299">
        <f>Sheet1!B2299</f>
        <v>0</v>
      </c>
      <c r="C2299">
        <f>IF(Sheet1!B2299&gt;0,1,0)</f>
        <v>0</v>
      </c>
    </row>
    <row r="2300" spans="1:3" x14ac:dyDescent="0.25">
      <c r="A2300" s="15">
        <f>Sheet1!A2300</f>
        <v>0</v>
      </c>
      <c r="B2300">
        <f>Sheet1!B2300</f>
        <v>3.66</v>
      </c>
      <c r="C2300">
        <f>IF(Sheet1!B2300&gt;0,1,0)</f>
        <v>1</v>
      </c>
    </row>
    <row r="2301" spans="1:3" x14ac:dyDescent="0.25">
      <c r="A2301" s="15">
        <f>Sheet1!A2301</f>
        <v>0</v>
      </c>
      <c r="B2301">
        <f>Sheet1!B2301</f>
        <v>3.5</v>
      </c>
      <c r="C2301">
        <f>IF(Sheet1!B2301&gt;0,1,0)</f>
        <v>1</v>
      </c>
    </row>
    <row r="2302" spans="1:3" x14ac:dyDescent="0.25">
      <c r="A2302" s="15">
        <f>Sheet1!A2302</f>
        <v>0</v>
      </c>
      <c r="B2302">
        <f>Sheet1!B2302</f>
        <v>3.58</v>
      </c>
      <c r="C2302">
        <f>IF(Sheet1!B2302&gt;0,1,0)</f>
        <v>1</v>
      </c>
    </row>
    <row r="2303" spans="1:3" x14ac:dyDescent="0.25">
      <c r="A2303" s="15">
        <f>Sheet1!A2303</f>
        <v>0</v>
      </c>
      <c r="B2303">
        <f>Sheet1!B2303</f>
        <v>0</v>
      </c>
      <c r="C2303">
        <f>IF(Sheet1!B2303&gt;0,1,0)</f>
        <v>0</v>
      </c>
    </row>
    <row r="2304" spans="1:3" x14ac:dyDescent="0.25">
      <c r="A2304" s="15">
        <f>Sheet1!A2304</f>
        <v>0</v>
      </c>
      <c r="B2304">
        <f>Sheet1!B2304</f>
        <v>2.87</v>
      </c>
      <c r="C2304">
        <f>IF(Sheet1!B2304&gt;0,1,0)</f>
        <v>1</v>
      </c>
    </row>
    <row r="2305" spans="1:3" x14ac:dyDescent="0.25">
      <c r="A2305" s="15">
        <f>Sheet1!A2305</f>
        <v>0</v>
      </c>
      <c r="B2305">
        <f>Sheet1!B2305</f>
        <v>3.69</v>
      </c>
      <c r="C2305">
        <f>IF(Sheet1!B2305&gt;0,1,0)</f>
        <v>1</v>
      </c>
    </row>
    <row r="2306" spans="1:3" x14ac:dyDescent="0.25">
      <c r="A2306" s="15">
        <f>Sheet1!A2306</f>
        <v>0</v>
      </c>
      <c r="B2306">
        <f>Sheet1!B2306</f>
        <v>3.69</v>
      </c>
      <c r="C2306">
        <f>IF(Sheet1!B2306&gt;0,1,0)</f>
        <v>1</v>
      </c>
    </row>
    <row r="2307" spans="1:3" x14ac:dyDescent="0.25">
      <c r="A2307" s="15">
        <f>Sheet1!A2307</f>
        <v>0</v>
      </c>
      <c r="B2307">
        <f>Sheet1!B2307</f>
        <v>3.57</v>
      </c>
      <c r="C2307">
        <f>IF(Sheet1!B2307&gt;0,1,0)</f>
        <v>1</v>
      </c>
    </row>
    <row r="2308" spans="1:3" x14ac:dyDescent="0.25">
      <c r="A2308" s="15">
        <f>Sheet1!A2308</f>
        <v>0</v>
      </c>
      <c r="B2308">
        <f>Sheet1!B2308</f>
        <v>3.61</v>
      </c>
      <c r="C2308">
        <f>IF(Sheet1!B2308&gt;0,1,0)</f>
        <v>1</v>
      </c>
    </row>
    <row r="2309" spans="1:3" x14ac:dyDescent="0.25">
      <c r="A2309" s="15">
        <f>Sheet1!A2309</f>
        <v>0</v>
      </c>
      <c r="B2309">
        <f>Sheet1!B2309</f>
        <v>2.94</v>
      </c>
      <c r="C2309">
        <f>IF(Sheet1!B2309&gt;0,1,0)</f>
        <v>1</v>
      </c>
    </row>
    <row r="2310" spans="1:3" x14ac:dyDescent="0.25">
      <c r="A2310" s="15">
        <f>Sheet1!A2310</f>
        <v>0</v>
      </c>
      <c r="B2310">
        <f>Sheet1!B2310</f>
        <v>3.04</v>
      </c>
      <c r="C2310">
        <f>IF(Sheet1!B2310&gt;0,1,0)</f>
        <v>1</v>
      </c>
    </row>
    <row r="2311" spans="1:3" x14ac:dyDescent="0.25">
      <c r="A2311" s="15">
        <f>Sheet1!A2311</f>
        <v>0</v>
      </c>
      <c r="B2311">
        <f>Sheet1!B2311</f>
        <v>3.12</v>
      </c>
      <c r="C2311">
        <f>IF(Sheet1!B2311&gt;0,1,0)</f>
        <v>1</v>
      </c>
    </row>
    <row r="2312" spans="1:3" x14ac:dyDescent="0.25">
      <c r="A2312" s="15">
        <f>Sheet1!A2312</f>
        <v>0</v>
      </c>
      <c r="B2312">
        <f>Sheet1!B2312</f>
        <v>2.86</v>
      </c>
      <c r="C2312">
        <f>IF(Sheet1!B2312&gt;0,1,0)</f>
        <v>1</v>
      </c>
    </row>
    <row r="2313" spans="1:3" x14ac:dyDescent="0.25">
      <c r="A2313" s="15">
        <f>Sheet1!A2313</f>
        <v>0</v>
      </c>
      <c r="B2313">
        <f>Sheet1!B2313</f>
        <v>0.99</v>
      </c>
      <c r="C2313">
        <f>IF(Sheet1!B2313&gt;0,1,0)</f>
        <v>1</v>
      </c>
    </row>
    <row r="2314" spans="1:3" x14ac:dyDescent="0.25">
      <c r="A2314" s="15">
        <f>Sheet1!A2314</f>
        <v>0</v>
      </c>
      <c r="B2314">
        <f>Sheet1!B2314</f>
        <v>1.53</v>
      </c>
      <c r="C2314">
        <f>IF(Sheet1!B2314&gt;0,1,0)</f>
        <v>1</v>
      </c>
    </row>
    <row r="2315" spans="1:3" x14ac:dyDescent="0.25">
      <c r="A2315" s="15">
        <f>Sheet1!A2315</f>
        <v>0</v>
      </c>
      <c r="B2315">
        <f>Sheet1!B2315</f>
        <v>1.65</v>
      </c>
      <c r="C2315">
        <f>IF(Sheet1!B2315&gt;0,1,0)</f>
        <v>1</v>
      </c>
    </row>
    <row r="2316" spans="1:3" x14ac:dyDescent="0.25">
      <c r="A2316" s="15">
        <f>Sheet1!A2316</f>
        <v>0</v>
      </c>
      <c r="B2316">
        <f>Sheet1!B2316</f>
        <v>0</v>
      </c>
      <c r="C2316">
        <f>IF(Sheet1!B2316&gt;0,1,0)</f>
        <v>0</v>
      </c>
    </row>
    <row r="2317" spans="1:3" x14ac:dyDescent="0.25">
      <c r="A2317" s="15">
        <f>Sheet1!A2317</f>
        <v>0</v>
      </c>
      <c r="B2317">
        <f>Sheet1!B2317</f>
        <v>0</v>
      </c>
      <c r="C2317">
        <f>IF(Sheet1!B2317&gt;0,1,0)</f>
        <v>0</v>
      </c>
    </row>
    <row r="2318" spans="1:3" x14ac:dyDescent="0.25">
      <c r="A2318" s="15">
        <f>Sheet1!A2318</f>
        <v>0</v>
      </c>
      <c r="B2318">
        <f>Sheet1!B2318</f>
        <v>0</v>
      </c>
      <c r="C2318">
        <f>IF(Sheet1!B2318&gt;0,1,0)</f>
        <v>0</v>
      </c>
    </row>
    <row r="2319" spans="1:3" x14ac:dyDescent="0.25">
      <c r="A2319" s="15">
        <f>Sheet1!A2319</f>
        <v>0</v>
      </c>
      <c r="B2319">
        <f>Sheet1!B2319</f>
        <v>0</v>
      </c>
      <c r="C2319">
        <f>IF(Sheet1!B2319&gt;0,1,0)</f>
        <v>0</v>
      </c>
    </row>
    <row r="2320" spans="1:3" x14ac:dyDescent="0.25">
      <c r="A2320" s="15">
        <f>Sheet1!A2320</f>
        <v>0</v>
      </c>
      <c r="B2320">
        <f>Sheet1!B2320</f>
        <v>1.51</v>
      </c>
      <c r="C2320">
        <f>IF(Sheet1!B2320&gt;0,1,0)</f>
        <v>1</v>
      </c>
    </row>
    <row r="2321" spans="1:3" x14ac:dyDescent="0.25">
      <c r="A2321" s="15">
        <f>Sheet1!A2321</f>
        <v>0</v>
      </c>
      <c r="B2321">
        <f>Sheet1!B2321</f>
        <v>0</v>
      </c>
      <c r="C2321">
        <f>IF(Sheet1!B2321&gt;0,1,0)</f>
        <v>0</v>
      </c>
    </row>
    <row r="2322" spans="1:3" x14ac:dyDescent="0.25">
      <c r="A2322" s="15">
        <f>Sheet1!A2322</f>
        <v>0</v>
      </c>
      <c r="B2322">
        <f>Sheet1!B2322</f>
        <v>0</v>
      </c>
      <c r="C2322">
        <f>IF(Sheet1!B2322&gt;0,1,0)</f>
        <v>0</v>
      </c>
    </row>
    <row r="2323" spans="1:3" x14ac:dyDescent="0.25">
      <c r="A2323" s="15">
        <f>Sheet1!A2323</f>
        <v>0</v>
      </c>
      <c r="B2323">
        <f>Sheet1!B2323</f>
        <v>0</v>
      </c>
      <c r="C2323">
        <f>IF(Sheet1!B2323&gt;0,1,0)</f>
        <v>0</v>
      </c>
    </row>
    <row r="2324" spans="1:3" x14ac:dyDescent="0.25">
      <c r="A2324" s="15">
        <f>Sheet1!A2324</f>
        <v>0</v>
      </c>
      <c r="B2324">
        <f>Sheet1!B2324</f>
        <v>0</v>
      </c>
      <c r="C2324">
        <f>IF(Sheet1!B2324&gt;0,1,0)</f>
        <v>0</v>
      </c>
    </row>
    <row r="2325" spans="1:3" x14ac:dyDescent="0.25">
      <c r="A2325" s="15">
        <f>Sheet1!A2325</f>
        <v>0</v>
      </c>
      <c r="B2325">
        <f>Sheet1!B2325</f>
        <v>0</v>
      </c>
      <c r="C2325">
        <f>IF(Sheet1!B2325&gt;0,1,0)</f>
        <v>0</v>
      </c>
    </row>
    <row r="2326" spans="1:3" x14ac:dyDescent="0.25">
      <c r="A2326" s="15">
        <f>Sheet1!A2326</f>
        <v>0</v>
      </c>
      <c r="B2326">
        <f>Sheet1!B2326</f>
        <v>2.63</v>
      </c>
      <c r="C2326">
        <f>IF(Sheet1!B2326&gt;0,1,0)</f>
        <v>1</v>
      </c>
    </row>
    <row r="2327" spans="1:3" x14ac:dyDescent="0.25">
      <c r="A2327" s="15">
        <f>Sheet1!A2327</f>
        <v>0</v>
      </c>
      <c r="B2327">
        <f>Sheet1!B2327</f>
        <v>0</v>
      </c>
      <c r="C2327">
        <f>IF(Sheet1!B2327&gt;0,1,0)</f>
        <v>0</v>
      </c>
    </row>
    <row r="2328" spans="1:3" x14ac:dyDescent="0.25">
      <c r="A2328" s="15">
        <f>Sheet1!A2328</f>
        <v>0</v>
      </c>
      <c r="B2328">
        <f>Sheet1!B2328</f>
        <v>0</v>
      </c>
      <c r="C2328">
        <f>IF(Sheet1!B2328&gt;0,1,0)</f>
        <v>0</v>
      </c>
    </row>
    <row r="2329" spans="1:3" x14ac:dyDescent="0.25">
      <c r="A2329" s="15">
        <f>Sheet1!A2329</f>
        <v>0</v>
      </c>
      <c r="B2329">
        <f>Sheet1!B2329</f>
        <v>3.87</v>
      </c>
      <c r="C2329">
        <f>IF(Sheet1!B2329&gt;0,1,0)</f>
        <v>1</v>
      </c>
    </row>
    <row r="2330" spans="1:3" x14ac:dyDescent="0.25">
      <c r="A2330" s="15">
        <f>Sheet1!A2330</f>
        <v>0</v>
      </c>
      <c r="B2330">
        <f>Sheet1!B2330</f>
        <v>3.43</v>
      </c>
      <c r="C2330">
        <f>IF(Sheet1!B2330&gt;0,1,0)</f>
        <v>1</v>
      </c>
    </row>
    <row r="2331" spans="1:3" x14ac:dyDescent="0.25">
      <c r="A2331" s="15">
        <f>Sheet1!A2331</f>
        <v>0</v>
      </c>
      <c r="B2331">
        <f>Sheet1!B2331</f>
        <v>2.97</v>
      </c>
      <c r="C2331">
        <f>IF(Sheet1!B2331&gt;0,1,0)</f>
        <v>1</v>
      </c>
    </row>
    <row r="2332" spans="1:3" x14ac:dyDescent="0.25">
      <c r="A2332" s="15">
        <f>Sheet1!A2332</f>
        <v>0</v>
      </c>
      <c r="B2332">
        <f>Sheet1!B2332</f>
        <v>3.06</v>
      </c>
      <c r="C2332">
        <f>IF(Sheet1!B2332&gt;0,1,0)</f>
        <v>1</v>
      </c>
    </row>
    <row r="2333" spans="1:3" x14ac:dyDescent="0.25">
      <c r="A2333" s="15">
        <f>Sheet1!A2333</f>
        <v>0</v>
      </c>
      <c r="B2333">
        <f>Sheet1!B2333</f>
        <v>2.7</v>
      </c>
      <c r="C2333">
        <f>IF(Sheet1!B2333&gt;0,1,0)</f>
        <v>1</v>
      </c>
    </row>
    <row r="2334" spans="1:3" x14ac:dyDescent="0.25">
      <c r="A2334" s="15">
        <f>Sheet1!A2334</f>
        <v>0</v>
      </c>
      <c r="B2334">
        <f>Sheet1!B2334</f>
        <v>2.94</v>
      </c>
      <c r="C2334">
        <f>IF(Sheet1!B2334&gt;0,1,0)</f>
        <v>1</v>
      </c>
    </row>
    <row r="2335" spans="1:3" x14ac:dyDescent="0.25">
      <c r="A2335" s="15">
        <f>Sheet1!A2335</f>
        <v>0</v>
      </c>
      <c r="B2335">
        <f>Sheet1!B2335</f>
        <v>3.55</v>
      </c>
      <c r="C2335">
        <f>IF(Sheet1!B2335&gt;0,1,0)</f>
        <v>1</v>
      </c>
    </row>
    <row r="2336" spans="1:3" x14ac:dyDescent="0.25">
      <c r="A2336" s="15">
        <f>Sheet1!A2336</f>
        <v>0</v>
      </c>
      <c r="B2336">
        <f>Sheet1!B2336</f>
        <v>1.92</v>
      </c>
      <c r="C2336">
        <f>IF(Sheet1!B2336&gt;0,1,0)</f>
        <v>1</v>
      </c>
    </row>
    <row r="2337" spans="1:3" x14ac:dyDescent="0.25">
      <c r="A2337" s="15">
        <f>Sheet1!A2337</f>
        <v>0</v>
      </c>
      <c r="B2337">
        <f>Sheet1!B2337</f>
        <v>1.2</v>
      </c>
      <c r="C2337">
        <f>IF(Sheet1!B2337&gt;0,1,0)</f>
        <v>1</v>
      </c>
    </row>
    <row r="2338" spans="1:3" x14ac:dyDescent="0.25">
      <c r="A2338" s="15">
        <f>Sheet1!A2338</f>
        <v>0</v>
      </c>
      <c r="B2338">
        <f>Sheet1!B2338</f>
        <v>1.52</v>
      </c>
      <c r="C2338">
        <f>IF(Sheet1!B2338&gt;0,1,0)</f>
        <v>1</v>
      </c>
    </row>
    <row r="2339" spans="1:3" x14ac:dyDescent="0.25">
      <c r="A2339" s="15">
        <f>Sheet1!A2339</f>
        <v>0</v>
      </c>
      <c r="B2339">
        <f>Sheet1!B2339</f>
        <v>0</v>
      </c>
      <c r="C2339">
        <f>IF(Sheet1!B2339&gt;0,1,0)</f>
        <v>0</v>
      </c>
    </row>
    <row r="2340" spans="1:3" x14ac:dyDescent="0.25">
      <c r="A2340" s="15">
        <f>Sheet1!A2340</f>
        <v>0</v>
      </c>
      <c r="B2340">
        <f>Sheet1!B2340</f>
        <v>0</v>
      </c>
      <c r="C2340">
        <f>IF(Sheet1!B2340&gt;0,1,0)</f>
        <v>0</v>
      </c>
    </row>
    <row r="2341" spans="1:3" x14ac:dyDescent="0.25">
      <c r="A2341" s="15">
        <f>Sheet1!A2341</f>
        <v>0</v>
      </c>
      <c r="B2341">
        <f>Sheet1!B2341</f>
        <v>0</v>
      </c>
      <c r="C2341">
        <f>IF(Sheet1!B2341&gt;0,1,0)</f>
        <v>0</v>
      </c>
    </row>
    <row r="2342" spans="1:3" x14ac:dyDescent="0.25">
      <c r="A2342" s="15">
        <f>Sheet1!A2342</f>
        <v>0</v>
      </c>
      <c r="B2342">
        <f>Sheet1!B2342</f>
        <v>0</v>
      </c>
      <c r="C2342">
        <f>IF(Sheet1!B2342&gt;0,1,0)</f>
        <v>0</v>
      </c>
    </row>
    <row r="2343" spans="1:3" x14ac:dyDescent="0.25">
      <c r="A2343" s="15">
        <f>Sheet1!A2343</f>
        <v>0</v>
      </c>
      <c r="B2343">
        <f>Sheet1!B2343</f>
        <v>0</v>
      </c>
      <c r="C2343">
        <f>IF(Sheet1!B2343&gt;0,1,0)</f>
        <v>0</v>
      </c>
    </row>
    <row r="2344" spans="1:3" x14ac:dyDescent="0.25">
      <c r="A2344" s="15">
        <f>Sheet1!A2344</f>
        <v>0</v>
      </c>
      <c r="B2344">
        <f>Sheet1!B2344</f>
        <v>0</v>
      </c>
      <c r="C2344">
        <f>IF(Sheet1!B2344&gt;0,1,0)</f>
        <v>0</v>
      </c>
    </row>
    <row r="2345" spans="1:3" x14ac:dyDescent="0.25">
      <c r="A2345" s="15">
        <f>Sheet1!A2345</f>
        <v>0</v>
      </c>
      <c r="B2345">
        <f>Sheet1!B2345</f>
        <v>0</v>
      </c>
      <c r="C2345">
        <f>IF(Sheet1!B2345&gt;0,1,0)</f>
        <v>0</v>
      </c>
    </row>
    <row r="2346" spans="1:3" x14ac:dyDescent="0.25">
      <c r="A2346" s="15">
        <f>Sheet1!A2346</f>
        <v>0</v>
      </c>
      <c r="B2346">
        <f>Sheet1!B2346</f>
        <v>0</v>
      </c>
      <c r="C2346">
        <f>IF(Sheet1!B2346&gt;0,1,0)</f>
        <v>0</v>
      </c>
    </row>
    <row r="2347" spans="1:3" x14ac:dyDescent="0.25">
      <c r="A2347" s="15">
        <f>Sheet1!A2347</f>
        <v>0</v>
      </c>
      <c r="B2347">
        <f>Sheet1!B2347</f>
        <v>0</v>
      </c>
      <c r="C2347">
        <f>IF(Sheet1!B2347&gt;0,1,0)</f>
        <v>0</v>
      </c>
    </row>
    <row r="2348" spans="1:3" x14ac:dyDescent="0.25">
      <c r="A2348" s="15">
        <f>Sheet1!A2348</f>
        <v>0</v>
      </c>
      <c r="B2348">
        <f>Sheet1!B2348</f>
        <v>0</v>
      </c>
      <c r="C2348">
        <f>IF(Sheet1!B2348&gt;0,1,0)</f>
        <v>0</v>
      </c>
    </row>
    <row r="2349" spans="1:3" x14ac:dyDescent="0.25">
      <c r="A2349" s="15">
        <f>Sheet1!A2349</f>
        <v>0</v>
      </c>
      <c r="B2349">
        <f>Sheet1!B2349</f>
        <v>0</v>
      </c>
      <c r="C2349">
        <f>IF(Sheet1!B2349&gt;0,1,0)</f>
        <v>0</v>
      </c>
    </row>
    <row r="2350" spans="1:3" x14ac:dyDescent="0.25">
      <c r="A2350" s="15">
        <f>Sheet1!A2350</f>
        <v>0</v>
      </c>
      <c r="B2350">
        <f>Sheet1!B2350</f>
        <v>0</v>
      </c>
      <c r="C2350">
        <f>IF(Sheet1!B2350&gt;0,1,0)</f>
        <v>0</v>
      </c>
    </row>
    <row r="2351" spans="1:3" x14ac:dyDescent="0.25">
      <c r="A2351" s="15">
        <f>Sheet1!A2351</f>
        <v>0</v>
      </c>
      <c r="B2351">
        <f>Sheet1!B2351</f>
        <v>0</v>
      </c>
      <c r="C2351">
        <f>IF(Sheet1!B2351&gt;0,1,0)</f>
        <v>0</v>
      </c>
    </row>
    <row r="2352" spans="1:3" x14ac:dyDescent="0.25">
      <c r="A2352" s="15">
        <f>Sheet1!A2352</f>
        <v>0</v>
      </c>
      <c r="B2352">
        <f>Sheet1!B2352</f>
        <v>0</v>
      </c>
      <c r="C2352">
        <f>IF(Sheet1!B2352&gt;0,1,0)</f>
        <v>0</v>
      </c>
    </row>
    <row r="2353" spans="1:3" x14ac:dyDescent="0.25">
      <c r="A2353" s="15">
        <f>Sheet1!A2353</f>
        <v>0</v>
      </c>
      <c r="B2353">
        <f>Sheet1!B2353</f>
        <v>0</v>
      </c>
      <c r="C2353">
        <f>IF(Sheet1!B2353&gt;0,1,0)</f>
        <v>0</v>
      </c>
    </row>
    <row r="2354" spans="1:3" x14ac:dyDescent="0.25">
      <c r="A2354" s="15">
        <f>Sheet1!A2354</f>
        <v>0</v>
      </c>
      <c r="B2354">
        <f>Sheet1!B2354</f>
        <v>4.13</v>
      </c>
      <c r="C2354">
        <f>IF(Sheet1!B2354&gt;0,1,0)</f>
        <v>1</v>
      </c>
    </row>
    <row r="2355" spans="1:3" x14ac:dyDescent="0.25">
      <c r="A2355" s="15">
        <f>Sheet1!A2355</f>
        <v>0</v>
      </c>
      <c r="B2355">
        <f>Sheet1!B2355</f>
        <v>3.64</v>
      </c>
      <c r="C2355">
        <f>IF(Sheet1!B2355&gt;0,1,0)</f>
        <v>1</v>
      </c>
    </row>
    <row r="2356" spans="1:3" x14ac:dyDescent="0.25">
      <c r="A2356" s="15">
        <f>Sheet1!A2356</f>
        <v>0</v>
      </c>
      <c r="B2356">
        <f>Sheet1!B2356</f>
        <v>3.73</v>
      </c>
      <c r="C2356">
        <f>IF(Sheet1!B2356&gt;0,1,0)</f>
        <v>1</v>
      </c>
    </row>
    <row r="2357" spans="1:3" x14ac:dyDescent="0.25">
      <c r="A2357" s="15">
        <f>Sheet1!A2357</f>
        <v>0</v>
      </c>
      <c r="B2357">
        <f>Sheet1!B2357</f>
        <v>3.2</v>
      </c>
      <c r="C2357">
        <f>IF(Sheet1!B2357&gt;0,1,0)</f>
        <v>1</v>
      </c>
    </row>
    <row r="2358" spans="1:3" x14ac:dyDescent="0.25">
      <c r="A2358" s="15">
        <f>Sheet1!A2358</f>
        <v>0</v>
      </c>
      <c r="B2358">
        <f>Sheet1!B2358</f>
        <v>3.52</v>
      </c>
      <c r="C2358">
        <f>IF(Sheet1!B2358&gt;0,1,0)</f>
        <v>1</v>
      </c>
    </row>
    <row r="2359" spans="1:3" x14ac:dyDescent="0.25">
      <c r="A2359" s="15">
        <f>Sheet1!A2359</f>
        <v>0</v>
      </c>
      <c r="B2359">
        <f>Sheet1!B2359</f>
        <v>2.4</v>
      </c>
      <c r="C2359">
        <f>IF(Sheet1!B2359&gt;0,1,0)</f>
        <v>1</v>
      </c>
    </row>
    <row r="2360" spans="1:3" x14ac:dyDescent="0.25">
      <c r="A2360" s="15">
        <f>Sheet1!A2360</f>
        <v>0</v>
      </c>
      <c r="B2360">
        <f>Sheet1!B2360</f>
        <v>0.56999999999999995</v>
      </c>
      <c r="C2360">
        <f>IF(Sheet1!B2360&gt;0,1,0)</f>
        <v>1</v>
      </c>
    </row>
    <row r="2361" spans="1:3" x14ac:dyDescent="0.25">
      <c r="A2361" s="15">
        <f>Sheet1!A2361</f>
        <v>0</v>
      </c>
      <c r="B2361">
        <f>Sheet1!B2361</f>
        <v>1.24</v>
      </c>
      <c r="C2361">
        <f>IF(Sheet1!B2361&gt;0,1,0)</f>
        <v>1</v>
      </c>
    </row>
    <row r="2362" spans="1:3" x14ac:dyDescent="0.25">
      <c r="A2362" s="15">
        <f>Sheet1!A2362</f>
        <v>0</v>
      </c>
      <c r="B2362">
        <f>Sheet1!B2362</f>
        <v>1.07</v>
      </c>
      <c r="C2362">
        <f>IF(Sheet1!B2362&gt;0,1,0)</f>
        <v>1</v>
      </c>
    </row>
    <row r="2363" spans="1:3" x14ac:dyDescent="0.25">
      <c r="A2363" s="15">
        <f>Sheet1!A2363</f>
        <v>0</v>
      </c>
      <c r="B2363">
        <f>Sheet1!B2363</f>
        <v>0</v>
      </c>
      <c r="C2363">
        <f>IF(Sheet1!B2363&gt;0,1,0)</f>
        <v>0</v>
      </c>
    </row>
    <row r="2364" spans="1:3" x14ac:dyDescent="0.25">
      <c r="A2364" s="15">
        <f>Sheet1!A2364</f>
        <v>0</v>
      </c>
      <c r="B2364">
        <f>Sheet1!B2364</f>
        <v>0</v>
      </c>
      <c r="C2364">
        <f>IF(Sheet1!B2364&gt;0,1,0)</f>
        <v>0</v>
      </c>
    </row>
    <row r="2365" spans="1:3" x14ac:dyDescent="0.25">
      <c r="A2365" s="15">
        <f>Sheet1!A2365</f>
        <v>0</v>
      </c>
      <c r="B2365">
        <f>Sheet1!B2365</f>
        <v>0</v>
      </c>
      <c r="C2365">
        <f>IF(Sheet1!B2365&gt;0,1,0)</f>
        <v>0</v>
      </c>
    </row>
    <row r="2366" spans="1:3" x14ac:dyDescent="0.25">
      <c r="A2366" s="15">
        <f>Sheet1!A2366</f>
        <v>0</v>
      </c>
      <c r="B2366">
        <f>Sheet1!B2366</f>
        <v>0</v>
      </c>
      <c r="C2366">
        <f>IF(Sheet1!B2366&gt;0,1,0)</f>
        <v>0</v>
      </c>
    </row>
    <row r="2367" spans="1:3" x14ac:dyDescent="0.25">
      <c r="A2367" s="15">
        <f>Sheet1!A2367</f>
        <v>0</v>
      </c>
      <c r="B2367">
        <f>Sheet1!B2367</f>
        <v>1.98</v>
      </c>
      <c r="C2367">
        <f>IF(Sheet1!B2367&gt;0,1,0)</f>
        <v>1</v>
      </c>
    </row>
    <row r="2368" spans="1:3" x14ac:dyDescent="0.25">
      <c r="A2368" s="15">
        <f>Sheet1!A2368</f>
        <v>0</v>
      </c>
      <c r="B2368">
        <f>Sheet1!B2368</f>
        <v>0</v>
      </c>
      <c r="C2368">
        <f>IF(Sheet1!B2368&gt;0,1,0)</f>
        <v>0</v>
      </c>
    </row>
    <row r="2369" spans="1:3" x14ac:dyDescent="0.25">
      <c r="A2369" s="15">
        <f>Sheet1!A2369</f>
        <v>0</v>
      </c>
      <c r="B2369">
        <f>Sheet1!B2369</f>
        <v>0</v>
      </c>
      <c r="C2369">
        <f>IF(Sheet1!B2369&gt;0,1,0)</f>
        <v>0</v>
      </c>
    </row>
    <row r="2370" spans="1:3" x14ac:dyDescent="0.25">
      <c r="A2370" s="15">
        <f>Sheet1!A2370</f>
        <v>0</v>
      </c>
      <c r="B2370">
        <f>Sheet1!B2370</f>
        <v>0</v>
      </c>
      <c r="C2370">
        <f>IF(Sheet1!B2370&gt;0,1,0)</f>
        <v>0</v>
      </c>
    </row>
    <row r="2371" spans="1:3" x14ac:dyDescent="0.25">
      <c r="A2371" s="15">
        <f>Sheet1!A2371</f>
        <v>0</v>
      </c>
      <c r="B2371">
        <f>Sheet1!B2371</f>
        <v>0</v>
      </c>
      <c r="C2371">
        <f>IF(Sheet1!B2371&gt;0,1,0)</f>
        <v>0</v>
      </c>
    </row>
    <row r="2372" spans="1:3" x14ac:dyDescent="0.25">
      <c r="A2372" s="15">
        <f>Sheet1!A2372</f>
        <v>0</v>
      </c>
      <c r="B2372">
        <f>Sheet1!B2372</f>
        <v>3.06</v>
      </c>
      <c r="C2372">
        <f>IF(Sheet1!B2372&gt;0,1,0)</f>
        <v>1</v>
      </c>
    </row>
    <row r="2373" spans="1:3" x14ac:dyDescent="0.25">
      <c r="A2373" s="15">
        <f>Sheet1!A2373</f>
        <v>0</v>
      </c>
      <c r="B2373">
        <f>Sheet1!B2373</f>
        <v>0</v>
      </c>
      <c r="C2373">
        <f>IF(Sheet1!B2373&gt;0,1,0)</f>
        <v>0</v>
      </c>
    </row>
    <row r="2374" spans="1:3" x14ac:dyDescent="0.25">
      <c r="A2374" s="15">
        <f>Sheet1!A2374</f>
        <v>0</v>
      </c>
      <c r="B2374">
        <f>Sheet1!B2374</f>
        <v>0</v>
      </c>
      <c r="C2374">
        <f>IF(Sheet1!B2374&gt;0,1,0)</f>
        <v>0</v>
      </c>
    </row>
    <row r="2375" spans="1:3" x14ac:dyDescent="0.25">
      <c r="A2375" s="15">
        <f>Sheet1!A2375</f>
        <v>0</v>
      </c>
      <c r="B2375">
        <f>Sheet1!B2375</f>
        <v>0</v>
      </c>
      <c r="C2375">
        <f>IF(Sheet1!B2375&gt;0,1,0)</f>
        <v>0</v>
      </c>
    </row>
    <row r="2376" spans="1:3" x14ac:dyDescent="0.25">
      <c r="A2376" s="15">
        <f>Sheet1!A2376</f>
        <v>0</v>
      </c>
      <c r="B2376">
        <f>Sheet1!B2376</f>
        <v>0</v>
      </c>
      <c r="C2376">
        <f>IF(Sheet1!B2376&gt;0,1,0)</f>
        <v>0</v>
      </c>
    </row>
    <row r="2377" spans="1:3" x14ac:dyDescent="0.25">
      <c r="A2377" s="15">
        <f>Sheet1!A2377</f>
        <v>0</v>
      </c>
      <c r="B2377">
        <f>Sheet1!B2377</f>
        <v>3.63</v>
      </c>
      <c r="C2377">
        <f>IF(Sheet1!B2377&gt;0,1,0)</f>
        <v>1</v>
      </c>
    </row>
    <row r="2378" spans="1:3" x14ac:dyDescent="0.25">
      <c r="A2378" s="15">
        <f>Sheet1!A2378</f>
        <v>0</v>
      </c>
      <c r="B2378">
        <f>Sheet1!B2378</f>
        <v>3.75</v>
      </c>
      <c r="C2378">
        <f>IF(Sheet1!B2378&gt;0,1,0)</f>
        <v>1</v>
      </c>
    </row>
    <row r="2379" spans="1:3" x14ac:dyDescent="0.25">
      <c r="A2379" s="15">
        <f>Sheet1!A2379</f>
        <v>0</v>
      </c>
      <c r="B2379">
        <f>Sheet1!B2379</f>
        <v>3.67</v>
      </c>
      <c r="C2379">
        <f>IF(Sheet1!B2379&gt;0,1,0)</f>
        <v>1</v>
      </c>
    </row>
    <row r="2380" spans="1:3" x14ac:dyDescent="0.25">
      <c r="A2380" s="15">
        <f>Sheet1!A2380</f>
        <v>0</v>
      </c>
      <c r="B2380">
        <f>Sheet1!B2380</f>
        <v>3.87</v>
      </c>
      <c r="C2380">
        <f>IF(Sheet1!B2380&gt;0,1,0)</f>
        <v>1</v>
      </c>
    </row>
    <row r="2381" spans="1:3" x14ac:dyDescent="0.25">
      <c r="A2381" s="15">
        <f>Sheet1!A2381</f>
        <v>0</v>
      </c>
      <c r="B2381">
        <f>Sheet1!B2381</f>
        <v>3.4</v>
      </c>
      <c r="C2381">
        <f>IF(Sheet1!B2381&gt;0,1,0)</f>
        <v>1</v>
      </c>
    </row>
    <row r="2382" spans="1:3" x14ac:dyDescent="0.25">
      <c r="A2382" s="15">
        <f>Sheet1!A2382</f>
        <v>0</v>
      </c>
      <c r="B2382">
        <f>Sheet1!B2382</f>
        <v>3.27</v>
      </c>
      <c r="C2382">
        <f>IF(Sheet1!B2382&gt;0,1,0)</f>
        <v>1</v>
      </c>
    </row>
    <row r="2383" spans="1:3" x14ac:dyDescent="0.25">
      <c r="A2383" s="15">
        <f>Sheet1!A2383</f>
        <v>0</v>
      </c>
      <c r="B2383">
        <f>Sheet1!B2383</f>
        <v>0</v>
      </c>
      <c r="C2383">
        <f>IF(Sheet1!B2383&gt;0,1,0)</f>
        <v>0</v>
      </c>
    </row>
    <row r="2384" spans="1:3" x14ac:dyDescent="0.25">
      <c r="A2384" s="15">
        <f>Sheet1!A2384</f>
        <v>0</v>
      </c>
      <c r="B2384">
        <f>Sheet1!B2384</f>
        <v>0</v>
      </c>
      <c r="C2384">
        <f>IF(Sheet1!B2384&gt;0,1,0)</f>
        <v>0</v>
      </c>
    </row>
    <row r="2385" spans="1:3" x14ac:dyDescent="0.25">
      <c r="A2385" s="15">
        <f>Sheet1!A2385</f>
        <v>0</v>
      </c>
      <c r="B2385">
        <f>Sheet1!B2385</f>
        <v>1.25</v>
      </c>
      <c r="C2385">
        <f>IF(Sheet1!B2385&gt;0,1,0)</f>
        <v>1</v>
      </c>
    </row>
    <row r="2386" spans="1:3" x14ac:dyDescent="0.25">
      <c r="A2386" s="15">
        <f>Sheet1!A2386</f>
        <v>0</v>
      </c>
      <c r="B2386">
        <f>Sheet1!B2386</f>
        <v>1.31</v>
      </c>
      <c r="C2386">
        <f>IF(Sheet1!B2386&gt;0,1,0)</f>
        <v>1</v>
      </c>
    </row>
    <row r="2387" spans="1:3" x14ac:dyDescent="0.25">
      <c r="A2387" s="15">
        <f>Sheet1!A2387</f>
        <v>0</v>
      </c>
      <c r="B2387">
        <f>Sheet1!B2387</f>
        <v>0</v>
      </c>
      <c r="C2387">
        <f>IF(Sheet1!B2387&gt;0,1,0)</f>
        <v>0</v>
      </c>
    </row>
    <row r="2388" spans="1:3" x14ac:dyDescent="0.25">
      <c r="A2388" s="15">
        <f>Sheet1!A2388</f>
        <v>0</v>
      </c>
      <c r="B2388">
        <f>Sheet1!B2388</f>
        <v>0</v>
      </c>
      <c r="C2388">
        <f>IF(Sheet1!B2388&gt;0,1,0)</f>
        <v>0</v>
      </c>
    </row>
    <row r="2389" spans="1:3" x14ac:dyDescent="0.25">
      <c r="A2389" s="15">
        <f>Sheet1!A2389</f>
        <v>0</v>
      </c>
      <c r="B2389">
        <f>Sheet1!B2389</f>
        <v>0</v>
      </c>
      <c r="C2389">
        <f>IF(Sheet1!B2389&gt;0,1,0)</f>
        <v>0</v>
      </c>
    </row>
    <row r="2390" spans="1:3" x14ac:dyDescent="0.25">
      <c r="A2390" s="15">
        <f>Sheet1!A2390</f>
        <v>0</v>
      </c>
      <c r="B2390">
        <f>Sheet1!B2390</f>
        <v>0</v>
      </c>
      <c r="C2390">
        <f>IF(Sheet1!B2390&gt;0,1,0)</f>
        <v>0</v>
      </c>
    </row>
    <row r="2391" spans="1:3" x14ac:dyDescent="0.25">
      <c r="A2391" s="15">
        <f>Sheet1!A2391</f>
        <v>0</v>
      </c>
      <c r="B2391">
        <f>Sheet1!B2391</f>
        <v>0</v>
      </c>
      <c r="C2391">
        <f>IF(Sheet1!B2391&gt;0,1,0)</f>
        <v>0</v>
      </c>
    </row>
    <row r="2392" spans="1:3" x14ac:dyDescent="0.25">
      <c r="A2392" s="15">
        <f>Sheet1!A2392</f>
        <v>0</v>
      </c>
      <c r="B2392">
        <f>Sheet1!B2392</f>
        <v>2.5</v>
      </c>
      <c r="C2392">
        <f>IF(Sheet1!B2392&gt;0,1,0)</f>
        <v>1</v>
      </c>
    </row>
    <row r="2393" spans="1:3" x14ac:dyDescent="0.25">
      <c r="A2393" s="15">
        <f>Sheet1!A2393</f>
        <v>0</v>
      </c>
      <c r="B2393">
        <f>Sheet1!B2393</f>
        <v>0</v>
      </c>
      <c r="C2393">
        <f>IF(Sheet1!B2393&gt;0,1,0)</f>
        <v>0</v>
      </c>
    </row>
    <row r="2394" spans="1:3" x14ac:dyDescent="0.25">
      <c r="A2394" s="15">
        <f>Sheet1!A2394</f>
        <v>0</v>
      </c>
      <c r="B2394">
        <f>Sheet1!B2394</f>
        <v>0</v>
      </c>
      <c r="C2394">
        <f>IF(Sheet1!B2394&gt;0,1,0)</f>
        <v>0</v>
      </c>
    </row>
    <row r="2395" spans="1:3" x14ac:dyDescent="0.25">
      <c r="A2395" s="15">
        <f>Sheet1!A2395</f>
        <v>0</v>
      </c>
      <c r="B2395">
        <f>Sheet1!B2395</f>
        <v>0</v>
      </c>
      <c r="C2395">
        <f>IF(Sheet1!B2395&gt;0,1,0)</f>
        <v>0</v>
      </c>
    </row>
    <row r="2396" spans="1:3" x14ac:dyDescent="0.25">
      <c r="A2396" s="15">
        <f>Sheet1!A2396</f>
        <v>0</v>
      </c>
      <c r="B2396">
        <f>Sheet1!B2396</f>
        <v>0</v>
      </c>
      <c r="C2396">
        <f>IF(Sheet1!B2396&gt;0,1,0)</f>
        <v>0</v>
      </c>
    </row>
    <row r="2397" spans="1:3" x14ac:dyDescent="0.25">
      <c r="A2397" s="15">
        <f>Sheet1!A2397</f>
        <v>0</v>
      </c>
      <c r="B2397">
        <f>Sheet1!B2397</f>
        <v>3.83</v>
      </c>
      <c r="C2397">
        <f>IF(Sheet1!B2397&gt;0,1,0)</f>
        <v>1</v>
      </c>
    </row>
    <row r="2398" spans="1:3" x14ac:dyDescent="0.25">
      <c r="A2398" s="15">
        <f>Sheet1!A2398</f>
        <v>0</v>
      </c>
      <c r="B2398">
        <f>Sheet1!B2398</f>
        <v>3.22</v>
      </c>
      <c r="C2398">
        <f>IF(Sheet1!B2398&gt;0,1,0)</f>
        <v>1</v>
      </c>
    </row>
    <row r="2399" spans="1:3" x14ac:dyDescent="0.25">
      <c r="A2399" s="15">
        <f>Sheet1!A2399</f>
        <v>0</v>
      </c>
      <c r="B2399">
        <f>Sheet1!B2399</f>
        <v>2.13</v>
      </c>
      <c r="C2399">
        <f>IF(Sheet1!B2399&gt;0,1,0)</f>
        <v>1</v>
      </c>
    </row>
    <row r="2400" spans="1:3" x14ac:dyDescent="0.25">
      <c r="A2400" s="15">
        <f>Sheet1!A2400</f>
        <v>0</v>
      </c>
      <c r="B2400">
        <f>Sheet1!B2400</f>
        <v>2.02</v>
      </c>
      <c r="C2400">
        <f>IF(Sheet1!B2400&gt;0,1,0)</f>
        <v>1</v>
      </c>
    </row>
    <row r="2401" spans="1:3" x14ac:dyDescent="0.25">
      <c r="A2401" s="15">
        <f>Sheet1!A2401</f>
        <v>0</v>
      </c>
      <c r="B2401">
        <f>Sheet1!B2401</f>
        <v>2.4300000000000002</v>
      </c>
      <c r="C2401">
        <f>IF(Sheet1!B2401&gt;0,1,0)</f>
        <v>1</v>
      </c>
    </row>
    <row r="2402" spans="1:3" x14ac:dyDescent="0.25">
      <c r="A2402" s="15">
        <f>Sheet1!A2402</f>
        <v>0</v>
      </c>
      <c r="B2402">
        <f>Sheet1!B2402</f>
        <v>2.0299999999999998</v>
      </c>
      <c r="C2402">
        <f>IF(Sheet1!B2402&gt;0,1,0)</f>
        <v>1</v>
      </c>
    </row>
    <row r="2403" spans="1:3" x14ac:dyDescent="0.25">
      <c r="A2403" s="15">
        <f>Sheet1!A2403</f>
        <v>0</v>
      </c>
      <c r="B2403">
        <f>Sheet1!B2403</f>
        <v>2.16</v>
      </c>
      <c r="C2403">
        <f>IF(Sheet1!B2403&gt;0,1,0)</f>
        <v>1</v>
      </c>
    </row>
    <row r="2404" spans="1:3" x14ac:dyDescent="0.25">
      <c r="A2404" s="15">
        <f>Sheet1!A2404</f>
        <v>0</v>
      </c>
      <c r="B2404">
        <f>Sheet1!B2404</f>
        <v>1.89</v>
      </c>
      <c r="C2404">
        <f>IF(Sheet1!B2404&gt;0,1,0)</f>
        <v>1</v>
      </c>
    </row>
    <row r="2405" spans="1:3" x14ac:dyDescent="0.25">
      <c r="A2405" s="15">
        <f>Sheet1!A2405</f>
        <v>0</v>
      </c>
      <c r="B2405">
        <f>Sheet1!B2405</f>
        <v>1.53</v>
      </c>
      <c r="C2405">
        <f>IF(Sheet1!B2405&gt;0,1,0)</f>
        <v>1</v>
      </c>
    </row>
    <row r="2406" spans="1:3" x14ac:dyDescent="0.25">
      <c r="A2406" s="15">
        <f>Sheet1!A2406</f>
        <v>0</v>
      </c>
      <c r="B2406">
        <f>Sheet1!B2406</f>
        <v>1.88</v>
      </c>
      <c r="C2406">
        <f>IF(Sheet1!B2406&gt;0,1,0)</f>
        <v>1</v>
      </c>
    </row>
    <row r="2407" spans="1:3" x14ac:dyDescent="0.25">
      <c r="A2407" s="15">
        <f>Sheet1!A2407</f>
        <v>0</v>
      </c>
      <c r="B2407">
        <f>Sheet1!B2407</f>
        <v>1.9</v>
      </c>
      <c r="C2407">
        <f>IF(Sheet1!B2407&gt;0,1,0)</f>
        <v>1</v>
      </c>
    </row>
    <row r="2408" spans="1:3" x14ac:dyDescent="0.25">
      <c r="A2408" s="15">
        <f>Sheet1!A2408</f>
        <v>0</v>
      </c>
      <c r="B2408">
        <f>Sheet1!B2408</f>
        <v>1.19</v>
      </c>
      <c r="C2408">
        <f>IF(Sheet1!B2408&gt;0,1,0)</f>
        <v>1</v>
      </c>
    </row>
    <row r="2409" spans="1:3" x14ac:dyDescent="0.25">
      <c r="A2409" s="15">
        <f>Sheet1!A2409</f>
        <v>0</v>
      </c>
      <c r="B2409">
        <f>Sheet1!B2409</f>
        <v>0</v>
      </c>
      <c r="C2409">
        <f>IF(Sheet1!B2409&gt;0,1,0)</f>
        <v>0</v>
      </c>
    </row>
    <row r="2410" spans="1:3" x14ac:dyDescent="0.25">
      <c r="A2410" s="15">
        <f>Sheet1!A2410</f>
        <v>0</v>
      </c>
      <c r="B2410">
        <f>Sheet1!B2410</f>
        <v>0</v>
      </c>
      <c r="C2410">
        <f>IF(Sheet1!B2410&gt;0,1,0)</f>
        <v>0</v>
      </c>
    </row>
    <row r="2411" spans="1:3" x14ac:dyDescent="0.25">
      <c r="A2411" s="15">
        <f>Sheet1!A2411</f>
        <v>0</v>
      </c>
      <c r="B2411">
        <f>Sheet1!B2411</f>
        <v>0</v>
      </c>
      <c r="C2411">
        <f>IF(Sheet1!B2411&gt;0,1,0)</f>
        <v>0</v>
      </c>
    </row>
    <row r="2412" spans="1:3" x14ac:dyDescent="0.25">
      <c r="A2412" s="15">
        <f>Sheet1!A2412</f>
        <v>0</v>
      </c>
      <c r="B2412">
        <f>Sheet1!B2412</f>
        <v>1.22</v>
      </c>
      <c r="C2412">
        <f>IF(Sheet1!B2412&gt;0,1,0)</f>
        <v>1</v>
      </c>
    </row>
    <row r="2413" spans="1:3" x14ac:dyDescent="0.25">
      <c r="A2413" s="15">
        <f>Sheet1!A2413</f>
        <v>0</v>
      </c>
      <c r="B2413">
        <f>Sheet1!B2413</f>
        <v>0</v>
      </c>
      <c r="C2413">
        <f>IF(Sheet1!B2413&gt;0,1,0)</f>
        <v>0</v>
      </c>
    </row>
    <row r="2414" spans="1:3" x14ac:dyDescent="0.25">
      <c r="A2414" s="15">
        <f>Sheet1!A2414</f>
        <v>0</v>
      </c>
      <c r="B2414">
        <f>Sheet1!B2414</f>
        <v>0</v>
      </c>
      <c r="C2414">
        <f>IF(Sheet1!B2414&gt;0,1,0)</f>
        <v>0</v>
      </c>
    </row>
    <row r="2415" spans="1:3" x14ac:dyDescent="0.25">
      <c r="A2415" s="15">
        <f>Sheet1!A2415</f>
        <v>0</v>
      </c>
      <c r="B2415">
        <f>Sheet1!B2415</f>
        <v>0</v>
      </c>
      <c r="C2415">
        <f>IF(Sheet1!B2415&gt;0,1,0)</f>
        <v>0</v>
      </c>
    </row>
    <row r="2416" spans="1:3" x14ac:dyDescent="0.25">
      <c r="A2416" s="15">
        <f>Sheet1!A2416</f>
        <v>0</v>
      </c>
      <c r="B2416">
        <f>Sheet1!B2416</f>
        <v>0</v>
      </c>
      <c r="C2416">
        <f>IF(Sheet1!B2416&gt;0,1,0)</f>
        <v>0</v>
      </c>
    </row>
    <row r="2417" spans="1:3" x14ac:dyDescent="0.25">
      <c r="A2417" s="15">
        <f>Sheet1!A2417</f>
        <v>0</v>
      </c>
      <c r="B2417">
        <f>Sheet1!B2417</f>
        <v>0</v>
      </c>
      <c r="C2417">
        <f>IF(Sheet1!B2417&gt;0,1,0)</f>
        <v>0</v>
      </c>
    </row>
    <row r="2418" spans="1:3" x14ac:dyDescent="0.25">
      <c r="A2418" s="15">
        <f>Sheet1!A2418</f>
        <v>0</v>
      </c>
      <c r="B2418">
        <f>Sheet1!B2418</f>
        <v>1.31</v>
      </c>
      <c r="C2418">
        <f>IF(Sheet1!B2418&gt;0,1,0)</f>
        <v>1</v>
      </c>
    </row>
    <row r="2419" spans="1:3" x14ac:dyDescent="0.25">
      <c r="A2419" s="15">
        <f>Sheet1!A2419</f>
        <v>0</v>
      </c>
      <c r="B2419">
        <f>Sheet1!B2419</f>
        <v>0</v>
      </c>
      <c r="C2419">
        <f>IF(Sheet1!B2419&gt;0,1,0)</f>
        <v>0</v>
      </c>
    </row>
    <row r="2420" spans="1:3" x14ac:dyDescent="0.25">
      <c r="A2420" s="15">
        <f>Sheet1!A2420</f>
        <v>0</v>
      </c>
      <c r="B2420">
        <f>Sheet1!B2420</f>
        <v>0</v>
      </c>
      <c r="C2420">
        <f>IF(Sheet1!B2420&gt;0,1,0)</f>
        <v>0</v>
      </c>
    </row>
    <row r="2421" spans="1:3" x14ac:dyDescent="0.25">
      <c r="A2421" s="15">
        <f>Sheet1!A2421</f>
        <v>0</v>
      </c>
      <c r="B2421">
        <f>Sheet1!B2421</f>
        <v>0</v>
      </c>
      <c r="C2421">
        <f>IF(Sheet1!B2421&gt;0,1,0)</f>
        <v>0</v>
      </c>
    </row>
    <row r="2422" spans="1:3" x14ac:dyDescent="0.25">
      <c r="A2422" s="15">
        <f>Sheet1!A2422</f>
        <v>0</v>
      </c>
      <c r="B2422">
        <f>Sheet1!B2422</f>
        <v>0</v>
      </c>
      <c r="C2422">
        <f>IF(Sheet1!B2422&gt;0,1,0)</f>
        <v>0</v>
      </c>
    </row>
    <row r="2423" spans="1:3" x14ac:dyDescent="0.25">
      <c r="A2423" s="15">
        <f>Sheet1!A2423</f>
        <v>0</v>
      </c>
      <c r="B2423">
        <f>Sheet1!B2423</f>
        <v>2.57</v>
      </c>
      <c r="C2423">
        <f>IF(Sheet1!B2423&gt;0,1,0)</f>
        <v>1</v>
      </c>
    </row>
    <row r="2424" spans="1:3" x14ac:dyDescent="0.25">
      <c r="A2424" s="15">
        <f>Sheet1!A2424</f>
        <v>0</v>
      </c>
      <c r="B2424">
        <f>Sheet1!B2424</f>
        <v>2.4500000000000002</v>
      </c>
      <c r="C2424">
        <f>IF(Sheet1!B2424&gt;0,1,0)</f>
        <v>1</v>
      </c>
    </row>
    <row r="2425" spans="1:3" x14ac:dyDescent="0.25">
      <c r="A2425" s="15">
        <f>Sheet1!A2425</f>
        <v>0</v>
      </c>
      <c r="B2425">
        <f>Sheet1!B2425</f>
        <v>2.54</v>
      </c>
      <c r="C2425">
        <f>IF(Sheet1!B2425&gt;0,1,0)</f>
        <v>1</v>
      </c>
    </row>
    <row r="2426" spans="1:3" x14ac:dyDescent="0.25">
      <c r="A2426" s="15">
        <f>Sheet1!A2426</f>
        <v>0</v>
      </c>
      <c r="B2426">
        <f>Sheet1!B2426</f>
        <v>2.6</v>
      </c>
      <c r="C2426">
        <f>IF(Sheet1!B2426&gt;0,1,0)</f>
        <v>1</v>
      </c>
    </row>
    <row r="2427" spans="1:3" x14ac:dyDescent="0.25">
      <c r="A2427" s="15">
        <f>Sheet1!A2427</f>
        <v>0</v>
      </c>
      <c r="B2427">
        <f>Sheet1!B2427</f>
        <v>2.71</v>
      </c>
      <c r="C2427">
        <f>IF(Sheet1!B2427&gt;0,1,0)</f>
        <v>1</v>
      </c>
    </row>
    <row r="2428" spans="1:3" x14ac:dyDescent="0.25">
      <c r="A2428" s="15">
        <f>Sheet1!A2428</f>
        <v>0</v>
      </c>
      <c r="B2428">
        <f>Sheet1!B2428</f>
        <v>2.2599999999999998</v>
      </c>
      <c r="C2428">
        <f>IF(Sheet1!B2428&gt;0,1,0)</f>
        <v>1</v>
      </c>
    </row>
    <row r="2429" spans="1:3" x14ac:dyDescent="0.25">
      <c r="A2429" s="15">
        <f>Sheet1!A2429</f>
        <v>0</v>
      </c>
      <c r="B2429">
        <f>Sheet1!B2429</f>
        <v>2.2799999999999998</v>
      </c>
      <c r="C2429">
        <f>IF(Sheet1!B2429&gt;0,1,0)</f>
        <v>1</v>
      </c>
    </row>
    <row r="2430" spans="1:3" x14ac:dyDescent="0.25">
      <c r="A2430" s="15">
        <f>Sheet1!A2430</f>
        <v>0</v>
      </c>
      <c r="B2430">
        <f>Sheet1!B2430</f>
        <v>2.2799999999999998</v>
      </c>
      <c r="C2430">
        <f>IF(Sheet1!B2430&gt;0,1,0)</f>
        <v>1</v>
      </c>
    </row>
    <row r="2431" spans="1:3" x14ac:dyDescent="0.25">
      <c r="A2431" s="15">
        <f>Sheet1!A2431</f>
        <v>0</v>
      </c>
      <c r="B2431">
        <f>Sheet1!B2431</f>
        <v>2.81</v>
      </c>
      <c r="C2431">
        <f>IF(Sheet1!B2431&gt;0,1,0)</f>
        <v>1</v>
      </c>
    </row>
    <row r="2432" spans="1:3" x14ac:dyDescent="0.25">
      <c r="A2432" s="15">
        <f>Sheet1!A2432</f>
        <v>0</v>
      </c>
      <c r="B2432">
        <f>Sheet1!B2432</f>
        <v>0.96</v>
      </c>
      <c r="C2432">
        <f>IF(Sheet1!B2432&gt;0,1,0)</f>
        <v>1</v>
      </c>
    </row>
    <row r="2433" spans="1:3" x14ac:dyDescent="0.25">
      <c r="A2433" s="15">
        <f>Sheet1!A2433</f>
        <v>0</v>
      </c>
      <c r="B2433">
        <f>Sheet1!B2433</f>
        <v>1.07</v>
      </c>
      <c r="C2433">
        <f>IF(Sheet1!B2433&gt;0,1,0)</f>
        <v>1</v>
      </c>
    </row>
    <row r="2434" spans="1:3" x14ac:dyDescent="0.25">
      <c r="A2434" s="15">
        <f>Sheet1!A2434</f>
        <v>0</v>
      </c>
      <c r="B2434">
        <f>Sheet1!B2434</f>
        <v>0</v>
      </c>
      <c r="C2434">
        <f>IF(Sheet1!B2434&gt;0,1,0)</f>
        <v>0</v>
      </c>
    </row>
    <row r="2435" spans="1:3" x14ac:dyDescent="0.25">
      <c r="A2435" s="15">
        <f>Sheet1!A2435</f>
        <v>0</v>
      </c>
      <c r="B2435">
        <f>Sheet1!B2435</f>
        <v>0</v>
      </c>
      <c r="C2435">
        <f>IF(Sheet1!B2435&gt;0,1,0)</f>
        <v>0</v>
      </c>
    </row>
    <row r="2436" spans="1:3" x14ac:dyDescent="0.25">
      <c r="A2436" s="15">
        <f>Sheet1!A2436</f>
        <v>0</v>
      </c>
      <c r="B2436">
        <f>Sheet1!B2436</f>
        <v>2.2599999999999998</v>
      </c>
      <c r="C2436">
        <f>IF(Sheet1!B2436&gt;0,1,0)</f>
        <v>1</v>
      </c>
    </row>
    <row r="2437" spans="1:3" x14ac:dyDescent="0.25">
      <c r="A2437" s="15">
        <f>Sheet1!A2437</f>
        <v>0</v>
      </c>
      <c r="B2437">
        <f>Sheet1!B2437</f>
        <v>2.19</v>
      </c>
      <c r="C2437">
        <f>IF(Sheet1!B2437&gt;0,1,0)</f>
        <v>1</v>
      </c>
    </row>
    <row r="2438" spans="1:3" x14ac:dyDescent="0.25">
      <c r="A2438" s="15">
        <f>Sheet1!A2438</f>
        <v>0</v>
      </c>
      <c r="B2438">
        <f>Sheet1!B2438</f>
        <v>1.1200000000000001</v>
      </c>
      <c r="C2438">
        <f>IF(Sheet1!B2438&gt;0,1,0)</f>
        <v>1</v>
      </c>
    </row>
    <row r="2439" spans="1:3" x14ac:dyDescent="0.25">
      <c r="A2439" s="15">
        <f>Sheet1!A2439</f>
        <v>0</v>
      </c>
      <c r="B2439">
        <f>Sheet1!B2439</f>
        <v>0</v>
      </c>
      <c r="C2439">
        <f>IF(Sheet1!B2439&gt;0,1,0)</f>
        <v>0</v>
      </c>
    </row>
    <row r="2440" spans="1:3" x14ac:dyDescent="0.25">
      <c r="A2440" s="15">
        <f>Sheet1!A2440</f>
        <v>0</v>
      </c>
      <c r="B2440">
        <f>Sheet1!B2440</f>
        <v>0</v>
      </c>
      <c r="C2440">
        <f>IF(Sheet1!B2440&gt;0,1,0)</f>
        <v>0</v>
      </c>
    </row>
    <row r="2441" spans="1:3" x14ac:dyDescent="0.25">
      <c r="A2441" s="15">
        <f>Sheet1!A2441</f>
        <v>0</v>
      </c>
      <c r="B2441">
        <f>Sheet1!B2441</f>
        <v>1.69</v>
      </c>
      <c r="C2441">
        <f>IF(Sheet1!B2441&gt;0,1,0)</f>
        <v>1</v>
      </c>
    </row>
    <row r="2442" spans="1:3" x14ac:dyDescent="0.25">
      <c r="A2442" s="15">
        <f>Sheet1!A2442</f>
        <v>0</v>
      </c>
      <c r="B2442">
        <f>Sheet1!B2442</f>
        <v>1.32</v>
      </c>
      <c r="C2442">
        <f>IF(Sheet1!B2442&gt;0,1,0)</f>
        <v>1</v>
      </c>
    </row>
    <row r="2443" spans="1:3" x14ac:dyDescent="0.25">
      <c r="A2443" s="15">
        <f>Sheet1!A2443</f>
        <v>0</v>
      </c>
      <c r="B2443">
        <f>Sheet1!B2443</f>
        <v>1.62</v>
      </c>
      <c r="C2443">
        <f>IF(Sheet1!B2443&gt;0,1,0)</f>
        <v>1</v>
      </c>
    </row>
    <row r="2444" spans="1:3" x14ac:dyDescent="0.25">
      <c r="A2444" s="15">
        <f>Sheet1!A2444</f>
        <v>0</v>
      </c>
      <c r="B2444">
        <f>Sheet1!B2444</f>
        <v>1.42</v>
      </c>
      <c r="C2444">
        <f>IF(Sheet1!B2444&gt;0,1,0)</f>
        <v>1</v>
      </c>
    </row>
    <row r="2445" spans="1:3" x14ac:dyDescent="0.25">
      <c r="A2445" s="15">
        <f>Sheet1!A2445</f>
        <v>0</v>
      </c>
      <c r="B2445">
        <f>Sheet1!B2445</f>
        <v>1.88</v>
      </c>
      <c r="C2445">
        <f>IF(Sheet1!B2445&gt;0,1,0)</f>
        <v>1</v>
      </c>
    </row>
    <row r="2446" spans="1:3" x14ac:dyDescent="0.25">
      <c r="A2446" s="15">
        <f>Sheet1!A2446</f>
        <v>0</v>
      </c>
      <c r="B2446">
        <f>Sheet1!B2446</f>
        <v>2.77</v>
      </c>
      <c r="C2446">
        <f>IF(Sheet1!B2446&gt;0,1,0)</f>
        <v>1</v>
      </c>
    </row>
    <row r="2447" spans="1:3" x14ac:dyDescent="0.25">
      <c r="A2447" s="15">
        <f>Sheet1!A2447</f>
        <v>0</v>
      </c>
      <c r="B2447">
        <f>Sheet1!B2447</f>
        <v>1.6</v>
      </c>
      <c r="C2447">
        <f>IF(Sheet1!B2447&gt;0,1,0)</f>
        <v>1</v>
      </c>
    </row>
    <row r="2448" spans="1:3" x14ac:dyDescent="0.25">
      <c r="A2448" s="15">
        <f>Sheet1!A2448</f>
        <v>0</v>
      </c>
      <c r="B2448">
        <f>Sheet1!B2448</f>
        <v>1.87</v>
      </c>
      <c r="C2448">
        <f>IF(Sheet1!B2448&gt;0,1,0)</f>
        <v>1</v>
      </c>
    </row>
    <row r="2449" spans="1:3" x14ac:dyDescent="0.25">
      <c r="A2449" s="15">
        <f>Sheet1!A2449</f>
        <v>0</v>
      </c>
      <c r="B2449">
        <f>Sheet1!B2449</f>
        <v>1.73</v>
      </c>
      <c r="C2449">
        <f>IF(Sheet1!B2449&gt;0,1,0)</f>
        <v>1</v>
      </c>
    </row>
    <row r="2450" spans="1:3" x14ac:dyDescent="0.25">
      <c r="A2450" s="15">
        <f>Sheet1!A2450</f>
        <v>0</v>
      </c>
      <c r="B2450">
        <f>Sheet1!B2450</f>
        <v>1.82</v>
      </c>
      <c r="C2450">
        <f>IF(Sheet1!B2450&gt;0,1,0)</f>
        <v>1</v>
      </c>
    </row>
    <row r="2451" spans="1:3" x14ac:dyDescent="0.25">
      <c r="A2451" s="15">
        <f>Sheet1!A2451</f>
        <v>0</v>
      </c>
      <c r="B2451">
        <f>Sheet1!B2451</f>
        <v>1.78</v>
      </c>
      <c r="C2451">
        <f>IF(Sheet1!B2451&gt;0,1,0)</f>
        <v>1</v>
      </c>
    </row>
    <row r="2452" spans="1:3" x14ac:dyDescent="0.25">
      <c r="A2452" s="15">
        <f>Sheet1!A2452</f>
        <v>0</v>
      </c>
      <c r="B2452">
        <f>Sheet1!B2452</f>
        <v>1.58</v>
      </c>
      <c r="C2452">
        <f>IF(Sheet1!B2452&gt;0,1,0)</f>
        <v>1</v>
      </c>
    </row>
    <row r="2453" spans="1:3" x14ac:dyDescent="0.25">
      <c r="A2453" s="15">
        <f>Sheet1!A2453</f>
        <v>0</v>
      </c>
      <c r="B2453">
        <f>Sheet1!B2453</f>
        <v>1.31</v>
      </c>
      <c r="C2453">
        <f>IF(Sheet1!B2453&gt;0,1,0)</f>
        <v>1</v>
      </c>
    </row>
    <row r="2454" spans="1:3" x14ac:dyDescent="0.25">
      <c r="A2454" s="15">
        <f>Sheet1!A2454</f>
        <v>0</v>
      </c>
      <c r="B2454">
        <f>Sheet1!B2454</f>
        <v>1.66</v>
      </c>
      <c r="C2454">
        <f>IF(Sheet1!B2454&gt;0,1,0)</f>
        <v>1</v>
      </c>
    </row>
    <row r="2455" spans="1:3" x14ac:dyDescent="0.25">
      <c r="A2455" s="15">
        <f>Sheet1!A2455</f>
        <v>0</v>
      </c>
      <c r="B2455">
        <f>Sheet1!B2455</f>
        <v>1.68</v>
      </c>
      <c r="C2455">
        <f>IF(Sheet1!B2455&gt;0,1,0)</f>
        <v>1</v>
      </c>
    </row>
    <row r="2456" spans="1:3" x14ac:dyDescent="0.25">
      <c r="A2456" s="15">
        <f>Sheet1!A2456</f>
        <v>0</v>
      </c>
      <c r="B2456">
        <f>Sheet1!B2456</f>
        <v>1.2</v>
      </c>
      <c r="C2456">
        <f>IF(Sheet1!B2456&gt;0,1,0)</f>
        <v>1</v>
      </c>
    </row>
    <row r="2457" spans="1:3" x14ac:dyDescent="0.25">
      <c r="A2457" s="15">
        <f>Sheet1!A2457</f>
        <v>0</v>
      </c>
      <c r="B2457">
        <f>Sheet1!B2457</f>
        <v>1.18</v>
      </c>
      <c r="C2457">
        <f>IF(Sheet1!B2457&gt;0,1,0)</f>
        <v>1</v>
      </c>
    </row>
    <row r="2458" spans="1:3" x14ac:dyDescent="0.25">
      <c r="A2458" s="15">
        <f>Sheet1!A2458</f>
        <v>0</v>
      </c>
      <c r="B2458">
        <f>Sheet1!B2458</f>
        <v>1.28</v>
      </c>
      <c r="C2458">
        <f>IF(Sheet1!B2458&gt;0,1,0)</f>
        <v>1</v>
      </c>
    </row>
    <row r="2459" spans="1:3" x14ac:dyDescent="0.25">
      <c r="A2459" s="15">
        <f>Sheet1!A2459</f>
        <v>0</v>
      </c>
      <c r="B2459">
        <f>Sheet1!B2459</f>
        <v>1.1100000000000001</v>
      </c>
      <c r="C2459">
        <f>IF(Sheet1!B2459&gt;0,1,0)</f>
        <v>1</v>
      </c>
    </row>
    <row r="2460" spans="1:3" x14ac:dyDescent="0.25">
      <c r="A2460" s="15">
        <f>Sheet1!A2460</f>
        <v>0</v>
      </c>
      <c r="B2460">
        <f>Sheet1!B2460</f>
        <v>1.32</v>
      </c>
      <c r="C2460">
        <f>IF(Sheet1!B2460&gt;0,1,0)</f>
        <v>1</v>
      </c>
    </row>
    <row r="2461" spans="1:3" x14ac:dyDescent="0.25">
      <c r="A2461" s="15">
        <f>Sheet1!A2461</f>
        <v>0</v>
      </c>
      <c r="B2461">
        <f>Sheet1!B2461</f>
        <v>0</v>
      </c>
      <c r="C2461">
        <f>IF(Sheet1!B2461&gt;0,1,0)</f>
        <v>0</v>
      </c>
    </row>
    <row r="2462" spans="1:3" x14ac:dyDescent="0.25">
      <c r="A2462" s="15">
        <f>Sheet1!A2462</f>
        <v>0</v>
      </c>
      <c r="B2462">
        <f>Sheet1!B2462</f>
        <v>0</v>
      </c>
      <c r="C2462">
        <f>IF(Sheet1!B2462&gt;0,1,0)</f>
        <v>0</v>
      </c>
    </row>
    <row r="2463" spans="1:3" x14ac:dyDescent="0.25">
      <c r="A2463" s="15">
        <f>Sheet1!A2463</f>
        <v>0</v>
      </c>
      <c r="B2463">
        <f>Sheet1!B2463</f>
        <v>0</v>
      </c>
      <c r="C2463">
        <f>IF(Sheet1!B2463&gt;0,1,0)</f>
        <v>0</v>
      </c>
    </row>
    <row r="2464" spans="1:3" x14ac:dyDescent="0.25">
      <c r="A2464" s="15">
        <f>Sheet1!A2464</f>
        <v>0</v>
      </c>
      <c r="B2464">
        <f>Sheet1!B2464</f>
        <v>1.44</v>
      </c>
      <c r="C2464">
        <f>IF(Sheet1!B2464&gt;0,1,0)</f>
        <v>1</v>
      </c>
    </row>
    <row r="2465" spans="1:3" x14ac:dyDescent="0.25">
      <c r="A2465" s="15">
        <f>Sheet1!A2465</f>
        <v>0</v>
      </c>
      <c r="B2465">
        <f>Sheet1!B2465</f>
        <v>0.94</v>
      </c>
      <c r="C2465">
        <f>IF(Sheet1!B2465&gt;0,1,0)</f>
        <v>1</v>
      </c>
    </row>
    <row r="2466" spans="1:3" x14ac:dyDescent="0.25">
      <c r="A2466" s="15">
        <f>Sheet1!A2466</f>
        <v>0</v>
      </c>
      <c r="B2466">
        <f>Sheet1!B2466</f>
        <v>1.44</v>
      </c>
      <c r="C2466">
        <f>IF(Sheet1!B2466&gt;0,1,0)</f>
        <v>1</v>
      </c>
    </row>
    <row r="2467" spans="1:3" x14ac:dyDescent="0.25">
      <c r="A2467" s="15">
        <f>Sheet1!A2467</f>
        <v>0</v>
      </c>
      <c r="B2467">
        <f>Sheet1!B2467</f>
        <v>0</v>
      </c>
      <c r="C2467">
        <f>IF(Sheet1!B2467&gt;0,1,0)</f>
        <v>0</v>
      </c>
    </row>
    <row r="2468" spans="1:3" x14ac:dyDescent="0.25">
      <c r="A2468" s="15">
        <f>Sheet1!A2468</f>
        <v>0</v>
      </c>
      <c r="B2468">
        <f>Sheet1!B2468</f>
        <v>0</v>
      </c>
      <c r="C2468">
        <f>IF(Sheet1!B2468&gt;0,1,0)</f>
        <v>0</v>
      </c>
    </row>
    <row r="2469" spans="1:3" x14ac:dyDescent="0.25">
      <c r="A2469" s="15">
        <f>Sheet1!A2469</f>
        <v>0</v>
      </c>
      <c r="B2469">
        <f>Sheet1!B2469</f>
        <v>0</v>
      </c>
      <c r="C2469">
        <f>IF(Sheet1!B2469&gt;0,1,0)</f>
        <v>0</v>
      </c>
    </row>
    <row r="2470" spans="1:3" x14ac:dyDescent="0.25">
      <c r="A2470" s="15">
        <f>Sheet1!A2470</f>
        <v>0</v>
      </c>
      <c r="B2470">
        <f>Sheet1!B2470</f>
        <v>2.48</v>
      </c>
      <c r="C2470">
        <f>IF(Sheet1!B2470&gt;0,1,0)</f>
        <v>1</v>
      </c>
    </row>
    <row r="2471" spans="1:3" x14ac:dyDescent="0.25">
      <c r="A2471" s="15">
        <f>Sheet1!A2471</f>
        <v>0</v>
      </c>
      <c r="B2471">
        <f>Sheet1!B2471</f>
        <v>2.71</v>
      </c>
      <c r="C2471">
        <f>IF(Sheet1!B2471&gt;0,1,0)</f>
        <v>1</v>
      </c>
    </row>
    <row r="2472" spans="1:3" x14ac:dyDescent="0.25">
      <c r="A2472" s="15">
        <f>Sheet1!A2472</f>
        <v>0</v>
      </c>
      <c r="B2472">
        <f>Sheet1!B2472</f>
        <v>2.19</v>
      </c>
      <c r="C2472">
        <f>IF(Sheet1!B2472&gt;0,1,0)</f>
        <v>1</v>
      </c>
    </row>
    <row r="2473" spans="1:3" x14ac:dyDescent="0.25">
      <c r="A2473" s="15">
        <f>Sheet1!A2473</f>
        <v>0</v>
      </c>
      <c r="B2473">
        <f>Sheet1!B2473</f>
        <v>1.9</v>
      </c>
      <c r="C2473">
        <f>IF(Sheet1!B2473&gt;0,1,0)</f>
        <v>1</v>
      </c>
    </row>
    <row r="2474" spans="1:3" x14ac:dyDescent="0.25">
      <c r="A2474" s="15">
        <f>Sheet1!A2474</f>
        <v>0</v>
      </c>
      <c r="B2474">
        <f>Sheet1!B2474</f>
        <v>1.81</v>
      </c>
      <c r="C2474">
        <f>IF(Sheet1!B2474&gt;0,1,0)</f>
        <v>1</v>
      </c>
    </row>
    <row r="2475" spans="1:3" x14ac:dyDescent="0.25">
      <c r="A2475" s="15">
        <f>Sheet1!A2475</f>
        <v>0</v>
      </c>
      <c r="B2475">
        <f>Sheet1!B2475</f>
        <v>1.8</v>
      </c>
      <c r="C2475">
        <f>IF(Sheet1!B2475&gt;0,1,0)</f>
        <v>1</v>
      </c>
    </row>
    <row r="2476" spans="1:3" x14ac:dyDescent="0.25">
      <c r="A2476" s="15">
        <f>Sheet1!A2476</f>
        <v>0</v>
      </c>
      <c r="B2476">
        <f>Sheet1!B2476</f>
        <v>1.57</v>
      </c>
      <c r="C2476">
        <f>IF(Sheet1!B2476&gt;0,1,0)</f>
        <v>1</v>
      </c>
    </row>
    <row r="2477" spans="1:3" x14ac:dyDescent="0.25">
      <c r="A2477" s="15">
        <f>Sheet1!A2477</f>
        <v>0</v>
      </c>
      <c r="B2477">
        <f>Sheet1!B2477</f>
        <v>1.64</v>
      </c>
      <c r="C2477">
        <f>IF(Sheet1!B2477&gt;0,1,0)</f>
        <v>1</v>
      </c>
    </row>
    <row r="2478" spans="1:3" x14ac:dyDescent="0.25">
      <c r="A2478" s="15">
        <f>Sheet1!A2478</f>
        <v>0</v>
      </c>
      <c r="B2478">
        <f>Sheet1!B2478</f>
        <v>1.93</v>
      </c>
      <c r="C2478">
        <f>IF(Sheet1!B2478&gt;0,1,0)</f>
        <v>1</v>
      </c>
    </row>
    <row r="2479" spans="1:3" x14ac:dyDescent="0.25">
      <c r="A2479" s="15">
        <f>Sheet1!A2479</f>
        <v>0</v>
      </c>
      <c r="B2479">
        <f>Sheet1!B2479</f>
        <v>1.66</v>
      </c>
      <c r="C2479">
        <f>IF(Sheet1!B2479&gt;0,1,0)</f>
        <v>1</v>
      </c>
    </row>
    <row r="2480" spans="1:3" x14ac:dyDescent="0.25">
      <c r="A2480" s="15">
        <f>Sheet1!A2480</f>
        <v>0</v>
      </c>
      <c r="B2480">
        <f>Sheet1!B2480</f>
        <v>1.44</v>
      </c>
      <c r="C2480">
        <f>IF(Sheet1!B2480&gt;0,1,0)</f>
        <v>1</v>
      </c>
    </row>
    <row r="2481" spans="1:3" x14ac:dyDescent="0.25">
      <c r="A2481" s="15">
        <f>Sheet1!A2481</f>
        <v>0</v>
      </c>
      <c r="B2481">
        <f>Sheet1!B2481</f>
        <v>1.06</v>
      </c>
      <c r="C2481">
        <f>IF(Sheet1!B2481&gt;0,1,0)</f>
        <v>1</v>
      </c>
    </row>
    <row r="2482" spans="1:3" x14ac:dyDescent="0.25">
      <c r="A2482" s="15">
        <f>Sheet1!A2482</f>
        <v>0</v>
      </c>
      <c r="B2482">
        <f>Sheet1!B2482</f>
        <v>2.13</v>
      </c>
      <c r="C2482">
        <f>IF(Sheet1!B2482&gt;0,1,0)</f>
        <v>1</v>
      </c>
    </row>
    <row r="2483" spans="1:3" x14ac:dyDescent="0.25">
      <c r="A2483" s="15">
        <f>Sheet1!A2483</f>
        <v>0</v>
      </c>
      <c r="B2483">
        <f>Sheet1!B2483</f>
        <v>0</v>
      </c>
      <c r="C2483">
        <f>IF(Sheet1!B2483&gt;0,1,0)</f>
        <v>0</v>
      </c>
    </row>
    <row r="2484" spans="1:3" x14ac:dyDescent="0.25">
      <c r="A2484" s="15">
        <f>Sheet1!A2484</f>
        <v>0</v>
      </c>
      <c r="B2484">
        <f>Sheet1!B2484</f>
        <v>0</v>
      </c>
      <c r="C2484">
        <f>IF(Sheet1!B2484&gt;0,1,0)</f>
        <v>0</v>
      </c>
    </row>
    <row r="2485" spans="1:3" x14ac:dyDescent="0.25">
      <c r="A2485" s="15">
        <f>Sheet1!A2485</f>
        <v>0</v>
      </c>
      <c r="B2485">
        <f>Sheet1!B2485</f>
        <v>0</v>
      </c>
      <c r="C2485">
        <f>IF(Sheet1!B2485&gt;0,1,0)</f>
        <v>0</v>
      </c>
    </row>
    <row r="2486" spans="1:3" x14ac:dyDescent="0.25">
      <c r="A2486" s="15">
        <f>Sheet1!A2486</f>
        <v>0</v>
      </c>
      <c r="B2486">
        <f>Sheet1!B2486</f>
        <v>1.81</v>
      </c>
      <c r="C2486">
        <f>IF(Sheet1!B2486&gt;0,1,0)</f>
        <v>1</v>
      </c>
    </row>
    <row r="2487" spans="1:3" x14ac:dyDescent="0.25">
      <c r="A2487" s="15">
        <f>Sheet1!A2487</f>
        <v>0</v>
      </c>
      <c r="B2487">
        <f>Sheet1!B2487</f>
        <v>0</v>
      </c>
      <c r="C2487">
        <f>IF(Sheet1!B2487&gt;0,1,0)</f>
        <v>0</v>
      </c>
    </row>
    <row r="2488" spans="1:3" x14ac:dyDescent="0.25">
      <c r="A2488" s="15">
        <f>Sheet1!A2488</f>
        <v>0</v>
      </c>
      <c r="B2488">
        <f>Sheet1!B2488</f>
        <v>0</v>
      </c>
      <c r="C2488">
        <f>IF(Sheet1!B2488&gt;0,1,0)</f>
        <v>0</v>
      </c>
    </row>
    <row r="2489" spans="1:3" x14ac:dyDescent="0.25">
      <c r="A2489" s="15">
        <f>Sheet1!A2489</f>
        <v>0</v>
      </c>
      <c r="B2489">
        <f>Sheet1!B2489</f>
        <v>0</v>
      </c>
      <c r="C2489">
        <f>IF(Sheet1!B2489&gt;0,1,0)</f>
        <v>0</v>
      </c>
    </row>
    <row r="2490" spans="1:3" x14ac:dyDescent="0.25">
      <c r="A2490" s="15">
        <f>Sheet1!A2490</f>
        <v>0</v>
      </c>
      <c r="B2490">
        <f>Sheet1!B2490</f>
        <v>0</v>
      </c>
      <c r="C2490">
        <f>IF(Sheet1!B2490&gt;0,1,0)</f>
        <v>0</v>
      </c>
    </row>
    <row r="2491" spans="1:3" x14ac:dyDescent="0.25">
      <c r="A2491" s="15">
        <f>Sheet1!A2491</f>
        <v>0</v>
      </c>
      <c r="B2491">
        <f>Sheet1!B2491</f>
        <v>0</v>
      </c>
      <c r="C2491">
        <f>IF(Sheet1!B2491&gt;0,1,0)</f>
        <v>0</v>
      </c>
    </row>
    <row r="2492" spans="1:3" x14ac:dyDescent="0.25">
      <c r="A2492" s="15">
        <f>Sheet1!A2492</f>
        <v>0</v>
      </c>
      <c r="B2492">
        <f>Sheet1!B2492</f>
        <v>5.91</v>
      </c>
      <c r="C2492">
        <f>IF(Sheet1!B2492&gt;0,1,0)</f>
        <v>1</v>
      </c>
    </row>
    <row r="2493" spans="1:3" x14ac:dyDescent="0.25">
      <c r="A2493" s="15">
        <f>Sheet1!A2493</f>
        <v>0</v>
      </c>
      <c r="B2493">
        <f>Sheet1!B2493</f>
        <v>2.1</v>
      </c>
      <c r="C2493">
        <f>IF(Sheet1!B2493&gt;0,1,0)</f>
        <v>1</v>
      </c>
    </row>
    <row r="2494" spans="1:3" x14ac:dyDescent="0.25">
      <c r="A2494" s="15">
        <f>Sheet1!A2494</f>
        <v>0</v>
      </c>
      <c r="B2494">
        <f>Sheet1!B2494</f>
        <v>0</v>
      </c>
      <c r="C2494">
        <f>IF(Sheet1!B2494&gt;0,1,0)</f>
        <v>0</v>
      </c>
    </row>
    <row r="2495" spans="1:3" x14ac:dyDescent="0.25">
      <c r="A2495" s="15">
        <f>Sheet1!A2495</f>
        <v>0</v>
      </c>
      <c r="B2495">
        <f>Sheet1!B2495</f>
        <v>2.0299999999999998</v>
      </c>
      <c r="C2495">
        <f>IF(Sheet1!B2495&gt;0,1,0)</f>
        <v>1</v>
      </c>
    </row>
    <row r="2496" spans="1:3" x14ac:dyDescent="0.25">
      <c r="A2496" s="15">
        <f>Sheet1!A2496</f>
        <v>0</v>
      </c>
      <c r="B2496">
        <f>Sheet1!B2496</f>
        <v>2.65</v>
      </c>
      <c r="C2496">
        <f>IF(Sheet1!B2496&gt;0,1,0)</f>
        <v>1</v>
      </c>
    </row>
    <row r="2497" spans="1:3" x14ac:dyDescent="0.25">
      <c r="A2497" s="15">
        <f>Sheet1!A2497</f>
        <v>0</v>
      </c>
      <c r="B2497">
        <f>Sheet1!B2497</f>
        <v>1.42</v>
      </c>
      <c r="C2497">
        <f>IF(Sheet1!B2497&gt;0,1,0)</f>
        <v>1</v>
      </c>
    </row>
    <row r="2498" spans="1:3" x14ac:dyDescent="0.25">
      <c r="A2498" s="15">
        <f>Sheet1!A2498</f>
        <v>0</v>
      </c>
      <c r="B2498">
        <f>Sheet1!B2498</f>
        <v>1.48</v>
      </c>
      <c r="C2498">
        <f>IF(Sheet1!B2498&gt;0,1,0)</f>
        <v>1</v>
      </c>
    </row>
    <row r="2499" spans="1:3" x14ac:dyDescent="0.25">
      <c r="A2499" s="15">
        <f>Sheet1!A2499</f>
        <v>0</v>
      </c>
      <c r="B2499">
        <f>Sheet1!B2499</f>
        <v>1.1299999999999999</v>
      </c>
      <c r="C2499">
        <f>IF(Sheet1!B2499&gt;0,1,0)</f>
        <v>1</v>
      </c>
    </row>
    <row r="2500" spans="1:3" x14ac:dyDescent="0.25">
      <c r="A2500" s="15">
        <f>Sheet1!A2500</f>
        <v>0</v>
      </c>
      <c r="B2500">
        <f>Sheet1!B2500</f>
        <v>2.54</v>
      </c>
      <c r="C2500">
        <f>IF(Sheet1!B2500&gt;0,1,0)</f>
        <v>1</v>
      </c>
    </row>
    <row r="2501" spans="1:3" x14ac:dyDescent="0.25">
      <c r="A2501" s="15">
        <f>Sheet1!A2501</f>
        <v>0</v>
      </c>
      <c r="B2501">
        <f>Sheet1!B2501</f>
        <v>2.4</v>
      </c>
      <c r="C2501">
        <f>IF(Sheet1!B2501&gt;0,1,0)</f>
        <v>1</v>
      </c>
    </row>
    <row r="2502" spans="1:3" x14ac:dyDescent="0.25">
      <c r="A2502" s="15">
        <f>Sheet1!A2502</f>
        <v>0</v>
      </c>
      <c r="B2502">
        <f>Sheet1!B2502</f>
        <v>2.73</v>
      </c>
      <c r="C2502">
        <f>IF(Sheet1!B2502&gt;0,1,0)</f>
        <v>1</v>
      </c>
    </row>
    <row r="2503" spans="1:3" x14ac:dyDescent="0.25">
      <c r="A2503" s="15">
        <f>Sheet1!A2503</f>
        <v>0</v>
      </c>
      <c r="B2503">
        <f>Sheet1!B2503</f>
        <v>0</v>
      </c>
      <c r="C2503">
        <f>IF(Sheet1!B2503&gt;0,1,0)</f>
        <v>0</v>
      </c>
    </row>
    <row r="2504" spans="1:3" x14ac:dyDescent="0.25">
      <c r="A2504" s="15">
        <f>Sheet1!A2504</f>
        <v>0</v>
      </c>
      <c r="B2504">
        <f>Sheet1!B2504</f>
        <v>1.61</v>
      </c>
      <c r="C2504">
        <f>IF(Sheet1!B2504&gt;0,1,0)</f>
        <v>1</v>
      </c>
    </row>
    <row r="2505" spans="1:3" x14ac:dyDescent="0.25">
      <c r="A2505" s="15">
        <f>Sheet1!A2505</f>
        <v>0</v>
      </c>
      <c r="B2505">
        <f>Sheet1!B2505</f>
        <v>1.18</v>
      </c>
      <c r="C2505">
        <f>IF(Sheet1!B2505&gt;0,1,0)</f>
        <v>1</v>
      </c>
    </row>
    <row r="2506" spans="1:3" x14ac:dyDescent="0.25">
      <c r="A2506" s="15">
        <f>Sheet1!A2506</f>
        <v>0</v>
      </c>
      <c r="B2506">
        <f>Sheet1!B2506</f>
        <v>2.86</v>
      </c>
      <c r="C2506">
        <f>IF(Sheet1!B2506&gt;0,1,0)</f>
        <v>1</v>
      </c>
    </row>
    <row r="2507" spans="1:3" x14ac:dyDescent="0.25">
      <c r="A2507" s="15">
        <f>Sheet1!A2507</f>
        <v>0</v>
      </c>
      <c r="B2507">
        <f>Sheet1!B2507</f>
        <v>0</v>
      </c>
      <c r="C2507">
        <f>IF(Sheet1!B2507&gt;0,1,0)</f>
        <v>0</v>
      </c>
    </row>
    <row r="2508" spans="1:3" x14ac:dyDescent="0.25">
      <c r="A2508" s="15">
        <f>Sheet1!A2508</f>
        <v>0</v>
      </c>
      <c r="B2508">
        <f>Sheet1!B2508</f>
        <v>0</v>
      </c>
      <c r="C2508">
        <f>IF(Sheet1!B2508&gt;0,1,0)</f>
        <v>0</v>
      </c>
    </row>
    <row r="2509" spans="1:3" x14ac:dyDescent="0.25">
      <c r="A2509" s="15">
        <f>Sheet1!A2509</f>
        <v>0</v>
      </c>
      <c r="B2509">
        <f>Sheet1!B2509</f>
        <v>0</v>
      </c>
      <c r="C2509">
        <f>IF(Sheet1!B2509&gt;0,1,0)</f>
        <v>0</v>
      </c>
    </row>
    <row r="2510" spans="1:3" x14ac:dyDescent="0.25">
      <c r="A2510" s="15">
        <f>Sheet1!A2510</f>
        <v>0</v>
      </c>
      <c r="B2510">
        <f>Sheet1!B2510</f>
        <v>0</v>
      </c>
      <c r="C2510">
        <f>IF(Sheet1!B2510&gt;0,1,0)</f>
        <v>0</v>
      </c>
    </row>
    <row r="2511" spans="1:3" x14ac:dyDescent="0.25">
      <c r="A2511" s="15">
        <f>Sheet1!A2511</f>
        <v>0</v>
      </c>
      <c r="B2511">
        <f>Sheet1!B2511</f>
        <v>0</v>
      </c>
      <c r="C2511">
        <f>IF(Sheet1!B2511&gt;0,1,0)</f>
        <v>0</v>
      </c>
    </row>
    <row r="2512" spans="1:3" x14ac:dyDescent="0.25">
      <c r="A2512" s="15">
        <f>Sheet1!A2512</f>
        <v>0</v>
      </c>
      <c r="B2512">
        <f>Sheet1!B2512</f>
        <v>0</v>
      </c>
      <c r="C2512">
        <f>IF(Sheet1!B2512&gt;0,1,0)</f>
        <v>0</v>
      </c>
    </row>
    <row r="2513" spans="1:3" x14ac:dyDescent="0.25">
      <c r="A2513" s="15">
        <f>Sheet1!A2513</f>
        <v>0</v>
      </c>
      <c r="B2513">
        <f>Sheet1!B2513</f>
        <v>0</v>
      </c>
      <c r="C2513">
        <f>IF(Sheet1!B2513&gt;0,1,0)</f>
        <v>0</v>
      </c>
    </row>
    <row r="2514" spans="1:3" x14ac:dyDescent="0.25">
      <c r="A2514" s="15">
        <f>Sheet1!A2514</f>
        <v>0</v>
      </c>
      <c r="B2514">
        <f>Sheet1!B2514</f>
        <v>0</v>
      </c>
      <c r="C2514">
        <f>IF(Sheet1!B2514&gt;0,1,0)</f>
        <v>0</v>
      </c>
    </row>
    <row r="2515" spans="1:3" x14ac:dyDescent="0.25">
      <c r="A2515" s="15">
        <f>Sheet1!A2515</f>
        <v>0</v>
      </c>
      <c r="B2515">
        <f>Sheet1!B2515</f>
        <v>0</v>
      </c>
      <c r="C2515">
        <f>IF(Sheet1!B2515&gt;0,1,0)</f>
        <v>0</v>
      </c>
    </row>
    <row r="2516" spans="1:3" x14ac:dyDescent="0.25">
      <c r="A2516" s="15">
        <f>Sheet1!A2516</f>
        <v>0</v>
      </c>
      <c r="B2516">
        <f>Sheet1!B2516</f>
        <v>1.75</v>
      </c>
      <c r="C2516">
        <f>IF(Sheet1!B2516&gt;0,1,0)</f>
        <v>1</v>
      </c>
    </row>
    <row r="2517" spans="1:3" x14ac:dyDescent="0.25">
      <c r="A2517" s="15">
        <f>Sheet1!A2517</f>
        <v>0</v>
      </c>
      <c r="B2517">
        <f>Sheet1!B2517</f>
        <v>0</v>
      </c>
      <c r="C2517">
        <f>IF(Sheet1!B2517&gt;0,1,0)</f>
        <v>0</v>
      </c>
    </row>
    <row r="2518" spans="1:3" x14ac:dyDescent="0.25">
      <c r="A2518" s="15">
        <f>Sheet1!A2518</f>
        <v>0</v>
      </c>
      <c r="B2518">
        <f>Sheet1!B2518</f>
        <v>0</v>
      </c>
      <c r="C2518">
        <f>IF(Sheet1!B2518&gt;0,1,0)</f>
        <v>0</v>
      </c>
    </row>
    <row r="2519" spans="1:3" x14ac:dyDescent="0.25">
      <c r="A2519" s="15">
        <f>Sheet1!A2519</f>
        <v>0</v>
      </c>
      <c r="B2519">
        <f>Sheet1!B2519</f>
        <v>0</v>
      </c>
      <c r="C2519">
        <f>IF(Sheet1!B2519&gt;0,1,0)</f>
        <v>0</v>
      </c>
    </row>
    <row r="2520" spans="1:3" x14ac:dyDescent="0.25">
      <c r="A2520" s="15">
        <f>Sheet1!A2520</f>
        <v>0</v>
      </c>
      <c r="B2520">
        <f>Sheet1!B2520</f>
        <v>1.1299999999999999</v>
      </c>
      <c r="C2520">
        <f>IF(Sheet1!B2520&gt;0,1,0)</f>
        <v>1</v>
      </c>
    </row>
    <row r="2521" spans="1:3" x14ac:dyDescent="0.25">
      <c r="A2521" s="15">
        <f>Sheet1!A2521</f>
        <v>0</v>
      </c>
      <c r="B2521">
        <f>Sheet1!B2521</f>
        <v>1.5</v>
      </c>
      <c r="C2521">
        <f>IF(Sheet1!B2521&gt;0,1,0)</f>
        <v>1</v>
      </c>
    </row>
    <row r="2522" spans="1:3" x14ac:dyDescent="0.25">
      <c r="A2522" s="15">
        <f>Sheet1!A2522</f>
        <v>0</v>
      </c>
      <c r="B2522">
        <f>Sheet1!B2522</f>
        <v>1.47</v>
      </c>
      <c r="C2522">
        <f>IF(Sheet1!B2522&gt;0,1,0)</f>
        <v>1</v>
      </c>
    </row>
    <row r="2523" spans="1:3" x14ac:dyDescent="0.25">
      <c r="A2523" s="15">
        <f>Sheet1!A2523</f>
        <v>0</v>
      </c>
      <c r="B2523">
        <f>Sheet1!B2523</f>
        <v>1.1299999999999999</v>
      </c>
      <c r="C2523">
        <f>IF(Sheet1!B2523&gt;0,1,0)</f>
        <v>1</v>
      </c>
    </row>
    <row r="2524" spans="1:3" x14ac:dyDescent="0.25">
      <c r="A2524" s="15">
        <f>Sheet1!A2524</f>
        <v>0</v>
      </c>
      <c r="B2524">
        <f>Sheet1!B2524</f>
        <v>1.07</v>
      </c>
      <c r="C2524">
        <f>IF(Sheet1!B2524&gt;0,1,0)</f>
        <v>1</v>
      </c>
    </row>
    <row r="2525" spans="1:3" x14ac:dyDescent="0.25">
      <c r="A2525" s="15">
        <f>Sheet1!A2525</f>
        <v>0</v>
      </c>
      <c r="B2525">
        <f>Sheet1!B2525</f>
        <v>1.52</v>
      </c>
      <c r="C2525">
        <f>IF(Sheet1!B2525&gt;0,1,0)</f>
        <v>1</v>
      </c>
    </row>
    <row r="2526" spans="1:3" x14ac:dyDescent="0.25">
      <c r="A2526" s="15">
        <f>Sheet1!A2526</f>
        <v>0</v>
      </c>
      <c r="B2526">
        <f>Sheet1!B2526</f>
        <v>1.25</v>
      </c>
      <c r="C2526">
        <f>IF(Sheet1!B2526&gt;0,1,0)</f>
        <v>1</v>
      </c>
    </row>
    <row r="2527" spans="1:3" x14ac:dyDescent="0.25">
      <c r="A2527" s="15">
        <f>Sheet1!A2527</f>
        <v>0</v>
      </c>
      <c r="B2527">
        <f>Sheet1!B2527</f>
        <v>2.36</v>
      </c>
      <c r="C2527">
        <f>IF(Sheet1!B2527&gt;0,1,0)</f>
        <v>1</v>
      </c>
    </row>
    <row r="2528" spans="1:3" x14ac:dyDescent="0.25">
      <c r="A2528" s="15">
        <f>Sheet1!A2528</f>
        <v>0</v>
      </c>
      <c r="B2528">
        <f>Sheet1!B2528</f>
        <v>0.92</v>
      </c>
      <c r="C2528">
        <f>IF(Sheet1!B2528&gt;0,1,0)</f>
        <v>1</v>
      </c>
    </row>
    <row r="2529" spans="1:3" x14ac:dyDescent="0.25">
      <c r="A2529" s="15">
        <f>Sheet1!A2529</f>
        <v>0</v>
      </c>
      <c r="B2529">
        <f>Sheet1!B2529</f>
        <v>1.37</v>
      </c>
      <c r="C2529">
        <f>IF(Sheet1!B2529&gt;0,1,0)</f>
        <v>1</v>
      </c>
    </row>
    <row r="2530" spans="1:3" x14ac:dyDescent="0.25">
      <c r="A2530" s="15">
        <f>Sheet1!A2530</f>
        <v>0</v>
      </c>
      <c r="B2530">
        <f>Sheet1!B2530</f>
        <v>0</v>
      </c>
      <c r="C2530">
        <f>IF(Sheet1!B2530&gt;0,1,0)</f>
        <v>0</v>
      </c>
    </row>
    <row r="2531" spans="1:3" x14ac:dyDescent="0.25">
      <c r="A2531" s="15">
        <f>Sheet1!A2531</f>
        <v>0</v>
      </c>
      <c r="B2531">
        <f>Sheet1!B2531</f>
        <v>0</v>
      </c>
      <c r="C2531">
        <f>IF(Sheet1!B2531&gt;0,1,0)</f>
        <v>0</v>
      </c>
    </row>
    <row r="2532" spans="1:3" x14ac:dyDescent="0.25">
      <c r="A2532" s="15">
        <f>Sheet1!A2532</f>
        <v>0</v>
      </c>
      <c r="B2532">
        <f>Sheet1!B2532</f>
        <v>0</v>
      </c>
      <c r="C2532">
        <f>IF(Sheet1!B2532&gt;0,1,0)</f>
        <v>0</v>
      </c>
    </row>
    <row r="2533" spans="1:3" x14ac:dyDescent="0.25">
      <c r="A2533" s="15">
        <f>Sheet1!A2533</f>
        <v>0</v>
      </c>
      <c r="B2533">
        <f>Sheet1!B2533</f>
        <v>0</v>
      </c>
      <c r="C2533">
        <f>IF(Sheet1!B2533&gt;0,1,0)</f>
        <v>0</v>
      </c>
    </row>
    <row r="2534" spans="1:3" x14ac:dyDescent="0.25">
      <c r="A2534" s="15">
        <f>Sheet1!A2534</f>
        <v>0</v>
      </c>
      <c r="B2534">
        <f>Sheet1!B2534</f>
        <v>0</v>
      </c>
      <c r="C2534">
        <f>IF(Sheet1!B2534&gt;0,1,0)</f>
        <v>0</v>
      </c>
    </row>
    <row r="2535" spans="1:3" x14ac:dyDescent="0.25">
      <c r="A2535" s="15">
        <f>Sheet1!A2535</f>
        <v>0</v>
      </c>
      <c r="B2535">
        <f>Sheet1!B2535</f>
        <v>0</v>
      </c>
      <c r="C2535">
        <f>IF(Sheet1!B2535&gt;0,1,0)</f>
        <v>0</v>
      </c>
    </row>
    <row r="2536" spans="1:3" x14ac:dyDescent="0.25">
      <c r="A2536" s="15">
        <f>Sheet1!A2536</f>
        <v>0</v>
      </c>
      <c r="B2536">
        <f>Sheet1!B2536</f>
        <v>0</v>
      </c>
      <c r="C2536">
        <f>IF(Sheet1!B2536&gt;0,1,0)</f>
        <v>0</v>
      </c>
    </row>
    <row r="2537" spans="1:3" x14ac:dyDescent="0.25">
      <c r="A2537" s="15">
        <f>Sheet1!A2537</f>
        <v>0</v>
      </c>
      <c r="B2537">
        <f>Sheet1!B2537</f>
        <v>0</v>
      </c>
      <c r="C2537">
        <f>IF(Sheet1!B2537&gt;0,1,0)</f>
        <v>0</v>
      </c>
    </row>
    <row r="2538" spans="1:3" x14ac:dyDescent="0.25">
      <c r="A2538" s="15">
        <f>Sheet1!A2538</f>
        <v>0</v>
      </c>
      <c r="B2538">
        <f>Sheet1!B2538</f>
        <v>1.19</v>
      </c>
      <c r="C2538">
        <f>IF(Sheet1!B2538&gt;0,1,0)</f>
        <v>1</v>
      </c>
    </row>
    <row r="2539" spans="1:3" x14ac:dyDescent="0.25">
      <c r="A2539" s="15">
        <f>Sheet1!A2539</f>
        <v>0</v>
      </c>
      <c r="B2539">
        <f>Sheet1!B2539</f>
        <v>0</v>
      </c>
      <c r="C2539">
        <f>IF(Sheet1!B2539&gt;0,1,0)</f>
        <v>0</v>
      </c>
    </row>
    <row r="2540" spans="1:3" x14ac:dyDescent="0.25">
      <c r="A2540" s="15">
        <f>Sheet1!A2540</f>
        <v>0</v>
      </c>
      <c r="B2540">
        <f>Sheet1!B2540</f>
        <v>0</v>
      </c>
      <c r="C2540">
        <f>IF(Sheet1!B2540&gt;0,1,0)</f>
        <v>0</v>
      </c>
    </row>
    <row r="2541" spans="1:3" x14ac:dyDescent="0.25">
      <c r="A2541" s="15">
        <f>Sheet1!A2541</f>
        <v>0</v>
      </c>
      <c r="B2541">
        <f>Sheet1!B2541</f>
        <v>0</v>
      </c>
      <c r="C2541">
        <f>IF(Sheet1!B2541&gt;0,1,0)</f>
        <v>0</v>
      </c>
    </row>
    <row r="2542" spans="1:3" x14ac:dyDescent="0.25">
      <c r="A2542" s="15">
        <f>Sheet1!A2542</f>
        <v>0</v>
      </c>
      <c r="B2542">
        <f>Sheet1!B2542</f>
        <v>0</v>
      </c>
      <c r="C2542">
        <f>IF(Sheet1!B2542&gt;0,1,0)</f>
        <v>0</v>
      </c>
    </row>
    <row r="2543" spans="1:3" x14ac:dyDescent="0.25">
      <c r="A2543" s="15">
        <f>Sheet1!A2543</f>
        <v>0</v>
      </c>
      <c r="B2543">
        <f>Sheet1!B2543</f>
        <v>0</v>
      </c>
      <c r="C2543">
        <f>IF(Sheet1!B2543&gt;0,1,0)</f>
        <v>0</v>
      </c>
    </row>
    <row r="2544" spans="1:3" x14ac:dyDescent="0.25">
      <c r="A2544" s="15">
        <f>Sheet1!A2544</f>
        <v>0</v>
      </c>
      <c r="B2544">
        <f>Sheet1!B2544</f>
        <v>0</v>
      </c>
      <c r="C2544">
        <f>IF(Sheet1!B2544&gt;0,1,0)</f>
        <v>0</v>
      </c>
    </row>
    <row r="2545" spans="1:3" x14ac:dyDescent="0.25">
      <c r="A2545" s="15">
        <f>Sheet1!A2545</f>
        <v>0</v>
      </c>
      <c r="B2545">
        <f>Sheet1!B2545</f>
        <v>0</v>
      </c>
      <c r="C2545">
        <f>IF(Sheet1!B2545&gt;0,1,0)</f>
        <v>0</v>
      </c>
    </row>
    <row r="2546" spans="1:3" x14ac:dyDescent="0.25">
      <c r="A2546" s="15">
        <f>Sheet1!A2546</f>
        <v>0</v>
      </c>
      <c r="B2546">
        <f>Sheet1!B2546</f>
        <v>4.41</v>
      </c>
      <c r="C2546">
        <f>IF(Sheet1!B2546&gt;0,1,0)</f>
        <v>1</v>
      </c>
    </row>
    <row r="2547" spans="1:3" x14ac:dyDescent="0.25">
      <c r="A2547" s="15">
        <f>Sheet1!A2547</f>
        <v>0</v>
      </c>
      <c r="B2547">
        <f>Sheet1!B2547</f>
        <v>4.12</v>
      </c>
      <c r="C2547">
        <f>IF(Sheet1!B2547&gt;0,1,0)</f>
        <v>1</v>
      </c>
    </row>
    <row r="2548" spans="1:3" x14ac:dyDescent="0.25">
      <c r="A2548" s="15">
        <f>Sheet1!A2548</f>
        <v>0</v>
      </c>
      <c r="B2548">
        <f>Sheet1!B2548</f>
        <v>4.07</v>
      </c>
      <c r="C2548">
        <f>IF(Sheet1!B2548&gt;0,1,0)</f>
        <v>1</v>
      </c>
    </row>
    <row r="2549" spans="1:3" x14ac:dyDescent="0.25">
      <c r="A2549" s="15">
        <f>Sheet1!A2549</f>
        <v>0</v>
      </c>
      <c r="B2549">
        <f>Sheet1!B2549</f>
        <v>3.82</v>
      </c>
      <c r="C2549">
        <f>IF(Sheet1!B2549&gt;0,1,0)</f>
        <v>1</v>
      </c>
    </row>
    <row r="2550" spans="1:3" x14ac:dyDescent="0.25">
      <c r="A2550" s="15">
        <f>Sheet1!A2550</f>
        <v>0</v>
      </c>
      <c r="B2550">
        <f>Sheet1!B2550</f>
        <v>4.34</v>
      </c>
      <c r="C2550">
        <f>IF(Sheet1!B2550&gt;0,1,0)</f>
        <v>1</v>
      </c>
    </row>
    <row r="2551" spans="1:3" x14ac:dyDescent="0.25">
      <c r="A2551" s="15">
        <f>Sheet1!A2551</f>
        <v>0</v>
      </c>
      <c r="B2551">
        <f>Sheet1!B2551</f>
        <v>3.71</v>
      </c>
      <c r="C2551">
        <f>IF(Sheet1!B2551&gt;0,1,0)</f>
        <v>1</v>
      </c>
    </row>
    <row r="2552" spans="1:3" x14ac:dyDescent="0.25">
      <c r="A2552" s="15">
        <f>Sheet1!A2552</f>
        <v>0</v>
      </c>
      <c r="B2552">
        <f>Sheet1!B2552</f>
        <v>0</v>
      </c>
      <c r="C2552">
        <f>IF(Sheet1!B2552&gt;0,1,0)</f>
        <v>0</v>
      </c>
    </row>
    <row r="2553" spans="1:3" x14ac:dyDescent="0.25">
      <c r="A2553" s="15">
        <f>Sheet1!A2553</f>
        <v>0</v>
      </c>
      <c r="B2553">
        <f>Sheet1!B2553</f>
        <v>0</v>
      </c>
      <c r="C2553">
        <f>IF(Sheet1!B2553&gt;0,1,0)</f>
        <v>0</v>
      </c>
    </row>
    <row r="2554" spans="1:3" x14ac:dyDescent="0.25">
      <c r="A2554" s="15">
        <f>Sheet1!A2554</f>
        <v>0</v>
      </c>
      <c r="B2554">
        <f>Sheet1!B2554</f>
        <v>1.0900000000000001</v>
      </c>
      <c r="C2554">
        <f>IF(Sheet1!B2554&gt;0,1,0)</f>
        <v>1</v>
      </c>
    </row>
    <row r="2555" spans="1:3" x14ac:dyDescent="0.25">
      <c r="A2555" s="15">
        <f>Sheet1!A2555</f>
        <v>0</v>
      </c>
      <c r="B2555">
        <f>Sheet1!B2555</f>
        <v>0</v>
      </c>
      <c r="C2555">
        <f>IF(Sheet1!B2555&gt;0,1,0)</f>
        <v>0</v>
      </c>
    </row>
    <row r="2556" spans="1:3" x14ac:dyDescent="0.25">
      <c r="A2556" s="15">
        <f>Sheet1!A2556</f>
        <v>0</v>
      </c>
      <c r="B2556">
        <f>Sheet1!B2556</f>
        <v>0</v>
      </c>
      <c r="C2556">
        <f>IF(Sheet1!B2556&gt;0,1,0)</f>
        <v>0</v>
      </c>
    </row>
    <row r="2557" spans="1:3" x14ac:dyDescent="0.25">
      <c r="A2557" s="15">
        <f>Sheet1!A2557</f>
        <v>0</v>
      </c>
      <c r="B2557">
        <f>Sheet1!B2557</f>
        <v>0</v>
      </c>
      <c r="C2557">
        <f>IF(Sheet1!B2557&gt;0,1,0)</f>
        <v>0</v>
      </c>
    </row>
    <row r="2558" spans="1:3" x14ac:dyDescent="0.25">
      <c r="A2558" s="15">
        <f>Sheet1!A2558</f>
        <v>0</v>
      </c>
      <c r="B2558">
        <f>Sheet1!B2558</f>
        <v>0</v>
      </c>
      <c r="C2558">
        <f>IF(Sheet1!B2558&gt;0,1,0)</f>
        <v>0</v>
      </c>
    </row>
    <row r="2559" spans="1:3" x14ac:dyDescent="0.25">
      <c r="A2559" s="15">
        <f>Sheet1!A2559</f>
        <v>0</v>
      </c>
      <c r="B2559">
        <f>Sheet1!B2559</f>
        <v>0</v>
      </c>
      <c r="C2559">
        <f>IF(Sheet1!B2559&gt;0,1,0)</f>
        <v>0</v>
      </c>
    </row>
    <row r="2560" spans="1:3" x14ac:dyDescent="0.25">
      <c r="A2560" s="15">
        <f>Sheet1!A2560</f>
        <v>0</v>
      </c>
      <c r="B2560">
        <f>Sheet1!B2560</f>
        <v>4.24</v>
      </c>
      <c r="C2560">
        <f>IF(Sheet1!B2560&gt;0,1,0)</f>
        <v>1</v>
      </c>
    </row>
    <row r="2561" spans="1:3" x14ac:dyDescent="0.25">
      <c r="A2561" s="15">
        <f>Sheet1!A2561</f>
        <v>0</v>
      </c>
      <c r="B2561">
        <f>Sheet1!B2561</f>
        <v>0</v>
      </c>
      <c r="C2561">
        <f>IF(Sheet1!B2561&gt;0,1,0)</f>
        <v>0</v>
      </c>
    </row>
    <row r="2562" spans="1:3" x14ac:dyDescent="0.25">
      <c r="A2562" s="15">
        <f>Sheet1!A2562</f>
        <v>0</v>
      </c>
      <c r="B2562">
        <f>Sheet1!B2562</f>
        <v>0</v>
      </c>
      <c r="C2562">
        <f>IF(Sheet1!B2562&gt;0,1,0)</f>
        <v>0</v>
      </c>
    </row>
    <row r="2563" spans="1:3" x14ac:dyDescent="0.25">
      <c r="A2563" s="15">
        <f>Sheet1!A2563</f>
        <v>0</v>
      </c>
      <c r="B2563">
        <f>Sheet1!B2563</f>
        <v>0</v>
      </c>
      <c r="C2563">
        <f>IF(Sheet1!B2563&gt;0,1,0)</f>
        <v>0</v>
      </c>
    </row>
    <row r="2564" spans="1:3" x14ac:dyDescent="0.25">
      <c r="A2564" s="15">
        <f>Sheet1!A2564</f>
        <v>0</v>
      </c>
      <c r="B2564">
        <f>Sheet1!B2564</f>
        <v>0</v>
      </c>
      <c r="C2564">
        <f>IF(Sheet1!B2564&gt;0,1,0)</f>
        <v>0</v>
      </c>
    </row>
    <row r="2565" spans="1:3" x14ac:dyDescent="0.25">
      <c r="A2565" s="15">
        <f>Sheet1!A2565</f>
        <v>0</v>
      </c>
      <c r="B2565">
        <f>Sheet1!B2565</f>
        <v>2.83</v>
      </c>
      <c r="C2565">
        <f>IF(Sheet1!B2565&gt;0,1,0)</f>
        <v>1</v>
      </c>
    </row>
    <row r="2566" spans="1:3" x14ac:dyDescent="0.25">
      <c r="A2566" s="15">
        <f>Sheet1!A2566</f>
        <v>0</v>
      </c>
      <c r="B2566">
        <f>Sheet1!B2566</f>
        <v>2.36</v>
      </c>
      <c r="C2566">
        <f>IF(Sheet1!B2566&gt;0,1,0)</f>
        <v>1</v>
      </c>
    </row>
    <row r="2567" spans="1:3" x14ac:dyDescent="0.25">
      <c r="A2567" s="15">
        <f>Sheet1!A2567</f>
        <v>0</v>
      </c>
      <c r="B2567">
        <f>Sheet1!B2567</f>
        <v>0</v>
      </c>
      <c r="C2567">
        <f>IF(Sheet1!B2567&gt;0,1,0)</f>
        <v>0</v>
      </c>
    </row>
    <row r="2568" spans="1:3" x14ac:dyDescent="0.25">
      <c r="A2568" s="15">
        <f>Sheet1!A2568</f>
        <v>0</v>
      </c>
      <c r="B2568">
        <f>Sheet1!B2568</f>
        <v>1.71</v>
      </c>
      <c r="C2568">
        <f>IF(Sheet1!B2568&gt;0,1,0)</f>
        <v>1</v>
      </c>
    </row>
    <row r="2569" spans="1:3" x14ac:dyDescent="0.25">
      <c r="A2569" s="15">
        <f>Sheet1!A2569</f>
        <v>0</v>
      </c>
      <c r="B2569">
        <f>Sheet1!B2569</f>
        <v>2.79</v>
      </c>
      <c r="C2569">
        <f>IF(Sheet1!B2569&gt;0,1,0)</f>
        <v>1</v>
      </c>
    </row>
    <row r="2570" spans="1:3" x14ac:dyDescent="0.25">
      <c r="A2570" s="15">
        <f>Sheet1!A2570</f>
        <v>0</v>
      </c>
      <c r="B2570">
        <f>Sheet1!B2570</f>
        <v>2.41</v>
      </c>
      <c r="C2570">
        <f>IF(Sheet1!B2570&gt;0,1,0)</f>
        <v>1</v>
      </c>
    </row>
    <row r="2571" spans="1:3" x14ac:dyDescent="0.25">
      <c r="A2571" s="15">
        <f>Sheet1!A2571</f>
        <v>0</v>
      </c>
      <c r="B2571">
        <f>Sheet1!B2571</f>
        <v>2.52</v>
      </c>
      <c r="C2571">
        <f>IF(Sheet1!B2571&gt;0,1,0)</f>
        <v>1</v>
      </c>
    </row>
    <row r="2572" spans="1:3" x14ac:dyDescent="0.25">
      <c r="A2572" s="15">
        <f>Sheet1!A2572</f>
        <v>0</v>
      </c>
      <c r="B2572">
        <f>Sheet1!B2572</f>
        <v>2.15</v>
      </c>
      <c r="C2572">
        <f>IF(Sheet1!B2572&gt;0,1,0)</f>
        <v>1</v>
      </c>
    </row>
    <row r="2573" spans="1:3" x14ac:dyDescent="0.25">
      <c r="A2573" s="15">
        <f>Sheet1!A2573</f>
        <v>0</v>
      </c>
      <c r="B2573">
        <f>Sheet1!B2573</f>
        <v>2.1</v>
      </c>
      <c r="C2573">
        <f>IF(Sheet1!B2573&gt;0,1,0)</f>
        <v>1</v>
      </c>
    </row>
    <row r="2574" spans="1:3" x14ac:dyDescent="0.25">
      <c r="A2574" s="15">
        <f>Sheet1!A2574</f>
        <v>0</v>
      </c>
      <c r="B2574">
        <f>Sheet1!B2574</f>
        <v>2.73</v>
      </c>
      <c r="C2574">
        <f>IF(Sheet1!B2574&gt;0,1,0)</f>
        <v>1</v>
      </c>
    </row>
    <row r="2575" spans="1:3" x14ac:dyDescent="0.25">
      <c r="A2575" s="15">
        <f>Sheet1!A2575</f>
        <v>0</v>
      </c>
      <c r="B2575">
        <f>Sheet1!B2575</f>
        <v>0.42</v>
      </c>
      <c r="C2575">
        <f>IF(Sheet1!B2575&gt;0,1,0)</f>
        <v>1</v>
      </c>
    </row>
    <row r="2576" spans="1:3" x14ac:dyDescent="0.25">
      <c r="A2576" s="15">
        <f>Sheet1!A2576</f>
        <v>0</v>
      </c>
      <c r="B2576">
        <f>Sheet1!B2576</f>
        <v>1.04</v>
      </c>
      <c r="C2576">
        <f>IF(Sheet1!B2576&gt;0,1,0)</f>
        <v>1</v>
      </c>
    </row>
    <row r="2577" spans="1:3" x14ac:dyDescent="0.25">
      <c r="A2577" s="15">
        <f>Sheet1!A2577</f>
        <v>0</v>
      </c>
      <c r="B2577">
        <f>Sheet1!B2577</f>
        <v>0.63</v>
      </c>
      <c r="C2577">
        <f>IF(Sheet1!B2577&gt;0,1,0)</f>
        <v>1</v>
      </c>
    </row>
    <row r="2578" spans="1:3" x14ac:dyDescent="0.25">
      <c r="A2578" s="15">
        <f>Sheet1!A2578</f>
        <v>0</v>
      </c>
      <c r="B2578">
        <f>Sheet1!B2578</f>
        <v>0.79</v>
      </c>
      <c r="C2578">
        <f>IF(Sheet1!B2578&gt;0,1,0)</f>
        <v>1</v>
      </c>
    </row>
    <row r="2579" spans="1:3" x14ac:dyDescent="0.25">
      <c r="A2579" s="15">
        <f>Sheet1!A2579</f>
        <v>0</v>
      </c>
      <c r="B2579">
        <f>Sheet1!B2579</f>
        <v>1.74</v>
      </c>
      <c r="C2579">
        <f>IF(Sheet1!B2579&gt;0,1,0)</f>
        <v>1</v>
      </c>
    </row>
    <row r="2580" spans="1:3" x14ac:dyDescent="0.25">
      <c r="A2580" s="15">
        <f>Sheet1!A2580</f>
        <v>0</v>
      </c>
      <c r="B2580">
        <f>Sheet1!B2580</f>
        <v>0</v>
      </c>
      <c r="C2580">
        <f>IF(Sheet1!B2580&gt;0,1,0)</f>
        <v>0</v>
      </c>
    </row>
    <row r="2581" spans="1:3" x14ac:dyDescent="0.25">
      <c r="A2581" s="15">
        <f>Sheet1!A2581</f>
        <v>0</v>
      </c>
      <c r="B2581">
        <f>Sheet1!B2581</f>
        <v>0</v>
      </c>
      <c r="C2581">
        <f>IF(Sheet1!B2581&gt;0,1,0)</f>
        <v>0</v>
      </c>
    </row>
    <row r="2582" spans="1:3" x14ac:dyDescent="0.25">
      <c r="A2582" s="15">
        <f>Sheet1!A2582</f>
        <v>0</v>
      </c>
      <c r="B2582">
        <f>Sheet1!B2582</f>
        <v>1.31</v>
      </c>
      <c r="C2582">
        <f>IF(Sheet1!B2582&gt;0,1,0)</f>
        <v>1</v>
      </c>
    </row>
    <row r="2583" spans="1:3" x14ac:dyDescent="0.25">
      <c r="A2583" s="15">
        <f>Sheet1!A2583</f>
        <v>0</v>
      </c>
      <c r="B2583">
        <f>Sheet1!B2583</f>
        <v>0</v>
      </c>
      <c r="C2583">
        <f>IF(Sheet1!B2583&gt;0,1,0)</f>
        <v>0</v>
      </c>
    </row>
    <row r="2584" spans="1:3" x14ac:dyDescent="0.25">
      <c r="A2584" s="15">
        <f>Sheet1!A2584</f>
        <v>0</v>
      </c>
      <c r="B2584">
        <f>Sheet1!B2584</f>
        <v>0</v>
      </c>
      <c r="C2584">
        <f>IF(Sheet1!B2584&gt;0,1,0)</f>
        <v>0</v>
      </c>
    </row>
    <row r="2585" spans="1:3" x14ac:dyDescent="0.25">
      <c r="A2585" s="15">
        <f>Sheet1!A2585</f>
        <v>0</v>
      </c>
      <c r="B2585">
        <f>Sheet1!B2585</f>
        <v>0</v>
      </c>
      <c r="C2585">
        <f>IF(Sheet1!B2585&gt;0,1,0)</f>
        <v>0</v>
      </c>
    </row>
    <row r="2586" spans="1:3" x14ac:dyDescent="0.25">
      <c r="A2586" s="15">
        <f>Sheet1!A2586</f>
        <v>0</v>
      </c>
      <c r="B2586">
        <f>Sheet1!B2586</f>
        <v>0</v>
      </c>
      <c r="C2586">
        <f>IF(Sheet1!B2586&gt;0,1,0)</f>
        <v>0</v>
      </c>
    </row>
    <row r="2587" spans="1:3" x14ac:dyDescent="0.25">
      <c r="A2587" s="15">
        <f>Sheet1!A2587</f>
        <v>0</v>
      </c>
      <c r="B2587">
        <f>Sheet1!B2587</f>
        <v>0</v>
      </c>
      <c r="C2587">
        <f>IF(Sheet1!B2587&gt;0,1,0)</f>
        <v>0</v>
      </c>
    </row>
    <row r="2588" spans="1:3" x14ac:dyDescent="0.25">
      <c r="A2588" s="15">
        <f>Sheet1!A2588</f>
        <v>0</v>
      </c>
      <c r="B2588">
        <f>Sheet1!B2588</f>
        <v>2.2400000000000002</v>
      </c>
      <c r="C2588">
        <f>IF(Sheet1!B2588&gt;0,1,0)</f>
        <v>1</v>
      </c>
    </row>
    <row r="2589" spans="1:3" x14ac:dyDescent="0.25">
      <c r="A2589" s="15">
        <f>Sheet1!A2589</f>
        <v>0</v>
      </c>
      <c r="B2589">
        <f>Sheet1!B2589</f>
        <v>0</v>
      </c>
      <c r="C2589">
        <f>IF(Sheet1!B2589&gt;0,1,0)</f>
        <v>0</v>
      </c>
    </row>
    <row r="2590" spans="1:3" x14ac:dyDescent="0.25">
      <c r="A2590" s="15">
        <f>Sheet1!A2590</f>
        <v>0</v>
      </c>
      <c r="B2590">
        <f>Sheet1!B2590</f>
        <v>0</v>
      </c>
      <c r="C2590">
        <f>IF(Sheet1!B2590&gt;0,1,0)</f>
        <v>0</v>
      </c>
    </row>
    <row r="2591" spans="1:3" x14ac:dyDescent="0.25">
      <c r="A2591" s="15">
        <f>Sheet1!A2591</f>
        <v>0</v>
      </c>
      <c r="B2591">
        <f>Sheet1!B2591</f>
        <v>0</v>
      </c>
      <c r="C2591">
        <f>IF(Sheet1!B2591&gt;0,1,0)</f>
        <v>0</v>
      </c>
    </row>
    <row r="2592" spans="1:3" x14ac:dyDescent="0.25">
      <c r="A2592" s="15">
        <f>Sheet1!A2592</f>
        <v>0</v>
      </c>
      <c r="B2592">
        <f>Sheet1!B2592</f>
        <v>0</v>
      </c>
      <c r="C2592">
        <f>IF(Sheet1!B2592&gt;0,1,0)</f>
        <v>0</v>
      </c>
    </row>
    <row r="2593" spans="1:3" x14ac:dyDescent="0.25">
      <c r="A2593" s="15">
        <f>Sheet1!A2593</f>
        <v>0</v>
      </c>
      <c r="B2593">
        <f>Sheet1!B2593</f>
        <v>2.79</v>
      </c>
      <c r="C2593">
        <f>IF(Sheet1!B2593&gt;0,1,0)</f>
        <v>1</v>
      </c>
    </row>
    <row r="2594" spans="1:3" x14ac:dyDescent="0.25">
      <c r="A2594" s="15">
        <f>Sheet1!A2594</f>
        <v>0</v>
      </c>
      <c r="B2594">
        <f>Sheet1!B2594</f>
        <v>2.41</v>
      </c>
      <c r="C2594">
        <f>IF(Sheet1!B2594&gt;0,1,0)</f>
        <v>1</v>
      </c>
    </row>
    <row r="2595" spans="1:3" x14ac:dyDescent="0.25">
      <c r="A2595" s="15">
        <f>Sheet1!A2595</f>
        <v>0</v>
      </c>
      <c r="B2595">
        <f>Sheet1!B2595</f>
        <v>2.52</v>
      </c>
      <c r="C2595">
        <f>IF(Sheet1!B2595&gt;0,1,0)</f>
        <v>1</v>
      </c>
    </row>
    <row r="2596" spans="1:3" x14ac:dyDescent="0.25">
      <c r="A2596" s="15">
        <f>Sheet1!A2596</f>
        <v>0</v>
      </c>
      <c r="B2596">
        <f>Sheet1!B2596</f>
        <v>2.15</v>
      </c>
      <c r="C2596">
        <f>IF(Sheet1!B2596&gt;0,1,0)</f>
        <v>1</v>
      </c>
    </row>
    <row r="2597" spans="1:3" x14ac:dyDescent="0.25">
      <c r="A2597" s="15">
        <f>Sheet1!A2597</f>
        <v>0</v>
      </c>
      <c r="B2597">
        <f>Sheet1!B2597</f>
        <v>2.1</v>
      </c>
      <c r="C2597">
        <f>IF(Sheet1!B2597&gt;0,1,0)</f>
        <v>1</v>
      </c>
    </row>
    <row r="2598" spans="1:3" x14ac:dyDescent="0.25">
      <c r="A2598" s="15">
        <f>Sheet1!A2598</f>
        <v>0</v>
      </c>
      <c r="B2598">
        <f>Sheet1!B2598</f>
        <v>2.73</v>
      </c>
      <c r="C2598">
        <f>IF(Sheet1!B2598&gt;0,1,0)</f>
        <v>1</v>
      </c>
    </row>
    <row r="2599" spans="1:3" x14ac:dyDescent="0.25">
      <c r="A2599" s="15">
        <f>Sheet1!A2599</f>
        <v>0</v>
      </c>
      <c r="B2599">
        <f>Sheet1!B2599</f>
        <v>2.5099999999999998</v>
      </c>
      <c r="C2599">
        <f>IF(Sheet1!B2599&gt;0,1,0)</f>
        <v>1</v>
      </c>
    </row>
    <row r="2600" spans="1:3" x14ac:dyDescent="0.25">
      <c r="A2600" s="15">
        <f>Sheet1!A2600</f>
        <v>0</v>
      </c>
      <c r="B2600">
        <f>Sheet1!B2600</f>
        <v>1.31</v>
      </c>
      <c r="C2600">
        <f>IF(Sheet1!B2600&gt;0,1,0)</f>
        <v>1</v>
      </c>
    </row>
    <row r="2601" spans="1:3" x14ac:dyDescent="0.25">
      <c r="A2601" s="15">
        <f>Sheet1!A2601</f>
        <v>0</v>
      </c>
      <c r="B2601">
        <f>Sheet1!B2601</f>
        <v>0.91</v>
      </c>
      <c r="C2601">
        <f>IF(Sheet1!B2601&gt;0,1,0)</f>
        <v>1</v>
      </c>
    </row>
    <row r="2602" spans="1:3" x14ac:dyDescent="0.25">
      <c r="A2602" s="15">
        <f>Sheet1!A2602</f>
        <v>0</v>
      </c>
      <c r="B2602">
        <f>Sheet1!B2602</f>
        <v>0</v>
      </c>
      <c r="C2602">
        <f>IF(Sheet1!B2602&gt;0,1,0)</f>
        <v>0</v>
      </c>
    </row>
    <row r="2603" spans="1:3" x14ac:dyDescent="0.25">
      <c r="A2603" s="15">
        <f>Sheet1!A2603</f>
        <v>0</v>
      </c>
      <c r="B2603">
        <f>Sheet1!B2603</f>
        <v>0</v>
      </c>
      <c r="C2603">
        <f>IF(Sheet1!B2603&gt;0,1,0)</f>
        <v>0</v>
      </c>
    </row>
    <row r="2604" spans="1:3" x14ac:dyDescent="0.25">
      <c r="A2604" s="15">
        <f>Sheet1!A2604</f>
        <v>0</v>
      </c>
      <c r="B2604">
        <f>Sheet1!B2604</f>
        <v>0</v>
      </c>
      <c r="C2604">
        <f>IF(Sheet1!B2604&gt;0,1,0)</f>
        <v>0</v>
      </c>
    </row>
    <row r="2605" spans="1:3" x14ac:dyDescent="0.25">
      <c r="A2605" s="15">
        <f>Sheet1!A2605</f>
        <v>0</v>
      </c>
      <c r="B2605">
        <f>Sheet1!B2605</f>
        <v>0</v>
      </c>
      <c r="C2605">
        <f>IF(Sheet1!B2605&gt;0,1,0)</f>
        <v>0</v>
      </c>
    </row>
    <row r="2606" spans="1:3" x14ac:dyDescent="0.25">
      <c r="A2606" s="15">
        <f>Sheet1!A2606</f>
        <v>0</v>
      </c>
      <c r="B2606">
        <f>Sheet1!B2606</f>
        <v>1.39</v>
      </c>
      <c r="C2606">
        <f>IF(Sheet1!B2606&gt;0,1,0)</f>
        <v>1</v>
      </c>
    </row>
    <row r="2607" spans="1:3" x14ac:dyDescent="0.25">
      <c r="A2607" s="15">
        <f>Sheet1!A2607</f>
        <v>0</v>
      </c>
      <c r="B2607">
        <f>Sheet1!B2607</f>
        <v>0</v>
      </c>
      <c r="C2607">
        <f>IF(Sheet1!B2607&gt;0,1,0)</f>
        <v>0</v>
      </c>
    </row>
    <row r="2608" spans="1:3" x14ac:dyDescent="0.25">
      <c r="A2608" s="15">
        <f>Sheet1!A2608</f>
        <v>0</v>
      </c>
      <c r="B2608">
        <f>Sheet1!B2608</f>
        <v>0</v>
      </c>
      <c r="C2608">
        <f>IF(Sheet1!B2608&gt;0,1,0)</f>
        <v>0</v>
      </c>
    </row>
    <row r="2609" spans="1:3" x14ac:dyDescent="0.25">
      <c r="A2609" s="15">
        <f>Sheet1!A2609</f>
        <v>0</v>
      </c>
      <c r="B2609">
        <f>Sheet1!B2609</f>
        <v>0</v>
      </c>
      <c r="C2609">
        <f>IF(Sheet1!B2609&gt;0,1,0)</f>
        <v>0</v>
      </c>
    </row>
    <row r="2610" spans="1:3" x14ac:dyDescent="0.25">
      <c r="A2610" s="15">
        <f>Sheet1!A2610</f>
        <v>0</v>
      </c>
      <c r="B2610">
        <f>Sheet1!B2610</f>
        <v>1.4</v>
      </c>
      <c r="C2610">
        <f>IF(Sheet1!B2610&gt;0,1,0)</f>
        <v>1</v>
      </c>
    </row>
    <row r="2611" spans="1:3" x14ac:dyDescent="0.25">
      <c r="A2611" s="15">
        <f>Sheet1!A2611</f>
        <v>0</v>
      </c>
      <c r="B2611">
        <f>Sheet1!B2611</f>
        <v>0</v>
      </c>
      <c r="C2611">
        <f>IF(Sheet1!B2611&gt;0,1,0)</f>
        <v>0</v>
      </c>
    </row>
    <row r="2612" spans="1:3" x14ac:dyDescent="0.25">
      <c r="A2612" s="15">
        <f>Sheet1!A2612</f>
        <v>0</v>
      </c>
      <c r="B2612">
        <f>Sheet1!B2612</f>
        <v>0</v>
      </c>
      <c r="C2612">
        <f>IF(Sheet1!B2612&gt;0,1,0)</f>
        <v>0</v>
      </c>
    </row>
    <row r="2613" spans="1:3" x14ac:dyDescent="0.25">
      <c r="A2613" s="15">
        <f>Sheet1!A2613</f>
        <v>0</v>
      </c>
      <c r="B2613">
        <f>Sheet1!B2613</f>
        <v>0</v>
      </c>
      <c r="C2613">
        <f>IF(Sheet1!B2613&gt;0,1,0)</f>
        <v>0</v>
      </c>
    </row>
    <row r="2614" spans="1:3" x14ac:dyDescent="0.25">
      <c r="A2614" s="15">
        <f>Sheet1!A2614</f>
        <v>0</v>
      </c>
      <c r="B2614">
        <f>Sheet1!B2614</f>
        <v>0</v>
      </c>
      <c r="C2614">
        <f>IF(Sheet1!B2614&gt;0,1,0)</f>
        <v>0</v>
      </c>
    </row>
    <row r="2615" spans="1:3" x14ac:dyDescent="0.25">
      <c r="A2615" s="15">
        <f>Sheet1!A2615</f>
        <v>0</v>
      </c>
      <c r="B2615">
        <f>Sheet1!B2615</f>
        <v>0</v>
      </c>
      <c r="C2615">
        <f>IF(Sheet1!B2615&gt;0,1,0)</f>
        <v>0</v>
      </c>
    </row>
    <row r="2616" spans="1:3" x14ac:dyDescent="0.25">
      <c r="A2616" s="15">
        <f>Sheet1!A2616</f>
        <v>0</v>
      </c>
      <c r="B2616">
        <f>Sheet1!B2616</f>
        <v>2.4500000000000002</v>
      </c>
      <c r="C2616">
        <f>IF(Sheet1!B2616&gt;0,1,0)</f>
        <v>1</v>
      </c>
    </row>
    <row r="2617" spans="1:3" x14ac:dyDescent="0.25">
      <c r="A2617" s="15">
        <f>Sheet1!A2617</f>
        <v>0</v>
      </c>
      <c r="B2617">
        <f>Sheet1!B2617</f>
        <v>0</v>
      </c>
      <c r="C2617">
        <f>IF(Sheet1!B2617&gt;0,1,0)</f>
        <v>0</v>
      </c>
    </row>
    <row r="2618" spans="1:3" x14ac:dyDescent="0.25">
      <c r="A2618" s="15">
        <f>Sheet1!A2618</f>
        <v>0</v>
      </c>
      <c r="B2618">
        <f>Sheet1!B2618</f>
        <v>2.66</v>
      </c>
      <c r="C2618">
        <f>IF(Sheet1!B2618&gt;0,1,0)</f>
        <v>1</v>
      </c>
    </row>
    <row r="2619" spans="1:3" x14ac:dyDescent="0.25">
      <c r="A2619" s="15">
        <f>Sheet1!A2619</f>
        <v>0</v>
      </c>
      <c r="B2619">
        <f>Sheet1!B2619</f>
        <v>2.64</v>
      </c>
      <c r="C2619">
        <f>IF(Sheet1!B2619&gt;0,1,0)</f>
        <v>1</v>
      </c>
    </row>
    <row r="2620" spans="1:3" x14ac:dyDescent="0.25">
      <c r="A2620" s="15">
        <f>Sheet1!A2620</f>
        <v>0</v>
      </c>
      <c r="B2620">
        <f>Sheet1!B2620</f>
        <v>2.5099999999999998</v>
      </c>
      <c r="C2620">
        <f>IF(Sheet1!B2620&gt;0,1,0)</f>
        <v>1</v>
      </c>
    </row>
    <row r="2621" spans="1:3" x14ac:dyDescent="0.25">
      <c r="A2621" s="15">
        <f>Sheet1!A2621</f>
        <v>0</v>
      </c>
      <c r="B2621">
        <f>Sheet1!B2621</f>
        <v>2.4300000000000002</v>
      </c>
      <c r="C2621">
        <f>IF(Sheet1!B2621&gt;0,1,0)</f>
        <v>1</v>
      </c>
    </row>
    <row r="2622" spans="1:3" x14ac:dyDescent="0.25">
      <c r="A2622" s="15">
        <f>Sheet1!A2622</f>
        <v>0</v>
      </c>
      <c r="B2622">
        <f>Sheet1!B2622</f>
        <v>2.48</v>
      </c>
      <c r="C2622">
        <f>IF(Sheet1!B2622&gt;0,1,0)</f>
        <v>1</v>
      </c>
    </row>
    <row r="2623" spans="1:3" x14ac:dyDescent="0.25">
      <c r="A2623" s="15">
        <f>Sheet1!A2623</f>
        <v>0</v>
      </c>
      <c r="B2623">
        <f>Sheet1!B2623</f>
        <v>2.52</v>
      </c>
      <c r="C2623">
        <f>IF(Sheet1!B2623&gt;0,1,0)</f>
        <v>1</v>
      </c>
    </row>
    <row r="2624" spans="1:3" x14ac:dyDescent="0.25">
      <c r="A2624" s="15">
        <f>Sheet1!A2624</f>
        <v>0</v>
      </c>
      <c r="B2624">
        <f>Sheet1!B2624</f>
        <v>1.76</v>
      </c>
      <c r="C2624">
        <f>IF(Sheet1!B2624&gt;0,1,0)</f>
        <v>1</v>
      </c>
    </row>
    <row r="2625" spans="1:3" x14ac:dyDescent="0.25">
      <c r="A2625" s="15">
        <f>Sheet1!A2625</f>
        <v>0</v>
      </c>
      <c r="B2625">
        <f>Sheet1!B2625</f>
        <v>2.27</v>
      </c>
      <c r="C2625">
        <f>IF(Sheet1!B2625&gt;0,1,0)</f>
        <v>1</v>
      </c>
    </row>
    <row r="2626" spans="1:3" x14ac:dyDescent="0.25">
      <c r="A2626" s="15">
        <f>Sheet1!A2626</f>
        <v>0</v>
      </c>
      <c r="B2626">
        <f>Sheet1!B2626</f>
        <v>2.13</v>
      </c>
      <c r="C2626">
        <f>IF(Sheet1!B2626&gt;0,1,0)</f>
        <v>1</v>
      </c>
    </row>
    <row r="2627" spans="1:3" x14ac:dyDescent="0.25">
      <c r="A2627" s="15">
        <f>Sheet1!A2627</f>
        <v>0</v>
      </c>
      <c r="B2627">
        <f>Sheet1!B2627</f>
        <v>0</v>
      </c>
      <c r="C2627">
        <f>IF(Sheet1!B2627&gt;0,1,0)</f>
        <v>0</v>
      </c>
    </row>
    <row r="2628" spans="1:3" x14ac:dyDescent="0.25">
      <c r="A2628" s="15">
        <f>Sheet1!A2628</f>
        <v>0</v>
      </c>
      <c r="B2628">
        <f>Sheet1!B2628</f>
        <v>0</v>
      </c>
      <c r="C2628">
        <f>IF(Sheet1!B2628&gt;0,1,0)</f>
        <v>0</v>
      </c>
    </row>
    <row r="2629" spans="1:3" x14ac:dyDescent="0.25">
      <c r="A2629" s="15">
        <f>Sheet1!A2629</f>
        <v>0</v>
      </c>
      <c r="B2629">
        <f>Sheet1!B2629</f>
        <v>0</v>
      </c>
      <c r="C2629">
        <f>IF(Sheet1!B2629&gt;0,1,0)</f>
        <v>0</v>
      </c>
    </row>
    <row r="2630" spans="1:3" x14ac:dyDescent="0.25">
      <c r="A2630" s="15">
        <f>Sheet1!A2630</f>
        <v>0</v>
      </c>
      <c r="B2630">
        <f>Sheet1!B2630</f>
        <v>1.97</v>
      </c>
      <c r="C2630">
        <f>IF(Sheet1!B2630&gt;0,1,0)</f>
        <v>1</v>
      </c>
    </row>
    <row r="2631" spans="1:3" x14ac:dyDescent="0.25">
      <c r="A2631" s="15">
        <f>Sheet1!A2631</f>
        <v>0</v>
      </c>
      <c r="B2631">
        <f>Sheet1!B2631</f>
        <v>0</v>
      </c>
      <c r="C2631">
        <f>IF(Sheet1!B2631&gt;0,1,0)</f>
        <v>0</v>
      </c>
    </row>
    <row r="2632" spans="1:3" x14ac:dyDescent="0.25">
      <c r="A2632" s="15">
        <f>Sheet1!A2632</f>
        <v>0</v>
      </c>
      <c r="B2632">
        <f>Sheet1!B2632</f>
        <v>0</v>
      </c>
      <c r="C2632">
        <f>IF(Sheet1!B2632&gt;0,1,0)</f>
        <v>0</v>
      </c>
    </row>
    <row r="2633" spans="1:3" x14ac:dyDescent="0.25">
      <c r="A2633" s="15">
        <f>Sheet1!A2633</f>
        <v>0</v>
      </c>
      <c r="B2633">
        <f>Sheet1!B2633</f>
        <v>0</v>
      </c>
      <c r="C2633">
        <f>IF(Sheet1!B2633&gt;0,1,0)</f>
        <v>0</v>
      </c>
    </row>
    <row r="2634" spans="1:3" x14ac:dyDescent="0.25">
      <c r="A2634" s="15">
        <f>Sheet1!A2634</f>
        <v>0</v>
      </c>
      <c r="B2634">
        <f>Sheet1!B2634</f>
        <v>0</v>
      </c>
      <c r="C2634">
        <f>IF(Sheet1!B2634&gt;0,1,0)</f>
        <v>0</v>
      </c>
    </row>
    <row r="2635" spans="1:3" x14ac:dyDescent="0.25">
      <c r="A2635" s="15">
        <f>Sheet1!A2635</f>
        <v>0</v>
      </c>
      <c r="B2635">
        <f>Sheet1!B2635</f>
        <v>0</v>
      </c>
      <c r="C2635">
        <f>IF(Sheet1!B2635&gt;0,1,0)</f>
        <v>0</v>
      </c>
    </row>
    <row r="2636" spans="1:3" x14ac:dyDescent="0.25">
      <c r="A2636" s="15">
        <f>Sheet1!A2636</f>
        <v>0</v>
      </c>
      <c r="B2636">
        <f>Sheet1!B2636</f>
        <v>0</v>
      </c>
      <c r="C2636">
        <f>IF(Sheet1!B2636&gt;0,1,0)</f>
        <v>0</v>
      </c>
    </row>
    <row r="2637" spans="1:3" x14ac:dyDescent="0.25">
      <c r="A2637" s="15">
        <f>Sheet1!A2637</f>
        <v>0</v>
      </c>
      <c r="B2637">
        <f>Sheet1!B2637</f>
        <v>0</v>
      </c>
      <c r="C2637">
        <f>IF(Sheet1!B2637&gt;0,1,0)</f>
        <v>0</v>
      </c>
    </row>
    <row r="2638" spans="1:3" x14ac:dyDescent="0.25">
      <c r="A2638" s="15">
        <f>Sheet1!A2638</f>
        <v>0</v>
      </c>
      <c r="B2638">
        <f>Sheet1!B2638</f>
        <v>0</v>
      </c>
      <c r="C2638">
        <f>IF(Sheet1!B2638&gt;0,1,0)</f>
        <v>0</v>
      </c>
    </row>
    <row r="2639" spans="1:3" x14ac:dyDescent="0.25">
      <c r="A2639" s="15">
        <f>Sheet1!A2639</f>
        <v>0</v>
      </c>
      <c r="B2639">
        <f>Sheet1!B2639</f>
        <v>0</v>
      </c>
      <c r="C2639">
        <f>IF(Sheet1!B2639&gt;0,1,0)</f>
        <v>0</v>
      </c>
    </row>
    <row r="2640" spans="1:3" x14ac:dyDescent="0.25">
      <c r="A2640" s="15">
        <f>Sheet1!A2640</f>
        <v>0</v>
      </c>
      <c r="B2640">
        <f>Sheet1!B2640</f>
        <v>0</v>
      </c>
      <c r="C2640">
        <f>IF(Sheet1!B2640&gt;0,1,0)</f>
        <v>0</v>
      </c>
    </row>
    <row r="2641" spans="1:3" x14ac:dyDescent="0.25">
      <c r="A2641" s="15">
        <f>Sheet1!A2641</f>
        <v>0</v>
      </c>
      <c r="B2641">
        <f>Sheet1!B2641</f>
        <v>0</v>
      </c>
      <c r="C2641">
        <f>IF(Sheet1!B2641&gt;0,1,0)</f>
        <v>0</v>
      </c>
    </row>
    <row r="2642" spans="1:3" x14ac:dyDescent="0.25">
      <c r="A2642" s="15">
        <f>Sheet1!A2642</f>
        <v>0</v>
      </c>
      <c r="B2642">
        <f>Sheet1!B2642</f>
        <v>0</v>
      </c>
      <c r="C2642">
        <f>IF(Sheet1!B2642&gt;0,1,0)</f>
        <v>0</v>
      </c>
    </row>
    <row r="2643" spans="1:3" x14ac:dyDescent="0.25">
      <c r="A2643" s="15">
        <f>Sheet1!A2643</f>
        <v>0</v>
      </c>
      <c r="B2643">
        <f>Sheet1!B2643</f>
        <v>0</v>
      </c>
      <c r="C2643">
        <f>IF(Sheet1!B2643&gt;0,1,0)</f>
        <v>0</v>
      </c>
    </row>
    <row r="2644" spans="1:3" x14ac:dyDescent="0.25">
      <c r="A2644" s="15">
        <f>Sheet1!A2644</f>
        <v>0</v>
      </c>
      <c r="B2644">
        <f>Sheet1!B2644</f>
        <v>2.5099999999999998</v>
      </c>
      <c r="C2644">
        <f>IF(Sheet1!B2644&gt;0,1,0)</f>
        <v>1</v>
      </c>
    </row>
    <row r="2645" spans="1:3" x14ac:dyDescent="0.25">
      <c r="A2645" s="15">
        <f>Sheet1!A2645</f>
        <v>0</v>
      </c>
      <c r="B2645">
        <f>Sheet1!B2645</f>
        <v>1.93</v>
      </c>
      <c r="C2645">
        <f>IF(Sheet1!B2645&gt;0,1,0)</f>
        <v>1</v>
      </c>
    </row>
    <row r="2646" spans="1:3" x14ac:dyDescent="0.25">
      <c r="A2646" s="15">
        <f>Sheet1!A2646</f>
        <v>0</v>
      </c>
      <c r="B2646">
        <f>Sheet1!B2646</f>
        <v>0</v>
      </c>
      <c r="C2646">
        <f>IF(Sheet1!B2646&gt;0,1,0)</f>
        <v>0</v>
      </c>
    </row>
    <row r="2647" spans="1:3" x14ac:dyDescent="0.25">
      <c r="A2647" s="15">
        <f>Sheet1!A2647</f>
        <v>0</v>
      </c>
      <c r="B2647">
        <f>Sheet1!B2647</f>
        <v>0</v>
      </c>
      <c r="C2647">
        <f>IF(Sheet1!B2647&gt;0,1,0)</f>
        <v>0</v>
      </c>
    </row>
    <row r="2648" spans="1:3" x14ac:dyDescent="0.25">
      <c r="A2648" s="15">
        <f>Sheet1!A2648</f>
        <v>0</v>
      </c>
      <c r="B2648">
        <f>Sheet1!B2648</f>
        <v>1.27</v>
      </c>
      <c r="C2648">
        <f>IF(Sheet1!B2648&gt;0,1,0)</f>
        <v>1</v>
      </c>
    </row>
    <row r="2649" spans="1:3" x14ac:dyDescent="0.25">
      <c r="A2649" s="15">
        <f>Sheet1!A2649</f>
        <v>0</v>
      </c>
      <c r="B2649">
        <f>Sheet1!B2649</f>
        <v>0</v>
      </c>
      <c r="C2649">
        <f>IF(Sheet1!B2649&gt;0,1,0)</f>
        <v>0</v>
      </c>
    </row>
    <row r="2650" spans="1:3" x14ac:dyDescent="0.25">
      <c r="A2650" s="15">
        <f>Sheet1!A2650</f>
        <v>0</v>
      </c>
      <c r="B2650">
        <f>Sheet1!B2650</f>
        <v>0</v>
      </c>
      <c r="C2650">
        <f>IF(Sheet1!B2650&gt;0,1,0)</f>
        <v>0</v>
      </c>
    </row>
    <row r="2651" spans="1:3" x14ac:dyDescent="0.25">
      <c r="A2651" s="15">
        <f>Sheet1!A2651</f>
        <v>0</v>
      </c>
      <c r="B2651">
        <f>Sheet1!B2651</f>
        <v>0</v>
      </c>
      <c r="C2651">
        <f>IF(Sheet1!B2651&gt;0,1,0)</f>
        <v>0</v>
      </c>
    </row>
    <row r="2652" spans="1:3" x14ac:dyDescent="0.25">
      <c r="A2652" s="15">
        <f>Sheet1!A2652</f>
        <v>0</v>
      </c>
      <c r="B2652">
        <f>Sheet1!B2652</f>
        <v>0</v>
      </c>
      <c r="C2652">
        <f>IF(Sheet1!B2652&gt;0,1,0)</f>
        <v>0</v>
      </c>
    </row>
    <row r="2653" spans="1:3" x14ac:dyDescent="0.25">
      <c r="A2653" s="15">
        <f>Sheet1!A2653</f>
        <v>0</v>
      </c>
      <c r="B2653">
        <f>Sheet1!B2653</f>
        <v>0</v>
      </c>
      <c r="C2653">
        <f>IF(Sheet1!B2653&gt;0,1,0)</f>
        <v>0</v>
      </c>
    </row>
    <row r="2654" spans="1:3" x14ac:dyDescent="0.25">
      <c r="A2654" s="15">
        <f>Sheet1!A2654</f>
        <v>0</v>
      </c>
      <c r="B2654">
        <f>Sheet1!B2654</f>
        <v>0</v>
      </c>
      <c r="C2654">
        <f>IF(Sheet1!B2654&gt;0,1,0)</f>
        <v>0</v>
      </c>
    </row>
    <row r="2655" spans="1:3" x14ac:dyDescent="0.25">
      <c r="A2655" s="15">
        <f>Sheet1!A2655</f>
        <v>0</v>
      </c>
      <c r="B2655">
        <f>Sheet1!B2655</f>
        <v>0</v>
      </c>
      <c r="C2655">
        <f>IF(Sheet1!B2655&gt;0,1,0)</f>
        <v>0</v>
      </c>
    </row>
    <row r="2656" spans="1:3" x14ac:dyDescent="0.25">
      <c r="A2656" s="15">
        <f>Sheet1!A2656</f>
        <v>0</v>
      </c>
      <c r="B2656">
        <f>Sheet1!B2656</f>
        <v>0</v>
      </c>
      <c r="C2656">
        <f>IF(Sheet1!B2656&gt;0,1,0)</f>
        <v>0</v>
      </c>
    </row>
    <row r="2657" spans="1:3" x14ac:dyDescent="0.25">
      <c r="A2657" s="15">
        <f>Sheet1!A2657</f>
        <v>0</v>
      </c>
      <c r="B2657">
        <f>Sheet1!B2657</f>
        <v>0</v>
      </c>
      <c r="C2657">
        <f>IF(Sheet1!B2657&gt;0,1,0)</f>
        <v>0</v>
      </c>
    </row>
    <row r="2658" spans="1:3" x14ac:dyDescent="0.25">
      <c r="A2658" s="15">
        <f>Sheet1!A2658</f>
        <v>0</v>
      </c>
      <c r="B2658">
        <f>Sheet1!B2658</f>
        <v>4.38</v>
      </c>
      <c r="C2658">
        <f>IF(Sheet1!B2658&gt;0,1,0)</f>
        <v>1</v>
      </c>
    </row>
    <row r="2659" spans="1:3" x14ac:dyDescent="0.25">
      <c r="A2659" s="15">
        <f>Sheet1!A2659</f>
        <v>0</v>
      </c>
      <c r="B2659">
        <f>Sheet1!B2659</f>
        <v>0</v>
      </c>
      <c r="C2659">
        <f>IF(Sheet1!B2659&gt;0,1,0)</f>
        <v>0</v>
      </c>
    </row>
    <row r="2660" spans="1:3" x14ac:dyDescent="0.25">
      <c r="A2660" s="15">
        <f>Sheet1!A2660</f>
        <v>0</v>
      </c>
      <c r="B2660">
        <f>Sheet1!B2660</f>
        <v>0</v>
      </c>
      <c r="C2660">
        <f>IF(Sheet1!B2660&gt;0,1,0)</f>
        <v>0</v>
      </c>
    </row>
    <row r="2661" spans="1:3" x14ac:dyDescent="0.25">
      <c r="A2661" s="15">
        <f>Sheet1!A2661</f>
        <v>0</v>
      </c>
      <c r="B2661">
        <f>Sheet1!B2661</f>
        <v>3.02</v>
      </c>
      <c r="C2661">
        <f>IF(Sheet1!B2661&gt;0,1,0)</f>
        <v>1</v>
      </c>
    </row>
    <row r="2662" spans="1:3" x14ac:dyDescent="0.25">
      <c r="A2662" s="15">
        <f>Sheet1!A2662</f>
        <v>0</v>
      </c>
      <c r="B2662">
        <f>Sheet1!B2662</f>
        <v>0</v>
      </c>
      <c r="C2662">
        <f>IF(Sheet1!B2662&gt;0,1,0)</f>
        <v>0</v>
      </c>
    </row>
    <row r="2663" spans="1:3" x14ac:dyDescent="0.25">
      <c r="A2663" s="15">
        <f>Sheet1!A2663</f>
        <v>0</v>
      </c>
      <c r="B2663">
        <f>Sheet1!B2663</f>
        <v>0</v>
      </c>
      <c r="C2663">
        <f>IF(Sheet1!B2663&gt;0,1,0)</f>
        <v>0</v>
      </c>
    </row>
    <row r="2664" spans="1:3" x14ac:dyDescent="0.25">
      <c r="A2664" s="15">
        <f>Sheet1!A2664</f>
        <v>0</v>
      </c>
      <c r="B2664">
        <f>Sheet1!B2664</f>
        <v>0</v>
      </c>
      <c r="C2664">
        <f>IF(Sheet1!B2664&gt;0,1,0)</f>
        <v>0</v>
      </c>
    </row>
    <row r="2665" spans="1:3" x14ac:dyDescent="0.25">
      <c r="A2665" s="15">
        <f>Sheet1!A2665</f>
        <v>0</v>
      </c>
      <c r="B2665">
        <f>Sheet1!B2665</f>
        <v>0</v>
      </c>
      <c r="C2665">
        <f>IF(Sheet1!B2665&gt;0,1,0)</f>
        <v>0</v>
      </c>
    </row>
    <row r="2666" spans="1:3" x14ac:dyDescent="0.25">
      <c r="A2666" s="15">
        <f>Sheet1!A2666</f>
        <v>0</v>
      </c>
      <c r="B2666">
        <f>Sheet1!B2666</f>
        <v>0</v>
      </c>
      <c r="C2666">
        <f>IF(Sheet1!B2666&gt;0,1,0)</f>
        <v>0</v>
      </c>
    </row>
    <row r="2667" spans="1:3" x14ac:dyDescent="0.25">
      <c r="A2667" s="15">
        <f>Sheet1!A2667</f>
        <v>0</v>
      </c>
      <c r="B2667">
        <f>Sheet1!B2667</f>
        <v>0</v>
      </c>
      <c r="C2667">
        <f>IF(Sheet1!B2667&gt;0,1,0)</f>
        <v>0</v>
      </c>
    </row>
    <row r="2668" spans="1:3" x14ac:dyDescent="0.25">
      <c r="A2668" s="15">
        <f>Sheet1!A2668</f>
        <v>0</v>
      </c>
      <c r="B2668">
        <f>Sheet1!B2668</f>
        <v>2.59</v>
      </c>
      <c r="C2668">
        <f>IF(Sheet1!B2668&gt;0,1,0)</f>
        <v>1</v>
      </c>
    </row>
    <row r="2669" spans="1:3" x14ac:dyDescent="0.25">
      <c r="A2669" s="15">
        <f>Sheet1!A2669</f>
        <v>0</v>
      </c>
      <c r="B2669">
        <f>Sheet1!B2669</f>
        <v>2.27</v>
      </c>
      <c r="C2669">
        <f>IF(Sheet1!B2669&gt;0,1,0)</f>
        <v>1</v>
      </c>
    </row>
    <row r="2670" spans="1:3" x14ac:dyDescent="0.25">
      <c r="A2670" s="15">
        <f>Sheet1!A2670</f>
        <v>0</v>
      </c>
      <c r="B2670">
        <f>Sheet1!B2670</f>
        <v>2.8</v>
      </c>
      <c r="C2670">
        <f>IF(Sheet1!B2670&gt;0,1,0)</f>
        <v>1</v>
      </c>
    </row>
    <row r="2671" spans="1:3" x14ac:dyDescent="0.25">
      <c r="A2671" s="15">
        <f>Sheet1!A2671</f>
        <v>0</v>
      </c>
      <c r="B2671">
        <f>Sheet1!B2671</f>
        <v>0</v>
      </c>
      <c r="C2671">
        <f>IF(Sheet1!B2671&gt;0,1,0)</f>
        <v>0</v>
      </c>
    </row>
    <row r="2672" spans="1:3" x14ac:dyDescent="0.25">
      <c r="A2672" s="15">
        <f>Sheet1!A2672</f>
        <v>0</v>
      </c>
      <c r="B2672">
        <f>Sheet1!B2672</f>
        <v>0</v>
      </c>
      <c r="C2672">
        <f>IF(Sheet1!B2672&gt;0,1,0)</f>
        <v>0</v>
      </c>
    </row>
    <row r="2673" spans="1:3" x14ac:dyDescent="0.25">
      <c r="A2673" s="15">
        <f>Sheet1!A2673</f>
        <v>0</v>
      </c>
      <c r="B2673">
        <f>Sheet1!B2673</f>
        <v>0</v>
      </c>
      <c r="C2673">
        <f>IF(Sheet1!B2673&gt;0,1,0)</f>
        <v>0</v>
      </c>
    </row>
    <row r="2674" spans="1:3" x14ac:dyDescent="0.25">
      <c r="A2674" s="15">
        <f>Sheet1!A2674</f>
        <v>0</v>
      </c>
      <c r="B2674">
        <f>Sheet1!B2674</f>
        <v>1.66</v>
      </c>
      <c r="C2674">
        <f>IF(Sheet1!B2674&gt;0,1,0)</f>
        <v>1</v>
      </c>
    </row>
    <row r="2675" spans="1:3" x14ac:dyDescent="0.25">
      <c r="A2675" s="15">
        <f>Sheet1!A2675</f>
        <v>0</v>
      </c>
      <c r="B2675">
        <f>Sheet1!B2675</f>
        <v>0</v>
      </c>
      <c r="C2675">
        <f>IF(Sheet1!B2675&gt;0,1,0)</f>
        <v>0</v>
      </c>
    </row>
    <row r="2676" spans="1:3" x14ac:dyDescent="0.25">
      <c r="A2676" s="15">
        <f>Sheet1!A2676</f>
        <v>0</v>
      </c>
      <c r="B2676">
        <f>Sheet1!B2676</f>
        <v>0</v>
      </c>
      <c r="C2676">
        <f>IF(Sheet1!B2676&gt;0,1,0)</f>
        <v>0</v>
      </c>
    </row>
    <row r="2677" spans="1:3" x14ac:dyDescent="0.25">
      <c r="A2677" s="15">
        <f>Sheet1!A2677</f>
        <v>0</v>
      </c>
      <c r="B2677">
        <f>Sheet1!B2677</f>
        <v>0</v>
      </c>
      <c r="C2677">
        <f>IF(Sheet1!B2677&gt;0,1,0)</f>
        <v>0</v>
      </c>
    </row>
    <row r="2678" spans="1:3" x14ac:dyDescent="0.25">
      <c r="A2678" s="15">
        <f>Sheet1!A2678</f>
        <v>0</v>
      </c>
      <c r="B2678">
        <f>Sheet1!B2678</f>
        <v>2.17</v>
      </c>
      <c r="C2678">
        <f>IF(Sheet1!B2678&gt;0,1,0)</f>
        <v>1</v>
      </c>
    </row>
    <row r="2679" spans="1:3" x14ac:dyDescent="0.25">
      <c r="A2679" s="15">
        <f>Sheet1!A2679</f>
        <v>0</v>
      </c>
      <c r="B2679">
        <f>Sheet1!B2679</f>
        <v>0</v>
      </c>
      <c r="C2679">
        <f>IF(Sheet1!B2679&gt;0,1,0)</f>
        <v>0</v>
      </c>
    </row>
    <row r="2680" spans="1:3" x14ac:dyDescent="0.25">
      <c r="A2680" s="15">
        <f>Sheet1!A2680</f>
        <v>0</v>
      </c>
      <c r="B2680">
        <f>Sheet1!B2680</f>
        <v>0</v>
      </c>
      <c r="C2680">
        <f>IF(Sheet1!B2680&gt;0,1,0)</f>
        <v>0</v>
      </c>
    </row>
    <row r="2681" spans="1:3" x14ac:dyDescent="0.25">
      <c r="A2681" s="15">
        <f>Sheet1!A2681</f>
        <v>0</v>
      </c>
      <c r="B2681">
        <f>Sheet1!B2681</f>
        <v>0</v>
      </c>
      <c r="C2681">
        <f>IF(Sheet1!B2681&gt;0,1,0)</f>
        <v>0</v>
      </c>
    </row>
    <row r="2682" spans="1:3" x14ac:dyDescent="0.25">
      <c r="A2682" s="15">
        <f>Sheet1!A2682</f>
        <v>0</v>
      </c>
      <c r="B2682">
        <f>Sheet1!B2682</f>
        <v>0</v>
      </c>
      <c r="C2682">
        <f>IF(Sheet1!B2682&gt;0,1,0)</f>
        <v>0</v>
      </c>
    </row>
    <row r="2683" spans="1:3" x14ac:dyDescent="0.25">
      <c r="A2683" s="15">
        <f>Sheet1!A2683</f>
        <v>0</v>
      </c>
      <c r="B2683">
        <f>Sheet1!B2683</f>
        <v>0</v>
      </c>
      <c r="C2683">
        <f>IF(Sheet1!B2683&gt;0,1,0)</f>
        <v>0</v>
      </c>
    </row>
    <row r="2684" spans="1:3" x14ac:dyDescent="0.25">
      <c r="A2684" s="15">
        <f>Sheet1!A2684</f>
        <v>0</v>
      </c>
      <c r="B2684">
        <f>Sheet1!B2684</f>
        <v>0</v>
      </c>
      <c r="C2684">
        <f>IF(Sheet1!B2684&gt;0,1,0)</f>
        <v>0</v>
      </c>
    </row>
    <row r="2685" spans="1:3" x14ac:dyDescent="0.25">
      <c r="A2685" s="15">
        <f>Sheet1!A2685</f>
        <v>0</v>
      </c>
      <c r="B2685">
        <f>Sheet1!B2685</f>
        <v>1.68</v>
      </c>
      <c r="C2685">
        <f>IF(Sheet1!B2685&gt;0,1,0)</f>
        <v>1</v>
      </c>
    </row>
    <row r="2686" spans="1:3" x14ac:dyDescent="0.25">
      <c r="A2686" s="15">
        <f>Sheet1!A2686</f>
        <v>0</v>
      </c>
      <c r="B2686">
        <f>Sheet1!B2686</f>
        <v>1.5</v>
      </c>
      <c r="C2686">
        <f>IF(Sheet1!B2686&gt;0,1,0)</f>
        <v>1</v>
      </c>
    </row>
    <row r="2687" spans="1:3" x14ac:dyDescent="0.25">
      <c r="A2687" s="15">
        <f>Sheet1!A2687</f>
        <v>0</v>
      </c>
      <c r="B2687">
        <f>Sheet1!B2687</f>
        <v>2.29</v>
      </c>
      <c r="C2687">
        <f>IF(Sheet1!B2687&gt;0,1,0)</f>
        <v>1</v>
      </c>
    </row>
    <row r="2688" spans="1:3" x14ac:dyDescent="0.25">
      <c r="A2688" s="15">
        <f>Sheet1!A2688</f>
        <v>0</v>
      </c>
      <c r="B2688">
        <f>Sheet1!B2688</f>
        <v>1.98</v>
      </c>
      <c r="C2688">
        <f>IF(Sheet1!B2688&gt;0,1,0)</f>
        <v>1</v>
      </c>
    </row>
    <row r="2689" spans="1:3" x14ac:dyDescent="0.25">
      <c r="A2689" s="15">
        <f>Sheet1!A2689</f>
        <v>0</v>
      </c>
      <c r="B2689">
        <f>Sheet1!B2689</f>
        <v>2.5299999999999998</v>
      </c>
      <c r="C2689">
        <f>IF(Sheet1!B2689&gt;0,1,0)</f>
        <v>1</v>
      </c>
    </row>
    <row r="2690" spans="1:3" x14ac:dyDescent="0.25">
      <c r="A2690" s="15">
        <f>Sheet1!A2690</f>
        <v>0</v>
      </c>
      <c r="B2690">
        <f>Sheet1!B2690</f>
        <v>2.63</v>
      </c>
      <c r="C2690">
        <f>IF(Sheet1!B2690&gt;0,1,0)</f>
        <v>1</v>
      </c>
    </row>
    <row r="2691" spans="1:3" x14ac:dyDescent="0.25">
      <c r="A2691" s="15">
        <f>Sheet1!A2691</f>
        <v>0</v>
      </c>
      <c r="B2691">
        <f>Sheet1!B2691</f>
        <v>1.99</v>
      </c>
      <c r="C2691">
        <f>IF(Sheet1!B2691&gt;0,1,0)</f>
        <v>1</v>
      </c>
    </row>
    <row r="2692" spans="1:3" x14ac:dyDescent="0.25">
      <c r="A2692" s="15">
        <f>Sheet1!A2692</f>
        <v>0</v>
      </c>
      <c r="B2692">
        <f>Sheet1!B2692</f>
        <v>1.98</v>
      </c>
      <c r="C2692">
        <f>IF(Sheet1!B2692&gt;0,1,0)</f>
        <v>1</v>
      </c>
    </row>
    <row r="2693" spans="1:3" x14ac:dyDescent="0.25">
      <c r="A2693" s="15">
        <f>Sheet1!A2693</f>
        <v>0</v>
      </c>
      <c r="B2693">
        <f>Sheet1!B2693</f>
        <v>1.61</v>
      </c>
      <c r="C2693">
        <f>IF(Sheet1!B2693&gt;0,1,0)</f>
        <v>1</v>
      </c>
    </row>
    <row r="2694" spans="1:3" x14ac:dyDescent="0.25">
      <c r="A2694" s="15">
        <f>Sheet1!A2694</f>
        <v>0</v>
      </c>
      <c r="B2694">
        <f>Sheet1!B2694</f>
        <v>2.31</v>
      </c>
      <c r="C2694">
        <f>IF(Sheet1!B2694&gt;0,1,0)</f>
        <v>1</v>
      </c>
    </row>
    <row r="2695" spans="1:3" x14ac:dyDescent="0.25">
      <c r="A2695" s="15">
        <f>Sheet1!A2695</f>
        <v>0</v>
      </c>
      <c r="B2695">
        <f>Sheet1!B2695</f>
        <v>2.54</v>
      </c>
      <c r="C2695">
        <f>IF(Sheet1!B2695&gt;0,1,0)</f>
        <v>1</v>
      </c>
    </row>
    <row r="2696" spans="1:3" x14ac:dyDescent="0.25">
      <c r="A2696" s="15">
        <f>Sheet1!A2696</f>
        <v>0</v>
      </c>
      <c r="B2696">
        <f>Sheet1!B2696</f>
        <v>1.77</v>
      </c>
      <c r="C2696">
        <f>IF(Sheet1!B2696&gt;0,1,0)</f>
        <v>1</v>
      </c>
    </row>
    <row r="2697" spans="1:3" x14ac:dyDescent="0.25">
      <c r="A2697" s="15">
        <f>Sheet1!A2697</f>
        <v>0</v>
      </c>
      <c r="B2697">
        <f>Sheet1!B2697</f>
        <v>1.88</v>
      </c>
      <c r="C2697">
        <f>IF(Sheet1!B2697&gt;0,1,0)</f>
        <v>1</v>
      </c>
    </row>
    <row r="2698" spans="1:3" x14ac:dyDescent="0.25">
      <c r="A2698" s="15">
        <f>Sheet1!A2698</f>
        <v>0</v>
      </c>
      <c r="B2698">
        <f>Sheet1!B2698</f>
        <v>0</v>
      </c>
      <c r="C2698">
        <f>IF(Sheet1!B2698&gt;0,1,0)</f>
        <v>0</v>
      </c>
    </row>
    <row r="2699" spans="1:3" x14ac:dyDescent="0.25">
      <c r="A2699" s="15">
        <f>Sheet1!A2699</f>
        <v>0</v>
      </c>
      <c r="B2699">
        <f>Sheet1!B2699</f>
        <v>0</v>
      </c>
      <c r="C2699">
        <f>IF(Sheet1!B2699&gt;0,1,0)</f>
        <v>0</v>
      </c>
    </row>
    <row r="2700" spans="1:3" x14ac:dyDescent="0.25">
      <c r="A2700" s="15">
        <f>Sheet1!A2700</f>
        <v>0</v>
      </c>
      <c r="B2700">
        <f>Sheet1!B2700</f>
        <v>3.04</v>
      </c>
      <c r="C2700">
        <f>IF(Sheet1!B2700&gt;0,1,0)</f>
        <v>1</v>
      </c>
    </row>
    <row r="2701" spans="1:3" x14ac:dyDescent="0.25">
      <c r="A2701" s="15">
        <f>Sheet1!A2701</f>
        <v>0</v>
      </c>
      <c r="B2701">
        <f>Sheet1!B2701</f>
        <v>2.2000000000000002</v>
      </c>
      <c r="C2701">
        <f>IF(Sheet1!B2701&gt;0,1,0)</f>
        <v>1</v>
      </c>
    </row>
    <row r="2702" spans="1:3" x14ac:dyDescent="0.25">
      <c r="A2702" s="15">
        <f>Sheet1!A2702</f>
        <v>0</v>
      </c>
      <c r="B2702">
        <f>Sheet1!B2702</f>
        <v>2.78</v>
      </c>
      <c r="C2702">
        <f>IF(Sheet1!B2702&gt;0,1,0)</f>
        <v>1</v>
      </c>
    </row>
    <row r="2703" spans="1:3" x14ac:dyDescent="0.25">
      <c r="A2703" s="15">
        <f>Sheet1!A2703</f>
        <v>0</v>
      </c>
      <c r="B2703">
        <f>Sheet1!B2703</f>
        <v>0</v>
      </c>
      <c r="C2703">
        <f>IF(Sheet1!B2703&gt;0,1,0)</f>
        <v>0</v>
      </c>
    </row>
    <row r="2704" spans="1:3" x14ac:dyDescent="0.25">
      <c r="A2704" s="15">
        <f>Sheet1!A2704</f>
        <v>0</v>
      </c>
      <c r="B2704">
        <f>Sheet1!B2704</f>
        <v>0</v>
      </c>
      <c r="C2704">
        <f>IF(Sheet1!B2704&gt;0,1,0)</f>
        <v>0</v>
      </c>
    </row>
    <row r="2705" spans="1:3" x14ac:dyDescent="0.25">
      <c r="A2705" s="15">
        <f>Sheet1!A2705</f>
        <v>0</v>
      </c>
      <c r="B2705">
        <f>Sheet1!B2705</f>
        <v>0</v>
      </c>
      <c r="C2705">
        <f>IF(Sheet1!B2705&gt;0,1,0)</f>
        <v>0</v>
      </c>
    </row>
    <row r="2706" spans="1:3" x14ac:dyDescent="0.25">
      <c r="A2706" s="15">
        <f>Sheet1!A2706</f>
        <v>0</v>
      </c>
      <c r="B2706">
        <f>Sheet1!B2706</f>
        <v>1.67</v>
      </c>
      <c r="C2706">
        <f>IF(Sheet1!B2706&gt;0,1,0)</f>
        <v>1</v>
      </c>
    </row>
    <row r="2707" spans="1:3" x14ac:dyDescent="0.25">
      <c r="A2707" s="15">
        <f>Sheet1!A2707</f>
        <v>0</v>
      </c>
      <c r="B2707">
        <f>Sheet1!B2707</f>
        <v>0</v>
      </c>
      <c r="C2707">
        <f>IF(Sheet1!B2707&gt;0,1,0)</f>
        <v>0</v>
      </c>
    </row>
    <row r="2708" spans="1:3" x14ac:dyDescent="0.25">
      <c r="A2708" s="15">
        <f>Sheet1!A2708</f>
        <v>0</v>
      </c>
      <c r="B2708">
        <f>Sheet1!B2708</f>
        <v>0</v>
      </c>
      <c r="C2708">
        <f>IF(Sheet1!B2708&gt;0,1,0)</f>
        <v>0</v>
      </c>
    </row>
    <row r="2709" spans="1:3" x14ac:dyDescent="0.25">
      <c r="A2709" s="15">
        <f>Sheet1!A2709</f>
        <v>0</v>
      </c>
      <c r="B2709">
        <f>Sheet1!B2709</f>
        <v>0</v>
      </c>
      <c r="C2709">
        <f>IF(Sheet1!B2709&gt;0,1,0)</f>
        <v>0</v>
      </c>
    </row>
    <row r="2710" spans="1:3" x14ac:dyDescent="0.25">
      <c r="A2710" s="15">
        <f>Sheet1!A2710</f>
        <v>0</v>
      </c>
      <c r="B2710">
        <f>Sheet1!B2710</f>
        <v>2.57</v>
      </c>
      <c r="C2710">
        <f>IF(Sheet1!B2710&gt;0,1,0)</f>
        <v>1</v>
      </c>
    </row>
    <row r="2711" spans="1:3" x14ac:dyDescent="0.25">
      <c r="A2711" s="15">
        <f>Sheet1!A2711</f>
        <v>0</v>
      </c>
      <c r="B2711">
        <f>Sheet1!B2711</f>
        <v>2.84</v>
      </c>
      <c r="C2711">
        <f>IF(Sheet1!B2711&gt;0,1,0)</f>
        <v>1</v>
      </c>
    </row>
    <row r="2712" spans="1:3" x14ac:dyDescent="0.25">
      <c r="A2712" s="15">
        <f>Sheet1!A2712</f>
        <v>0</v>
      </c>
      <c r="B2712">
        <f>Sheet1!B2712</f>
        <v>3.1</v>
      </c>
      <c r="C2712">
        <f>IF(Sheet1!B2712&gt;0,1,0)</f>
        <v>1</v>
      </c>
    </row>
    <row r="2713" spans="1:3" x14ac:dyDescent="0.25">
      <c r="A2713" s="15">
        <f>Sheet1!A2713</f>
        <v>0</v>
      </c>
      <c r="B2713">
        <f>Sheet1!B2713</f>
        <v>2.29</v>
      </c>
      <c r="C2713">
        <f>IF(Sheet1!B2713&gt;0,1,0)</f>
        <v>1</v>
      </c>
    </row>
    <row r="2714" spans="1:3" x14ac:dyDescent="0.25">
      <c r="A2714" s="15">
        <f>Sheet1!A2714</f>
        <v>0</v>
      </c>
      <c r="B2714">
        <f>Sheet1!B2714</f>
        <v>2.17</v>
      </c>
      <c r="C2714">
        <f>IF(Sheet1!B2714&gt;0,1,0)</f>
        <v>1</v>
      </c>
    </row>
    <row r="2715" spans="1:3" x14ac:dyDescent="0.25">
      <c r="A2715" s="15">
        <f>Sheet1!A2715</f>
        <v>0</v>
      </c>
      <c r="B2715">
        <f>Sheet1!B2715</f>
        <v>2.14</v>
      </c>
      <c r="C2715">
        <f>IF(Sheet1!B2715&gt;0,1,0)</f>
        <v>1</v>
      </c>
    </row>
    <row r="2716" spans="1:3" x14ac:dyDescent="0.25">
      <c r="A2716" s="15">
        <f>Sheet1!A2716</f>
        <v>0</v>
      </c>
      <c r="B2716">
        <f>Sheet1!B2716</f>
        <v>2.19</v>
      </c>
      <c r="C2716">
        <f>IF(Sheet1!B2716&gt;0,1,0)</f>
        <v>1</v>
      </c>
    </row>
    <row r="2717" spans="1:3" x14ac:dyDescent="0.25">
      <c r="A2717" s="15">
        <f>Sheet1!A2717</f>
        <v>0</v>
      </c>
      <c r="B2717">
        <f>Sheet1!B2717</f>
        <v>1.87</v>
      </c>
      <c r="C2717">
        <f>IF(Sheet1!B2717&gt;0,1,0)</f>
        <v>1</v>
      </c>
    </row>
    <row r="2718" spans="1:3" x14ac:dyDescent="0.25">
      <c r="A2718" s="15">
        <f>Sheet1!A2718</f>
        <v>0</v>
      </c>
      <c r="B2718">
        <f>Sheet1!B2718</f>
        <v>1.97</v>
      </c>
      <c r="C2718">
        <f>IF(Sheet1!B2718&gt;0,1,0)</f>
        <v>1</v>
      </c>
    </row>
    <row r="2719" spans="1:3" x14ac:dyDescent="0.25">
      <c r="A2719" s="15">
        <f>Sheet1!A2719</f>
        <v>0</v>
      </c>
      <c r="B2719">
        <f>Sheet1!B2719</f>
        <v>2.1800000000000002</v>
      </c>
      <c r="C2719">
        <f>IF(Sheet1!B2719&gt;0,1,0)</f>
        <v>1</v>
      </c>
    </row>
    <row r="2720" spans="1:3" x14ac:dyDescent="0.25">
      <c r="A2720" s="15">
        <f>Sheet1!A2720</f>
        <v>0</v>
      </c>
      <c r="B2720">
        <f>Sheet1!B2720</f>
        <v>0</v>
      </c>
      <c r="C2720">
        <f>IF(Sheet1!B2720&gt;0,1,0)</f>
        <v>0</v>
      </c>
    </row>
    <row r="2721" spans="1:3" x14ac:dyDescent="0.25">
      <c r="A2721" s="15">
        <f>Sheet1!A2721</f>
        <v>0</v>
      </c>
      <c r="B2721">
        <f>Sheet1!B2721</f>
        <v>0</v>
      </c>
      <c r="C2721">
        <f>IF(Sheet1!B2721&gt;0,1,0)</f>
        <v>0</v>
      </c>
    </row>
    <row r="2722" spans="1:3" x14ac:dyDescent="0.25">
      <c r="A2722" s="15">
        <f>Sheet1!A2722</f>
        <v>0</v>
      </c>
      <c r="B2722">
        <f>Sheet1!B2722</f>
        <v>1.49</v>
      </c>
      <c r="C2722">
        <f>IF(Sheet1!B2722&gt;0,1,0)</f>
        <v>1</v>
      </c>
    </row>
    <row r="2723" spans="1:3" x14ac:dyDescent="0.25">
      <c r="A2723" s="15">
        <f>Sheet1!A2723</f>
        <v>0</v>
      </c>
      <c r="B2723">
        <f>Sheet1!B2723</f>
        <v>1.75</v>
      </c>
      <c r="C2723">
        <f>IF(Sheet1!B2723&gt;0,1,0)</f>
        <v>1</v>
      </c>
    </row>
    <row r="2724" spans="1:3" x14ac:dyDescent="0.25">
      <c r="A2724" s="15">
        <f>Sheet1!A2724</f>
        <v>0</v>
      </c>
      <c r="B2724">
        <f>Sheet1!B2724</f>
        <v>1.95</v>
      </c>
      <c r="C2724">
        <f>IF(Sheet1!B2724&gt;0,1,0)</f>
        <v>1</v>
      </c>
    </row>
    <row r="2725" spans="1:3" x14ac:dyDescent="0.25">
      <c r="A2725" s="15">
        <f>Sheet1!A2725</f>
        <v>0</v>
      </c>
      <c r="B2725">
        <f>Sheet1!B2725</f>
        <v>0</v>
      </c>
      <c r="C2725">
        <f>IF(Sheet1!B2725&gt;0,1,0)</f>
        <v>0</v>
      </c>
    </row>
    <row r="2726" spans="1:3" x14ac:dyDescent="0.25">
      <c r="A2726" s="15">
        <f>Sheet1!A2726</f>
        <v>0</v>
      </c>
      <c r="B2726">
        <f>Sheet1!B2726</f>
        <v>0</v>
      </c>
      <c r="C2726">
        <f>IF(Sheet1!B2726&gt;0,1,0)</f>
        <v>0</v>
      </c>
    </row>
    <row r="2727" spans="1:3" x14ac:dyDescent="0.25">
      <c r="A2727" s="15">
        <f>Sheet1!A2727</f>
        <v>0</v>
      </c>
      <c r="B2727">
        <f>Sheet1!B2727</f>
        <v>0</v>
      </c>
      <c r="C2727">
        <f>IF(Sheet1!B2727&gt;0,1,0)</f>
        <v>0</v>
      </c>
    </row>
    <row r="2728" spans="1:3" x14ac:dyDescent="0.25">
      <c r="A2728" s="15">
        <f>Sheet1!A2728</f>
        <v>0</v>
      </c>
      <c r="B2728">
        <f>Sheet1!B2728</f>
        <v>4.68</v>
      </c>
      <c r="C2728">
        <f>IF(Sheet1!B2728&gt;0,1,0)</f>
        <v>1</v>
      </c>
    </row>
    <row r="2729" spans="1:3" x14ac:dyDescent="0.25">
      <c r="A2729" s="15">
        <f>Sheet1!A2729</f>
        <v>0</v>
      </c>
      <c r="B2729">
        <f>Sheet1!B2729</f>
        <v>0</v>
      </c>
      <c r="C2729">
        <f>IF(Sheet1!B2729&gt;0,1,0)</f>
        <v>0</v>
      </c>
    </row>
    <row r="2730" spans="1:3" x14ac:dyDescent="0.25">
      <c r="A2730" s="15">
        <f>Sheet1!A2730</f>
        <v>0</v>
      </c>
      <c r="B2730">
        <f>Sheet1!B2730</f>
        <v>0</v>
      </c>
      <c r="C2730">
        <f>IF(Sheet1!B2730&gt;0,1,0)</f>
        <v>0</v>
      </c>
    </row>
    <row r="2731" spans="1:3" x14ac:dyDescent="0.25">
      <c r="A2731" s="15">
        <f>Sheet1!A2731</f>
        <v>0</v>
      </c>
      <c r="B2731">
        <f>Sheet1!B2731</f>
        <v>0</v>
      </c>
      <c r="C2731">
        <f>IF(Sheet1!B2731&gt;0,1,0)</f>
        <v>0</v>
      </c>
    </row>
    <row r="2732" spans="1:3" x14ac:dyDescent="0.25">
      <c r="A2732" s="15">
        <f>Sheet1!A2732</f>
        <v>0</v>
      </c>
      <c r="B2732">
        <f>Sheet1!B2732</f>
        <v>0</v>
      </c>
      <c r="C2732">
        <f>IF(Sheet1!B2732&gt;0,1,0)</f>
        <v>0</v>
      </c>
    </row>
    <row r="2733" spans="1:3" x14ac:dyDescent="0.25">
      <c r="A2733" s="15">
        <f>Sheet1!A2733</f>
        <v>0</v>
      </c>
      <c r="B2733">
        <f>Sheet1!B2733</f>
        <v>0</v>
      </c>
      <c r="C2733">
        <f>IF(Sheet1!B2733&gt;0,1,0)</f>
        <v>0</v>
      </c>
    </row>
    <row r="2734" spans="1:3" x14ac:dyDescent="0.25">
      <c r="A2734" s="15">
        <f>Sheet1!A2734</f>
        <v>0</v>
      </c>
      <c r="B2734">
        <f>Sheet1!B2734</f>
        <v>0</v>
      </c>
      <c r="C2734">
        <f>IF(Sheet1!B2734&gt;0,1,0)</f>
        <v>0</v>
      </c>
    </row>
    <row r="2735" spans="1:3" x14ac:dyDescent="0.25">
      <c r="A2735" s="15">
        <f>Sheet1!A2735</f>
        <v>0</v>
      </c>
      <c r="B2735">
        <f>Sheet1!B2735</f>
        <v>0</v>
      </c>
      <c r="C2735">
        <f>IF(Sheet1!B2735&gt;0,1,0)</f>
        <v>0</v>
      </c>
    </row>
    <row r="2736" spans="1:3" x14ac:dyDescent="0.25">
      <c r="A2736" s="15">
        <f>Sheet1!A2736</f>
        <v>0</v>
      </c>
      <c r="B2736">
        <f>Sheet1!B2736</f>
        <v>4.16</v>
      </c>
      <c r="C2736">
        <f>IF(Sheet1!B2736&gt;0,1,0)</f>
        <v>1</v>
      </c>
    </row>
    <row r="2737" spans="1:3" x14ac:dyDescent="0.25">
      <c r="A2737" s="15">
        <f>Sheet1!A2737</f>
        <v>0</v>
      </c>
      <c r="B2737">
        <f>Sheet1!B2737</f>
        <v>4.21</v>
      </c>
      <c r="C2737">
        <f>IF(Sheet1!B2737&gt;0,1,0)</f>
        <v>1</v>
      </c>
    </row>
    <row r="2738" spans="1:3" x14ac:dyDescent="0.25">
      <c r="A2738" s="15">
        <f>Sheet1!A2738</f>
        <v>0</v>
      </c>
      <c r="B2738">
        <f>Sheet1!B2738</f>
        <v>3.99</v>
      </c>
      <c r="C2738">
        <f>IF(Sheet1!B2738&gt;0,1,0)</f>
        <v>1</v>
      </c>
    </row>
    <row r="2739" spans="1:3" x14ac:dyDescent="0.25">
      <c r="A2739" s="15">
        <f>Sheet1!A2739</f>
        <v>0</v>
      </c>
      <c r="B2739">
        <f>Sheet1!B2739</f>
        <v>3.69</v>
      </c>
      <c r="C2739">
        <f>IF(Sheet1!B2739&gt;0,1,0)</f>
        <v>1</v>
      </c>
    </row>
    <row r="2740" spans="1:3" x14ac:dyDescent="0.25">
      <c r="A2740" s="15">
        <f>Sheet1!A2740</f>
        <v>0</v>
      </c>
      <c r="B2740">
        <f>Sheet1!B2740</f>
        <v>3.45</v>
      </c>
      <c r="C2740">
        <f>IF(Sheet1!B2740&gt;0,1,0)</f>
        <v>1</v>
      </c>
    </row>
    <row r="2741" spans="1:3" x14ac:dyDescent="0.25">
      <c r="A2741" s="15">
        <f>Sheet1!A2741</f>
        <v>0</v>
      </c>
      <c r="B2741">
        <f>Sheet1!B2741</f>
        <v>3.43</v>
      </c>
      <c r="C2741">
        <f>IF(Sheet1!B2741&gt;0,1,0)</f>
        <v>1</v>
      </c>
    </row>
    <row r="2742" spans="1:3" x14ac:dyDescent="0.25">
      <c r="A2742" s="15">
        <f>Sheet1!A2742</f>
        <v>0</v>
      </c>
      <c r="B2742">
        <f>Sheet1!B2742</f>
        <v>4.3</v>
      </c>
      <c r="C2742">
        <f>IF(Sheet1!B2742&gt;0,1,0)</f>
        <v>1</v>
      </c>
    </row>
    <row r="2743" spans="1:3" x14ac:dyDescent="0.25">
      <c r="A2743" s="15">
        <f>Sheet1!A2743</f>
        <v>0</v>
      </c>
      <c r="B2743">
        <f>Sheet1!B2743</f>
        <v>4</v>
      </c>
      <c r="C2743">
        <f>IF(Sheet1!B2743&gt;0,1,0)</f>
        <v>1</v>
      </c>
    </row>
    <row r="2744" spans="1:3" x14ac:dyDescent="0.25">
      <c r="A2744" s="15">
        <f>Sheet1!A2744</f>
        <v>0</v>
      </c>
      <c r="B2744">
        <f>Sheet1!B2744</f>
        <v>1.88</v>
      </c>
      <c r="C2744">
        <f>IF(Sheet1!B2744&gt;0,1,0)</f>
        <v>1</v>
      </c>
    </row>
    <row r="2745" spans="1:3" x14ac:dyDescent="0.25">
      <c r="A2745" s="15">
        <f>Sheet1!A2745</f>
        <v>0</v>
      </c>
      <c r="B2745">
        <f>Sheet1!B2745</f>
        <v>0</v>
      </c>
      <c r="C2745">
        <f>IF(Sheet1!B2745&gt;0,1,0)</f>
        <v>0</v>
      </c>
    </row>
    <row r="2746" spans="1:3" x14ac:dyDescent="0.25">
      <c r="A2746" s="15">
        <f>Sheet1!A2746</f>
        <v>0</v>
      </c>
      <c r="B2746">
        <f>Sheet1!B2746</f>
        <v>0</v>
      </c>
      <c r="C2746">
        <f>IF(Sheet1!B2746&gt;0,1,0)</f>
        <v>0</v>
      </c>
    </row>
    <row r="2747" spans="1:3" x14ac:dyDescent="0.25">
      <c r="A2747" s="15">
        <f>Sheet1!A2747</f>
        <v>0</v>
      </c>
      <c r="B2747">
        <f>Sheet1!B2747</f>
        <v>0</v>
      </c>
      <c r="C2747">
        <f>IF(Sheet1!B2747&gt;0,1,0)</f>
        <v>0</v>
      </c>
    </row>
    <row r="2748" spans="1:3" x14ac:dyDescent="0.25">
      <c r="A2748" s="15">
        <f>Sheet1!A2748</f>
        <v>0</v>
      </c>
      <c r="B2748">
        <f>Sheet1!B2748</f>
        <v>2.37</v>
      </c>
      <c r="C2748">
        <f>IF(Sheet1!B2748&gt;0,1,0)</f>
        <v>1</v>
      </c>
    </row>
    <row r="2749" spans="1:3" x14ac:dyDescent="0.25">
      <c r="A2749" s="15">
        <f>Sheet1!A2749</f>
        <v>0</v>
      </c>
      <c r="B2749">
        <f>Sheet1!B2749</f>
        <v>1.98</v>
      </c>
      <c r="C2749">
        <f>IF(Sheet1!B2749&gt;0,1,0)</f>
        <v>1</v>
      </c>
    </row>
    <row r="2750" spans="1:3" x14ac:dyDescent="0.25">
      <c r="A2750" s="15">
        <f>Sheet1!A2750</f>
        <v>0</v>
      </c>
      <c r="B2750">
        <f>Sheet1!B2750</f>
        <v>0</v>
      </c>
      <c r="C2750">
        <f>IF(Sheet1!B2750&gt;0,1,0)</f>
        <v>0</v>
      </c>
    </row>
    <row r="2751" spans="1:3" x14ac:dyDescent="0.25">
      <c r="A2751" s="15">
        <f>Sheet1!A2751</f>
        <v>0</v>
      </c>
      <c r="B2751">
        <f>Sheet1!B2751</f>
        <v>0</v>
      </c>
      <c r="C2751">
        <f>IF(Sheet1!B2751&gt;0,1,0)</f>
        <v>0</v>
      </c>
    </row>
    <row r="2752" spans="1:3" x14ac:dyDescent="0.25">
      <c r="A2752" s="15">
        <f>Sheet1!A2752</f>
        <v>0</v>
      </c>
      <c r="B2752">
        <f>Sheet1!B2752</f>
        <v>0</v>
      </c>
      <c r="C2752">
        <f>IF(Sheet1!B2752&gt;0,1,0)</f>
        <v>0</v>
      </c>
    </row>
    <row r="2753" spans="1:3" x14ac:dyDescent="0.25">
      <c r="A2753" s="15">
        <f>Sheet1!A2753</f>
        <v>0</v>
      </c>
      <c r="B2753">
        <f>Sheet1!B2753</f>
        <v>0</v>
      </c>
      <c r="C2753">
        <f>IF(Sheet1!B2753&gt;0,1,0)</f>
        <v>0</v>
      </c>
    </row>
    <row r="2754" spans="1:3" x14ac:dyDescent="0.25">
      <c r="A2754" s="15">
        <f>Sheet1!A2754</f>
        <v>0</v>
      </c>
      <c r="B2754">
        <f>Sheet1!B2754</f>
        <v>2.39</v>
      </c>
      <c r="C2754">
        <f>IF(Sheet1!B2754&gt;0,1,0)</f>
        <v>1</v>
      </c>
    </row>
    <row r="2755" spans="1:3" x14ac:dyDescent="0.25">
      <c r="A2755" s="15">
        <f>Sheet1!A2755</f>
        <v>0</v>
      </c>
      <c r="B2755">
        <f>Sheet1!B2755</f>
        <v>0</v>
      </c>
      <c r="C2755">
        <f>IF(Sheet1!B2755&gt;0,1,0)</f>
        <v>0</v>
      </c>
    </row>
    <row r="2756" spans="1:3" x14ac:dyDescent="0.25">
      <c r="A2756" s="15">
        <f>Sheet1!A2756</f>
        <v>0</v>
      </c>
      <c r="B2756">
        <f>Sheet1!B2756</f>
        <v>0</v>
      </c>
      <c r="C2756">
        <f>IF(Sheet1!B2756&gt;0,1,0)</f>
        <v>0</v>
      </c>
    </row>
    <row r="2757" spans="1:3" x14ac:dyDescent="0.25">
      <c r="A2757" s="15">
        <f>Sheet1!A2757</f>
        <v>0</v>
      </c>
      <c r="B2757">
        <f>Sheet1!B2757</f>
        <v>0</v>
      </c>
      <c r="C2757">
        <f>IF(Sheet1!B2757&gt;0,1,0)</f>
        <v>0</v>
      </c>
    </row>
    <row r="2758" spans="1:3" x14ac:dyDescent="0.25">
      <c r="A2758" s="15">
        <f>Sheet1!A2758</f>
        <v>0</v>
      </c>
      <c r="B2758">
        <f>Sheet1!B2758</f>
        <v>0</v>
      </c>
      <c r="C2758">
        <f>IF(Sheet1!B2758&gt;0,1,0)</f>
        <v>0</v>
      </c>
    </row>
    <row r="2759" spans="1:3" x14ac:dyDescent="0.25">
      <c r="A2759" s="15">
        <f>Sheet1!A2759</f>
        <v>0</v>
      </c>
      <c r="B2759">
        <f>Sheet1!B2759</f>
        <v>0</v>
      </c>
      <c r="C2759">
        <f>IF(Sheet1!B2759&gt;0,1,0)</f>
        <v>0</v>
      </c>
    </row>
    <row r="2760" spans="1:3" x14ac:dyDescent="0.25">
      <c r="A2760" s="15">
        <f>Sheet1!A2760</f>
        <v>0</v>
      </c>
      <c r="B2760">
        <f>Sheet1!B2760</f>
        <v>4.1500000000000004</v>
      </c>
      <c r="C2760">
        <f>IF(Sheet1!B2760&gt;0,1,0)</f>
        <v>1</v>
      </c>
    </row>
    <row r="2761" spans="1:3" x14ac:dyDescent="0.25">
      <c r="A2761" s="15">
        <f>Sheet1!A2761</f>
        <v>0</v>
      </c>
      <c r="B2761">
        <f>Sheet1!B2761</f>
        <v>0</v>
      </c>
      <c r="C2761">
        <f>IF(Sheet1!B2761&gt;0,1,0)</f>
        <v>0</v>
      </c>
    </row>
    <row r="2762" spans="1:3" x14ac:dyDescent="0.25">
      <c r="A2762" s="15">
        <f>Sheet1!A2762</f>
        <v>0</v>
      </c>
      <c r="B2762">
        <f>Sheet1!B2762</f>
        <v>4.01</v>
      </c>
      <c r="C2762">
        <f>IF(Sheet1!B2762&gt;0,1,0)</f>
        <v>1</v>
      </c>
    </row>
    <row r="2763" spans="1:3" x14ac:dyDescent="0.25">
      <c r="A2763" s="15">
        <f>Sheet1!A2763</f>
        <v>0</v>
      </c>
      <c r="B2763">
        <f>Sheet1!B2763</f>
        <v>3.32</v>
      </c>
      <c r="C2763">
        <f>IF(Sheet1!B2763&gt;0,1,0)</f>
        <v>1</v>
      </c>
    </row>
    <row r="2764" spans="1:3" x14ac:dyDescent="0.25">
      <c r="A2764" s="15">
        <f>Sheet1!A2764</f>
        <v>0</v>
      </c>
      <c r="B2764">
        <f>Sheet1!B2764</f>
        <v>3.33</v>
      </c>
      <c r="C2764">
        <f>IF(Sheet1!B2764&gt;0,1,0)</f>
        <v>1</v>
      </c>
    </row>
    <row r="2765" spans="1:3" x14ac:dyDescent="0.25">
      <c r="A2765" s="15">
        <f>Sheet1!A2765</f>
        <v>0</v>
      </c>
      <c r="B2765">
        <f>Sheet1!B2765</f>
        <v>3.29</v>
      </c>
      <c r="C2765">
        <f>IF(Sheet1!B2765&gt;0,1,0)</f>
        <v>1</v>
      </c>
    </row>
    <row r="2766" spans="1:3" x14ac:dyDescent="0.25">
      <c r="A2766" s="15">
        <f>Sheet1!A2766</f>
        <v>0</v>
      </c>
      <c r="B2766">
        <f>Sheet1!B2766</f>
        <v>3.4</v>
      </c>
      <c r="C2766">
        <f>IF(Sheet1!B2766&gt;0,1,0)</f>
        <v>1</v>
      </c>
    </row>
    <row r="2767" spans="1:3" x14ac:dyDescent="0.25">
      <c r="A2767" s="15">
        <f>Sheet1!A2767</f>
        <v>0</v>
      </c>
      <c r="B2767">
        <f>Sheet1!B2767</f>
        <v>3.09</v>
      </c>
      <c r="C2767">
        <f>IF(Sheet1!B2767&gt;0,1,0)</f>
        <v>1</v>
      </c>
    </row>
    <row r="2768" spans="1:3" x14ac:dyDescent="0.25">
      <c r="A2768" s="15">
        <f>Sheet1!A2768</f>
        <v>0</v>
      </c>
      <c r="B2768">
        <f>Sheet1!B2768</f>
        <v>1.64</v>
      </c>
      <c r="C2768">
        <f>IF(Sheet1!B2768&gt;0,1,0)</f>
        <v>1</v>
      </c>
    </row>
    <row r="2769" spans="1:3" x14ac:dyDescent="0.25">
      <c r="A2769" s="15">
        <f>Sheet1!A2769</f>
        <v>0</v>
      </c>
      <c r="B2769">
        <f>Sheet1!B2769</f>
        <v>1.29</v>
      </c>
      <c r="C2769">
        <f>IF(Sheet1!B2769&gt;0,1,0)</f>
        <v>1</v>
      </c>
    </row>
    <row r="2770" spans="1:3" x14ac:dyDescent="0.25">
      <c r="A2770" s="15">
        <f>Sheet1!A2770</f>
        <v>0</v>
      </c>
      <c r="B2770">
        <f>Sheet1!B2770</f>
        <v>1.32</v>
      </c>
      <c r="C2770">
        <f>IF(Sheet1!B2770&gt;0,1,0)</f>
        <v>1</v>
      </c>
    </row>
    <row r="2771" spans="1:3" x14ac:dyDescent="0.25">
      <c r="A2771" s="15">
        <f>Sheet1!A2771</f>
        <v>0</v>
      </c>
      <c r="B2771">
        <f>Sheet1!B2771</f>
        <v>0</v>
      </c>
      <c r="C2771">
        <f>IF(Sheet1!B2771&gt;0,1,0)</f>
        <v>0</v>
      </c>
    </row>
    <row r="2772" spans="1:3" x14ac:dyDescent="0.25">
      <c r="A2772" s="15">
        <f>Sheet1!A2772</f>
        <v>0</v>
      </c>
      <c r="B2772">
        <f>Sheet1!B2772</f>
        <v>0</v>
      </c>
      <c r="C2772">
        <f>IF(Sheet1!B2772&gt;0,1,0)</f>
        <v>0</v>
      </c>
    </row>
    <row r="2773" spans="1:3" x14ac:dyDescent="0.25">
      <c r="A2773" s="15">
        <f>Sheet1!A2773</f>
        <v>0</v>
      </c>
      <c r="B2773">
        <f>Sheet1!B2773</f>
        <v>0</v>
      </c>
      <c r="C2773">
        <f>IF(Sheet1!B2773&gt;0,1,0)</f>
        <v>0</v>
      </c>
    </row>
    <row r="2774" spans="1:3" x14ac:dyDescent="0.25">
      <c r="A2774" s="15">
        <f>Sheet1!A2774</f>
        <v>0</v>
      </c>
      <c r="B2774">
        <f>Sheet1!B2774</f>
        <v>1.21</v>
      </c>
      <c r="C2774">
        <f>IF(Sheet1!B2774&gt;0,1,0)</f>
        <v>1</v>
      </c>
    </row>
    <row r="2775" spans="1:3" x14ac:dyDescent="0.25">
      <c r="A2775" s="15">
        <f>Sheet1!A2775</f>
        <v>0</v>
      </c>
      <c r="B2775">
        <f>Sheet1!B2775</f>
        <v>0</v>
      </c>
      <c r="C2775">
        <f>IF(Sheet1!B2775&gt;0,1,0)</f>
        <v>0</v>
      </c>
    </row>
    <row r="2776" spans="1:3" x14ac:dyDescent="0.25">
      <c r="A2776" s="15">
        <f>Sheet1!A2776</f>
        <v>0</v>
      </c>
      <c r="B2776">
        <f>Sheet1!B2776</f>
        <v>0</v>
      </c>
      <c r="C2776">
        <f>IF(Sheet1!B2776&gt;0,1,0)</f>
        <v>0</v>
      </c>
    </row>
    <row r="2777" spans="1:3" x14ac:dyDescent="0.25">
      <c r="A2777" s="15">
        <f>Sheet1!A2777</f>
        <v>0</v>
      </c>
      <c r="B2777">
        <f>Sheet1!B2777</f>
        <v>0</v>
      </c>
      <c r="C2777">
        <f>IF(Sheet1!B2777&gt;0,1,0)</f>
        <v>0</v>
      </c>
    </row>
    <row r="2778" spans="1:3" x14ac:dyDescent="0.25">
      <c r="A2778" s="15">
        <f>Sheet1!A2778</f>
        <v>0</v>
      </c>
      <c r="B2778">
        <f>Sheet1!B2778</f>
        <v>0</v>
      </c>
      <c r="C2778">
        <f>IF(Sheet1!B2778&gt;0,1,0)</f>
        <v>0</v>
      </c>
    </row>
    <row r="2779" spans="1:3" x14ac:dyDescent="0.25">
      <c r="A2779" s="15">
        <f>Sheet1!A2779</f>
        <v>0</v>
      </c>
      <c r="B2779">
        <f>Sheet1!B2779</f>
        <v>0</v>
      </c>
      <c r="C2779">
        <f>IF(Sheet1!B2779&gt;0,1,0)</f>
        <v>0</v>
      </c>
    </row>
    <row r="2780" spans="1:3" x14ac:dyDescent="0.25">
      <c r="A2780" s="15">
        <f>Sheet1!A2780</f>
        <v>0</v>
      </c>
      <c r="B2780">
        <f>Sheet1!B2780</f>
        <v>3.56</v>
      </c>
      <c r="C2780">
        <f>IF(Sheet1!B2780&gt;0,1,0)</f>
        <v>1</v>
      </c>
    </row>
    <row r="2781" spans="1:3" x14ac:dyDescent="0.25">
      <c r="A2781" s="15">
        <f>Sheet1!A2781</f>
        <v>0</v>
      </c>
      <c r="B2781">
        <f>Sheet1!B2781</f>
        <v>0</v>
      </c>
      <c r="C2781">
        <f>IF(Sheet1!B2781&gt;0,1,0)</f>
        <v>0</v>
      </c>
    </row>
    <row r="2782" spans="1:3" x14ac:dyDescent="0.25">
      <c r="A2782" s="15">
        <f>Sheet1!A2782</f>
        <v>0</v>
      </c>
      <c r="B2782">
        <f>Sheet1!B2782</f>
        <v>0</v>
      </c>
      <c r="C2782">
        <f>IF(Sheet1!B2782&gt;0,1,0)</f>
        <v>0</v>
      </c>
    </row>
    <row r="2783" spans="1:3" x14ac:dyDescent="0.25">
      <c r="A2783" s="15">
        <f>Sheet1!A2783</f>
        <v>0</v>
      </c>
      <c r="B2783">
        <f>Sheet1!B2783</f>
        <v>0</v>
      </c>
      <c r="C2783">
        <f>IF(Sheet1!B2783&gt;0,1,0)</f>
        <v>0</v>
      </c>
    </row>
    <row r="2784" spans="1:3" x14ac:dyDescent="0.25">
      <c r="A2784" s="15">
        <f>Sheet1!A2784</f>
        <v>0</v>
      </c>
      <c r="B2784">
        <f>Sheet1!B2784</f>
        <v>3.2</v>
      </c>
      <c r="C2784">
        <f>IF(Sheet1!B2784&gt;0,1,0)</f>
        <v>1</v>
      </c>
    </row>
    <row r="2785" spans="1:3" x14ac:dyDescent="0.25">
      <c r="A2785" s="15">
        <f>Sheet1!A2785</f>
        <v>0</v>
      </c>
      <c r="B2785">
        <f>Sheet1!B2785</f>
        <v>2.5299999999999998</v>
      </c>
      <c r="C2785">
        <f>IF(Sheet1!B2785&gt;0,1,0)</f>
        <v>1</v>
      </c>
    </row>
    <row r="2786" spans="1:3" x14ac:dyDescent="0.25">
      <c r="A2786" s="15">
        <f>Sheet1!A2786</f>
        <v>0</v>
      </c>
      <c r="B2786">
        <f>Sheet1!B2786</f>
        <v>2.5099999999999998</v>
      </c>
      <c r="C2786">
        <f>IF(Sheet1!B2786&gt;0,1,0)</f>
        <v>1</v>
      </c>
    </row>
    <row r="2787" spans="1:3" x14ac:dyDescent="0.25">
      <c r="A2787" s="15">
        <f>Sheet1!A2787</f>
        <v>0</v>
      </c>
      <c r="B2787">
        <f>Sheet1!B2787</f>
        <v>2.83</v>
      </c>
      <c r="C2787">
        <f>IF(Sheet1!B2787&gt;0,1,0)</f>
        <v>1</v>
      </c>
    </row>
    <row r="2788" spans="1:3" x14ac:dyDescent="0.25">
      <c r="A2788" s="15">
        <f>Sheet1!A2788</f>
        <v>0</v>
      </c>
      <c r="B2788">
        <f>Sheet1!B2788</f>
        <v>2.46</v>
      </c>
      <c r="C2788">
        <f>IF(Sheet1!B2788&gt;0,1,0)</f>
        <v>1</v>
      </c>
    </row>
    <row r="2789" spans="1:3" x14ac:dyDescent="0.25">
      <c r="A2789" s="15">
        <f>Sheet1!A2789</f>
        <v>0</v>
      </c>
      <c r="B2789">
        <f>Sheet1!B2789</f>
        <v>2.19</v>
      </c>
      <c r="C2789">
        <f>IF(Sheet1!B2789&gt;0,1,0)</f>
        <v>1</v>
      </c>
    </row>
    <row r="2790" spans="1:3" x14ac:dyDescent="0.25">
      <c r="A2790" s="15">
        <f>Sheet1!A2790</f>
        <v>0</v>
      </c>
      <c r="B2790">
        <f>Sheet1!B2790</f>
        <v>2.4300000000000002</v>
      </c>
      <c r="C2790">
        <f>IF(Sheet1!B2790&gt;0,1,0)</f>
        <v>1</v>
      </c>
    </row>
    <row r="2791" spans="1:3" x14ac:dyDescent="0.25">
      <c r="A2791" s="15">
        <f>Sheet1!A2791</f>
        <v>0</v>
      </c>
      <c r="B2791">
        <f>Sheet1!B2791</f>
        <v>2.0699999999999998</v>
      </c>
      <c r="C2791">
        <f>IF(Sheet1!B2791&gt;0,1,0)</f>
        <v>1</v>
      </c>
    </row>
    <row r="2792" spans="1:3" x14ac:dyDescent="0.25">
      <c r="A2792" s="15">
        <f>Sheet1!A2792</f>
        <v>0</v>
      </c>
      <c r="B2792">
        <f>Sheet1!B2792</f>
        <v>1.1599999999999999</v>
      </c>
      <c r="C2792">
        <f>IF(Sheet1!B2792&gt;0,1,0)</f>
        <v>1</v>
      </c>
    </row>
    <row r="2793" spans="1:3" x14ac:dyDescent="0.25">
      <c r="A2793" s="15">
        <f>Sheet1!A2793</f>
        <v>0</v>
      </c>
      <c r="B2793">
        <f>Sheet1!B2793</f>
        <v>0.94</v>
      </c>
      <c r="C2793">
        <f>IF(Sheet1!B2793&gt;0,1,0)</f>
        <v>1</v>
      </c>
    </row>
    <row r="2794" spans="1:3" x14ac:dyDescent="0.25">
      <c r="A2794" s="15">
        <f>Sheet1!A2794</f>
        <v>0</v>
      </c>
      <c r="B2794">
        <f>Sheet1!B2794</f>
        <v>0</v>
      </c>
      <c r="C2794">
        <f>IF(Sheet1!B2794&gt;0,1,0)</f>
        <v>0</v>
      </c>
    </row>
    <row r="2795" spans="1:3" x14ac:dyDescent="0.25">
      <c r="A2795" s="15">
        <f>Sheet1!A2795</f>
        <v>0</v>
      </c>
      <c r="B2795">
        <f>Sheet1!B2795</f>
        <v>0</v>
      </c>
      <c r="C2795">
        <f>IF(Sheet1!B2795&gt;0,1,0)</f>
        <v>0</v>
      </c>
    </row>
    <row r="2796" spans="1:3" x14ac:dyDescent="0.25">
      <c r="A2796" s="15">
        <f>Sheet1!A2796</f>
        <v>0</v>
      </c>
      <c r="B2796">
        <f>Sheet1!B2796</f>
        <v>1.77</v>
      </c>
      <c r="C2796">
        <f>IF(Sheet1!B2796&gt;0,1,0)</f>
        <v>1</v>
      </c>
    </row>
    <row r="2797" spans="1:3" x14ac:dyDescent="0.25">
      <c r="A2797" s="15">
        <f>Sheet1!A2797</f>
        <v>0</v>
      </c>
      <c r="B2797">
        <f>Sheet1!B2797</f>
        <v>0</v>
      </c>
      <c r="C2797">
        <f>IF(Sheet1!B2797&gt;0,1,0)</f>
        <v>0</v>
      </c>
    </row>
    <row r="2798" spans="1:3" x14ac:dyDescent="0.25">
      <c r="A2798" s="15">
        <f>Sheet1!A2798</f>
        <v>0</v>
      </c>
      <c r="B2798">
        <f>Sheet1!B2798</f>
        <v>0</v>
      </c>
      <c r="C2798">
        <f>IF(Sheet1!B2798&gt;0,1,0)</f>
        <v>0</v>
      </c>
    </row>
    <row r="2799" spans="1:3" x14ac:dyDescent="0.25">
      <c r="A2799" s="15">
        <f>Sheet1!A2799</f>
        <v>0</v>
      </c>
      <c r="B2799">
        <f>Sheet1!B2799</f>
        <v>0</v>
      </c>
      <c r="C2799">
        <f>IF(Sheet1!B2799&gt;0,1,0)</f>
        <v>0</v>
      </c>
    </row>
    <row r="2800" spans="1:3" x14ac:dyDescent="0.25">
      <c r="A2800" s="15">
        <f>Sheet1!A2800</f>
        <v>0</v>
      </c>
      <c r="B2800">
        <f>Sheet1!B2800</f>
        <v>0</v>
      </c>
      <c r="C2800">
        <f>IF(Sheet1!B2800&gt;0,1,0)</f>
        <v>0</v>
      </c>
    </row>
    <row r="2801" spans="1:3" x14ac:dyDescent="0.25">
      <c r="A2801" s="15">
        <f>Sheet1!A2801</f>
        <v>0</v>
      </c>
      <c r="B2801">
        <f>Sheet1!B2801</f>
        <v>0</v>
      </c>
      <c r="C2801">
        <f>IF(Sheet1!B2801&gt;0,1,0)</f>
        <v>0</v>
      </c>
    </row>
    <row r="2802" spans="1:3" x14ac:dyDescent="0.25">
      <c r="A2802" s="15">
        <f>Sheet1!A2802</f>
        <v>0</v>
      </c>
      <c r="B2802">
        <f>Sheet1!B2802</f>
        <v>0</v>
      </c>
      <c r="C2802">
        <f>IF(Sheet1!B2802&gt;0,1,0)</f>
        <v>0</v>
      </c>
    </row>
    <row r="2803" spans="1:3" x14ac:dyDescent="0.25">
      <c r="A2803" s="15">
        <f>Sheet1!A2803</f>
        <v>0</v>
      </c>
      <c r="B2803">
        <f>Sheet1!B2803</f>
        <v>0</v>
      </c>
      <c r="C2803">
        <f>IF(Sheet1!B2803&gt;0,1,0)</f>
        <v>0</v>
      </c>
    </row>
    <row r="2804" spans="1:3" x14ac:dyDescent="0.25">
      <c r="A2804" s="15">
        <f>Sheet1!A2804</f>
        <v>0</v>
      </c>
      <c r="B2804">
        <f>Sheet1!B2804</f>
        <v>0</v>
      </c>
      <c r="C2804">
        <f>IF(Sheet1!B2804&gt;0,1,0)</f>
        <v>0</v>
      </c>
    </row>
    <row r="2805" spans="1:3" x14ac:dyDescent="0.25">
      <c r="A2805" s="15">
        <f>Sheet1!A2805</f>
        <v>0</v>
      </c>
      <c r="B2805">
        <f>Sheet1!B2805</f>
        <v>1.51</v>
      </c>
      <c r="C2805">
        <f>IF(Sheet1!B2805&gt;0,1,0)</f>
        <v>1</v>
      </c>
    </row>
    <row r="2806" spans="1:3" x14ac:dyDescent="0.25">
      <c r="A2806" s="15">
        <f>Sheet1!A2806</f>
        <v>0</v>
      </c>
      <c r="B2806">
        <f>Sheet1!B2806</f>
        <v>2.16</v>
      </c>
      <c r="C2806">
        <f>IF(Sheet1!B2806&gt;0,1,0)</f>
        <v>1</v>
      </c>
    </row>
    <row r="2807" spans="1:3" x14ac:dyDescent="0.25">
      <c r="A2807" s="15">
        <f>Sheet1!A2807</f>
        <v>0</v>
      </c>
      <c r="B2807">
        <f>Sheet1!B2807</f>
        <v>2.35</v>
      </c>
      <c r="C2807">
        <f>IF(Sheet1!B2807&gt;0,1,0)</f>
        <v>1</v>
      </c>
    </row>
    <row r="2808" spans="1:3" x14ac:dyDescent="0.25">
      <c r="A2808" s="15">
        <f>Sheet1!A2808</f>
        <v>0</v>
      </c>
      <c r="B2808">
        <f>Sheet1!B2808</f>
        <v>2.69</v>
      </c>
      <c r="C2808">
        <f>IF(Sheet1!B2808&gt;0,1,0)</f>
        <v>1</v>
      </c>
    </row>
    <row r="2809" spans="1:3" x14ac:dyDescent="0.25">
      <c r="A2809" s="15">
        <f>Sheet1!A2809</f>
        <v>0</v>
      </c>
      <c r="B2809">
        <f>Sheet1!B2809</f>
        <v>2.16</v>
      </c>
      <c r="C2809">
        <f>IF(Sheet1!B2809&gt;0,1,0)</f>
        <v>1</v>
      </c>
    </row>
    <row r="2810" spans="1:3" x14ac:dyDescent="0.25">
      <c r="A2810" s="15">
        <f>Sheet1!A2810</f>
        <v>0</v>
      </c>
      <c r="B2810">
        <f>Sheet1!B2810</f>
        <v>1.88</v>
      </c>
      <c r="C2810">
        <f>IF(Sheet1!B2810&gt;0,1,0)</f>
        <v>1</v>
      </c>
    </row>
    <row r="2811" spans="1:3" x14ac:dyDescent="0.25">
      <c r="A2811" s="15">
        <f>Sheet1!A2811</f>
        <v>0</v>
      </c>
      <c r="B2811">
        <f>Sheet1!B2811</f>
        <v>1.96</v>
      </c>
      <c r="C2811">
        <f>IF(Sheet1!B2811&gt;0,1,0)</f>
        <v>1</v>
      </c>
    </row>
    <row r="2812" spans="1:3" x14ac:dyDescent="0.25">
      <c r="A2812" s="15">
        <f>Sheet1!A2812</f>
        <v>0</v>
      </c>
      <c r="B2812">
        <f>Sheet1!B2812</f>
        <v>1.6</v>
      </c>
      <c r="C2812">
        <f>IF(Sheet1!B2812&gt;0,1,0)</f>
        <v>1</v>
      </c>
    </row>
    <row r="2813" spans="1:3" x14ac:dyDescent="0.25">
      <c r="A2813" s="15">
        <f>Sheet1!A2813</f>
        <v>0</v>
      </c>
      <c r="B2813">
        <f>Sheet1!B2813</f>
        <v>1.68</v>
      </c>
      <c r="C2813">
        <f>IF(Sheet1!B2813&gt;0,1,0)</f>
        <v>1</v>
      </c>
    </row>
    <row r="2814" spans="1:3" x14ac:dyDescent="0.25">
      <c r="A2814" s="15">
        <f>Sheet1!A2814</f>
        <v>0</v>
      </c>
      <c r="B2814">
        <f>Sheet1!B2814</f>
        <v>1.87</v>
      </c>
      <c r="C2814">
        <f>IF(Sheet1!B2814&gt;0,1,0)</f>
        <v>1</v>
      </c>
    </row>
    <row r="2815" spans="1:3" x14ac:dyDescent="0.25">
      <c r="A2815" s="15">
        <f>Sheet1!A2815</f>
        <v>0</v>
      </c>
      <c r="B2815">
        <f>Sheet1!B2815</f>
        <v>1.91</v>
      </c>
      <c r="C2815">
        <f>IF(Sheet1!B2815&gt;0,1,0)</f>
        <v>1</v>
      </c>
    </row>
    <row r="2816" spans="1:3" x14ac:dyDescent="0.25">
      <c r="A2816" s="15">
        <f>Sheet1!A2816</f>
        <v>0</v>
      </c>
      <c r="B2816">
        <f>Sheet1!B2816</f>
        <v>0.86</v>
      </c>
      <c r="C2816">
        <f>IF(Sheet1!B2816&gt;0,1,0)</f>
        <v>1</v>
      </c>
    </row>
    <row r="2817" spans="1:3" x14ac:dyDescent="0.25">
      <c r="A2817" s="15">
        <f>Sheet1!A2817</f>
        <v>0</v>
      </c>
      <c r="B2817">
        <f>Sheet1!B2817</f>
        <v>1.49</v>
      </c>
      <c r="C2817">
        <f>IF(Sheet1!B2817&gt;0,1,0)</f>
        <v>1</v>
      </c>
    </row>
    <row r="2818" spans="1:3" x14ac:dyDescent="0.25">
      <c r="A2818" s="15">
        <f>Sheet1!A2818</f>
        <v>0</v>
      </c>
      <c r="B2818">
        <f>Sheet1!B2818</f>
        <v>0</v>
      </c>
      <c r="C2818">
        <f>IF(Sheet1!B2818&gt;0,1,0)</f>
        <v>0</v>
      </c>
    </row>
    <row r="2819" spans="1:3" x14ac:dyDescent="0.25">
      <c r="A2819" s="15">
        <f>Sheet1!A2819</f>
        <v>0</v>
      </c>
      <c r="B2819">
        <f>Sheet1!B2819</f>
        <v>0</v>
      </c>
      <c r="C2819">
        <f>IF(Sheet1!B2819&gt;0,1,0)</f>
        <v>0</v>
      </c>
    </row>
    <row r="2820" spans="1:3" x14ac:dyDescent="0.25">
      <c r="A2820" s="15">
        <f>Sheet1!A2820</f>
        <v>0</v>
      </c>
      <c r="B2820">
        <f>Sheet1!B2820</f>
        <v>2.69</v>
      </c>
      <c r="C2820">
        <f>IF(Sheet1!B2820&gt;0,1,0)</f>
        <v>1</v>
      </c>
    </row>
    <row r="2821" spans="1:3" x14ac:dyDescent="0.25">
      <c r="A2821" s="15">
        <f>Sheet1!A2821</f>
        <v>0</v>
      </c>
      <c r="B2821">
        <f>Sheet1!B2821</f>
        <v>3.74</v>
      </c>
      <c r="C2821">
        <f>IF(Sheet1!B2821&gt;0,1,0)</f>
        <v>1</v>
      </c>
    </row>
    <row r="2822" spans="1:3" x14ac:dyDescent="0.25">
      <c r="A2822" s="15">
        <f>Sheet1!A2822</f>
        <v>0</v>
      </c>
      <c r="B2822">
        <f>Sheet1!B2822</f>
        <v>2.2000000000000002</v>
      </c>
      <c r="C2822">
        <f>IF(Sheet1!B2822&gt;0,1,0)</f>
        <v>1</v>
      </c>
    </row>
    <row r="2823" spans="1:3" x14ac:dyDescent="0.25">
      <c r="A2823" s="15">
        <f>Sheet1!A2823</f>
        <v>0</v>
      </c>
      <c r="B2823">
        <f>Sheet1!B2823</f>
        <v>2.59</v>
      </c>
      <c r="C2823">
        <f>IF(Sheet1!B2823&gt;0,1,0)</f>
        <v>1</v>
      </c>
    </row>
    <row r="2824" spans="1:3" x14ac:dyDescent="0.25">
      <c r="A2824" s="15">
        <f>Sheet1!A2824</f>
        <v>0</v>
      </c>
      <c r="B2824">
        <f>Sheet1!B2824</f>
        <v>3</v>
      </c>
      <c r="C2824">
        <f>IF(Sheet1!B2824&gt;0,1,0)</f>
        <v>1</v>
      </c>
    </row>
    <row r="2825" spans="1:3" x14ac:dyDescent="0.25">
      <c r="A2825" s="15">
        <f>Sheet1!A2825</f>
        <v>0</v>
      </c>
      <c r="B2825">
        <f>Sheet1!B2825</f>
        <v>2.65</v>
      </c>
      <c r="C2825">
        <f>IF(Sheet1!B2825&gt;0,1,0)</f>
        <v>1</v>
      </c>
    </row>
    <row r="2826" spans="1:3" x14ac:dyDescent="0.25">
      <c r="A2826" s="15">
        <f>Sheet1!A2826</f>
        <v>0</v>
      </c>
      <c r="B2826">
        <f>Sheet1!B2826</f>
        <v>0</v>
      </c>
      <c r="C2826">
        <f>IF(Sheet1!B2826&gt;0,1,0)</f>
        <v>0</v>
      </c>
    </row>
    <row r="2827" spans="1:3" x14ac:dyDescent="0.25">
      <c r="A2827" s="15">
        <f>Sheet1!A2827</f>
        <v>0</v>
      </c>
      <c r="B2827">
        <f>Sheet1!B2827</f>
        <v>0</v>
      </c>
      <c r="C2827">
        <f>IF(Sheet1!B2827&gt;0,1,0)</f>
        <v>0</v>
      </c>
    </row>
    <row r="2828" spans="1:3" x14ac:dyDescent="0.25">
      <c r="A2828" s="15">
        <f>Sheet1!A2828</f>
        <v>0</v>
      </c>
      <c r="B2828">
        <f>Sheet1!B2828</f>
        <v>1.45</v>
      </c>
      <c r="C2828">
        <f>IF(Sheet1!B2828&gt;0,1,0)</f>
        <v>1</v>
      </c>
    </row>
    <row r="2829" spans="1:3" x14ac:dyDescent="0.25">
      <c r="A2829" s="15">
        <f>Sheet1!A2829</f>
        <v>0</v>
      </c>
      <c r="B2829">
        <f>Sheet1!B2829</f>
        <v>1.63</v>
      </c>
      <c r="C2829">
        <f>IF(Sheet1!B2829&gt;0,1,0)</f>
        <v>1</v>
      </c>
    </row>
    <row r="2830" spans="1:3" x14ac:dyDescent="0.25">
      <c r="A2830" s="15">
        <f>Sheet1!A2830</f>
        <v>0</v>
      </c>
      <c r="B2830">
        <f>Sheet1!B2830</f>
        <v>2.2200000000000002</v>
      </c>
      <c r="C2830">
        <f>IF(Sheet1!B2830&gt;0,1,0)</f>
        <v>1</v>
      </c>
    </row>
    <row r="2831" spans="1:3" x14ac:dyDescent="0.25">
      <c r="A2831" s="15">
        <f>Sheet1!A2831</f>
        <v>0</v>
      </c>
      <c r="B2831">
        <f>Sheet1!B2831</f>
        <v>2.58</v>
      </c>
      <c r="C2831">
        <f>IF(Sheet1!B2831&gt;0,1,0)</f>
        <v>1</v>
      </c>
    </row>
    <row r="2832" spans="1:3" x14ac:dyDescent="0.25">
      <c r="A2832" s="15">
        <f>Sheet1!A2832</f>
        <v>0</v>
      </c>
      <c r="B2832">
        <f>Sheet1!B2832</f>
        <v>2.06</v>
      </c>
      <c r="C2832">
        <f>IF(Sheet1!B2832&gt;0,1,0)</f>
        <v>1</v>
      </c>
    </row>
    <row r="2833" spans="1:3" x14ac:dyDescent="0.25">
      <c r="A2833" s="15">
        <f>Sheet1!A2833</f>
        <v>0</v>
      </c>
      <c r="B2833">
        <f>Sheet1!B2833</f>
        <v>1.69</v>
      </c>
      <c r="C2833">
        <f>IF(Sheet1!B2833&gt;0,1,0)</f>
        <v>1</v>
      </c>
    </row>
    <row r="2834" spans="1:3" x14ac:dyDescent="0.25">
      <c r="A2834" s="15">
        <f>Sheet1!A2834</f>
        <v>0</v>
      </c>
      <c r="B2834">
        <f>Sheet1!B2834</f>
        <v>2.19</v>
      </c>
      <c r="C2834">
        <f>IF(Sheet1!B2834&gt;0,1,0)</f>
        <v>1</v>
      </c>
    </row>
    <row r="2835" spans="1:3" x14ac:dyDescent="0.25">
      <c r="A2835" s="15">
        <f>Sheet1!A2835</f>
        <v>0</v>
      </c>
      <c r="B2835">
        <f>Sheet1!B2835</f>
        <v>1.5</v>
      </c>
      <c r="C2835">
        <f>IF(Sheet1!B2835&gt;0,1,0)</f>
        <v>1</v>
      </c>
    </row>
    <row r="2836" spans="1:3" x14ac:dyDescent="0.25">
      <c r="A2836" s="15">
        <f>Sheet1!A2836</f>
        <v>0</v>
      </c>
      <c r="B2836">
        <f>Sheet1!B2836</f>
        <v>1.65</v>
      </c>
      <c r="C2836">
        <f>IF(Sheet1!B2836&gt;0,1,0)</f>
        <v>1</v>
      </c>
    </row>
    <row r="2837" spans="1:3" x14ac:dyDescent="0.25">
      <c r="A2837" s="15">
        <f>Sheet1!A2837</f>
        <v>0</v>
      </c>
      <c r="B2837">
        <f>Sheet1!B2837</f>
        <v>1.47</v>
      </c>
      <c r="C2837">
        <f>IF(Sheet1!B2837&gt;0,1,0)</f>
        <v>1</v>
      </c>
    </row>
    <row r="2838" spans="1:3" x14ac:dyDescent="0.25">
      <c r="A2838" s="15">
        <f>Sheet1!A2838</f>
        <v>0</v>
      </c>
      <c r="B2838">
        <f>Sheet1!B2838</f>
        <v>2.0099999999999998</v>
      </c>
      <c r="C2838">
        <f>IF(Sheet1!B2838&gt;0,1,0)</f>
        <v>1</v>
      </c>
    </row>
    <row r="2839" spans="1:3" x14ac:dyDescent="0.25">
      <c r="A2839" s="15">
        <f>Sheet1!A2839</f>
        <v>0</v>
      </c>
      <c r="B2839">
        <f>Sheet1!B2839</f>
        <v>1.54</v>
      </c>
      <c r="C2839">
        <f>IF(Sheet1!B2839&gt;0,1,0)</f>
        <v>1</v>
      </c>
    </row>
    <row r="2840" spans="1:3" x14ac:dyDescent="0.25">
      <c r="A2840" s="15">
        <f>Sheet1!A2840</f>
        <v>0</v>
      </c>
      <c r="B2840">
        <f>Sheet1!B2840</f>
        <v>0.91</v>
      </c>
      <c r="C2840">
        <f>IF(Sheet1!B2840&gt;0,1,0)</f>
        <v>1</v>
      </c>
    </row>
    <row r="2841" spans="1:3" x14ac:dyDescent="0.25">
      <c r="A2841" s="15">
        <f>Sheet1!A2841</f>
        <v>0</v>
      </c>
      <c r="B2841">
        <f>Sheet1!B2841</f>
        <v>1.19</v>
      </c>
      <c r="C2841">
        <f>IF(Sheet1!B2841&gt;0,1,0)</f>
        <v>1</v>
      </c>
    </row>
    <row r="2842" spans="1:3" x14ac:dyDescent="0.25">
      <c r="A2842" s="15">
        <f>Sheet1!A2842</f>
        <v>0</v>
      </c>
      <c r="B2842">
        <f>Sheet1!B2842</f>
        <v>0.99</v>
      </c>
      <c r="C2842">
        <f>IF(Sheet1!B2842&gt;0,1,0)</f>
        <v>1</v>
      </c>
    </row>
    <row r="2843" spans="1:3" x14ac:dyDescent="0.25">
      <c r="A2843" s="15">
        <f>Sheet1!A2843</f>
        <v>0</v>
      </c>
      <c r="B2843">
        <f>Sheet1!B2843</f>
        <v>1.17</v>
      </c>
      <c r="C2843">
        <f>IF(Sheet1!B2843&gt;0,1,0)</f>
        <v>1</v>
      </c>
    </row>
    <row r="2844" spans="1:3" x14ac:dyDescent="0.25">
      <c r="A2844" s="15">
        <f>Sheet1!A2844</f>
        <v>0</v>
      </c>
      <c r="B2844">
        <f>Sheet1!B2844</f>
        <v>2.11</v>
      </c>
      <c r="C2844">
        <f>IF(Sheet1!B2844&gt;0,1,0)</f>
        <v>1</v>
      </c>
    </row>
    <row r="2845" spans="1:3" x14ac:dyDescent="0.25">
      <c r="A2845" s="15">
        <f>Sheet1!A2845</f>
        <v>0</v>
      </c>
      <c r="B2845">
        <f>Sheet1!B2845</f>
        <v>0</v>
      </c>
      <c r="C2845">
        <f>IF(Sheet1!B2845&gt;0,1,0)</f>
        <v>0</v>
      </c>
    </row>
    <row r="2846" spans="1:3" x14ac:dyDescent="0.25">
      <c r="A2846" s="15">
        <f>Sheet1!A2846</f>
        <v>0</v>
      </c>
      <c r="B2846">
        <f>Sheet1!B2846</f>
        <v>0</v>
      </c>
      <c r="C2846">
        <f>IF(Sheet1!B2846&gt;0,1,0)</f>
        <v>0</v>
      </c>
    </row>
    <row r="2847" spans="1:3" x14ac:dyDescent="0.25">
      <c r="A2847" s="15">
        <f>Sheet1!A2847</f>
        <v>0</v>
      </c>
      <c r="B2847">
        <f>Sheet1!B2847</f>
        <v>2.25</v>
      </c>
      <c r="C2847">
        <f>IF(Sheet1!B2847&gt;0,1,0)</f>
        <v>1</v>
      </c>
    </row>
    <row r="2848" spans="1:3" x14ac:dyDescent="0.25">
      <c r="A2848" s="15">
        <f>Sheet1!A2848</f>
        <v>0</v>
      </c>
      <c r="B2848">
        <f>Sheet1!B2848</f>
        <v>3.17</v>
      </c>
      <c r="C2848">
        <f>IF(Sheet1!B2848&gt;0,1,0)</f>
        <v>1</v>
      </c>
    </row>
    <row r="2849" spans="1:3" x14ac:dyDescent="0.25">
      <c r="A2849" s="15">
        <f>Sheet1!A2849</f>
        <v>0</v>
      </c>
      <c r="B2849">
        <f>Sheet1!B2849</f>
        <v>1.83</v>
      </c>
      <c r="C2849">
        <f>IF(Sheet1!B2849&gt;0,1,0)</f>
        <v>1</v>
      </c>
    </row>
    <row r="2850" spans="1:3" x14ac:dyDescent="0.25">
      <c r="A2850" s="15">
        <f>Sheet1!A2850</f>
        <v>0</v>
      </c>
      <c r="B2850">
        <f>Sheet1!B2850</f>
        <v>0</v>
      </c>
      <c r="C2850">
        <f>IF(Sheet1!B2850&gt;0,1,0)</f>
        <v>0</v>
      </c>
    </row>
    <row r="2851" spans="1:3" x14ac:dyDescent="0.25">
      <c r="A2851" s="15">
        <f>Sheet1!A2851</f>
        <v>0</v>
      </c>
      <c r="B2851">
        <f>Sheet1!B2851</f>
        <v>0</v>
      </c>
      <c r="C2851">
        <f>IF(Sheet1!B2851&gt;0,1,0)</f>
        <v>0</v>
      </c>
    </row>
    <row r="2852" spans="1:3" x14ac:dyDescent="0.25">
      <c r="A2852" s="15">
        <f>Sheet1!A2852</f>
        <v>0</v>
      </c>
      <c r="B2852">
        <f>Sheet1!B2852</f>
        <v>1.58</v>
      </c>
      <c r="C2852">
        <f>IF(Sheet1!B2852&gt;0,1,0)</f>
        <v>1</v>
      </c>
    </row>
    <row r="2853" spans="1:3" x14ac:dyDescent="0.25">
      <c r="A2853" s="15">
        <f>Sheet1!A2853</f>
        <v>0</v>
      </c>
      <c r="B2853">
        <f>Sheet1!B2853</f>
        <v>1.63</v>
      </c>
      <c r="C2853">
        <f>IF(Sheet1!B2853&gt;0,1,0)</f>
        <v>1</v>
      </c>
    </row>
    <row r="2854" spans="1:3" x14ac:dyDescent="0.25">
      <c r="A2854" s="15">
        <f>Sheet1!A2854</f>
        <v>0</v>
      </c>
      <c r="B2854">
        <f>Sheet1!B2854</f>
        <v>1.27</v>
      </c>
      <c r="C2854">
        <f>IF(Sheet1!B2854&gt;0,1,0)</f>
        <v>1</v>
      </c>
    </row>
    <row r="2855" spans="1:3" x14ac:dyDescent="0.25">
      <c r="A2855" s="15">
        <f>Sheet1!A2855</f>
        <v>0</v>
      </c>
      <c r="B2855">
        <f>Sheet1!B2855</f>
        <v>1.65</v>
      </c>
      <c r="C2855">
        <f>IF(Sheet1!B2855&gt;0,1,0)</f>
        <v>1</v>
      </c>
    </row>
    <row r="2856" spans="1:3" x14ac:dyDescent="0.25">
      <c r="A2856" s="15">
        <f>Sheet1!A2856</f>
        <v>0</v>
      </c>
      <c r="B2856">
        <f>Sheet1!B2856</f>
        <v>2.4900000000000002</v>
      </c>
      <c r="C2856">
        <f>IF(Sheet1!B2856&gt;0,1,0)</f>
        <v>1</v>
      </c>
    </row>
    <row r="2857" spans="1:3" x14ac:dyDescent="0.25">
      <c r="A2857" s="15">
        <f>Sheet1!A2857</f>
        <v>0</v>
      </c>
      <c r="B2857">
        <f>Sheet1!B2857</f>
        <v>2.54</v>
      </c>
      <c r="C2857">
        <f>IF(Sheet1!B2857&gt;0,1,0)</f>
        <v>1</v>
      </c>
    </row>
    <row r="2858" spans="1:3" x14ac:dyDescent="0.25">
      <c r="A2858" s="15">
        <f>Sheet1!A2858</f>
        <v>0</v>
      </c>
      <c r="B2858">
        <f>Sheet1!B2858</f>
        <v>2.42</v>
      </c>
      <c r="C2858">
        <f>IF(Sheet1!B2858&gt;0,1,0)</f>
        <v>1</v>
      </c>
    </row>
    <row r="2859" spans="1:3" x14ac:dyDescent="0.25">
      <c r="A2859" s="15">
        <f>Sheet1!A2859</f>
        <v>0</v>
      </c>
      <c r="B2859">
        <f>Sheet1!B2859</f>
        <v>2.02</v>
      </c>
      <c r="C2859">
        <f>IF(Sheet1!B2859&gt;0,1,0)</f>
        <v>1</v>
      </c>
    </row>
    <row r="2860" spans="1:3" x14ac:dyDescent="0.25">
      <c r="A2860" s="15">
        <f>Sheet1!A2860</f>
        <v>0</v>
      </c>
      <c r="B2860">
        <f>Sheet1!B2860</f>
        <v>1.67</v>
      </c>
      <c r="C2860">
        <f>IF(Sheet1!B2860&gt;0,1,0)</f>
        <v>1</v>
      </c>
    </row>
    <row r="2861" spans="1:3" x14ac:dyDescent="0.25">
      <c r="A2861" s="15">
        <f>Sheet1!A2861</f>
        <v>0</v>
      </c>
      <c r="B2861">
        <f>Sheet1!B2861</f>
        <v>1.76</v>
      </c>
      <c r="C2861">
        <f>IF(Sheet1!B2861&gt;0,1,0)</f>
        <v>1</v>
      </c>
    </row>
    <row r="2862" spans="1:3" x14ac:dyDescent="0.25">
      <c r="A2862" s="15">
        <f>Sheet1!A2862</f>
        <v>0</v>
      </c>
      <c r="B2862">
        <f>Sheet1!B2862</f>
        <v>2.78</v>
      </c>
      <c r="C2862">
        <f>IF(Sheet1!B2862&gt;0,1,0)</f>
        <v>1</v>
      </c>
    </row>
    <row r="2863" spans="1:3" x14ac:dyDescent="0.25">
      <c r="A2863" s="15">
        <f>Sheet1!A2863</f>
        <v>0</v>
      </c>
      <c r="B2863">
        <f>Sheet1!B2863</f>
        <v>1.33</v>
      </c>
      <c r="C2863">
        <f>IF(Sheet1!B2863&gt;0,1,0)</f>
        <v>1</v>
      </c>
    </row>
    <row r="2864" spans="1:3" x14ac:dyDescent="0.25">
      <c r="A2864" s="15">
        <f>Sheet1!A2864</f>
        <v>0</v>
      </c>
      <c r="B2864">
        <f>Sheet1!B2864</f>
        <v>0</v>
      </c>
      <c r="C2864">
        <f>IF(Sheet1!B2864&gt;0,1,0)</f>
        <v>0</v>
      </c>
    </row>
    <row r="2865" spans="1:3" x14ac:dyDescent="0.25">
      <c r="A2865" s="15">
        <f>Sheet1!A2865</f>
        <v>0</v>
      </c>
      <c r="B2865">
        <f>Sheet1!B2865</f>
        <v>0</v>
      </c>
      <c r="C2865">
        <f>IF(Sheet1!B2865&gt;0,1,0)</f>
        <v>0</v>
      </c>
    </row>
    <row r="2866" spans="1:3" x14ac:dyDescent="0.25">
      <c r="A2866" s="15">
        <f>Sheet1!A2866</f>
        <v>0</v>
      </c>
      <c r="B2866">
        <f>Sheet1!B2866</f>
        <v>0</v>
      </c>
      <c r="C2866">
        <f>IF(Sheet1!B2866&gt;0,1,0)</f>
        <v>0</v>
      </c>
    </row>
    <row r="2867" spans="1:3" x14ac:dyDescent="0.25">
      <c r="A2867" s="15">
        <f>Sheet1!A2867</f>
        <v>0</v>
      </c>
      <c r="B2867">
        <f>Sheet1!B2867</f>
        <v>0</v>
      </c>
      <c r="C2867">
        <f>IF(Sheet1!B2867&gt;0,1,0)</f>
        <v>0</v>
      </c>
    </row>
    <row r="2868" spans="1:3" x14ac:dyDescent="0.25">
      <c r="A2868" s="15">
        <f>Sheet1!A2868</f>
        <v>0</v>
      </c>
      <c r="B2868">
        <f>Sheet1!B2868</f>
        <v>0</v>
      </c>
      <c r="C2868">
        <f>IF(Sheet1!B2868&gt;0,1,0)</f>
        <v>0</v>
      </c>
    </row>
    <row r="2869" spans="1:3" x14ac:dyDescent="0.25">
      <c r="A2869" s="15">
        <f>Sheet1!A2869</f>
        <v>0</v>
      </c>
      <c r="B2869">
        <f>Sheet1!B2869</f>
        <v>0</v>
      </c>
      <c r="C2869">
        <f>IF(Sheet1!B2869&gt;0,1,0)</f>
        <v>0</v>
      </c>
    </row>
    <row r="2870" spans="1:3" x14ac:dyDescent="0.25">
      <c r="A2870" s="15">
        <f>Sheet1!A2870</f>
        <v>0</v>
      </c>
      <c r="B2870">
        <f>Sheet1!B2870</f>
        <v>0</v>
      </c>
      <c r="C2870">
        <f>IF(Sheet1!B2870&gt;0,1,0)</f>
        <v>0</v>
      </c>
    </row>
    <row r="2871" spans="1:3" x14ac:dyDescent="0.25">
      <c r="A2871" s="15">
        <f>Sheet1!A2871</f>
        <v>0</v>
      </c>
      <c r="B2871">
        <f>Sheet1!B2871</f>
        <v>0</v>
      </c>
      <c r="C2871">
        <f>IF(Sheet1!B2871&gt;0,1,0)</f>
        <v>0</v>
      </c>
    </row>
    <row r="2872" spans="1:3" x14ac:dyDescent="0.25">
      <c r="A2872" s="15">
        <f>Sheet1!A2872</f>
        <v>0</v>
      </c>
      <c r="B2872">
        <f>Sheet1!B2872</f>
        <v>0</v>
      </c>
      <c r="C2872">
        <f>IF(Sheet1!B2872&gt;0,1,0)</f>
        <v>0</v>
      </c>
    </row>
    <row r="2873" spans="1:3" x14ac:dyDescent="0.25">
      <c r="A2873" s="15">
        <f>Sheet1!A2873</f>
        <v>0</v>
      </c>
      <c r="B2873">
        <f>Sheet1!B2873</f>
        <v>0</v>
      </c>
      <c r="C2873">
        <f>IF(Sheet1!B2873&gt;0,1,0)</f>
        <v>0</v>
      </c>
    </row>
    <row r="2874" spans="1:3" x14ac:dyDescent="0.25">
      <c r="A2874" s="15">
        <f>Sheet1!A2874</f>
        <v>0</v>
      </c>
      <c r="B2874">
        <f>Sheet1!B2874</f>
        <v>0</v>
      </c>
      <c r="C2874">
        <f>IF(Sheet1!B2874&gt;0,1,0)</f>
        <v>0</v>
      </c>
    </row>
    <row r="2875" spans="1:3" x14ac:dyDescent="0.25">
      <c r="A2875" s="15">
        <f>Sheet1!A2875</f>
        <v>0</v>
      </c>
      <c r="B2875">
        <f>Sheet1!B2875</f>
        <v>0</v>
      </c>
      <c r="C2875">
        <f>IF(Sheet1!B2875&gt;0,1,0)</f>
        <v>0</v>
      </c>
    </row>
    <row r="2876" spans="1:3" x14ac:dyDescent="0.25">
      <c r="A2876" s="15">
        <f>Sheet1!A2876</f>
        <v>0</v>
      </c>
      <c r="B2876">
        <f>Sheet1!B2876</f>
        <v>2.86</v>
      </c>
      <c r="C2876">
        <f>IF(Sheet1!B2876&gt;0,1,0)</f>
        <v>1</v>
      </c>
    </row>
    <row r="2877" spans="1:3" x14ac:dyDescent="0.25">
      <c r="A2877" s="15">
        <f>Sheet1!A2877</f>
        <v>0</v>
      </c>
      <c r="B2877">
        <f>Sheet1!B2877</f>
        <v>2.38</v>
      </c>
      <c r="C2877">
        <f>IF(Sheet1!B2877&gt;0,1,0)</f>
        <v>1</v>
      </c>
    </row>
    <row r="2878" spans="1:3" x14ac:dyDescent="0.25">
      <c r="A2878" s="15">
        <f>Sheet1!A2878</f>
        <v>0</v>
      </c>
      <c r="B2878">
        <f>Sheet1!B2878</f>
        <v>2.5499999999999998</v>
      </c>
      <c r="C2878">
        <f>IF(Sheet1!B2878&gt;0,1,0)</f>
        <v>1</v>
      </c>
    </row>
    <row r="2879" spans="1:3" x14ac:dyDescent="0.25">
      <c r="A2879" s="15">
        <f>Sheet1!A2879</f>
        <v>0</v>
      </c>
      <c r="B2879">
        <f>Sheet1!B2879</f>
        <v>2.04</v>
      </c>
      <c r="C2879">
        <f>IF(Sheet1!B2879&gt;0,1,0)</f>
        <v>1</v>
      </c>
    </row>
    <row r="2880" spans="1:3" x14ac:dyDescent="0.25">
      <c r="A2880" s="15">
        <f>Sheet1!A2880</f>
        <v>0</v>
      </c>
      <c r="B2880">
        <f>Sheet1!B2880</f>
        <v>2.4700000000000002</v>
      </c>
      <c r="C2880">
        <f>IF(Sheet1!B2880&gt;0,1,0)</f>
        <v>1</v>
      </c>
    </row>
    <row r="2881" spans="1:3" x14ac:dyDescent="0.25">
      <c r="A2881" s="15">
        <f>Sheet1!A2881</f>
        <v>0</v>
      </c>
      <c r="B2881">
        <f>Sheet1!B2881</f>
        <v>3.3</v>
      </c>
      <c r="C2881">
        <f>IF(Sheet1!B2881&gt;0,1,0)</f>
        <v>1</v>
      </c>
    </row>
    <row r="2882" spans="1:3" x14ac:dyDescent="0.25">
      <c r="A2882" s="15">
        <f>Sheet1!A2882</f>
        <v>0</v>
      </c>
      <c r="B2882">
        <f>Sheet1!B2882</f>
        <v>3.65</v>
      </c>
      <c r="C2882">
        <f>IF(Sheet1!B2882&gt;0,1,0)</f>
        <v>1</v>
      </c>
    </row>
    <row r="2883" spans="1:3" x14ac:dyDescent="0.25">
      <c r="A2883" s="15">
        <f>Sheet1!A2883</f>
        <v>0</v>
      </c>
      <c r="B2883">
        <f>Sheet1!B2883</f>
        <v>3.38</v>
      </c>
      <c r="C2883">
        <f>IF(Sheet1!B2883&gt;0,1,0)</f>
        <v>1</v>
      </c>
    </row>
    <row r="2884" spans="1:3" x14ac:dyDescent="0.25">
      <c r="A2884" s="15">
        <f>Sheet1!A2884</f>
        <v>0</v>
      </c>
      <c r="B2884">
        <f>Sheet1!B2884</f>
        <v>3.51</v>
      </c>
      <c r="C2884">
        <f>IF(Sheet1!B2884&gt;0,1,0)</f>
        <v>1</v>
      </c>
    </row>
    <row r="2885" spans="1:3" x14ac:dyDescent="0.25">
      <c r="A2885" s="15">
        <f>Sheet1!A2885</f>
        <v>0</v>
      </c>
      <c r="B2885">
        <f>Sheet1!B2885</f>
        <v>3.13</v>
      </c>
      <c r="C2885">
        <f>IF(Sheet1!B2885&gt;0,1,0)</f>
        <v>1</v>
      </c>
    </row>
    <row r="2886" spans="1:3" x14ac:dyDescent="0.25">
      <c r="A2886" s="15">
        <f>Sheet1!A2886</f>
        <v>0</v>
      </c>
      <c r="B2886">
        <f>Sheet1!B2886</f>
        <v>3.58</v>
      </c>
      <c r="C2886">
        <f>IF(Sheet1!B2886&gt;0,1,0)</f>
        <v>1</v>
      </c>
    </row>
    <row r="2887" spans="1:3" x14ac:dyDescent="0.25">
      <c r="A2887" s="15">
        <f>Sheet1!A2887</f>
        <v>0</v>
      </c>
      <c r="B2887">
        <f>Sheet1!B2887</f>
        <v>3.52</v>
      </c>
      <c r="C2887">
        <f>IF(Sheet1!B2887&gt;0,1,0)</f>
        <v>1</v>
      </c>
    </row>
    <row r="2888" spans="1:3" x14ac:dyDescent="0.25">
      <c r="A2888" s="15">
        <f>Sheet1!A2888</f>
        <v>0</v>
      </c>
      <c r="B2888">
        <f>Sheet1!B2888</f>
        <v>2.2799999999999998</v>
      </c>
      <c r="C2888">
        <f>IF(Sheet1!B2888&gt;0,1,0)</f>
        <v>1</v>
      </c>
    </row>
    <row r="2889" spans="1:3" x14ac:dyDescent="0.25">
      <c r="A2889" s="15">
        <f>Sheet1!A2889</f>
        <v>0</v>
      </c>
      <c r="B2889">
        <f>Sheet1!B2889</f>
        <v>1</v>
      </c>
      <c r="C2889">
        <f>IF(Sheet1!B2889&gt;0,1,0)</f>
        <v>1</v>
      </c>
    </row>
    <row r="2890" spans="1:3" x14ac:dyDescent="0.25">
      <c r="A2890" s="15">
        <f>Sheet1!A2890</f>
        <v>0</v>
      </c>
      <c r="B2890">
        <f>Sheet1!B2890</f>
        <v>0.98</v>
      </c>
      <c r="C2890">
        <f>IF(Sheet1!B2890&gt;0,1,0)</f>
        <v>1</v>
      </c>
    </row>
    <row r="2891" spans="1:3" x14ac:dyDescent="0.25">
      <c r="A2891" s="15">
        <f>Sheet1!A2891</f>
        <v>0</v>
      </c>
      <c r="B2891">
        <f>Sheet1!B2891</f>
        <v>1.3</v>
      </c>
      <c r="C2891">
        <f>IF(Sheet1!B2891&gt;0,1,0)</f>
        <v>1</v>
      </c>
    </row>
    <row r="2892" spans="1:3" x14ac:dyDescent="0.25">
      <c r="A2892" s="15">
        <f>Sheet1!A2892</f>
        <v>0</v>
      </c>
      <c r="B2892">
        <f>Sheet1!B2892</f>
        <v>0</v>
      </c>
      <c r="C2892">
        <f>IF(Sheet1!B2892&gt;0,1,0)</f>
        <v>0</v>
      </c>
    </row>
    <row r="2893" spans="1:3" x14ac:dyDescent="0.25">
      <c r="A2893" s="15">
        <f>Sheet1!A2893</f>
        <v>0</v>
      </c>
      <c r="B2893">
        <f>Sheet1!B2893</f>
        <v>0</v>
      </c>
      <c r="C2893">
        <f>IF(Sheet1!B2893&gt;0,1,0)</f>
        <v>0</v>
      </c>
    </row>
    <row r="2894" spans="1:3" x14ac:dyDescent="0.25">
      <c r="A2894" s="15">
        <f>Sheet1!A2894</f>
        <v>0</v>
      </c>
      <c r="B2894">
        <f>Sheet1!B2894</f>
        <v>2.29</v>
      </c>
      <c r="C2894">
        <f>IF(Sheet1!B2894&gt;0,1,0)</f>
        <v>1</v>
      </c>
    </row>
    <row r="2895" spans="1:3" x14ac:dyDescent="0.25">
      <c r="A2895" s="15">
        <f>Sheet1!A2895</f>
        <v>0</v>
      </c>
      <c r="B2895">
        <f>Sheet1!B2895</f>
        <v>1.24</v>
      </c>
      <c r="C2895">
        <f>IF(Sheet1!B2895&gt;0,1,0)</f>
        <v>1</v>
      </c>
    </row>
    <row r="2896" spans="1:3" x14ac:dyDescent="0.25">
      <c r="A2896" s="15">
        <f>Sheet1!A2896</f>
        <v>0</v>
      </c>
      <c r="B2896">
        <f>Sheet1!B2896</f>
        <v>1.1000000000000001</v>
      </c>
      <c r="C2896">
        <f>IF(Sheet1!B2896&gt;0,1,0)</f>
        <v>1</v>
      </c>
    </row>
    <row r="2897" spans="1:3" x14ac:dyDescent="0.25">
      <c r="A2897" s="15">
        <f>Sheet1!A2897</f>
        <v>0</v>
      </c>
      <c r="B2897">
        <f>Sheet1!B2897</f>
        <v>2.34</v>
      </c>
      <c r="C2897">
        <f>IF(Sheet1!B2897&gt;0,1,0)</f>
        <v>1</v>
      </c>
    </row>
    <row r="2898" spans="1:3" x14ac:dyDescent="0.25">
      <c r="A2898" s="15">
        <f>Sheet1!A2898</f>
        <v>0</v>
      </c>
      <c r="B2898">
        <f>Sheet1!B2898</f>
        <v>0</v>
      </c>
      <c r="C2898">
        <f>IF(Sheet1!B2898&gt;0,1,0)</f>
        <v>0</v>
      </c>
    </row>
    <row r="2899" spans="1:3" x14ac:dyDescent="0.25">
      <c r="A2899" s="15">
        <f>Sheet1!A2899</f>
        <v>0</v>
      </c>
      <c r="B2899">
        <f>Sheet1!B2899</f>
        <v>0</v>
      </c>
      <c r="C2899">
        <f>IF(Sheet1!B2899&gt;0,1,0)</f>
        <v>0</v>
      </c>
    </row>
    <row r="2900" spans="1:3" x14ac:dyDescent="0.25">
      <c r="A2900" s="15">
        <f>Sheet1!A2900</f>
        <v>0</v>
      </c>
      <c r="B2900">
        <f>Sheet1!B2900</f>
        <v>1.59</v>
      </c>
      <c r="C2900">
        <f>IF(Sheet1!B2900&gt;0,1,0)</f>
        <v>1</v>
      </c>
    </row>
    <row r="2901" spans="1:3" x14ac:dyDescent="0.25">
      <c r="A2901" s="15">
        <f>Sheet1!A2901</f>
        <v>0</v>
      </c>
      <c r="B2901">
        <f>Sheet1!B2901</f>
        <v>0</v>
      </c>
      <c r="C2901">
        <f>IF(Sheet1!B2901&gt;0,1,0)</f>
        <v>0</v>
      </c>
    </row>
    <row r="2902" spans="1:3" x14ac:dyDescent="0.25">
      <c r="A2902" s="15">
        <f>Sheet1!A2902</f>
        <v>0</v>
      </c>
      <c r="B2902">
        <f>Sheet1!B2902</f>
        <v>0</v>
      </c>
      <c r="C2902">
        <f>IF(Sheet1!B2902&gt;0,1,0)</f>
        <v>0</v>
      </c>
    </row>
    <row r="2903" spans="1:3" x14ac:dyDescent="0.25">
      <c r="A2903" s="15">
        <f>Sheet1!A2903</f>
        <v>0</v>
      </c>
      <c r="B2903">
        <f>Sheet1!B2903</f>
        <v>0</v>
      </c>
      <c r="C2903">
        <f>IF(Sheet1!B2903&gt;0,1,0)</f>
        <v>0</v>
      </c>
    </row>
    <row r="2904" spans="1:3" x14ac:dyDescent="0.25">
      <c r="A2904" s="15">
        <f>Sheet1!A2904</f>
        <v>0</v>
      </c>
      <c r="B2904">
        <f>Sheet1!B2904</f>
        <v>2.2400000000000002</v>
      </c>
      <c r="C2904">
        <f>IF(Sheet1!B2904&gt;0,1,0)</f>
        <v>1</v>
      </c>
    </row>
    <row r="2905" spans="1:3" x14ac:dyDescent="0.25">
      <c r="A2905" s="15">
        <f>Sheet1!A2905</f>
        <v>0</v>
      </c>
      <c r="B2905">
        <f>Sheet1!B2905</f>
        <v>2.56</v>
      </c>
      <c r="C2905">
        <f>IF(Sheet1!B2905&gt;0,1,0)</f>
        <v>1</v>
      </c>
    </row>
    <row r="2906" spans="1:3" x14ac:dyDescent="0.25">
      <c r="A2906" s="15">
        <f>Sheet1!A2906</f>
        <v>0</v>
      </c>
      <c r="B2906">
        <f>Sheet1!B2906</f>
        <v>2.82</v>
      </c>
      <c r="C2906">
        <f>IF(Sheet1!B2906&gt;0,1,0)</f>
        <v>1</v>
      </c>
    </row>
    <row r="2907" spans="1:3" x14ac:dyDescent="0.25">
      <c r="A2907" s="15">
        <f>Sheet1!A2907</f>
        <v>0</v>
      </c>
      <c r="B2907">
        <f>Sheet1!B2907</f>
        <v>2.57</v>
      </c>
      <c r="C2907">
        <f>IF(Sheet1!B2907&gt;0,1,0)</f>
        <v>1</v>
      </c>
    </row>
    <row r="2908" spans="1:3" x14ac:dyDescent="0.25">
      <c r="A2908" s="15">
        <f>Sheet1!A2908</f>
        <v>0</v>
      </c>
      <c r="B2908">
        <f>Sheet1!B2908</f>
        <v>2.33</v>
      </c>
      <c r="C2908">
        <f>IF(Sheet1!B2908&gt;0,1,0)</f>
        <v>1</v>
      </c>
    </row>
    <row r="2909" spans="1:3" x14ac:dyDescent="0.25">
      <c r="A2909" s="15">
        <f>Sheet1!A2909</f>
        <v>0</v>
      </c>
      <c r="B2909">
        <f>Sheet1!B2909</f>
        <v>2.19</v>
      </c>
      <c r="C2909">
        <f>IF(Sheet1!B2909&gt;0,1,0)</f>
        <v>1</v>
      </c>
    </row>
    <row r="2910" spans="1:3" x14ac:dyDescent="0.25">
      <c r="A2910" s="15">
        <f>Sheet1!A2910</f>
        <v>0</v>
      </c>
      <c r="B2910">
        <f>Sheet1!B2910</f>
        <v>2.97</v>
      </c>
      <c r="C2910">
        <f>IF(Sheet1!B2910&gt;0,1,0)</f>
        <v>1</v>
      </c>
    </row>
    <row r="2911" spans="1:3" x14ac:dyDescent="0.25">
      <c r="A2911" s="15">
        <f>Sheet1!A2911</f>
        <v>0</v>
      </c>
      <c r="B2911">
        <f>Sheet1!B2911</f>
        <v>2.1</v>
      </c>
      <c r="C2911">
        <f>IF(Sheet1!B2911&gt;0,1,0)</f>
        <v>1</v>
      </c>
    </row>
    <row r="2912" spans="1:3" x14ac:dyDescent="0.25">
      <c r="A2912" s="15">
        <f>Sheet1!A2912</f>
        <v>0</v>
      </c>
      <c r="B2912">
        <f>Sheet1!B2912</f>
        <v>1.33</v>
      </c>
      <c r="C2912">
        <f>IF(Sheet1!B2912&gt;0,1,0)</f>
        <v>1</v>
      </c>
    </row>
    <row r="2913" spans="1:3" x14ac:dyDescent="0.25">
      <c r="A2913" s="15">
        <f>Sheet1!A2913</f>
        <v>0</v>
      </c>
      <c r="B2913">
        <f>Sheet1!B2913</f>
        <v>0</v>
      </c>
      <c r="C2913">
        <f>IF(Sheet1!B2913&gt;0,1,0)</f>
        <v>0</v>
      </c>
    </row>
    <row r="2914" spans="1:3" x14ac:dyDescent="0.25">
      <c r="A2914" s="15">
        <f>Sheet1!A2914</f>
        <v>0</v>
      </c>
      <c r="B2914">
        <f>Sheet1!B2914</f>
        <v>0</v>
      </c>
      <c r="C2914">
        <f>IF(Sheet1!B2914&gt;0,1,0)</f>
        <v>0</v>
      </c>
    </row>
    <row r="2915" spans="1:3" x14ac:dyDescent="0.25">
      <c r="A2915" s="15">
        <f>Sheet1!A2915</f>
        <v>0</v>
      </c>
      <c r="B2915">
        <f>Sheet1!B2915</f>
        <v>0</v>
      </c>
      <c r="C2915">
        <f>IF(Sheet1!B2915&gt;0,1,0)</f>
        <v>0</v>
      </c>
    </row>
    <row r="2916" spans="1:3" x14ac:dyDescent="0.25">
      <c r="A2916" s="15">
        <f>Sheet1!A2916</f>
        <v>0</v>
      </c>
      <c r="B2916">
        <f>Sheet1!B2916</f>
        <v>1.1000000000000001</v>
      </c>
      <c r="C2916">
        <f>IF(Sheet1!B2916&gt;0,1,0)</f>
        <v>1</v>
      </c>
    </row>
    <row r="2917" spans="1:3" x14ac:dyDescent="0.25">
      <c r="A2917" s="15">
        <f>Sheet1!A2917</f>
        <v>0</v>
      </c>
      <c r="B2917">
        <f>Sheet1!B2917</f>
        <v>0</v>
      </c>
      <c r="C2917">
        <f>IF(Sheet1!B2917&gt;0,1,0)</f>
        <v>0</v>
      </c>
    </row>
    <row r="2918" spans="1:3" x14ac:dyDescent="0.25">
      <c r="A2918" s="15">
        <f>Sheet1!A2918</f>
        <v>0</v>
      </c>
      <c r="B2918">
        <f>Sheet1!B2918</f>
        <v>0</v>
      </c>
      <c r="C2918">
        <f>IF(Sheet1!B2918&gt;0,1,0)</f>
        <v>0</v>
      </c>
    </row>
    <row r="2919" spans="1:3" x14ac:dyDescent="0.25">
      <c r="A2919" s="15">
        <f>Sheet1!A2919</f>
        <v>0</v>
      </c>
      <c r="B2919">
        <f>Sheet1!B2919</f>
        <v>0</v>
      </c>
      <c r="C2919">
        <f>IF(Sheet1!B2919&gt;0,1,0)</f>
        <v>0</v>
      </c>
    </row>
    <row r="2920" spans="1:3" x14ac:dyDescent="0.25">
      <c r="A2920" s="15">
        <f>Sheet1!A2920</f>
        <v>0</v>
      </c>
      <c r="B2920">
        <f>Sheet1!B2920</f>
        <v>0</v>
      </c>
      <c r="C2920">
        <f>IF(Sheet1!B2920&gt;0,1,0)</f>
        <v>0</v>
      </c>
    </row>
    <row r="2921" spans="1:3" x14ac:dyDescent="0.25">
      <c r="A2921" s="15">
        <f>Sheet1!A2921</f>
        <v>0</v>
      </c>
      <c r="B2921">
        <f>Sheet1!B2921</f>
        <v>0</v>
      </c>
      <c r="C2921">
        <f>IF(Sheet1!B2921&gt;0,1,0)</f>
        <v>0</v>
      </c>
    </row>
    <row r="2922" spans="1:3" x14ac:dyDescent="0.25">
      <c r="A2922" s="15">
        <f>Sheet1!A2922</f>
        <v>0</v>
      </c>
      <c r="B2922">
        <f>Sheet1!B2922</f>
        <v>0</v>
      </c>
      <c r="C2922">
        <f>IF(Sheet1!B2922&gt;0,1,0)</f>
        <v>0</v>
      </c>
    </row>
    <row r="2923" spans="1:3" x14ac:dyDescent="0.25">
      <c r="A2923" s="15">
        <f>Sheet1!A2923</f>
        <v>0</v>
      </c>
      <c r="B2923">
        <f>Sheet1!B2923</f>
        <v>0</v>
      </c>
      <c r="C2923">
        <f>IF(Sheet1!B2923&gt;0,1,0)</f>
        <v>0</v>
      </c>
    </row>
    <row r="2924" spans="1:3" x14ac:dyDescent="0.25">
      <c r="A2924" s="15">
        <f>Sheet1!A2924</f>
        <v>0</v>
      </c>
      <c r="B2924">
        <f>Sheet1!B2924</f>
        <v>0</v>
      </c>
      <c r="C2924">
        <f>IF(Sheet1!B2924&gt;0,1,0)</f>
        <v>0</v>
      </c>
    </row>
    <row r="2925" spans="1:3" x14ac:dyDescent="0.25">
      <c r="A2925" s="15">
        <f>Sheet1!A2925</f>
        <v>0</v>
      </c>
      <c r="B2925">
        <f>Sheet1!B2925</f>
        <v>0</v>
      </c>
      <c r="C2925">
        <f>IF(Sheet1!B2925&gt;0,1,0)</f>
        <v>0</v>
      </c>
    </row>
    <row r="2926" spans="1:3" x14ac:dyDescent="0.25">
      <c r="A2926" s="15">
        <f>Sheet1!A2926</f>
        <v>0</v>
      </c>
      <c r="B2926">
        <f>Sheet1!B2926</f>
        <v>1.0900000000000001</v>
      </c>
      <c r="C2926">
        <f>IF(Sheet1!B2926&gt;0,1,0)</f>
        <v>1</v>
      </c>
    </row>
    <row r="2927" spans="1:3" x14ac:dyDescent="0.25">
      <c r="A2927" s="15">
        <f>Sheet1!A2927</f>
        <v>0</v>
      </c>
      <c r="B2927">
        <f>Sheet1!B2927</f>
        <v>1.29</v>
      </c>
      <c r="C2927">
        <f>IF(Sheet1!B2927&gt;0,1,0)</f>
        <v>1</v>
      </c>
    </row>
    <row r="2928" spans="1:3" x14ac:dyDescent="0.25">
      <c r="A2928" s="15">
        <f>Sheet1!A2928</f>
        <v>0</v>
      </c>
      <c r="B2928">
        <f>Sheet1!B2928</f>
        <v>0</v>
      </c>
      <c r="C2928">
        <f>IF(Sheet1!B2928&gt;0,1,0)</f>
        <v>0</v>
      </c>
    </row>
    <row r="2929" spans="1:3" x14ac:dyDescent="0.25">
      <c r="A2929" s="15">
        <f>Sheet1!A2929</f>
        <v>0</v>
      </c>
      <c r="B2929">
        <f>Sheet1!B2929</f>
        <v>0</v>
      </c>
      <c r="C2929">
        <f>IF(Sheet1!B2929&gt;0,1,0)</f>
        <v>0</v>
      </c>
    </row>
    <row r="2930" spans="1:3" x14ac:dyDescent="0.25">
      <c r="A2930" s="15">
        <f>Sheet1!A2930</f>
        <v>0</v>
      </c>
      <c r="B2930">
        <f>Sheet1!B2930</f>
        <v>1.71</v>
      </c>
      <c r="C2930">
        <f>IF(Sheet1!B2930&gt;0,1,0)</f>
        <v>1</v>
      </c>
    </row>
    <row r="2931" spans="1:3" x14ac:dyDescent="0.25">
      <c r="A2931" s="15">
        <f>Sheet1!A2931</f>
        <v>0</v>
      </c>
      <c r="B2931">
        <f>Sheet1!B2931</f>
        <v>1.49</v>
      </c>
      <c r="C2931">
        <f>IF(Sheet1!B2931&gt;0,1,0)</f>
        <v>1</v>
      </c>
    </row>
    <row r="2932" spans="1:3" x14ac:dyDescent="0.25">
      <c r="A2932" s="15">
        <f>Sheet1!A2932</f>
        <v>0</v>
      </c>
      <c r="B2932">
        <f>Sheet1!B2932</f>
        <v>1.5</v>
      </c>
      <c r="C2932">
        <f>IF(Sheet1!B2932&gt;0,1,0)</f>
        <v>1</v>
      </c>
    </row>
    <row r="2933" spans="1:3" x14ac:dyDescent="0.25">
      <c r="A2933" s="15">
        <f>Sheet1!A2933</f>
        <v>0</v>
      </c>
      <c r="B2933">
        <f>Sheet1!B2933</f>
        <v>1.19</v>
      </c>
      <c r="C2933">
        <f>IF(Sheet1!B2933&gt;0,1,0)</f>
        <v>1</v>
      </c>
    </row>
    <row r="2934" spans="1:3" x14ac:dyDescent="0.25">
      <c r="A2934" s="15">
        <f>Sheet1!A2934</f>
        <v>0</v>
      </c>
      <c r="B2934">
        <f>Sheet1!B2934</f>
        <v>1.61</v>
      </c>
      <c r="C2934">
        <f>IF(Sheet1!B2934&gt;0,1,0)</f>
        <v>1</v>
      </c>
    </row>
    <row r="2935" spans="1:3" x14ac:dyDescent="0.25">
      <c r="A2935" s="15">
        <f>Sheet1!A2935</f>
        <v>0</v>
      </c>
      <c r="B2935">
        <f>Sheet1!B2935</f>
        <v>1.33</v>
      </c>
      <c r="C2935">
        <f>IF(Sheet1!B2935&gt;0,1,0)</f>
        <v>1</v>
      </c>
    </row>
    <row r="2936" spans="1:3" x14ac:dyDescent="0.25">
      <c r="A2936" s="15">
        <f>Sheet1!A2936</f>
        <v>0</v>
      </c>
      <c r="B2936">
        <f>Sheet1!B2936</f>
        <v>0.9</v>
      </c>
      <c r="C2936">
        <f>IF(Sheet1!B2936&gt;0,1,0)</f>
        <v>1</v>
      </c>
    </row>
    <row r="2937" spans="1:3" x14ac:dyDescent="0.25">
      <c r="A2937" s="15">
        <f>Sheet1!A2937</f>
        <v>0</v>
      </c>
      <c r="B2937">
        <f>Sheet1!B2937</f>
        <v>1.48</v>
      </c>
      <c r="C2937">
        <f>IF(Sheet1!B2937&gt;0,1,0)</f>
        <v>1</v>
      </c>
    </row>
    <row r="2938" spans="1:3" x14ac:dyDescent="0.25">
      <c r="A2938" s="15">
        <f>Sheet1!A2938</f>
        <v>0</v>
      </c>
      <c r="B2938">
        <f>Sheet1!B2938</f>
        <v>2.87</v>
      </c>
      <c r="C2938">
        <f>IF(Sheet1!B2938&gt;0,1,0)</f>
        <v>1</v>
      </c>
    </row>
    <row r="2939" spans="1:3" x14ac:dyDescent="0.25">
      <c r="A2939" s="15">
        <f>Sheet1!A2939</f>
        <v>0</v>
      </c>
      <c r="B2939">
        <f>Sheet1!B2939</f>
        <v>0</v>
      </c>
      <c r="C2939">
        <f>IF(Sheet1!B2939&gt;0,1,0)</f>
        <v>0</v>
      </c>
    </row>
    <row r="2940" spans="1:3" x14ac:dyDescent="0.25">
      <c r="A2940" s="15">
        <f>Sheet1!A2940</f>
        <v>0</v>
      </c>
      <c r="B2940">
        <f>Sheet1!B2940</f>
        <v>0</v>
      </c>
      <c r="C2940">
        <f>IF(Sheet1!B2940&gt;0,1,0)</f>
        <v>0</v>
      </c>
    </row>
    <row r="2941" spans="1:3" x14ac:dyDescent="0.25">
      <c r="A2941" s="15">
        <f>Sheet1!A2941</f>
        <v>0</v>
      </c>
      <c r="B2941">
        <f>Sheet1!B2941</f>
        <v>0</v>
      </c>
      <c r="C2941">
        <f>IF(Sheet1!B2941&gt;0,1,0)</f>
        <v>0</v>
      </c>
    </row>
    <row r="2942" spans="1:3" x14ac:dyDescent="0.25">
      <c r="A2942" s="15">
        <f>Sheet1!A2942</f>
        <v>0</v>
      </c>
      <c r="B2942">
        <f>Sheet1!B2942</f>
        <v>0</v>
      </c>
      <c r="C2942">
        <f>IF(Sheet1!B2942&gt;0,1,0)</f>
        <v>0</v>
      </c>
    </row>
    <row r="2943" spans="1:3" x14ac:dyDescent="0.25">
      <c r="A2943" s="15">
        <f>Sheet1!A2943</f>
        <v>0</v>
      </c>
      <c r="B2943">
        <f>Sheet1!B2943</f>
        <v>0</v>
      </c>
      <c r="C2943">
        <f>IF(Sheet1!B2943&gt;0,1,0)</f>
        <v>0</v>
      </c>
    </row>
    <row r="2944" spans="1:3" x14ac:dyDescent="0.25">
      <c r="A2944" s="15">
        <f>Sheet1!A2944</f>
        <v>0</v>
      </c>
      <c r="B2944">
        <f>Sheet1!B2944</f>
        <v>2.86</v>
      </c>
      <c r="C2944">
        <f>IF(Sheet1!B2944&gt;0,1,0)</f>
        <v>1</v>
      </c>
    </row>
    <row r="2945" spans="1:3" x14ac:dyDescent="0.25">
      <c r="A2945" s="15">
        <f>Sheet1!A2945</f>
        <v>0</v>
      </c>
      <c r="B2945">
        <f>Sheet1!B2945</f>
        <v>0</v>
      </c>
      <c r="C2945">
        <f>IF(Sheet1!B2945&gt;0,1,0)</f>
        <v>0</v>
      </c>
    </row>
    <row r="2946" spans="1:3" x14ac:dyDescent="0.25">
      <c r="A2946" s="15">
        <f>Sheet1!A2946</f>
        <v>0</v>
      </c>
      <c r="B2946">
        <f>Sheet1!B2946</f>
        <v>0</v>
      </c>
      <c r="C2946">
        <f>IF(Sheet1!B2946&gt;0,1,0)</f>
        <v>0</v>
      </c>
    </row>
    <row r="2947" spans="1:3" x14ac:dyDescent="0.25">
      <c r="A2947" s="15">
        <f>Sheet1!A2947</f>
        <v>0</v>
      </c>
      <c r="B2947">
        <f>Sheet1!B2947</f>
        <v>0</v>
      </c>
      <c r="C2947">
        <f>IF(Sheet1!B2947&gt;0,1,0)</f>
        <v>0</v>
      </c>
    </row>
    <row r="2948" spans="1:3" x14ac:dyDescent="0.25">
      <c r="A2948" s="15">
        <f>Sheet1!A2948</f>
        <v>0</v>
      </c>
      <c r="B2948">
        <f>Sheet1!B2948</f>
        <v>1.82</v>
      </c>
      <c r="C2948">
        <f>IF(Sheet1!B2948&gt;0,1,0)</f>
        <v>1</v>
      </c>
    </row>
    <row r="2949" spans="1:3" x14ac:dyDescent="0.25">
      <c r="A2949" s="15">
        <f>Sheet1!A2949</f>
        <v>0</v>
      </c>
      <c r="B2949">
        <f>Sheet1!B2949</f>
        <v>0</v>
      </c>
      <c r="C2949">
        <f>IF(Sheet1!B2949&gt;0,1,0)</f>
        <v>0</v>
      </c>
    </row>
    <row r="2950" spans="1:3" x14ac:dyDescent="0.25">
      <c r="A2950" s="15">
        <f>Sheet1!A2950</f>
        <v>0</v>
      </c>
      <c r="B2950">
        <f>Sheet1!B2950</f>
        <v>0</v>
      </c>
      <c r="C2950">
        <f>IF(Sheet1!B2950&gt;0,1,0)</f>
        <v>0</v>
      </c>
    </row>
    <row r="2951" spans="1:3" x14ac:dyDescent="0.25">
      <c r="A2951" s="15">
        <f>Sheet1!A2951</f>
        <v>0</v>
      </c>
      <c r="B2951">
        <f>Sheet1!B2951</f>
        <v>0</v>
      </c>
      <c r="C2951">
        <f>IF(Sheet1!B2951&gt;0,1,0)</f>
        <v>0</v>
      </c>
    </row>
    <row r="2952" spans="1:3" x14ac:dyDescent="0.25">
      <c r="A2952" s="15">
        <f>Sheet1!A2952</f>
        <v>0</v>
      </c>
      <c r="B2952">
        <f>Sheet1!B2952</f>
        <v>3.91</v>
      </c>
      <c r="C2952">
        <f>IF(Sheet1!B2952&gt;0,1,0)</f>
        <v>1</v>
      </c>
    </row>
    <row r="2953" spans="1:3" x14ac:dyDescent="0.25">
      <c r="A2953" s="15">
        <f>Sheet1!A2953</f>
        <v>0</v>
      </c>
      <c r="B2953">
        <f>Sheet1!B2953</f>
        <v>3.8</v>
      </c>
      <c r="C2953">
        <f>IF(Sheet1!B2953&gt;0,1,0)</f>
        <v>1</v>
      </c>
    </row>
    <row r="2954" spans="1:3" x14ac:dyDescent="0.25">
      <c r="A2954" s="15">
        <f>Sheet1!A2954</f>
        <v>0</v>
      </c>
      <c r="B2954">
        <f>Sheet1!B2954</f>
        <v>3.79</v>
      </c>
      <c r="C2954">
        <f>IF(Sheet1!B2954&gt;0,1,0)</f>
        <v>1</v>
      </c>
    </row>
    <row r="2955" spans="1:3" x14ac:dyDescent="0.25">
      <c r="A2955" s="15">
        <f>Sheet1!A2955</f>
        <v>0</v>
      </c>
      <c r="B2955">
        <f>Sheet1!B2955</f>
        <v>4.07</v>
      </c>
      <c r="C2955">
        <f>IF(Sheet1!B2955&gt;0,1,0)</f>
        <v>1</v>
      </c>
    </row>
    <row r="2956" spans="1:3" x14ac:dyDescent="0.25">
      <c r="A2956" s="15">
        <f>Sheet1!A2956</f>
        <v>0</v>
      </c>
      <c r="B2956">
        <f>Sheet1!B2956</f>
        <v>3.55</v>
      </c>
      <c r="C2956">
        <f>IF(Sheet1!B2956&gt;0,1,0)</f>
        <v>1</v>
      </c>
    </row>
    <row r="2957" spans="1:3" x14ac:dyDescent="0.25">
      <c r="A2957" s="15">
        <f>Sheet1!A2957</f>
        <v>0</v>
      </c>
      <c r="B2957">
        <f>Sheet1!B2957</f>
        <v>3.37</v>
      </c>
      <c r="C2957">
        <f>IF(Sheet1!B2957&gt;0,1,0)</f>
        <v>1</v>
      </c>
    </row>
    <row r="2958" spans="1:3" x14ac:dyDescent="0.25">
      <c r="A2958" s="15">
        <f>Sheet1!A2958</f>
        <v>0</v>
      </c>
      <c r="B2958">
        <f>Sheet1!B2958</f>
        <v>3.64</v>
      </c>
      <c r="C2958">
        <f>IF(Sheet1!B2958&gt;0,1,0)</f>
        <v>1</v>
      </c>
    </row>
    <row r="2959" spans="1:3" x14ac:dyDescent="0.25">
      <c r="A2959" s="15">
        <f>Sheet1!A2959</f>
        <v>0</v>
      </c>
      <c r="B2959">
        <f>Sheet1!B2959</f>
        <v>3.06</v>
      </c>
      <c r="C2959">
        <f>IF(Sheet1!B2959&gt;0,1,0)</f>
        <v>1</v>
      </c>
    </row>
    <row r="2960" spans="1:3" x14ac:dyDescent="0.25">
      <c r="A2960" s="15">
        <f>Sheet1!A2960</f>
        <v>0</v>
      </c>
      <c r="B2960">
        <f>Sheet1!B2960</f>
        <v>0.87</v>
      </c>
      <c r="C2960">
        <f>IF(Sheet1!B2960&gt;0,1,0)</f>
        <v>1</v>
      </c>
    </row>
    <row r="2961" spans="1:3" x14ac:dyDescent="0.25">
      <c r="A2961" s="15">
        <f>Sheet1!A2961</f>
        <v>0</v>
      </c>
      <c r="B2961">
        <f>Sheet1!B2961</f>
        <v>0</v>
      </c>
      <c r="C2961">
        <f>IF(Sheet1!B2961&gt;0,1,0)</f>
        <v>0</v>
      </c>
    </row>
    <row r="2962" spans="1:3" x14ac:dyDescent="0.25">
      <c r="A2962" s="15">
        <f>Sheet1!A2962</f>
        <v>0</v>
      </c>
      <c r="B2962">
        <f>Sheet1!B2962</f>
        <v>0</v>
      </c>
      <c r="C2962">
        <f>IF(Sheet1!B2962&gt;0,1,0)</f>
        <v>0</v>
      </c>
    </row>
    <row r="2963" spans="1:3" x14ac:dyDescent="0.25">
      <c r="A2963" s="15">
        <f>Sheet1!A2963</f>
        <v>0</v>
      </c>
      <c r="B2963">
        <f>Sheet1!B2963</f>
        <v>1.29</v>
      </c>
      <c r="C2963">
        <f>IF(Sheet1!B2963&gt;0,1,0)</f>
        <v>1</v>
      </c>
    </row>
    <row r="2964" spans="1:3" x14ac:dyDescent="0.25">
      <c r="A2964" s="15">
        <f>Sheet1!A2964</f>
        <v>0</v>
      </c>
      <c r="B2964">
        <f>Sheet1!B2964</f>
        <v>1.68</v>
      </c>
      <c r="C2964">
        <f>IF(Sheet1!B2964&gt;0,1,0)</f>
        <v>1</v>
      </c>
    </row>
    <row r="2965" spans="1:3" x14ac:dyDescent="0.25">
      <c r="A2965" s="15">
        <f>Sheet1!A2965</f>
        <v>0</v>
      </c>
      <c r="B2965">
        <f>Sheet1!B2965</f>
        <v>0</v>
      </c>
      <c r="C2965">
        <f>IF(Sheet1!B2965&gt;0,1,0)</f>
        <v>0</v>
      </c>
    </row>
    <row r="2966" spans="1:3" x14ac:dyDescent="0.25">
      <c r="A2966" s="15">
        <f>Sheet1!A2966</f>
        <v>0</v>
      </c>
      <c r="B2966">
        <f>Sheet1!B2966</f>
        <v>0</v>
      </c>
      <c r="C2966">
        <f>IF(Sheet1!B2966&gt;0,1,0)</f>
        <v>0</v>
      </c>
    </row>
    <row r="2967" spans="1:3" x14ac:dyDescent="0.25">
      <c r="A2967" s="15">
        <f>Sheet1!A2967</f>
        <v>0</v>
      </c>
      <c r="B2967">
        <f>Sheet1!B2967</f>
        <v>0</v>
      </c>
      <c r="C2967">
        <f>IF(Sheet1!B2967&gt;0,1,0)</f>
        <v>0</v>
      </c>
    </row>
    <row r="2968" spans="1:3" x14ac:dyDescent="0.25">
      <c r="A2968" s="15">
        <f>Sheet1!A2968</f>
        <v>0</v>
      </c>
      <c r="B2968">
        <f>Sheet1!B2968</f>
        <v>1.2</v>
      </c>
      <c r="C2968">
        <f>IF(Sheet1!B2968&gt;0,1,0)</f>
        <v>1</v>
      </c>
    </row>
    <row r="2969" spans="1:3" x14ac:dyDescent="0.25">
      <c r="A2969" s="15">
        <f>Sheet1!A2969</f>
        <v>0</v>
      </c>
      <c r="B2969">
        <f>Sheet1!B2969</f>
        <v>0</v>
      </c>
      <c r="C2969">
        <f>IF(Sheet1!B2969&gt;0,1,0)</f>
        <v>0</v>
      </c>
    </row>
    <row r="2970" spans="1:3" x14ac:dyDescent="0.25">
      <c r="A2970" s="15">
        <f>Sheet1!A2970</f>
        <v>0</v>
      </c>
      <c r="B2970">
        <f>Sheet1!B2970</f>
        <v>0</v>
      </c>
      <c r="C2970">
        <f>IF(Sheet1!B2970&gt;0,1,0)</f>
        <v>0</v>
      </c>
    </row>
    <row r="2971" spans="1:3" x14ac:dyDescent="0.25">
      <c r="A2971" s="15">
        <f>Sheet1!A2971</f>
        <v>0</v>
      </c>
      <c r="B2971">
        <f>Sheet1!B2971</f>
        <v>0</v>
      </c>
      <c r="C2971">
        <f>IF(Sheet1!B2971&gt;0,1,0)</f>
        <v>0</v>
      </c>
    </row>
    <row r="2972" spans="1:3" x14ac:dyDescent="0.25">
      <c r="A2972" s="15">
        <f>Sheet1!A2972</f>
        <v>0</v>
      </c>
      <c r="B2972">
        <f>Sheet1!B2972</f>
        <v>0</v>
      </c>
      <c r="C2972">
        <f>IF(Sheet1!B2972&gt;0,1,0)</f>
        <v>0</v>
      </c>
    </row>
    <row r="2973" spans="1:3" x14ac:dyDescent="0.25">
      <c r="A2973" s="15">
        <f>Sheet1!A2973</f>
        <v>0</v>
      </c>
      <c r="B2973">
        <f>Sheet1!B2973</f>
        <v>0</v>
      </c>
      <c r="C2973">
        <f>IF(Sheet1!B2973&gt;0,1,0)</f>
        <v>0</v>
      </c>
    </row>
    <row r="2974" spans="1:3" x14ac:dyDescent="0.25">
      <c r="A2974" s="15">
        <f>Sheet1!A2974</f>
        <v>0</v>
      </c>
      <c r="B2974">
        <f>Sheet1!B2974</f>
        <v>3.94</v>
      </c>
      <c r="C2974">
        <f>IF(Sheet1!B2974&gt;0,1,0)</f>
        <v>1</v>
      </c>
    </row>
    <row r="2975" spans="1:3" x14ac:dyDescent="0.25">
      <c r="A2975" s="15">
        <f>Sheet1!A2975</f>
        <v>0</v>
      </c>
      <c r="B2975">
        <f>Sheet1!B2975</f>
        <v>0</v>
      </c>
      <c r="C2975">
        <f>IF(Sheet1!B2975&gt;0,1,0)</f>
        <v>0</v>
      </c>
    </row>
    <row r="2976" spans="1:3" x14ac:dyDescent="0.25">
      <c r="A2976" s="15">
        <f>Sheet1!A2976</f>
        <v>0</v>
      </c>
      <c r="B2976">
        <f>Sheet1!B2976</f>
        <v>0</v>
      </c>
      <c r="C2976">
        <f>IF(Sheet1!B2976&gt;0,1,0)</f>
        <v>0</v>
      </c>
    </row>
    <row r="2977" spans="1:3" x14ac:dyDescent="0.25">
      <c r="A2977" s="15">
        <f>Sheet1!A2977</f>
        <v>0</v>
      </c>
      <c r="B2977">
        <f>Sheet1!B2977</f>
        <v>0</v>
      </c>
      <c r="C2977">
        <f>IF(Sheet1!B2977&gt;0,1,0)</f>
        <v>0</v>
      </c>
    </row>
    <row r="2978" spans="1:3" x14ac:dyDescent="0.25">
      <c r="A2978" s="15">
        <f>Sheet1!A2978</f>
        <v>0</v>
      </c>
      <c r="B2978">
        <f>Sheet1!B2978</f>
        <v>3.02</v>
      </c>
      <c r="C2978">
        <f>IF(Sheet1!B2978&gt;0,1,0)</f>
        <v>1</v>
      </c>
    </row>
    <row r="2979" spans="1:3" x14ac:dyDescent="0.25">
      <c r="A2979" s="15">
        <f>Sheet1!A2979</f>
        <v>0</v>
      </c>
      <c r="B2979">
        <f>Sheet1!B2979</f>
        <v>2.63</v>
      </c>
      <c r="C2979">
        <f>IF(Sheet1!B2979&gt;0,1,0)</f>
        <v>1</v>
      </c>
    </row>
    <row r="2980" spans="1:3" x14ac:dyDescent="0.25">
      <c r="A2980" s="15">
        <f>Sheet1!A2980</f>
        <v>0</v>
      </c>
      <c r="B2980">
        <f>Sheet1!B2980</f>
        <v>2.56</v>
      </c>
      <c r="C2980">
        <f>IF(Sheet1!B2980&gt;0,1,0)</f>
        <v>1</v>
      </c>
    </row>
    <row r="2981" spans="1:3" x14ac:dyDescent="0.25">
      <c r="A2981" s="15">
        <f>Sheet1!A2981</f>
        <v>0</v>
      </c>
      <c r="B2981">
        <f>Sheet1!B2981</f>
        <v>2.5499999999999998</v>
      </c>
      <c r="C2981">
        <f>IF(Sheet1!B2981&gt;0,1,0)</f>
        <v>1</v>
      </c>
    </row>
    <row r="2982" spans="1:3" x14ac:dyDescent="0.25">
      <c r="A2982" s="15">
        <f>Sheet1!A2982</f>
        <v>0</v>
      </c>
      <c r="B2982">
        <f>Sheet1!B2982</f>
        <v>2.54</v>
      </c>
      <c r="C2982">
        <f>IF(Sheet1!B2982&gt;0,1,0)</f>
        <v>1</v>
      </c>
    </row>
    <row r="2983" spans="1:3" x14ac:dyDescent="0.25">
      <c r="A2983" s="15">
        <f>Sheet1!A2983</f>
        <v>0</v>
      </c>
      <c r="B2983">
        <f>Sheet1!B2983</f>
        <v>2.62</v>
      </c>
      <c r="C2983">
        <f>IF(Sheet1!B2983&gt;0,1,0)</f>
        <v>1</v>
      </c>
    </row>
    <row r="2984" spans="1:3" x14ac:dyDescent="0.25">
      <c r="A2984" s="15">
        <f>Sheet1!A2984</f>
        <v>0</v>
      </c>
      <c r="B2984">
        <f>Sheet1!B2984</f>
        <v>0</v>
      </c>
      <c r="C2984">
        <f>IF(Sheet1!B2984&gt;0,1,0)</f>
        <v>0</v>
      </c>
    </row>
    <row r="2985" spans="1:3" x14ac:dyDescent="0.25">
      <c r="A2985" s="15">
        <f>Sheet1!A2985</f>
        <v>0</v>
      </c>
      <c r="B2985">
        <f>Sheet1!B2985</f>
        <v>0</v>
      </c>
      <c r="C2985">
        <f>IF(Sheet1!B2985&gt;0,1,0)</f>
        <v>0</v>
      </c>
    </row>
    <row r="2986" spans="1:3" x14ac:dyDescent="0.25">
      <c r="A2986" s="15">
        <f>Sheet1!A2986</f>
        <v>0</v>
      </c>
      <c r="B2986">
        <f>Sheet1!B2986</f>
        <v>1.34</v>
      </c>
      <c r="C2986">
        <f>IF(Sheet1!B2986&gt;0,1,0)</f>
        <v>1</v>
      </c>
    </row>
    <row r="2987" spans="1:3" x14ac:dyDescent="0.25">
      <c r="A2987" s="15">
        <f>Sheet1!A2987</f>
        <v>0</v>
      </c>
      <c r="B2987">
        <f>Sheet1!B2987</f>
        <v>2.15</v>
      </c>
      <c r="C2987">
        <f>IF(Sheet1!B2987&gt;0,1,0)</f>
        <v>1</v>
      </c>
    </row>
    <row r="2988" spans="1:3" x14ac:dyDescent="0.25">
      <c r="A2988" s="15">
        <f>Sheet1!A2988</f>
        <v>0</v>
      </c>
      <c r="B2988">
        <f>Sheet1!B2988</f>
        <v>0</v>
      </c>
      <c r="C2988">
        <f>IF(Sheet1!B2988&gt;0,1,0)</f>
        <v>0</v>
      </c>
    </row>
    <row r="2989" spans="1:3" x14ac:dyDescent="0.25">
      <c r="A2989" s="15">
        <f>Sheet1!A2989</f>
        <v>0</v>
      </c>
      <c r="B2989">
        <f>Sheet1!B2989</f>
        <v>0</v>
      </c>
      <c r="C2989">
        <f>IF(Sheet1!B2989&gt;0,1,0)</f>
        <v>0</v>
      </c>
    </row>
    <row r="2990" spans="1:3" x14ac:dyDescent="0.25">
      <c r="A2990" s="15">
        <f>Sheet1!A2990</f>
        <v>0</v>
      </c>
      <c r="B2990">
        <f>Sheet1!B2990</f>
        <v>0</v>
      </c>
      <c r="C2990">
        <f>IF(Sheet1!B2990&gt;0,1,0)</f>
        <v>0</v>
      </c>
    </row>
    <row r="2991" spans="1:3" x14ac:dyDescent="0.25">
      <c r="A2991" s="15">
        <f>Sheet1!A2991</f>
        <v>0</v>
      </c>
      <c r="B2991">
        <f>Sheet1!B2991</f>
        <v>0</v>
      </c>
      <c r="C2991">
        <f>IF(Sheet1!B2991&gt;0,1,0)</f>
        <v>0</v>
      </c>
    </row>
    <row r="2992" spans="1:3" x14ac:dyDescent="0.25">
      <c r="A2992" s="15">
        <f>Sheet1!A2992</f>
        <v>0</v>
      </c>
      <c r="B2992">
        <f>Sheet1!B2992</f>
        <v>1.77</v>
      </c>
      <c r="C2992">
        <f>IF(Sheet1!B2992&gt;0,1,0)</f>
        <v>1</v>
      </c>
    </row>
    <row r="2993" spans="1:3" x14ac:dyDescent="0.25">
      <c r="A2993" s="15">
        <f>Sheet1!A2993</f>
        <v>0</v>
      </c>
      <c r="B2993">
        <f>Sheet1!B2993</f>
        <v>0</v>
      </c>
      <c r="C2993">
        <f>IF(Sheet1!B2993&gt;0,1,0)</f>
        <v>0</v>
      </c>
    </row>
    <row r="2994" spans="1:3" x14ac:dyDescent="0.25">
      <c r="A2994" s="15">
        <f>Sheet1!A2994</f>
        <v>0</v>
      </c>
      <c r="B2994">
        <f>Sheet1!B2994</f>
        <v>0</v>
      </c>
      <c r="C2994">
        <f>IF(Sheet1!B2994&gt;0,1,0)</f>
        <v>0</v>
      </c>
    </row>
    <row r="2995" spans="1:3" x14ac:dyDescent="0.25">
      <c r="A2995" s="15">
        <f>Sheet1!A2995</f>
        <v>0</v>
      </c>
      <c r="B2995">
        <f>Sheet1!B2995</f>
        <v>0</v>
      </c>
      <c r="C2995">
        <f>IF(Sheet1!B2995&gt;0,1,0)</f>
        <v>0</v>
      </c>
    </row>
    <row r="2996" spans="1:3" x14ac:dyDescent="0.25">
      <c r="A2996" s="15">
        <f>Sheet1!A2996</f>
        <v>0</v>
      </c>
      <c r="B2996">
        <f>Sheet1!B2996</f>
        <v>1.37</v>
      </c>
      <c r="C2996">
        <f>IF(Sheet1!B2996&gt;0,1,0)</f>
        <v>1</v>
      </c>
    </row>
    <row r="2997" spans="1:3" x14ac:dyDescent="0.25">
      <c r="A2997" s="15">
        <f>Sheet1!A2997</f>
        <v>0</v>
      </c>
      <c r="B2997">
        <f>Sheet1!B2997</f>
        <v>0</v>
      </c>
      <c r="C2997">
        <f>IF(Sheet1!B2997&gt;0,1,0)</f>
        <v>0</v>
      </c>
    </row>
    <row r="2998" spans="1:3" x14ac:dyDescent="0.25">
      <c r="A2998" s="15">
        <f>Sheet1!A2998</f>
        <v>0</v>
      </c>
      <c r="B2998">
        <f>Sheet1!B2998</f>
        <v>0</v>
      </c>
      <c r="C2998">
        <f>IF(Sheet1!B2998&gt;0,1,0)</f>
        <v>0</v>
      </c>
    </row>
    <row r="2999" spans="1:3" x14ac:dyDescent="0.25">
      <c r="A2999" s="15">
        <f>Sheet1!A2999</f>
        <v>0</v>
      </c>
      <c r="B2999">
        <f>Sheet1!B2999</f>
        <v>0</v>
      </c>
      <c r="C2999">
        <f>IF(Sheet1!B2999&gt;0,1,0)</f>
        <v>0</v>
      </c>
    </row>
    <row r="3000" spans="1:3" x14ac:dyDescent="0.25">
      <c r="A3000" s="15">
        <f>Sheet1!A3000</f>
        <v>0</v>
      </c>
      <c r="B3000">
        <f>Sheet1!B3000</f>
        <v>3.3</v>
      </c>
      <c r="C3000">
        <f>IF(Sheet1!B3000&gt;0,1,0)</f>
        <v>1</v>
      </c>
    </row>
    <row r="3001" spans="1:3" x14ac:dyDescent="0.25">
      <c r="A3001" s="15">
        <f>Sheet1!A3001</f>
        <v>0</v>
      </c>
      <c r="B3001">
        <f>Sheet1!B3001</f>
        <v>0</v>
      </c>
      <c r="C3001">
        <f>IF(Sheet1!B3001&gt;0,1,0)</f>
        <v>0</v>
      </c>
    </row>
    <row r="3002" spans="1:3" x14ac:dyDescent="0.25">
      <c r="A3002" s="15">
        <f>Sheet1!A3002</f>
        <v>0</v>
      </c>
      <c r="B3002">
        <f>Sheet1!B3002</f>
        <v>3.9</v>
      </c>
      <c r="C3002">
        <f>IF(Sheet1!B3002&gt;0,1,0)</f>
        <v>1</v>
      </c>
    </row>
    <row r="3003" spans="1:3" x14ac:dyDescent="0.25">
      <c r="A3003" s="15">
        <f>Sheet1!A3003</f>
        <v>0</v>
      </c>
      <c r="B3003">
        <f>Sheet1!B3003</f>
        <v>3.78</v>
      </c>
      <c r="C3003">
        <f>IF(Sheet1!B3003&gt;0,1,0)</f>
        <v>1</v>
      </c>
    </row>
    <row r="3004" spans="1:3" x14ac:dyDescent="0.25">
      <c r="A3004" s="15">
        <f>Sheet1!A3004</f>
        <v>0</v>
      </c>
      <c r="B3004">
        <f>Sheet1!B3004</f>
        <v>4.0999999999999996</v>
      </c>
      <c r="C3004">
        <f>IF(Sheet1!B3004&gt;0,1,0)</f>
        <v>1</v>
      </c>
    </row>
    <row r="3005" spans="1:3" x14ac:dyDescent="0.25">
      <c r="A3005" s="15">
        <f>Sheet1!A3005</f>
        <v>0</v>
      </c>
      <c r="B3005">
        <f>Sheet1!B3005</f>
        <v>3.73</v>
      </c>
      <c r="C3005">
        <f>IF(Sheet1!B3005&gt;0,1,0)</f>
        <v>1</v>
      </c>
    </row>
    <row r="3006" spans="1:3" x14ac:dyDescent="0.25">
      <c r="A3006" s="15">
        <f>Sheet1!A3006</f>
        <v>0</v>
      </c>
      <c r="B3006">
        <f>Sheet1!B3006</f>
        <v>4.0599999999999996</v>
      </c>
      <c r="C3006">
        <f>IF(Sheet1!B3006&gt;0,1,0)</f>
        <v>1</v>
      </c>
    </row>
    <row r="3007" spans="1:3" x14ac:dyDescent="0.25">
      <c r="A3007" s="15">
        <f>Sheet1!A3007</f>
        <v>0</v>
      </c>
      <c r="B3007">
        <f>Sheet1!B3007</f>
        <v>3.44</v>
      </c>
      <c r="C3007">
        <f>IF(Sheet1!B3007&gt;0,1,0)</f>
        <v>1</v>
      </c>
    </row>
    <row r="3008" spans="1:3" x14ac:dyDescent="0.25">
      <c r="A3008" s="15">
        <f>Sheet1!A3008</f>
        <v>0</v>
      </c>
      <c r="B3008">
        <f>Sheet1!B3008</f>
        <v>0.94</v>
      </c>
      <c r="C3008">
        <f>IF(Sheet1!B3008&gt;0,1,0)</f>
        <v>1</v>
      </c>
    </row>
    <row r="3009" spans="1:3" x14ac:dyDescent="0.25">
      <c r="A3009" s="15">
        <f>Sheet1!A3009</f>
        <v>0</v>
      </c>
      <c r="B3009">
        <f>Sheet1!B3009</f>
        <v>1.07</v>
      </c>
      <c r="C3009">
        <f>IF(Sheet1!B3009&gt;0,1,0)</f>
        <v>1</v>
      </c>
    </row>
    <row r="3010" spans="1:3" x14ac:dyDescent="0.25">
      <c r="A3010" s="15">
        <f>Sheet1!A3010</f>
        <v>0</v>
      </c>
      <c r="B3010">
        <f>Sheet1!B3010</f>
        <v>2.86</v>
      </c>
      <c r="C3010">
        <f>IF(Sheet1!B3010&gt;0,1,0)</f>
        <v>1</v>
      </c>
    </row>
    <row r="3011" spans="1:3" x14ac:dyDescent="0.25">
      <c r="A3011" s="15">
        <f>Sheet1!A3011</f>
        <v>0</v>
      </c>
      <c r="B3011">
        <f>Sheet1!B3011</f>
        <v>0</v>
      </c>
      <c r="C3011">
        <f>IF(Sheet1!B3011&gt;0,1,0)</f>
        <v>0</v>
      </c>
    </row>
    <row r="3012" spans="1:3" x14ac:dyDescent="0.25">
      <c r="A3012" s="15">
        <f>Sheet1!A3012</f>
        <v>0</v>
      </c>
      <c r="B3012">
        <f>Sheet1!B3012</f>
        <v>0</v>
      </c>
      <c r="C3012">
        <f>IF(Sheet1!B3012&gt;0,1,0)</f>
        <v>0</v>
      </c>
    </row>
    <row r="3013" spans="1:3" x14ac:dyDescent="0.25">
      <c r="A3013" s="15">
        <f>Sheet1!A3013</f>
        <v>0</v>
      </c>
      <c r="B3013">
        <f>Sheet1!B3013</f>
        <v>0</v>
      </c>
      <c r="C3013">
        <f>IF(Sheet1!B3013&gt;0,1,0)</f>
        <v>0</v>
      </c>
    </row>
    <row r="3014" spans="1:3" x14ac:dyDescent="0.25">
      <c r="A3014" s="15">
        <f>Sheet1!A3014</f>
        <v>0</v>
      </c>
      <c r="B3014">
        <f>Sheet1!B3014</f>
        <v>0</v>
      </c>
      <c r="C3014">
        <f>IF(Sheet1!B3014&gt;0,1,0)</f>
        <v>0</v>
      </c>
    </row>
    <row r="3015" spans="1:3" x14ac:dyDescent="0.25">
      <c r="A3015" s="15">
        <f>Sheet1!A3015</f>
        <v>0</v>
      </c>
      <c r="B3015">
        <f>Sheet1!B3015</f>
        <v>0</v>
      </c>
      <c r="C3015">
        <f>IF(Sheet1!B3015&gt;0,1,0)</f>
        <v>0</v>
      </c>
    </row>
    <row r="3016" spans="1:3" x14ac:dyDescent="0.25">
      <c r="A3016" s="15">
        <f>Sheet1!A3016</f>
        <v>0</v>
      </c>
      <c r="B3016">
        <f>Sheet1!B3016</f>
        <v>0</v>
      </c>
      <c r="C3016">
        <f>IF(Sheet1!B3016&gt;0,1,0)</f>
        <v>0</v>
      </c>
    </row>
    <row r="3017" spans="1:3" x14ac:dyDescent="0.25">
      <c r="A3017" s="15">
        <f>Sheet1!A3017</f>
        <v>0</v>
      </c>
      <c r="B3017">
        <f>Sheet1!B3017</f>
        <v>0</v>
      </c>
      <c r="C3017">
        <f>IF(Sheet1!B3017&gt;0,1,0)</f>
        <v>0</v>
      </c>
    </row>
    <row r="3018" spans="1:3" x14ac:dyDescent="0.25">
      <c r="A3018" s="15">
        <f>Sheet1!A3018</f>
        <v>0</v>
      </c>
      <c r="B3018">
        <f>Sheet1!B3018</f>
        <v>0</v>
      </c>
      <c r="C3018">
        <f>IF(Sheet1!B3018&gt;0,1,0)</f>
        <v>0</v>
      </c>
    </row>
    <row r="3019" spans="1:3" x14ac:dyDescent="0.25">
      <c r="A3019" s="15">
        <f>Sheet1!A3019</f>
        <v>0</v>
      </c>
      <c r="B3019">
        <f>Sheet1!B3019</f>
        <v>0</v>
      </c>
      <c r="C3019">
        <f>IF(Sheet1!B3019&gt;0,1,0)</f>
        <v>0</v>
      </c>
    </row>
    <row r="3020" spans="1:3" x14ac:dyDescent="0.25">
      <c r="A3020" s="15">
        <f>Sheet1!A3020</f>
        <v>0</v>
      </c>
      <c r="B3020">
        <f>Sheet1!B3020</f>
        <v>0</v>
      </c>
      <c r="C3020">
        <f>IF(Sheet1!B3020&gt;0,1,0)</f>
        <v>0</v>
      </c>
    </row>
    <row r="3021" spans="1:3" x14ac:dyDescent="0.25">
      <c r="A3021" s="15">
        <f>Sheet1!A3021</f>
        <v>0</v>
      </c>
      <c r="B3021">
        <f>Sheet1!B3021</f>
        <v>0</v>
      </c>
      <c r="C3021">
        <f>IF(Sheet1!B3021&gt;0,1,0)</f>
        <v>0</v>
      </c>
    </row>
    <row r="3022" spans="1:3" x14ac:dyDescent="0.25">
      <c r="A3022" s="15">
        <f>Sheet1!A3022</f>
        <v>0</v>
      </c>
      <c r="B3022">
        <f>Sheet1!B3022</f>
        <v>0</v>
      </c>
      <c r="C3022">
        <f>IF(Sheet1!B3022&gt;0,1,0)</f>
        <v>0</v>
      </c>
    </row>
    <row r="3023" spans="1:3" x14ac:dyDescent="0.25">
      <c r="A3023" s="15">
        <f>Sheet1!A3023</f>
        <v>0</v>
      </c>
      <c r="B3023">
        <f>Sheet1!B3023</f>
        <v>0</v>
      </c>
      <c r="C3023">
        <f>IF(Sheet1!B3023&gt;0,1,0)</f>
        <v>0</v>
      </c>
    </row>
    <row r="3024" spans="1:3" x14ac:dyDescent="0.25">
      <c r="A3024" s="15">
        <f>Sheet1!A3024</f>
        <v>0</v>
      </c>
      <c r="B3024">
        <f>Sheet1!B3024</f>
        <v>0</v>
      </c>
      <c r="C3024">
        <f>IF(Sheet1!B3024&gt;0,1,0)</f>
        <v>0</v>
      </c>
    </row>
    <row r="3025" spans="1:3" x14ac:dyDescent="0.25">
      <c r="A3025" s="15">
        <f>Sheet1!A3025</f>
        <v>0</v>
      </c>
      <c r="B3025">
        <f>Sheet1!B3025</f>
        <v>0</v>
      </c>
      <c r="C3025">
        <f>IF(Sheet1!B3025&gt;0,1,0)</f>
        <v>0</v>
      </c>
    </row>
    <row r="3026" spans="1:3" x14ac:dyDescent="0.25">
      <c r="A3026" s="15">
        <f>Sheet1!A3026</f>
        <v>0</v>
      </c>
      <c r="B3026">
        <f>Sheet1!B3026</f>
        <v>3.97</v>
      </c>
      <c r="C3026">
        <f>IF(Sheet1!B3026&gt;0,1,0)</f>
        <v>1</v>
      </c>
    </row>
    <row r="3027" spans="1:3" x14ac:dyDescent="0.25">
      <c r="A3027" s="15">
        <f>Sheet1!A3027</f>
        <v>0</v>
      </c>
      <c r="B3027">
        <f>Sheet1!B3027</f>
        <v>0</v>
      </c>
      <c r="C3027">
        <f>IF(Sheet1!B3027&gt;0,1,0)</f>
        <v>0</v>
      </c>
    </row>
    <row r="3028" spans="1:3" x14ac:dyDescent="0.25">
      <c r="A3028" s="15">
        <f>Sheet1!A3028</f>
        <v>0</v>
      </c>
      <c r="B3028">
        <f>Sheet1!B3028</f>
        <v>0</v>
      </c>
      <c r="C3028">
        <f>IF(Sheet1!B3028&gt;0,1,0)</f>
        <v>0</v>
      </c>
    </row>
    <row r="3029" spans="1:3" x14ac:dyDescent="0.25">
      <c r="A3029" s="15">
        <f>Sheet1!A3029</f>
        <v>0</v>
      </c>
      <c r="B3029">
        <f>Sheet1!B3029</f>
        <v>0</v>
      </c>
      <c r="C3029">
        <f>IF(Sheet1!B3029&gt;0,1,0)</f>
        <v>0</v>
      </c>
    </row>
    <row r="3030" spans="1:3" x14ac:dyDescent="0.25">
      <c r="A3030" s="15">
        <f>Sheet1!A3030</f>
        <v>0</v>
      </c>
      <c r="B3030">
        <f>Sheet1!B3030</f>
        <v>3.91</v>
      </c>
      <c r="C3030">
        <f>IF(Sheet1!B3030&gt;0,1,0)</f>
        <v>1</v>
      </c>
    </row>
    <row r="3031" spans="1:3" x14ac:dyDescent="0.25">
      <c r="A3031" s="15">
        <f>Sheet1!A3031</f>
        <v>0</v>
      </c>
      <c r="B3031">
        <f>Sheet1!B3031</f>
        <v>0</v>
      </c>
      <c r="C3031">
        <f>IF(Sheet1!B3031&gt;0,1,0)</f>
        <v>0</v>
      </c>
    </row>
    <row r="3032" spans="1:3" x14ac:dyDescent="0.25">
      <c r="A3032" s="15">
        <f>Sheet1!A3032</f>
        <v>0</v>
      </c>
      <c r="B3032">
        <f>Sheet1!B3032</f>
        <v>0</v>
      </c>
      <c r="C3032">
        <f>IF(Sheet1!B3032&gt;0,1,0)</f>
        <v>0</v>
      </c>
    </row>
    <row r="3033" spans="1:3" x14ac:dyDescent="0.25">
      <c r="A3033" s="15">
        <f>Sheet1!A3033</f>
        <v>0</v>
      </c>
      <c r="B3033">
        <f>Sheet1!B3033</f>
        <v>0</v>
      </c>
      <c r="C3033">
        <f>IF(Sheet1!B3033&gt;0,1,0)</f>
        <v>0</v>
      </c>
    </row>
    <row r="3034" spans="1:3" x14ac:dyDescent="0.25">
      <c r="A3034" s="15">
        <f>Sheet1!A3034</f>
        <v>0</v>
      </c>
      <c r="B3034">
        <f>Sheet1!B3034</f>
        <v>0</v>
      </c>
      <c r="C3034">
        <f>IF(Sheet1!B3034&gt;0,1,0)</f>
        <v>0</v>
      </c>
    </row>
    <row r="3035" spans="1:3" x14ac:dyDescent="0.25">
      <c r="A3035" s="15">
        <f>Sheet1!A3035</f>
        <v>0</v>
      </c>
      <c r="B3035">
        <f>Sheet1!B3035</f>
        <v>3.93</v>
      </c>
      <c r="C3035">
        <f>IF(Sheet1!B3035&gt;0,1,0)</f>
        <v>1</v>
      </c>
    </row>
    <row r="3036" spans="1:3" x14ac:dyDescent="0.25">
      <c r="A3036" s="15">
        <f>Sheet1!A3036</f>
        <v>0</v>
      </c>
      <c r="B3036">
        <f>Sheet1!B3036</f>
        <v>0</v>
      </c>
      <c r="C3036">
        <f>IF(Sheet1!B3036&gt;0,1,0)</f>
        <v>0</v>
      </c>
    </row>
    <row r="3037" spans="1:3" x14ac:dyDescent="0.25">
      <c r="A3037" s="15">
        <f>Sheet1!A3037</f>
        <v>0</v>
      </c>
      <c r="B3037">
        <f>Sheet1!B3037</f>
        <v>0</v>
      </c>
      <c r="C3037">
        <f>IF(Sheet1!B3037&gt;0,1,0)</f>
        <v>0</v>
      </c>
    </row>
    <row r="3038" spans="1:3" x14ac:dyDescent="0.25">
      <c r="A3038" s="15">
        <f>Sheet1!A3038</f>
        <v>0</v>
      </c>
      <c r="B3038">
        <f>Sheet1!B3038</f>
        <v>0</v>
      </c>
      <c r="C3038">
        <f>IF(Sheet1!B3038&gt;0,1,0)</f>
        <v>0</v>
      </c>
    </row>
    <row r="3039" spans="1:3" x14ac:dyDescent="0.25">
      <c r="A3039" s="15">
        <f>Sheet1!A3039</f>
        <v>0</v>
      </c>
      <c r="B3039">
        <f>Sheet1!B3039</f>
        <v>0</v>
      </c>
      <c r="C3039">
        <f>IF(Sheet1!B3039&gt;0,1,0)</f>
        <v>0</v>
      </c>
    </row>
    <row r="3040" spans="1:3" x14ac:dyDescent="0.25">
      <c r="A3040" s="15">
        <f>Sheet1!A3040</f>
        <v>0</v>
      </c>
      <c r="B3040">
        <f>Sheet1!B3040</f>
        <v>0</v>
      </c>
      <c r="C3040">
        <f>IF(Sheet1!B3040&gt;0,1,0)</f>
        <v>0</v>
      </c>
    </row>
    <row r="3041" spans="1:3" x14ac:dyDescent="0.25">
      <c r="A3041" s="15">
        <f>Sheet1!A3041</f>
        <v>0</v>
      </c>
      <c r="B3041">
        <f>Sheet1!B3041</f>
        <v>0</v>
      </c>
      <c r="C3041">
        <f>IF(Sheet1!B3041&gt;0,1,0)</f>
        <v>0</v>
      </c>
    </row>
    <row r="3042" spans="1:3" x14ac:dyDescent="0.25">
      <c r="A3042" s="15">
        <f>Sheet1!A3042</f>
        <v>0</v>
      </c>
      <c r="B3042">
        <f>Sheet1!B3042</f>
        <v>0</v>
      </c>
      <c r="C3042">
        <f>IF(Sheet1!B3042&gt;0,1,0)</f>
        <v>0</v>
      </c>
    </row>
    <row r="3043" spans="1:3" x14ac:dyDescent="0.25">
      <c r="A3043" s="15">
        <f>Sheet1!A3043</f>
        <v>0</v>
      </c>
      <c r="B3043">
        <f>Sheet1!B3043</f>
        <v>0</v>
      </c>
      <c r="C3043">
        <f>IF(Sheet1!B3043&gt;0,1,0)</f>
        <v>0</v>
      </c>
    </row>
    <row r="3044" spans="1:3" x14ac:dyDescent="0.25">
      <c r="A3044" s="15">
        <f>Sheet1!A3044</f>
        <v>0</v>
      </c>
      <c r="B3044">
        <f>Sheet1!B3044</f>
        <v>0</v>
      </c>
      <c r="C3044">
        <f>IF(Sheet1!B3044&gt;0,1,0)</f>
        <v>0</v>
      </c>
    </row>
    <row r="3045" spans="1:3" x14ac:dyDescent="0.25">
      <c r="A3045" s="15">
        <f>Sheet1!A3045</f>
        <v>0</v>
      </c>
      <c r="B3045">
        <f>Sheet1!B3045</f>
        <v>0</v>
      </c>
      <c r="C3045">
        <f>IF(Sheet1!B3045&gt;0,1,0)</f>
        <v>0</v>
      </c>
    </row>
    <row r="3046" spans="1:3" x14ac:dyDescent="0.25">
      <c r="A3046" s="15">
        <f>Sheet1!A3046</f>
        <v>0</v>
      </c>
      <c r="B3046">
        <f>Sheet1!B3046</f>
        <v>5.88</v>
      </c>
      <c r="C3046">
        <f>IF(Sheet1!B3046&gt;0,1,0)</f>
        <v>1</v>
      </c>
    </row>
    <row r="3047" spans="1:3" x14ac:dyDescent="0.25">
      <c r="A3047" s="15">
        <f>Sheet1!A3047</f>
        <v>0</v>
      </c>
      <c r="B3047">
        <f>Sheet1!B3047</f>
        <v>0</v>
      </c>
      <c r="C3047">
        <f>IF(Sheet1!B3047&gt;0,1,0)</f>
        <v>0</v>
      </c>
    </row>
    <row r="3048" spans="1:3" x14ac:dyDescent="0.25">
      <c r="A3048" s="15">
        <f>Sheet1!A3048</f>
        <v>0</v>
      </c>
      <c r="B3048">
        <f>Sheet1!B3048</f>
        <v>0</v>
      </c>
      <c r="C3048">
        <f>IF(Sheet1!B3048&gt;0,1,0)</f>
        <v>0</v>
      </c>
    </row>
    <row r="3049" spans="1:3" x14ac:dyDescent="0.25">
      <c r="A3049" s="15">
        <f>Sheet1!A3049</f>
        <v>0</v>
      </c>
      <c r="B3049">
        <f>Sheet1!B3049</f>
        <v>0</v>
      </c>
      <c r="C3049">
        <f>IF(Sheet1!B3049&gt;0,1,0)</f>
        <v>0</v>
      </c>
    </row>
    <row r="3050" spans="1:3" x14ac:dyDescent="0.25">
      <c r="A3050" s="15">
        <f>Sheet1!A3050</f>
        <v>0</v>
      </c>
      <c r="B3050">
        <f>Sheet1!B3050</f>
        <v>6.93</v>
      </c>
      <c r="C3050">
        <f>IF(Sheet1!B3050&gt;0,1,0)</f>
        <v>1</v>
      </c>
    </row>
    <row r="3051" spans="1:3" x14ac:dyDescent="0.25">
      <c r="A3051" s="15">
        <f>Sheet1!A3051</f>
        <v>0</v>
      </c>
      <c r="B3051">
        <f>Sheet1!B3051</f>
        <v>6.45</v>
      </c>
      <c r="C3051">
        <f>IF(Sheet1!B3051&gt;0,1,0)</f>
        <v>1</v>
      </c>
    </row>
    <row r="3052" spans="1:3" x14ac:dyDescent="0.25">
      <c r="A3052" s="15">
        <f>Sheet1!A3052</f>
        <v>0</v>
      </c>
      <c r="B3052">
        <f>Sheet1!B3052</f>
        <v>6.05</v>
      </c>
      <c r="C3052">
        <f>IF(Sheet1!B3052&gt;0,1,0)</f>
        <v>1</v>
      </c>
    </row>
    <row r="3053" spans="1:3" x14ac:dyDescent="0.25">
      <c r="A3053" s="15">
        <f>Sheet1!A3053</f>
        <v>0</v>
      </c>
      <c r="B3053">
        <f>Sheet1!B3053</f>
        <v>5.79</v>
      </c>
      <c r="C3053">
        <f>IF(Sheet1!B3053&gt;0,1,0)</f>
        <v>1</v>
      </c>
    </row>
    <row r="3054" spans="1:3" x14ac:dyDescent="0.25">
      <c r="A3054" s="15">
        <f>Sheet1!A3054</f>
        <v>0</v>
      </c>
      <c r="B3054">
        <f>Sheet1!B3054</f>
        <v>6.08</v>
      </c>
      <c r="C3054">
        <f>IF(Sheet1!B3054&gt;0,1,0)</f>
        <v>1</v>
      </c>
    </row>
    <row r="3055" spans="1:3" x14ac:dyDescent="0.25">
      <c r="A3055" s="15">
        <f>Sheet1!A3055</f>
        <v>0</v>
      </c>
      <c r="B3055">
        <f>Sheet1!B3055</f>
        <v>5.0999999999999996</v>
      </c>
      <c r="C3055">
        <f>IF(Sheet1!B3055&gt;0,1,0)</f>
        <v>1</v>
      </c>
    </row>
    <row r="3056" spans="1:3" x14ac:dyDescent="0.25">
      <c r="A3056" s="15">
        <f>Sheet1!A3056</f>
        <v>0</v>
      </c>
      <c r="B3056">
        <f>Sheet1!B3056</f>
        <v>1.55</v>
      </c>
      <c r="C3056">
        <f>IF(Sheet1!B3056&gt;0,1,0)</f>
        <v>1</v>
      </c>
    </row>
    <row r="3057" spans="1:3" x14ac:dyDescent="0.25">
      <c r="A3057" s="15">
        <f>Sheet1!A3057</f>
        <v>0</v>
      </c>
      <c r="B3057">
        <f>Sheet1!B3057</f>
        <v>1.23</v>
      </c>
      <c r="C3057">
        <f>IF(Sheet1!B3057&gt;0,1,0)</f>
        <v>1</v>
      </c>
    </row>
    <row r="3058" spans="1:3" x14ac:dyDescent="0.25">
      <c r="A3058" s="15">
        <f>Sheet1!A3058</f>
        <v>0</v>
      </c>
      <c r="B3058">
        <f>Sheet1!B3058</f>
        <v>1.34</v>
      </c>
      <c r="C3058">
        <f>IF(Sheet1!B3058&gt;0,1,0)</f>
        <v>1</v>
      </c>
    </row>
    <row r="3059" spans="1:3" x14ac:dyDescent="0.25">
      <c r="A3059" s="15">
        <f>Sheet1!A3059</f>
        <v>0</v>
      </c>
      <c r="B3059">
        <f>Sheet1!B3059</f>
        <v>0</v>
      </c>
      <c r="C3059">
        <f>IF(Sheet1!B3059&gt;0,1,0)</f>
        <v>0</v>
      </c>
    </row>
    <row r="3060" spans="1:3" x14ac:dyDescent="0.25">
      <c r="A3060" s="15">
        <f>Sheet1!A3060</f>
        <v>0</v>
      </c>
      <c r="B3060">
        <f>Sheet1!B3060</f>
        <v>0</v>
      </c>
      <c r="C3060">
        <f>IF(Sheet1!B3060&gt;0,1,0)</f>
        <v>0</v>
      </c>
    </row>
    <row r="3061" spans="1:3" x14ac:dyDescent="0.25">
      <c r="A3061" s="15">
        <f>Sheet1!A3061</f>
        <v>0</v>
      </c>
      <c r="B3061">
        <f>Sheet1!B3061</f>
        <v>0</v>
      </c>
      <c r="C3061">
        <f>IF(Sheet1!B3061&gt;0,1,0)</f>
        <v>0</v>
      </c>
    </row>
    <row r="3062" spans="1:3" x14ac:dyDescent="0.25">
      <c r="A3062" s="15">
        <f>Sheet1!A3062</f>
        <v>0</v>
      </c>
      <c r="B3062">
        <f>Sheet1!B3062</f>
        <v>2.93</v>
      </c>
      <c r="C3062">
        <f>IF(Sheet1!B3062&gt;0,1,0)</f>
        <v>1</v>
      </c>
    </row>
    <row r="3063" spans="1:3" x14ac:dyDescent="0.25">
      <c r="A3063" s="15">
        <f>Sheet1!A3063</f>
        <v>0</v>
      </c>
      <c r="B3063">
        <f>Sheet1!B3063</f>
        <v>0</v>
      </c>
      <c r="C3063">
        <f>IF(Sheet1!B3063&gt;0,1,0)</f>
        <v>0</v>
      </c>
    </row>
    <row r="3064" spans="1:3" x14ac:dyDescent="0.25">
      <c r="A3064" s="15">
        <f>Sheet1!A3064</f>
        <v>0</v>
      </c>
      <c r="B3064">
        <f>Sheet1!B3064</f>
        <v>0</v>
      </c>
      <c r="C3064">
        <f>IF(Sheet1!B3064&gt;0,1,0)</f>
        <v>0</v>
      </c>
    </row>
    <row r="3065" spans="1:3" x14ac:dyDescent="0.25">
      <c r="A3065" s="15">
        <f>Sheet1!A3065</f>
        <v>0</v>
      </c>
      <c r="B3065">
        <f>Sheet1!B3065</f>
        <v>0</v>
      </c>
      <c r="C3065">
        <f>IF(Sheet1!B3065&gt;0,1,0)</f>
        <v>0</v>
      </c>
    </row>
    <row r="3066" spans="1:3" x14ac:dyDescent="0.25">
      <c r="A3066" s="15">
        <f>Sheet1!A3066</f>
        <v>0</v>
      </c>
      <c r="B3066">
        <f>Sheet1!B3066</f>
        <v>4.0999999999999996</v>
      </c>
      <c r="C3066">
        <f>IF(Sheet1!B3066&gt;0,1,0)</f>
        <v>1</v>
      </c>
    </row>
    <row r="3067" spans="1:3" x14ac:dyDescent="0.25">
      <c r="A3067" s="15">
        <f>Sheet1!A3067</f>
        <v>0</v>
      </c>
      <c r="B3067">
        <f>Sheet1!B3067</f>
        <v>0</v>
      </c>
      <c r="C3067">
        <f>IF(Sheet1!B3067&gt;0,1,0)</f>
        <v>0</v>
      </c>
    </row>
    <row r="3068" spans="1:3" x14ac:dyDescent="0.25">
      <c r="A3068" s="15">
        <f>Sheet1!A3068</f>
        <v>0</v>
      </c>
      <c r="B3068">
        <f>Sheet1!B3068</f>
        <v>0</v>
      </c>
      <c r="C3068">
        <f>IF(Sheet1!B3068&gt;0,1,0)</f>
        <v>0</v>
      </c>
    </row>
    <row r="3069" spans="1:3" x14ac:dyDescent="0.25">
      <c r="A3069" s="15">
        <f>Sheet1!A3069</f>
        <v>0</v>
      </c>
      <c r="B3069">
        <f>Sheet1!B3069</f>
        <v>0</v>
      </c>
      <c r="C3069">
        <f>IF(Sheet1!B3069&gt;0,1,0)</f>
        <v>0</v>
      </c>
    </row>
    <row r="3070" spans="1:3" x14ac:dyDescent="0.25">
      <c r="A3070" s="15">
        <f>Sheet1!A3070</f>
        <v>0</v>
      </c>
      <c r="B3070">
        <f>Sheet1!B3070</f>
        <v>1.46</v>
      </c>
      <c r="C3070">
        <f>IF(Sheet1!B3070&gt;0,1,0)</f>
        <v>1</v>
      </c>
    </row>
    <row r="3071" spans="1:3" x14ac:dyDescent="0.25">
      <c r="A3071" s="15">
        <f>Sheet1!A3071</f>
        <v>0</v>
      </c>
      <c r="B3071">
        <f>Sheet1!B3071</f>
        <v>1.63</v>
      </c>
      <c r="C3071">
        <f>IF(Sheet1!B3071&gt;0,1,0)</f>
        <v>1</v>
      </c>
    </row>
    <row r="3072" spans="1:3" x14ac:dyDescent="0.25">
      <c r="A3072" s="15">
        <f>Sheet1!A3072</f>
        <v>0</v>
      </c>
      <c r="B3072">
        <f>Sheet1!B3072</f>
        <v>1.01</v>
      </c>
      <c r="C3072">
        <f>IF(Sheet1!B3072&gt;0,1,0)</f>
        <v>1</v>
      </c>
    </row>
    <row r="3073" spans="1:3" x14ac:dyDescent="0.25">
      <c r="A3073" s="15">
        <f>Sheet1!A3073</f>
        <v>0</v>
      </c>
      <c r="B3073">
        <f>Sheet1!B3073</f>
        <v>2.36</v>
      </c>
      <c r="C3073">
        <f>IF(Sheet1!B3073&gt;0,1,0)</f>
        <v>1</v>
      </c>
    </row>
    <row r="3074" spans="1:3" x14ac:dyDescent="0.25">
      <c r="A3074" s="15">
        <f>Sheet1!A3074</f>
        <v>0</v>
      </c>
      <c r="B3074">
        <f>Sheet1!B3074</f>
        <v>3.38</v>
      </c>
      <c r="C3074">
        <f>IF(Sheet1!B3074&gt;0,1,0)</f>
        <v>1</v>
      </c>
    </row>
    <row r="3075" spans="1:3" x14ac:dyDescent="0.25">
      <c r="A3075" s="15">
        <f>Sheet1!A3075</f>
        <v>0</v>
      </c>
      <c r="B3075">
        <f>Sheet1!B3075</f>
        <v>2.98</v>
      </c>
      <c r="C3075">
        <f>IF(Sheet1!B3075&gt;0,1,0)</f>
        <v>1</v>
      </c>
    </row>
    <row r="3076" spans="1:3" x14ac:dyDescent="0.25">
      <c r="A3076" s="15">
        <f>Sheet1!A3076</f>
        <v>0</v>
      </c>
      <c r="B3076">
        <f>Sheet1!B3076</f>
        <v>2.67</v>
      </c>
      <c r="C3076">
        <f>IF(Sheet1!B3076&gt;0,1,0)</f>
        <v>1</v>
      </c>
    </row>
    <row r="3077" spans="1:3" x14ac:dyDescent="0.25">
      <c r="A3077" s="15">
        <f>Sheet1!A3077</f>
        <v>0</v>
      </c>
      <c r="B3077">
        <f>Sheet1!B3077</f>
        <v>2.86</v>
      </c>
      <c r="C3077">
        <f>IF(Sheet1!B3077&gt;0,1,0)</f>
        <v>1</v>
      </c>
    </row>
    <row r="3078" spans="1:3" x14ac:dyDescent="0.25">
      <c r="A3078" s="15">
        <f>Sheet1!A3078</f>
        <v>0</v>
      </c>
      <c r="B3078">
        <f>Sheet1!B3078</f>
        <v>2.93</v>
      </c>
      <c r="C3078">
        <f>IF(Sheet1!B3078&gt;0,1,0)</f>
        <v>1</v>
      </c>
    </row>
    <row r="3079" spans="1:3" x14ac:dyDescent="0.25">
      <c r="A3079" s="15">
        <f>Sheet1!A3079</f>
        <v>0</v>
      </c>
      <c r="B3079">
        <f>Sheet1!B3079</f>
        <v>2.76</v>
      </c>
      <c r="C3079">
        <f>IF(Sheet1!B3079&gt;0,1,0)</f>
        <v>1</v>
      </c>
    </row>
    <row r="3080" spans="1:3" x14ac:dyDescent="0.25">
      <c r="A3080" s="15">
        <f>Sheet1!A3080</f>
        <v>0</v>
      </c>
      <c r="B3080">
        <f>Sheet1!B3080</f>
        <v>3.26</v>
      </c>
      <c r="C3080">
        <f>IF(Sheet1!B3080&gt;0,1,0)</f>
        <v>1</v>
      </c>
    </row>
    <row r="3081" spans="1:3" x14ac:dyDescent="0.25">
      <c r="A3081" s="15">
        <f>Sheet1!A3081</f>
        <v>0</v>
      </c>
      <c r="B3081">
        <f>Sheet1!B3081</f>
        <v>3.94</v>
      </c>
      <c r="C3081">
        <f>IF(Sheet1!B3081&gt;0,1,0)</f>
        <v>1</v>
      </c>
    </row>
    <row r="3082" spans="1:3" x14ac:dyDescent="0.25">
      <c r="A3082" s="15">
        <f>Sheet1!A3082</f>
        <v>0</v>
      </c>
      <c r="B3082">
        <f>Sheet1!B3082</f>
        <v>0</v>
      </c>
      <c r="C3082">
        <f>IF(Sheet1!B3082&gt;0,1,0)</f>
        <v>0</v>
      </c>
    </row>
    <row r="3083" spans="1:3" x14ac:dyDescent="0.25">
      <c r="A3083" s="15">
        <f>Sheet1!A3083</f>
        <v>0</v>
      </c>
      <c r="B3083">
        <f>Sheet1!B3083</f>
        <v>0</v>
      </c>
      <c r="C3083">
        <f>IF(Sheet1!B3083&gt;0,1,0)</f>
        <v>0</v>
      </c>
    </row>
    <row r="3084" spans="1:3" x14ac:dyDescent="0.25">
      <c r="A3084" s="15">
        <f>Sheet1!A3084</f>
        <v>0</v>
      </c>
      <c r="B3084">
        <f>Sheet1!B3084</f>
        <v>0</v>
      </c>
      <c r="C3084">
        <f>IF(Sheet1!B3084&gt;0,1,0)</f>
        <v>0</v>
      </c>
    </row>
    <row r="3085" spans="1:3" x14ac:dyDescent="0.25">
      <c r="A3085" s="15">
        <f>Sheet1!A3085</f>
        <v>0</v>
      </c>
      <c r="B3085">
        <f>Sheet1!B3085</f>
        <v>0</v>
      </c>
      <c r="C3085">
        <f>IF(Sheet1!B3085&gt;0,1,0)</f>
        <v>0</v>
      </c>
    </row>
    <row r="3086" spans="1:3" x14ac:dyDescent="0.25">
      <c r="A3086" s="15">
        <f>Sheet1!A3086</f>
        <v>0</v>
      </c>
      <c r="B3086">
        <f>Sheet1!B3086</f>
        <v>0</v>
      </c>
      <c r="C3086">
        <f>IF(Sheet1!B3086&gt;0,1,0)</f>
        <v>0</v>
      </c>
    </row>
    <row r="3087" spans="1:3" x14ac:dyDescent="0.25">
      <c r="A3087" s="15">
        <f>Sheet1!A3087</f>
        <v>0</v>
      </c>
      <c r="B3087">
        <f>Sheet1!B3087</f>
        <v>0</v>
      </c>
      <c r="C3087">
        <f>IF(Sheet1!B3087&gt;0,1,0)</f>
        <v>0</v>
      </c>
    </row>
    <row r="3088" spans="1:3" x14ac:dyDescent="0.25">
      <c r="A3088" s="15">
        <f>Sheet1!A3088</f>
        <v>0</v>
      </c>
      <c r="B3088">
        <f>Sheet1!B3088</f>
        <v>0</v>
      </c>
      <c r="C3088">
        <f>IF(Sheet1!B3088&gt;0,1,0)</f>
        <v>0</v>
      </c>
    </row>
    <row r="3089" spans="1:3" x14ac:dyDescent="0.25">
      <c r="A3089" s="15">
        <f>Sheet1!A3089</f>
        <v>0</v>
      </c>
      <c r="B3089">
        <f>Sheet1!B3089</f>
        <v>0</v>
      </c>
      <c r="C3089">
        <f>IF(Sheet1!B3089&gt;0,1,0)</f>
        <v>0</v>
      </c>
    </row>
    <row r="3090" spans="1:3" x14ac:dyDescent="0.25">
      <c r="A3090" s="15">
        <f>Sheet1!A3090</f>
        <v>0</v>
      </c>
      <c r="B3090">
        <f>Sheet1!B3090</f>
        <v>5.72</v>
      </c>
      <c r="C3090">
        <f>IF(Sheet1!B3090&gt;0,1,0)</f>
        <v>1</v>
      </c>
    </row>
    <row r="3091" spans="1:3" x14ac:dyDescent="0.25">
      <c r="A3091" s="15">
        <f>Sheet1!A3091</f>
        <v>0</v>
      </c>
      <c r="B3091">
        <f>Sheet1!B3091</f>
        <v>0</v>
      </c>
      <c r="C3091">
        <f>IF(Sheet1!B3091&gt;0,1,0)</f>
        <v>0</v>
      </c>
    </row>
    <row r="3092" spans="1:3" x14ac:dyDescent="0.25">
      <c r="A3092" s="15">
        <f>Sheet1!A3092</f>
        <v>0</v>
      </c>
      <c r="B3092">
        <f>Sheet1!B3092</f>
        <v>0</v>
      </c>
      <c r="C3092">
        <f>IF(Sheet1!B3092&gt;0,1,0)</f>
        <v>0</v>
      </c>
    </row>
    <row r="3093" spans="1:3" x14ac:dyDescent="0.25">
      <c r="A3093" s="15">
        <f>Sheet1!A3093</f>
        <v>0</v>
      </c>
      <c r="B3093">
        <f>Sheet1!B3093</f>
        <v>0</v>
      </c>
      <c r="C3093">
        <f>IF(Sheet1!B3093&gt;0,1,0)</f>
        <v>0</v>
      </c>
    </row>
    <row r="3094" spans="1:3" x14ac:dyDescent="0.25">
      <c r="A3094" s="15">
        <f>Sheet1!A3094</f>
        <v>0</v>
      </c>
      <c r="B3094">
        <f>Sheet1!B3094</f>
        <v>6</v>
      </c>
      <c r="C3094">
        <f>IF(Sheet1!B3094&gt;0,1,0)</f>
        <v>1</v>
      </c>
    </row>
    <row r="3095" spans="1:3" x14ac:dyDescent="0.25">
      <c r="A3095" s="15">
        <f>Sheet1!A3095</f>
        <v>0</v>
      </c>
      <c r="B3095">
        <f>Sheet1!B3095</f>
        <v>0</v>
      </c>
      <c r="C3095">
        <f>IF(Sheet1!B3095&gt;0,1,0)</f>
        <v>0</v>
      </c>
    </row>
    <row r="3096" spans="1:3" x14ac:dyDescent="0.25">
      <c r="A3096" s="15">
        <f>Sheet1!A3096</f>
        <v>0</v>
      </c>
      <c r="B3096">
        <f>Sheet1!B3096</f>
        <v>0</v>
      </c>
      <c r="C3096">
        <f>IF(Sheet1!B3096&gt;0,1,0)</f>
        <v>0</v>
      </c>
    </row>
    <row r="3097" spans="1:3" x14ac:dyDescent="0.25">
      <c r="A3097" s="15">
        <f>Sheet1!A3097</f>
        <v>0</v>
      </c>
      <c r="B3097">
        <f>Sheet1!B3097</f>
        <v>7.75</v>
      </c>
      <c r="C3097">
        <f>IF(Sheet1!B3097&gt;0,1,0)</f>
        <v>1</v>
      </c>
    </row>
    <row r="3098" spans="1:3" x14ac:dyDescent="0.25">
      <c r="A3098" s="15">
        <f>Sheet1!A3098</f>
        <v>0</v>
      </c>
      <c r="B3098">
        <f>Sheet1!B3098</f>
        <v>7.34</v>
      </c>
      <c r="C3098">
        <f>IF(Sheet1!B3098&gt;0,1,0)</f>
        <v>1</v>
      </c>
    </row>
    <row r="3099" spans="1:3" x14ac:dyDescent="0.25">
      <c r="A3099" s="15">
        <f>Sheet1!A3099</f>
        <v>0</v>
      </c>
      <c r="B3099">
        <f>Sheet1!B3099</f>
        <v>6.56</v>
      </c>
      <c r="C3099">
        <f>IF(Sheet1!B3099&gt;0,1,0)</f>
        <v>1</v>
      </c>
    </row>
    <row r="3100" spans="1:3" x14ac:dyDescent="0.25">
      <c r="A3100" s="15">
        <f>Sheet1!A3100</f>
        <v>0</v>
      </c>
      <c r="B3100">
        <f>Sheet1!B3100</f>
        <v>6.14</v>
      </c>
      <c r="C3100">
        <f>IF(Sheet1!B3100&gt;0,1,0)</f>
        <v>1</v>
      </c>
    </row>
    <row r="3101" spans="1:3" x14ac:dyDescent="0.25">
      <c r="A3101" s="15">
        <f>Sheet1!A3101</f>
        <v>0</v>
      </c>
      <c r="B3101">
        <f>Sheet1!B3101</f>
        <v>6.19</v>
      </c>
      <c r="C3101">
        <f>IF(Sheet1!B3101&gt;0,1,0)</f>
        <v>1</v>
      </c>
    </row>
    <row r="3102" spans="1:3" x14ac:dyDescent="0.25">
      <c r="A3102" s="15">
        <f>Sheet1!A3102</f>
        <v>0</v>
      </c>
      <c r="B3102">
        <f>Sheet1!B3102</f>
        <v>6.85</v>
      </c>
      <c r="C3102">
        <f>IF(Sheet1!B3102&gt;0,1,0)</f>
        <v>1</v>
      </c>
    </row>
    <row r="3103" spans="1:3" x14ac:dyDescent="0.25">
      <c r="A3103" s="15">
        <f>Sheet1!A3103</f>
        <v>0</v>
      </c>
      <c r="B3103">
        <f>Sheet1!B3103</f>
        <v>6.15</v>
      </c>
      <c r="C3103">
        <f>IF(Sheet1!B3103&gt;0,1,0)</f>
        <v>1</v>
      </c>
    </row>
    <row r="3104" spans="1:3" x14ac:dyDescent="0.25">
      <c r="A3104" s="15">
        <f>Sheet1!A3104</f>
        <v>0</v>
      </c>
      <c r="B3104">
        <f>Sheet1!B3104</f>
        <v>4.63</v>
      </c>
      <c r="C3104">
        <f>IF(Sheet1!B3104&gt;0,1,0)</f>
        <v>1</v>
      </c>
    </row>
    <row r="3105" spans="1:3" x14ac:dyDescent="0.25">
      <c r="A3105" s="15">
        <f>Sheet1!A3105</f>
        <v>0</v>
      </c>
      <c r="B3105">
        <f>Sheet1!B3105</f>
        <v>2.41</v>
      </c>
      <c r="C3105">
        <f>IF(Sheet1!B3105&gt;0,1,0)</f>
        <v>1</v>
      </c>
    </row>
    <row r="3106" spans="1:3" x14ac:dyDescent="0.25">
      <c r="A3106" s="15">
        <f>Sheet1!A3106</f>
        <v>0</v>
      </c>
      <c r="B3106">
        <f>Sheet1!B3106</f>
        <v>0.96</v>
      </c>
      <c r="C3106">
        <f>IF(Sheet1!B3106&gt;0,1,0)</f>
        <v>1</v>
      </c>
    </row>
    <row r="3107" spans="1:3" x14ac:dyDescent="0.25">
      <c r="A3107" s="15">
        <f>Sheet1!A3107</f>
        <v>0</v>
      </c>
      <c r="B3107">
        <f>Sheet1!B3107</f>
        <v>1.81</v>
      </c>
      <c r="C3107">
        <f>IF(Sheet1!B3107&gt;0,1,0)</f>
        <v>1</v>
      </c>
    </row>
    <row r="3108" spans="1:3" x14ac:dyDescent="0.25">
      <c r="A3108" s="15">
        <f>Sheet1!A3108</f>
        <v>0</v>
      </c>
      <c r="B3108">
        <f>Sheet1!B3108</f>
        <v>1.67</v>
      </c>
      <c r="C3108">
        <f>IF(Sheet1!B3108&gt;0,1,0)</f>
        <v>1</v>
      </c>
    </row>
    <row r="3109" spans="1:3" x14ac:dyDescent="0.25">
      <c r="A3109" s="15">
        <f>Sheet1!A3109</f>
        <v>0</v>
      </c>
      <c r="B3109">
        <f>Sheet1!B3109</f>
        <v>1.25</v>
      </c>
      <c r="C3109">
        <f>IF(Sheet1!B3109&gt;0,1,0)</f>
        <v>1</v>
      </c>
    </row>
    <row r="3110" spans="1:3" x14ac:dyDescent="0.25">
      <c r="A3110" s="15">
        <f>Sheet1!A3110</f>
        <v>0</v>
      </c>
      <c r="B3110">
        <f>Sheet1!B3110</f>
        <v>1.42</v>
      </c>
      <c r="C3110">
        <f>IF(Sheet1!B3110&gt;0,1,0)</f>
        <v>1</v>
      </c>
    </row>
    <row r="3111" spans="1:3" x14ac:dyDescent="0.25">
      <c r="A3111" s="15">
        <f>Sheet1!A3111</f>
        <v>0</v>
      </c>
      <c r="B3111">
        <f>Sheet1!B3111</f>
        <v>0</v>
      </c>
      <c r="C3111">
        <f>IF(Sheet1!B3111&gt;0,1,0)</f>
        <v>0</v>
      </c>
    </row>
    <row r="3112" spans="1:3" x14ac:dyDescent="0.25">
      <c r="A3112" s="15">
        <f>Sheet1!A3112</f>
        <v>0</v>
      </c>
      <c r="B3112">
        <f>Sheet1!B3112</f>
        <v>4.7699999999999996</v>
      </c>
      <c r="C3112">
        <f>IF(Sheet1!B3112&gt;0,1,0)</f>
        <v>1</v>
      </c>
    </row>
    <row r="3113" spans="1:3" x14ac:dyDescent="0.25">
      <c r="A3113" s="15">
        <f>Sheet1!A3113</f>
        <v>0</v>
      </c>
      <c r="B3113">
        <f>Sheet1!B3113</f>
        <v>4.8499999999999996</v>
      </c>
      <c r="C3113">
        <f>IF(Sheet1!B3113&gt;0,1,0)</f>
        <v>1</v>
      </c>
    </row>
    <row r="3114" spans="1:3" x14ac:dyDescent="0.25">
      <c r="A3114" s="15">
        <f>Sheet1!A3114</f>
        <v>0</v>
      </c>
      <c r="B3114">
        <f>Sheet1!B3114</f>
        <v>5.05</v>
      </c>
      <c r="C3114">
        <f>IF(Sheet1!B3114&gt;0,1,0)</f>
        <v>1</v>
      </c>
    </row>
    <row r="3115" spans="1:3" x14ac:dyDescent="0.25">
      <c r="A3115" s="15">
        <f>Sheet1!A3115</f>
        <v>0</v>
      </c>
      <c r="B3115">
        <f>Sheet1!B3115</f>
        <v>0</v>
      </c>
      <c r="C3115">
        <f>IF(Sheet1!B3115&gt;0,1,0)</f>
        <v>0</v>
      </c>
    </row>
    <row r="3116" spans="1:3" x14ac:dyDescent="0.25">
      <c r="A3116" s="15">
        <f>Sheet1!A3116</f>
        <v>0</v>
      </c>
      <c r="B3116">
        <f>Sheet1!B3116</f>
        <v>0</v>
      </c>
      <c r="C3116">
        <f>IF(Sheet1!B3116&gt;0,1,0)</f>
        <v>0</v>
      </c>
    </row>
    <row r="3117" spans="1:3" x14ac:dyDescent="0.25">
      <c r="A3117" s="15">
        <f>Sheet1!A3117</f>
        <v>0</v>
      </c>
      <c r="B3117">
        <f>Sheet1!B3117</f>
        <v>0</v>
      </c>
      <c r="C3117">
        <f>IF(Sheet1!B3117&gt;0,1,0)</f>
        <v>0</v>
      </c>
    </row>
    <row r="3118" spans="1:3" x14ac:dyDescent="0.25">
      <c r="A3118" s="15">
        <f>Sheet1!A3118</f>
        <v>0</v>
      </c>
      <c r="B3118">
        <f>Sheet1!B3118</f>
        <v>5.34</v>
      </c>
      <c r="C3118">
        <f>IF(Sheet1!B3118&gt;0,1,0)</f>
        <v>1</v>
      </c>
    </row>
    <row r="3119" spans="1:3" x14ac:dyDescent="0.25">
      <c r="A3119" s="15">
        <f>Sheet1!A3119</f>
        <v>0</v>
      </c>
      <c r="B3119">
        <f>Sheet1!B3119</f>
        <v>2.61</v>
      </c>
      <c r="C3119">
        <f>IF(Sheet1!B3119&gt;0,1,0)</f>
        <v>1</v>
      </c>
    </row>
    <row r="3120" spans="1:3" x14ac:dyDescent="0.25">
      <c r="A3120" s="15">
        <f>Sheet1!A3120</f>
        <v>0</v>
      </c>
      <c r="B3120">
        <f>Sheet1!B3120</f>
        <v>2.6</v>
      </c>
      <c r="C3120">
        <f>IF(Sheet1!B3120&gt;0,1,0)</f>
        <v>1</v>
      </c>
    </row>
    <row r="3121" spans="1:3" x14ac:dyDescent="0.25">
      <c r="A3121" s="15">
        <f>Sheet1!A3121</f>
        <v>0</v>
      </c>
      <c r="B3121">
        <f>Sheet1!B3121</f>
        <v>4.17</v>
      </c>
      <c r="C3121">
        <f>IF(Sheet1!B3121&gt;0,1,0)</f>
        <v>1</v>
      </c>
    </row>
    <row r="3122" spans="1:3" x14ac:dyDescent="0.25">
      <c r="A3122" s="15">
        <f>Sheet1!A3122</f>
        <v>0</v>
      </c>
      <c r="B3122">
        <f>Sheet1!B3122</f>
        <v>3.74</v>
      </c>
      <c r="C3122">
        <f>IF(Sheet1!B3122&gt;0,1,0)</f>
        <v>1</v>
      </c>
    </row>
    <row r="3123" spans="1:3" x14ac:dyDescent="0.25">
      <c r="A3123" s="15">
        <f>Sheet1!A3123</f>
        <v>0</v>
      </c>
      <c r="B3123">
        <f>Sheet1!B3123</f>
        <v>3.51</v>
      </c>
      <c r="C3123">
        <f>IF(Sheet1!B3123&gt;0,1,0)</f>
        <v>1</v>
      </c>
    </row>
    <row r="3124" spans="1:3" x14ac:dyDescent="0.25">
      <c r="A3124" s="15">
        <f>Sheet1!A3124</f>
        <v>0</v>
      </c>
      <c r="B3124">
        <f>Sheet1!B3124</f>
        <v>3.37</v>
      </c>
      <c r="C3124">
        <f>IF(Sheet1!B3124&gt;0,1,0)</f>
        <v>1</v>
      </c>
    </row>
    <row r="3125" spans="1:3" x14ac:dyDescent="0.25">
      <c r="A3125" s="15">
        <f>Sheet1!A3125</f>
        <v>0</v>
      </c>
      <c r="B3125">
        <f>Sheet1!B3125</f>
        <v>3.6</v>
      </c>
      <c r="C3125">
        <f>IF(Sheet1!B3125&gt;0,1,0)</f>
        <v>1</v>
      </c>
    </row>
    <row r="3126" spans="1:3" x14ac:dyDescent="0.25">
      <c r="A3126" s="15">
        <f>Sheet1!A3126</f>
        <v>0</v>
      </c>
      <c r="B3126">
        <f>Sheet1!B3126</f>
        <v>3.42</v>
      </c>
      <c r="C3126">
        <f>IF(Sheet1!B3126&gt;0,1,0)</f>
        <v>1</v>
      </c>
    </row>
    <row r="3127" spans="1:3" x14ac:dyDescent="0.25">
      <c r="A3127" s="15">
        <f>Sheet1!A3127</f>
        <v>0</v>
      </c>
      <c r="B3127">
        <f>Sheet1!B3127</f>
        <v>3.52</v>
      </c>
      <c r="C3127">
        <f>IF(Sheet1!B3127&gt;0,1,0)</f>
        <v>1</v>
      </c>
    </row>
    <row r="3128" spans="1:3" x14ac:dyDescent="0.25">
      <c r="A3128" s="15">
        <f>Sheet1!A3128</f>
        <v>0</v>
      </c>
      <c r="B3128">
        <f>Sheet1!B3128</f>
        <v>1.4</v>
      </c>
      <c r="C3128">
        <f>IF(Sheet1!B3128&gt;0,1,0)</f>
        <v>1</v>
      </c>
    </row>
    <row r="3129" spans="1:3" x14ac:dyDescent="0.25">
      <c r="A3129" s="15">
        <f>Sheet1!A3129</f>
        <v>0</v>
      </c>
      <c r="B3129">
        <f>Sheet1!B3129</f>
        <v>1.0900000000000001</v>
      </c>
      <c r="C3129">
        <f>IF(Sheet1!B3129&gt;0,1,0)</f>
        <v>1</v>
      </c>
    </row>
    <row r="3130" spans="1:3" x14ac:dyDescent="0.25">
      <c r="A3130" s="15">
        <f>Sheet1!A3130</f>
        <v>0</v>
      </c>
      <c r="B3130">
        <f>Sheet1!B3130</f>
        <v>2.09</v>
      </c>
      <c r="C3130">
        <f>IF(Sheet1!B3130&gt;0,1,0)</f>
        <v>1</v>
      </c>
    </row>
    <row r="3131" spans="1:3" x14ac:dyDescent="0.25">
      <c r="A3131" s="15">
        <f>Sheet1!A3131</f>
        <v>0</v>
      </c>
      <c r="B3131">
        <f>Sheet1!B3131</f>
        <v>2.5099999999999998</v>
      </c>
      <c r="C3131">
        <f>IF(Sheet1!B3131&gt;0,1,0)</f>
        <v>1</v>
      </c>
    </row>
    <row r="3132" spans="1:3" x14ac:dyDescent="0.25">
      <c r="A3132" s="15">
        <f>Sheet1!A3132</f>
        <v>0</v>
      </c>
      <c r="B3132">
        <f>Sheet1!B3132</f>
        <v>3.53</v>
      </c>
      <c r="C3132">
        <f>IF(Sheet1!B3132&gt;0,1,0)</f>
        <v>1</v>
      </c>
    </row>
    <row r="3133" spans="1:3" x14ac:dyDescent="0.25">
      <c r="A3133" s="15">
        <f>Sheet1!A3133</f>
        <v>0</v>
      </c>
      <c r="B3133">
        <f>Sheet1!B3133</f>
        <v>4.13</v>
      </c>
      <c r="C3133">
        <f>IF(Sheet1!B3133&gt;0,1,0)</f>
        <v>1</v>
      </c>
    </row>
    <row r="3134" spans="1:3" x14ac:dyDescent="0.25">
      <c r="A3134" s="15">
        <f>Sheet1!A3134</f>
        <v>0</v>
      </c>
      <c r="B3134">
        <f>Sheet1!B3134</f>
        <v>3.19</v>
      </c>
      <c r="C3134">
        <f>IF(Sheet1!B3134&gt;0,1,0)</f>
        <v>1</v>
      </c>
    </row>
    <row r="3135" spans="1:3" x14ac:dyDescent="0.25">
      <c r="A3135" s="15">
        <f>Sheet1!A3135</f>
        <v>0</v>
      </c>
      <c r="B3135">
        <f>Sheet1!B3135</f>
        <v>5.48</v>
      </c>
      <c r="C3135">
        <f>IF(Sheet1!B3135&gt;0,1,0)</f>
        <v>1</v>
      </c>
    </row>
    <row r="3136" spans="1:3" x14ac:dyDescent="0.25">
      <c r="A3136" s="15">
        <f>Sheet1!A3136</f>
        <v>0</v>
      </c>
      <c r="B3136">
        <f>Sheet1!B3136</f>
        <v>3.85</v>
      </c>
      <c r="C3136">
        <f>IF(Sheet1!B3136&gt;0,1,0)</f>
        <v>1</v>
      </c>
    </row>
    <row r="3137" spans="1:3" x14ac:dyDescent="0.25">
      <c r="A3137" s="15">
        <f>Sheet1!A3137</f>
        <v>0</v>
      </c>
      <c r="B3137">
        <f>Sheet1!B3137</f>
        <v>2.7</v>
      </c>
      <c r="C3137">
        <f>IF(Sheet1!B3137&gt;0,1,0)</f>
        <v>1</v>
      </c>
    </row>
    <row r="3138" spans="1:3" x14ac:dyDescent="0.25">
      <c r="A3138" s="15">
        <f>Sheet1!A3138</f>
        <v>0</v>
      </c>
      <c r="B3138">
        <f>Sheet1!B3138</f>
        <v>4.2699999999999996</v>
      </c>
      <c r="C3138">
        <f>IF(Sheet1!B3138&gt;0,1,0)</f>
        <v>1</v>
      </c>
    </row>
    <row r="3139" spans="1:3" x14ac:dyDescent="0.25">
      <c r="A3139" s="15">
        <f>Sheet1!A3139</f>
        <v>0</v>
      </c>
      <c r="B3139">
        <f>Sheet1!B3139</f>
        <v>3.84</v>
      </c>
      <c r="C3139">
        <f>IF(Sheet1!B3139&gt;0,1,0)</f>
        <v>1</v>
      </c>
    </row>
    <row r="3140" spans="1:3" x14ac:dyDescent="0.25">
      <c r="A3140" s="15">
        <f>Sheet1!A3140</f>
        <v>0</v>
      </c>
      <c r="B3140">
        <f>Sheet1!B3140</f>
        <v>2.74</v>
      </c>
      <c r="C3140">
        <f>IF(Sheet1!B3140&gt;0,1,0)</f>
        <v>1</v>
      </c>
    </row>
    <row r="3141" spans="1:3" x14ac:dyDescent="0.25">
      <c r="A3141" s="15">
        <f>Sheet1!A3141</f>
        <v>0</v>
      </c>
      <c r="B3141">
        <f>Sheet1!B3141</f>
        <v>3.76</v>
      </c>
      <c r="C3141">
        <f>IF(Sheet1!B3141&gt;0,1,0)</f>
        <v>1</v>
      </c>
    </row>
    <row r="3142" spans="1:3" x14ac:dyDescent="0.25">
      <c r="A3142" s="15">
        <f>Sheet1!A3142</f>
        <v>0</v>
      </c>
      <c r="B3142">
        <f>Sheet1!B3142</f>
        <v>3.53</v>
      </c>
      <c r="C3142">
        <f>IF(Sheet1!B3142&gt;0,1,0)</f>
        <v>1</v>
      </c>
    </row>
    <row r="3143" spans="1:3" x14ac:dyDescent="0.25">
      <c r="A3143" s="15">
        <f>Sheet1!A3143</f>
        <v>0</v>
      </c>
      <c r="B3143">
        <f>Sheet1!B3143</f>
        <v>3.28</v>
      </c>
      <c r="C3143">
        <f>IF(Sheet1!B3143&gt;0,1,0)</f>
        <v>1</v>
      </c>
    </row>
    <row r="3144" spans="1:3" x14ac:dyDescent="0.25">
      <c r="A3144" s="15">
        <f>Sheet1!A3144</f>
        <v>0</v>
      </c>
      <c r="B3144">
        <f>Sheet1!B3144</f>
        <v>4.76</v>
      </c>
      <c r="C3144">
        <f>IF(Sheet1!B3144&gt;0,1,0)</f>
        <v>1</v>
      </c>
    </row>
    <row r="3145" spans="1:3" x14ac:dyDescent="0.25">
      <c r="A3145" s="15">
        <f>Sheet1!A3145</f>
        <v>0</v>
      </c>
      <c r="B3145">
        <f>Sheet1!B3145</f>
        <v>4.07</v>
      </c>
      <c r="C3145">
        <f>IF(Sheet1!B3145&gt;0,1,0)</f>
        <v>1</v>
      </c>
    </row>
    <row r="3146" spans="1:3" x14ac:dyDescent="0.25">
      <c r="A3146" s="15">
        <f>Sheet1!A3146</f>
        <v>0</v>
      </c>
      <c r="B3146">
        <f>Sheet1!B3146</f>
        <v>4.1500000000000004</v>
      </c>
      <c r="C3146">
        <f>IF(Sheet1!B3146&gt;0,1,0)</f>
        <v>1</v>
      </c>
    </row>
    <row r="3147" spans="1:3" x14ac:dyDescent="0.25">
      <c r="A3147" s="15">
        <f>Sheet1!A3147</f>
        <v>0</v>
      </c>
      <c r="B3147">
        <f>Sheet1!B3147</f>
        <v>3.5</v>
      </c>
      <c r="C3147">
        <f>IF(Sheet1!B3147&gt;0,1,0)</f>
        <v>1</v>
      </c>
    </row>
    <row r="3148" spans="1:3" x14ac:dyDescent="0.25">
      <c r="A3148" s="15">
        <f>Sheet1!A3148</f>
        <v>0</v>
      </c>
      <c r="B3148">
        <f>Sheet1!B3148</f>
        <v>3.68</v>
      </c>
      <c r="C3148">
        <f>IF(Sheet1!B3148&gt;0,1,0)</f>
        <v>1</v>
      </c>
    </row>
    <row r="3149" spans="1:3" x14ac:dyDescent="0.25">
      <c r="A3149" s="15">
        <f>Sheet1!A3149</f>
        <v>0</v>
      </c>
      <c r="B3149">
        <f>Sheet1!B3149</f>
        <v>3.3</v>
      </c>
      <c r="C3149">
        <f>IF(Sheet1!B3149&gt;0,1,0)</f>
        <v>1</v>
      </c>
    </row>
    <row r="3150" spans="1:3" x14ac:dyDescent="0.25">
      <c r="A3150" s="15">
        <f>Sheet1!A3150</f>
        <v>0</v>
      </c>
      <c r="B3150">
        <f>Sheet1!B3150</f>
        <v>3.23</v>
      </c>
      <c r="C3150">
        <f>IF(Sheet1!B3150&gt;0,1,0)</f>
        <v>1</v>
      </c>
    </row>
    <row r="3151" spans="1:3" x14ac:dyDescent="0.25">
      <c r="A3151" s="15">
        <f>Sheet1!A3151</f>
        <v>0</v>
      </c>
      <c r="B3151">
        <f>Sheet1!B3151</f>
        <v>3.3</v>
      </c>
      <c r="C3151">
        <f>IF(Sheet1!B3151&gt;0,1,0)</f>
        <v>1</v>
      </c>
    </row>
    <row r="3152" spans="1:3" x14ac:dyDescent="0.25">
      <c r="A3152" s="15">
        <f>Sheet1!A3152</f>
        <v>0</v>
      </c>
      <c r="B3152">
        <f>Sheet1!B3152</f>
        <v>1.61</v>
      </c>
      <c r="C3152">
        <f>IF(Sheet1!B3152&gt;0,1,0)</f>
        <v>1</v>
      </c>
    </row>
    <row r="3153" spans="1:3" x14ac:dyDescent="0.25">
      <c r="A3153" s="15">
        <f>Sheet1!A3153</f>
        <v>0</v>
      </c>
      <c r="B3153">
        <f>Sheet1!B3153</f>
        <v>0.93</v>
      </c>
      <c r="C3153">
        <f>IF(Sheet1!B3153&gt;0,1,0)</f>
        <v>1</v>
      </c>
    </row>
    <row r="3154" spans="1:3" x14ac:dyDescent="0.25">
      <c r="A3154" s="15">
        <f>Sheet1!A3154</f>
        <v>0</v>
      </c>
      <c r="B3154">
        <f>Sheet1!B3154</f>
        <v>0.92</v>
      </c>
      <c r="C3154">
        <f>IF(Sheet1!B3154&gt;0,1,0)</f>
        <v>1</v>
      </c>
    </row>
    <row r="3155" spans="1:3" x14ac:dyDescent="0.25">
      <c r="A3155" s="15">
        <f>Sheet1!A3155</f>
        <v>0</v>
      </c>
      <c r="B3155">
        <f>Sheet1!B3155</f>
        <v>3.34</v>
      </c>
      <c r="C3155">
        <f>IF(Sheet1!B3155&gt;0,1,0)</f>
        <v>1</v>
      </c>
    </row>
    <row r="3156" spans="1:3" x14ac:dyDescent="0.25">
      <c r="A3156" s="15">
        <f>Sheet1!A3156</f>
        <v>0</v>
      </c>
      <c r="B3156">
        <f>Sheet1!B3156</f>
        <v>2.42</v>
      </c>
      <c r="C3156">
        <f>IF(Sheet1!B3156&gt;0,1,0)</f>
        <v>1</v>
      </c>
    </row>
    <row r="3157" spans="1:3" x14ac:dyDescent="0.25">
      <c r="A3157" s="15">
        <f>Sheet1!A3157</f>
        <v>0</v>
      </c>
      <c r="B3157">
        <f>Sheet1!B3157</f>
        <v>2.6</v>
      </c>
      <c r="C3157">
        <f>IF(Sheet1!B3157&gt;0,1,0)</f>
        <v>1</v>
      </c>
    </row>
    <row r="3158" spans="1:3" x14ac:dyDescent="0.25">
      <c r="A3158" s="15">
        <f>Sheet1!A3158</f>
        <v>0</v>
      </c>
      <c r="B3158">
        <f>Sheet1!B3158</f>
        <v>1.29</v>
      </c>
      <c r="C3158">
        <f>IF(Sheet1!B3158&gt;0,1,0)</f>
        <v>1</v>
      </c>
    </row>
    <row r="3159" spans="1:3" x14ac:dyDescent="0.25">
      <c r="A3159" s="15">
        <f>Sheet1!A3159</f>
        <v>0</v>
      </c>
      <c r="B3159">
        <f>Sheet1!B3159</f>
        <v>0.84</v>
      </c>
      <c r="C3159">
        <f>IF(Sheet1!B3159&gt;0,1,0)</f>
        <v>1</v>
      </c>
    </row>
    <row r="3160" spans="1:3" x14ac:dyDescent="0.25">
      <c r="A3160" s="15">
        <f>Sheet1!A3160</f>
        <v>0</v>
      </c>
      <c r="B3160">
        <f>Sheet1!B3160</f>
        <v>0.96</v>
      </c>
      <c r="C3160">
        <f>IF(Sheet1!B3160&gt;0,1,0)</f>
        <v>1</v>
      </c>
    </row>
    <row r="3161" spans="1:3" x14ac:dyDescent="0.25">
      <c r="A3161" s="15">
        <f>Sheet1!A3161</f>
        <v>0</v>
      </c>
      <c r="B3161">
        <f>Sheet1!B3161</f>
        <v>1.05</v>
      </c>
      <c r="C3161">
        <f>IF(Sheet1!B3161&gt;0,1,0)</f>
        <v>1</v>
      </c>
    </row>
    <row r="3162" spans="1:3" x14ac:dyDescent="0.25">
      <c r="A3162" s="15">
        <f>Sheet1!A3162</f>
        <v>0</v>
      </c>
      <c r="B3162">
        <f>Sheet1!B3162</f>
        <v>1.1200000000000001</v>
      </c>
      <c r="C3162">
        <f>IF(Sheet1!B3162&gt;0,1,0)</f>
        <v>1</v>
      </c>
    </row>
    <row r="3163" spans="1:3" x14ac:dyDescent="0.25">
      <c r="A3163" s="15">
        <f>Sheet1!A3163</f>
        <v>0</v>
      </c>
      <c r="B3163">
        <f>Sheet1!B3163</f>
        <v>1.93</v>
      </c>
      <c r="C3163">
        <f>IF(Sheet1!B3163&gt;0,1,0)</f>
        <v>1</v>
      </c>
    </row>
    <row r="3164" spans="1:3" x14ac:dyDescent="0.25">
      <c r="A3164" s="15">
        <f>Sheet1!A3164</f>
        <v>0</v>
      </c>
      <c r="B3164">
        <f>Sheet1!B3164</f>
        <v>1.43</v>
      </c>
      <c r="C3164">
        <f>IF(Sheet1!B3164&gt;0,1,0)</f>
        <v>1</v>
      </c>
    </row>
    <row r="3165" spans="1:3" x14ac:dyDescent="0.25">
      <c r="A3165" s="15">
        <f>Sheet1!A3165</f>
        <v>0</v>
      </c>
      <c r="B3165">
        <f>Sheet1!B3165</f>
        <v>1.84</v>
      </c>
      <c r="C3165">
        <f>IF(Sheet1!B3165&gt;0,1,0)</f>
        <v>1</v>
      </c>
    </row>
    <row r="3166" spans="1:3" x14ac:dyDescent="0.25">
      <c r="A3166" s="15">
        <f>Sheet1!A3166</f>
        <v>0</v>
      </c>
      <c r="B3166">
        <f>Sheet1!B3166</f>
        <v>1.48</v>
      </c>
      <c r="C3166">
        <f>IF(Sheet1!B3166&gt;0,1,0)</f>
        <v>1</v>
      </c>
    </row>
    <row r="3167" spans="1:3" x14ac:dyDescent="0.25">
      <c r="A3167" s="15">
        <f>Sheet1!A3167</f>
        <v>0</v>
      </c>
      <c r="B3167">
        <f>Sheet1!B3167</f>
        <v>2.52</v>
      </c>
      <c r="C3167">
        <f>IF(Sheet1!B3167&gt;0,1,0)</f>
        <v>1</v>
      </c>
    </row>
    <row r="3168" spans="1:3" x14ac:dyDescent="0.25">
      <c r="A3168" s="15">
        <f>Sheet1!A3168</f>
        <v>0</v>
      </c>
      <c r="B3168">
        <f>Sheet1!B3168</f>
        <v>2.71</v>
      </c>
      <c r="C3168">
        <f>IF(Sheet1!B3168&gt;0,1,0)</f>
        <v>1</v>
      </c>
    </row>
    <row r="3169" spans="1:3" x14ac:dyDescent="0.25">
      <c r="A3169" s="15">
        <f>Sheet1!A3169</f>
        <v>0</v>
      </c>
      <c r="B3169">
        <f>Sheet1!B3169</f>
        <v>4.1399999999999997</v>
      </c>
      <c r="C3169">
        <f>IF(Sheet1!B3169&gt;0,1,0)</f>
        <v>1</v>
      </c>
    </row>
    <row r="3170" spans="1:3" x14ac:dyDescent="0.25">
      <c r="A3170" s="15">
        <f>Sheet1!A3170</f>
        <v>0</v>
      </c>
      <c r="B3170">
        <f>Sheet1!B3170</f>
        <v>3.93</v>
      </c>
      <c r="C3170">
        <f>IF(Sheet1!B3170&gt;0,1,0)</f>
        <v>1</v>
      </c>
    </row>
    <row r="3171" spans="1:3" x14ac:dyDescent="0.25">
      <c r="A3171" s="15">
        <f>Sheet1!A3171</f>
        <v>0</v>
      </c>
      <c r="B3171">
        <f>Sheet1!B3171</f>
        <v>4.4400000000000004</v>
      </c>
      <c r="C3171">
        <f>IF(Sheet1!B3171&gt;0,1,0)</f>
        <v>1</v>
      </c>
    </row>
    <row r="3172" spans="1:3" x14ac:dyDescent="0.25">
      <c r="A3172" s="15">
        <f>Sheet1!A3172</f>
        <v>0</v>
      </c>
      <c r="B3172">
        <f>Sheet1!B3172</f>
        <v>3.31</v>
      </c>
      <c r="C3172">
        <f>IF(Sheet1!B3172&gt;0,1,0)</f>
        <v>1</v>
      </c>
    </row>
    <row r="3173" spans="1:3" x14ac:dyDescent="0.25">
      <c r="A3173" s="15">
        <f>Sheet1!A3173</f>
        <v>0</v>
      </c>
      <c r="B3173">
        <f>Sheet1!B3173</f>
        <v>3.28</v>
      </c>
      <c r="C3173">
        <f>IF(Sheet1!B3173&gt;0,1,0)</f>
        <v>1</v>
      </c>
    </row>
    <row r="3174" spans="1:3" x14ac:dyDescent="0.25">
      <c r="A3174" s="15">
        <f>Sheet1!A3174</f>
        <v>0</v>
      </c>
      <c r="B3174">
        <f>Sheet1!B3174</f>
        <v>3.81</v>
      </c>
      <c r="C3174">
        <f>IF(Sheet1!B3174&gt;0,1,0)</f>
        <v>1</v>
      </c>
    </row>
    <row r="3175" spans="1:3" x14ac:dyDescent="0.25">
      <c r="A3175" s="15">
        <f>Sheet1!A3175</f>
        <v>0</v>
      </c>
      <c r="B3175">
        <f>Sheet1!B3175</f>
        <v>3.35</v>
      </c>
      <c r="C3175">
        <f>IF(Sheet1!B3175&gt;0,1,0)</f>
        <v>1</v>
      </c>
    </row>
    <row r="3176" spans="1:3" x14ac:dyDescent="0.25">
      <c r="A3176" s="15">
        <f>Sheet1!A3176</f>
        <v>0</v>
      </c>
      <c r="B3176">
        <f>Sheet1!B3176</f>
        <v>0.95</v>
      </c>
      <c r="C3176">
        <f>IF(Sheet1!B3176&gt;0,1,0)</f>
        <v>1</v>
      </c>
    </row>
    <row r="3177" spans="1:3" x14ac:dyDescent="0.25">
      <c r="A3177" s="15">
        <f>Sheet1!A3177</f>
        <v>0</v>
      </c>
      <c r="B3177">
        <f>Sheet1!B3177</f>
        <v>0.93</v>
      </c>
      <c r="C3177">
        <f>IF(Sheet1!B3177&gt;0,1,0)</f>
        <v>1</v>
      </c>
    </row>
    <row r="3178" spans="1:3" x14ac:dyDescent="0.25">
      <c r="A3178" s="15">
        <f>Sheet1!A3178</f>
        <v>0</v>
      </c>
      <c r="B3178">
        <f>Sheet1!B3178</f>
        <v>1.1100000000000001</v>
      </c>
      <c r="C3178">
        <f>IF(Sheet1!B3178&gt;0,1,0)</f>
        <v>1</v>
      </c>
    </row>
    <row r="3179" spans="1:3" x14ac:dyDescent="0.25">
      <c r="A3179" s="15">
        <f>Sheet1!A3179</f>
        <v>0</v>
      </c>
      <c r="B3179">
        <f>Sheet1!B3179</f>
        <v>1.71</v>
      </c>
      <c r="C3179">
        <f>IF(Sheet1!B3179&gt;0,1,0)</f>
        <v>1</v>
      </c>
    </row>
    <row r="3180" spans="1:3" x14ac:dyDescent="0.25">
      <c r="A3180" s="15">
        <f>Sheet1!A3180</f>
        <v>0</v>
      </c>
      <c r="B3180">
        <f>Sheet1!B3180</f>
        <v>0</v>
      </c>
      <c r="C3180">
        <f>IF(Sheet1!B3180&gt;0,1,0)</f>
        <v>0</v>
      </c>
    </row>
    <row r="3181" spans="1:3" x14ac:dyDescent="0.25">
      <c r="A3181" s="15">
        <f>Sheet1!A3181</f>
        <v>0</v>
      </c>
      <c r="B3181">
        <f>Sheet1!B3181</f>
        <v>0</v>
      </c>
      <c r="C3181">
        <f>IF(Sheet1!B3181&gt;0,1,0)</f>
        <v>0</v>
      </c>
    </row>
    <row r="3182" spans="1:3" x14ac:dyDescent="0.25">
      <c r="A3182" s="15">
        <f>Sheet1!A3182</f>
        <v>0</v>
      </c>
      <c r="B3182">
        <f>Sheet1!B3182</f>
        <v>2.39</v>
      </c>
      <c r="C3182">
        <f>IF(Sheet1!B3182&gt;0,1,0)</f>
        <v>1</v>
      </c>
    </row>
    <row r="3183" spans="1:3" x14ac:dyDescent="0.25">
      <c r="A3183" s="15">
        <f>Sheet1!A3183</f>
        <v>0</v>
      </c>
      <c r="B3183">
        <f>Sheet1!B3183</f>
        <v>3.01</v>
      </c>
      <c r="C3183">
        <f>IF(Sheet1!B3183&gt;0,1,0)</f>
        <v>1</v>
      </c>
    </row>
    <row r="3184" spans="1:3" x14ac:dyDescent="0.25">
      <c r="A3184" s="15">
        <f>Sheet1!A3184</f>
        <v>0</v>
      </c>
      <c r="B3184">
        <f>Sheet1!B3184</f>
        <v>3.67</v>
      </c>
      <c r="C3184">
        <f>IF(Sheet1!B3184&gt;0,1,0)</f>
        <v>1</v>
      </c>
    </row>
    <row r="3185" spans="1:3" x14ac:dyDescent="0.25">
      <c r="A3185" s="15">
        <f>Sheet1!A3185</f>
        <v>0</v>
      </c>
      <c r="B3185">
        <f>Sheet1!B3185</f>
        <v>2.96</v>
      </c>
      <c r="C3185">
        <f>IF(Sheet1!B3185&gt;0,1,0)</f>
        <v>1</v>
      </c>
    </row>
    <row r="3186" spans="1:3" x14ac:dyDescent="0.25">
      <c r="A3186" s="15">
        <f>Sheet1!A3186</f>
        <v>0</v>
      </c>
      <c r="B3186">
        <f>Sheet1!B3186</f>
        <v>3.78</v>
      </c>
      <c r="C3186">
        <f>IF(Sheet1!B3186&gt;0,1,0)</f>
        <v>1</v>
      </c>
    </row>
    <row r="3187" spans="1:3" x14ac:dyDescent="0.25">
      <c r="A3187" s="15">
        <f>Sheet1!A3187</f>
        <v>0</v>
      </c>
      <c r="B3187">
        <f>Sheet1!B3187</f>
        <v>0</v>
      </c>
      <c r="C3187">
        <f>IF(Sheet1!B3187&gt;0,1,0)</f>
        <v>0</v>
      </c>
    </row>
    <row r="3188" spans="1:3" x14ac:dyDescent="0.25">
      <c r="A3188" s="15">
        <f>Sheet1!A3188</f>
        <v>0</v>
      </c>
      <c r="B3188">
        <f>Sheet1!B3188</f>
        <v>2.99</v>
      </c>
      <c r="C3188">
        <f>IF(Sheet1!B3188&gt;0,1,0)</f>
        <v>1</v>
      </c>
    </row>
    <row r="3189" spans="1:3" x14ac:dyDescent="0.25">
      <c r="A3189" s="15">
        <f>Sheet1!A3189</f>
        <v>0</v>
      </c>
      <c r="B3189">
        <f>Sheet1!B3189</f>
        <v>2.93</v>
      </c>
      <c r="C3189">
        <f>IF(Sheet1!B3189&gt;0,1,0)</f>
        <v>1</v>
      </c>
    </row>
    <row r="3190" spans="1:3" x14ac:dyDescent="0.25">
      <c r="A3190" s="15">
        <f>Sheet1!A3190</f>
        <v>0</v>
      </c>
      <c r="B3190">
        <f>Sheet1!B3190</f>
        <v>2.83</v>
      </c>
      <c r="C3190">
        <f>IF(Sheet1!B3190&gt;0,1,0)</f>
        <v>1</v>
      </c>
    </row>
    <row r="3191" spans="1:3" x14ac:dyDescent="0.25">
      <c r="A3191" s="15">
        <f>Sheet1!A3191</f>
        <v>0</v>
      </c>
      <c r="B3191">
        <f>Sheet1!B3191</f>
        <v>2.78</v>
      </c>
      <c r="C3191">
        <f>IF(Sheet1!B3191&gt;0,1,0)</f>
        <v>1</v>
      </c>
    </row>
    <row r="3192" spans="1:3" x14ac:dyDescent="0.25">
      <c r="A3192" s="15">
        <f>Sheet1!A3192</f>
        <v>0</v>
      </c>
      <c r="B3192">
        <f>Sheet1!B3192</f>
        <v>3.27</v>
      </c>
      <c r="C3192">
        <f>IF(Sheet1!B3192&gt;0,1,0)</f>
        <v>1</v>
      </c>
    </row>
    <row r="3193" spans="1:3" x14ac:dyDescent="0.25">
      <c r="A3193" s="15">
        <f>Sheet1!A3193</f>
        <v>0</v>
      </c>
      <c r="B3193">
        <f>Sheet1!B3193</f>
        <v>3.05</v>
      </c>
      <c r="C3193">
        <f>IF(Sheet1!B3193&gt;0,1,0)</f>
        <v>1</v>
      </c>
    </row>
    <row r="3194" spans="1:3" x14ac:dyDescent="0.25">
      <c r="A3194" s="15">
        <f>Sheet1!A3194</f>
        <v>0</v>
      </c>
      <c r="B3194">
        <f>Sheet1!B3194</f>
        <v>3.08</v>
      </c>
      <c r="C3194">
        <f>IF(Sheet1!B3194&gt;0,1,0)</f>
        <v>1</v>
      </c>
    </row>
    <row r="3195" spans="1:3" x14ac:dyDescent="0.25">
      <c r="A3195" s="15">
        <f>Sheet1!A3195</f>
        <v>0</v>
      </c>
      <c r="B3195">
        <f>Sheet1!B3195</f>
        <v>2.82</v>
      </c>
      <c r="C3195">
        <f>IF(Sheet1!B3195&gt;0,1,0)</f>
        <v>1</v>
      </c>
    </row>
    <row r="3196" spans="1:3" x14ac:dyDescent="0.25">
      <c r="A3196" s="15">
        <f>Sheet1!A3196</f>
        <v>0</v>
      </c>
      <c r="B3196">
        <f>Sheet1!B3196</f>
        <v>2.59</v>
      </c>
      <c r="C3196">
        <f>IF(Sheet1!B3196&gt;0,1,0)</f>
        <v>1</v>
      </c>
    </row>
    <row r="3197" spans="1:3" x14ac:dyDescent="0.25">
      <c r="A3197" s="15">
        <f>Sheet1!A3197</f>
        <v>0</v>
      </c>
      <c r="B3197">
        <f>Sheet1!B3197</f>
        <v>2.4700000000000002</v>
      </c>
      <c r="C3197">
        <f>IF(Sheet1!B3197&gt;0,1,0)</f>
        <v>1</v>
      </c>
    </row>
    <row r="3198" spans="1:3" x14ac:dyDescent="0.25">
      <c r="A3198" s="15">
        <f>Sheet1!A3198</f>
        <v>0</v>
      </c>
      <c r="B3198">
        <f>Sheet1!B3198</f>
        <v>2.93</v>
      </c>
      <c r="C3198">
        <f>IF(Sheet1!B3198&gt;0,1,0)</f>
        <v>1</v>
      </c>
    </row>
    <row r="3199" spans="1:3" x14ac:dyDescent="0.25">
      <c r="A3199" s="15">
        <f>Sheet1!A3199</f>
        <v>0</v>
      </c>
      <c r="B3199">
        <f>Sheet1!B3199</f>
        <v>2.77</v>
      </c>
      <c r="C3199">
        <f>IF(Sheet1!B3199&gt;0,1,0)</f>
        <v>1</v>
      </c>
    </row>
    <row r="3200" spans="1:3" x14ac:dyDescent="0.25">
      <c r="A3200" s="15">
        <f>Sheet1!A3200</f>
        <v>0</v>
      </c>
      <c r="B3200">
        <f>Sheet1!B3200</f>
        <v>0.88</v>
      </c>
      <c r="C3200">
        <f>IF(Sheet1!B3200&gt;0,1,0)</f>
        <v>1</v>
      </c>
    </row>
    <row r="3201" spans="1:3" x14ac:dyDescent="0.25">
      <c r="A3201" s="15">
        <f>Sheet1!A3201</f>
        <v>0</v>
      </c>
      <c r="B3201">
        <f>Sheet1!B3201</f>
        <v>1.07</v>
      </c>
      <c r="C3201">
        <f>IF(Sheet1!B3201&gt;0,1,0)</f>
        <v>1</v>
      </c>
    </row>
    <row r="3202" spans="1:3" x14ac:dyDescent="0.25">
      <c r="A3202" s="15">
        <f>Sheet1!A3202</f>
        <v>0</v>
      </c>
      <c r="B3202">
        <f>Sheet1!B3202</f>
        <v>0</v>
      </c>
      <c r="C3202">
        <f>IF(Sheet1!B3202&gt;0,1,0)</f>
        <v>0</v>
      </c>
    </row>
    <row r="3203" spans="1:3" x14ac:dyDescent="0.25">
      <c r="A3203" s="15">
        <f>Sheet1!A3203</f>
        <v>0</v>
      </c>
      <c r="B3203">
        <f>Sheet1!B3203</f>
        <v>1.0900000000000001</v>
      </c>
      <c r="C3203">
        <f>IF(Sheet1!B3203&gt;0,1,0)</f>
        <v>1</v>
      </c>
    </row>
    <row r="3204" spans="1:3" x14ac:dyDescent="0.25">
      <c r="A3204" s="15">
        <f>Sheet1!A3204</f>
        <v>0</v>
      </c>
      <c r="B3204">
        <f>Sheet1!B3204</f>
        <v>1.2</v>
      </c>
      <c r="C3204">
        <f>IF(Sheet1!B3204&gt;0,1,0)</f>
        <v>1</v>
      </c>
    </row>
    <row r="3205" spans="1:3" x14ac:dyDescent="0.25">
      <c r="A3205" s="15">
        <f>Sheet1!A3205</f>
        <v>0</v>
      </c>
      <c r="B3205">
        <f>Sheet1!B3205</f>
        <v>0</v>
      </c>
      <c r="C3205">
        <f>IF(Sheet1!B3205&gt;0,1,0)</f>
        <v>0</v>
      </c>
    </row>
    <row r="3206" spans="1:3" x14ac:dyDescent="0.25">
      <c r="A3206" s="15">
        <f>Sheet1!A3206</f>
        <v>0</v>
      </c>
      <c r="B3206">
        <f>Sheet1!B3206</f>
        <v>0</v>
      </c>
      <c r="C3206">
        <f>IF(Sheet1!B3206&gt;0,1,0)</f>
        <v>0</v>
      </c>
    </row>
    <row r="3207" spans="1:3" x14ac:dyDescent="0.25">
      <c r="A3207" s="15">
        <f>Sheet1!A3207</f>
        <v>0</v>
      </c>
      <c r="B3207">
        <f>Sheet1!B3207</f>
        <v>0</v>
      </c>
      <c r="C3207">
        <f>IF(Sheet1!B3207&gt;0,1,0)</f>
        <v>0</v>
      </c>
    </row>
    <row r="3208" spans="1:3" x14ac:dyDescent="0.25">
      <c r="A3208" s="15">
        <f>Sheet1!A3208</f>
        <v>0</v>
      </c>
      <c r="B3208">
        <f>Sheet1!B3208</f>
        <v>1.99</v>
      </c>
      <c r="C3208">
        <f>IF(Sheet1!B3208&gt;0,1,0)</f>
        <v>1</v>
      </c>
    </row>
    <row r="3209" spans="1:3" x14ac:dyDescent="0.25">
      <c r="A3209" s="15">
        <f>Sheet1!A3209</f>
        <v>0</v>
      </c>
      <c r="B3209">
        <f>Sheet1!B3209</f>
        <v>2.29</v>
      </c>
      <c r="C3209">
        <f>IF(Sheet1!B3209&gt;0,1,0)</f>
        <v>1</v>
      </c>
    </row>
    <row r="3210" spans="1:3" x14ac:dyDescent="0.25">
      <c r="A3210" s="15">
        <f>Sheet1!A3210</f>
        <v>0</v>
      </c>
      <c r="B3210">
        <f>Sheet1!B3210</f>
        <v>2.14</v>
      </c>
      <c r="C3210">
        <f>IF(Sheet1!B3210&gt;0,1,0)</f>
        <v>1</v>
      </c>
    </row>
    <row r="3211" spans="1:3" x14ac:dyDescent="0.25">
      <c r="A3211" s="15">
        <f>Sheet1!A3211</f>
        <v>0</v>
      </c>
      <c r="B3211">
        <f>Sheet1!B3211</f>
        <v>0</v>
      </c>
      <c r="C3211">
        <f>IF(Sheet1!B3211&gt;0,1,0)</f>
        <v>0</v>
      </c>
    </row>
    <row r="3212" spans="1:3" x14ac:dyDescent="0.25">
      <c r="A3212" s="15">
        <f>Sheet1!A3212</f>
        <v>0</v>
      </c>
      <c r="B3212">
        <f>Sheet1!B3212</f>
        <v>0</v>
      </c>
      <c r="C3212">
        <f>IF(Sheet1!B3212&gt;0,1,0)</f>
        <v>0</v>
      </c>
    </row>
    <row r="3213" spans="1:3" x14ac:dyDescent="0.25">
      <c r="A3213" s="15">
        <f>Sheet1!A3213</f>
        <v>0</v>
      </c>
      <c r="B3213">
        <f>Sheet1!B3213</f>
        <v>0</v>
      </c>
      <c r="C3213">
        <f>IF(Sheet1!B3213&gt;0,1,0)</f>
        <v>0</v>
      </c>
    </row>
    <row r="3214" spans="1:3" x14ac:dyDescent="0.25">
      <c r="A3214" s="15">
        <f>Sheet1!A3214</f>
        <v>0</v>
      </c>
      <c r="B3214">
        <f>Sheet1!B3214</f>
        <v>2.54</v>
      </c>
      <c r="C3214">
        <f>IF(Sheet1!B3214&gt;0,1,0)</f>
        <v>1</v>
      </c>
    </row>
    <row r="3215" spans="1:3" x14ac:dyDescent="0.25">
      <c r="A3215" s="15">
        <f>Sheet1!A3215</f>
        <v>0</v>
      </c>
      <c r="B3215">
        <f>Sheet1!B3215</f>
        <v>0</v>
      </c>
      <c r="C3215">
        <f>IF(Sheet1!B3215&gt;0,1,0)</f>
        <v>0</v>
      </c>
    </row>
    <row r="3216" spans="1:3" x14ac:dyDescent="0.25">
      <c r="A3216" s="15">
        <f>Sheet1!A3216</f>
        <v>0</v>
      </c>
      <c r="B3216">
        <f>Sheet1!B3216</f>
        <v>0</v>
      </c>
      <c r="C3216">
        <f>IF(Sheet1!B3216&gt;0,1,0)</f>
        <v>0</v>
      </c>
    </row>
    <row r="3217" spans="1:3" x14ac:dyDescent="0.25">
      <c r="A3217" s="15">
        <f>Sheet1!A3217</f>
        <v>0</v>
      </c>
      <c r="B3217">
        <f>Sheet1!B3217</f>
        <v>3.96</v>
      </c>
      <c r="C3217">
        <f>IF(Sheet1!B3217&gt;0,1,0)</f>
        <v>1</v>
      </c>
    </row>
    <row r="3218" spans="1:3" x14ac:dyDescent="0.25">
      <c r="A3218" s="15">
        <f>Sheet1!A3218</f>
        <v>0</v>
      </c>
      <c r="B3218">
        <f>Sheet1!B3218</f>
        <v>3.74</v>
      </c>
      <c r="C3218">
        <f>IF(Sheet1!B3218&gt;0,1,0)</f>
        <v>1</v>
      </c>
    </row>
    <row r="3219" spans="1:3" x14ac:dyDescent="0.25">
      <c r="A3219" s="15">
        <f>Sheet1!A3219</f>
        <v>0</v>
      </c>
      <c r="B3219">
        <f>Sheet1!B3219</f>
        <v>3.62</v>
      </c>
      <c r="C3219">
        <f>IF(Sheet1!B3219&gt;0,1,0)</f>
        <v>1</v>
      </c>
    </row>
    <row r="3220" spans="1:3" x14ac:dyDescent="0.25">
      <c r="A3220" s="15">
        <f>Sheet1!A3220</f>
        <v>0</v>
      </c>
      <c r="B3220">
        <f>Sheet1!B3220</f>
        <v>3.62</v>
      </c>
      <c r="C3220">
        <f>IF(Sheet1!B3220&gt;0,1,0)</f>
        <v>1</v>
      </c>
    </row>
    <row r="3221" spans="1:3" x14ac:dyDescent="0.25">
      <c r="A3221" s="15">
        <f>Sheet1!A3221</f>
        <v>0</v>
      </c>
      <c r="B3221">
        <f>Sheet1!B3221</f>
        <v>3.28</v>
      </c>
      <c r="C3221">
        <f>IF(Sheet1!B3221&gt;0,1,0)</f>
        <v>1</v>
      </c>
    </row>
    <row r="3222" spans="1:3" x14ac:dyDescent="0.25">
      <c r="A3222" s="15">
        <f>Sheet1!A3222</f>
        <v>0</v>
      </c>
      <c r="B3222">
        <f>Sheet1!B3222</f>
        <v>3.86</v>
      </c>
      <c r="C3222">
        <f>IF(Sheet1!B3222&gt;0,1,0)</f>
        <v>1</v>
      </c>
    </row>
    <row r="3223" spans="1:3" x14ac:dyDescent="0.25">
      <c r="A3223" s="15">
        <f>Sheet1!A3223</f>
        <v>0</v>
      </c>
      <c r="B3223">
        <f>Sheet1!B3223</f>
        <v>3.19</v>
      </c>
      <c r="C3223">
        <f>IF(Sheet1!B3223&gt;0,1,0)</f>
        <v>1</v>
      </c>
    </row>
    <row r="3224" spans="1:3" x14ac:dyDescent="0.25">
      <c r="A3224" s="15">
        <f>Sheet1!A3224</f>
        <v>0</v>
      </c>
      <c r="B3224">
        <f>Sheet1!B3224</f>
        <v>0.87</v>
      </c>
      <c r="C3224">
        <f>IF(Sheet1!B3224&gt;0,1,0)</f>
        <v>1</v>
      </c>
    </row>
    <row r="3225" spans="1:3" x14ac:dyDescent="0.25">
      <c r="A3225" s="15">
        <f>Sheet1!A3225</f>
        <v>0</v>
      </c>
      <c r="B3225">
        <f>Sheet1!B3225</f>
        <v>0</v>
      </c>
      <c r="C3225">
        <f>IF(Sheet1!B3225&gt;0,1,0)</f>
        <v>0</v>
      </c>
    </row>
    <row r="3226" spans="1:3" x14ac:dyDescent="0.25">
      <c r="A3226" s="15">
        <f>Sheet1!A3226</f>
        <v>0</v>
      </c>
      <c r="B3226">
        <f>Sheet1!B3226</f>
        <v>0</v>
      </c>
      <c r="C3226">
        <f>IF(Sheet1!B3226&gt;0,1,0)</f>
        <v>0</v>
      </c>
    </row>
    <row r="3227" spans="1:3" x14ac:dyDescent="0.25">
      <c r="A3227" s="15">
        <f>Sheet1!A3227</f>
        <v>0</v>
      </c>
      <c r="B3227">
        <f>Sheet1!B3227</f>
        <v>0</v>
      </c>
      <c r="C3227">
        <f>IF(Sheet1!B3227&gt;0,1,0)</f>
        <v>0</v>
      </c>
    </row>
    <row r="3228" spans="1:3" x14ac:dyDescent="0.25">
      <c r="A3228" s="15">
        <f>Sheet1!A3228</f>
        <v>0</v>
      </c>
      <c r="B3228">
        <f>Sheet1!B3228</f>
        <v>1.3</v>
      </c>
      <c r="C3228">
        <f>IF(Sheet1!B3228&gt;0,1,0)</f>
        <v>1</v>
      </c>
    </row>
    <row r="3229" spans="1:3" x14ac:dyDescent="0.25">
      <c r="A3229" s="15">
        <f>Sheet1!A3229</f>
        <v>0</v>
      </c>
      <c r="B3229">
        <f>Sheet1!B3229</f>
        <v>0</v>
      </c>
      <c r="C3229">
        <f>IF(Sheet1!B3229&gt;0,1,0)</f>
        <v>0</v>
      </c>
    </row>
    <row r="3230" spans="1:3" x14ac:dyDescent="0.25">
      <c r="A3230" s="15">
        <f>Sheet1!A3230</f>
        <v>0</v>
      </c>
      <c r="B3230">
        <f>Sheet1!B3230</f>
        <v>0</v>
      </c>
      <c r="C3230">
        <f>IF(Sheet1!B3230&gt;0,1,0)</f>
        <v>0</v>
      </c>
    </row>
    <row r="3231" spans="1:3" x14ac:dyDescent="0.25">
      <c r="A3231" s="15">
        <f>Sheet1!A3231</f>
        <v>0</v>
      </c>
      <c r="B3231">
        <f>Sheet1!B3231</f>
        <v>0</v>
      </c>
      <c r="C3231">
        <f>IF(Sheet1!B3231&gt;0,1,0)</f>
        <v>0</v>
      </c>
    </row>
    <row r="3232" spans="1:3" x14ac:dyDescent="0.25">
      <c r="A3232" s="15">
        <f>Sheet1!A3232</f>
        <v>0</v>
      </c>
      <c r="B3232">
        <f>Sheet1!B3232</f>
        <v>3.96</v>
      </c>
      <c r="C3232">
        <f>IF(Sheet1!B3232&gt;0,1,0)</f>
        <v>1</v>
      </c>
    </row>
    <row r="3233" spans="1:3" x14ac:dyDescent="0.25">
      <c r="A3233" s="15">
        <f>Sheet1!A3233</f>
        <v>0</v>
      </c>
      <c r="B3233">
        <f>Sheet1!B3233</f>
        <v>0</v>
      </c>
      <c r="C3233">
        <f>IF(Sheet1!B3233&gt;0,1,0)</f>
        <v>0</v>
      </c>
    </row>
    <row r="3234" spans="1:3" x14ac:dyDescent="0.25">
      <c r="A3234" s="15">
        <f>Sheet1!A3234</f>
        <v>0</v>
      </c>
      <c r="B3234">
        <f>Sheet1!B3234</f>
        <v>0</v>
      </c>
      <c r="C3234">
        <f>IF(Sheet1!B3234&gt;0,1,0)</f>
        <v>0</v>
      </c>
    </row>
    <row r="3235" spans="1:3" x14ac:dyDescent="0.25">
      <c r="A3235" s="15">
        <f>Sheet1!A3235</f>
        <v>0</v>
      </c>
      <c r="B3235">
        <f>Sheet1!B3235</f>
        <v>0</v>
      </c>
      <c r="C3235">
        <f>IF(Sheet1!B3235&gt;0,1,0)</f>
        <v>0</v>
      </c>
    </row>
    <row r="3236" spans="1:3" x14ac:dyDescent="0.25">
      <c r="A3236" s="15">
        <f>Sheet1!A3236</f>
        <v>0</v>
      </c>
      <c r="B3236">
        <f>Sheet1!B3236</f>
        <v>0</v>
      </c>
      <c r="C3236">
        <f>IF(Sheet1!B3236&gt;0,1,0)</f>
        <v>0</v>
      </c>
    </row>
    <row r="3237" spans="1:3" x14ac:dyDescent="0.25">
      <c r="A3237" s="15">
        <f>Sheet1!A3237</f>
        <v>0</v>
      </c>
      <c r="B3237">
        <f>Sheet1!B3237</f>
        <v>0</v>
      </c>
      <c r="C3237">
        <f>IF(Sheet1!B3237&gt;0,1,0)</f>
        <v>0</v>
      </c>
    </row>
    <row r="3238" spans="1:3" x14ac:dyDescent="0.25">
      <c r="A3238" s="15">
        <f>Sheet1!A3238</f>
        <v>0</v>
      </c>
      <c r="B3238">
        <f>Sheet1!B3238</f>
        <v>0</v>
      </c>
      <c r="C3238">
        <f>IF(Sheet1!B3238&gt;0,1,0)</f>
        <v>0</v>
      </c>
    </row>
    <row r="3239" spans="1:3" x14ac:dyDescent="0.25">
      <c r="A3239" s="15">
        <f>Sheet1!A3239</f>
        <v>0</v>
      </c>
      <c r="B3239">
        <f>Sheet1!B3239</f>
        <v>0</v>
      </c>
      <c r="C3239">
        <f>IF(Sheet1!B3239&gt;0,1,0)</f>
        <v>0</v>
      </c>
    </row>
    <row r="3240" spans="1:3" x14ac:dyDescent="0.25">
      <c r="A3240" s="15">
        <f>Sheet1!A3240</f>
        <v>0</v>
      </c>
      <c r="B3240">
        <f>Sheet1!B3240</f>
        <v>0</v>
      </c>
      <c r="C3240">
        <f>IF(Sheet1!B3240&gt;0,1,0)</f>
        <v>0</v>
      </c>
    </row>
    <row r="3241" spans="1:3" x14ac:dyDescent="0.25">
      <c r="A3241" s="15">
        <f>Sheet1!A3241</f>
        <v>0</v>
      </c>
      <c r="B3241">
        <f>Sheet1!B3241</f>
        <v>0</v>
      </c>
      <c r="C3241">
        <f>IF(Sheet1!B3241&gt;0,1,0)</f>
        <v>0</v>
      </c>
    </row>
    <row r="3242" spans="1:3" x14ac:dyDescent="0.25">
      <c r="A3242" s="15">
        <f>Sheet1!A3242</f>
        <v>0</v>
      </c>
      <c r="B3242">
        <f>Sheet1!B3242</f>
        <v>0</v>
      </c>
      <c r="C3242">
        <f>IF(Sheet1!B3242&gt;0,1,0)</f>
        <v>0</v>
      </c>
    </row>
    <row r="3243" spans="1:3" x14ac:dyDescent="0.25">
      <c r="A3243" s="15">
        <f>Sheet1!A3243</f>
        <v>0</v>
      </c>
      <c r="B3243">
        <f>Sheet1!B3243</f>
        <v>4.6900000000000004</v>
      </c>
      <c r="C3243">
        <f>IF(Sheet1!B3243&gt;0,1,0)</f>
        <v>1</v>
      </c>
    </row>
    <row r="3244" spans="1:3" x14ac:dyDescent="0.25">
      <c r="A3244" s="15">
        <f>Sheet1!A3244</f>
        <v>0</v>
      </c>
      <c r="B3244">
        <f>Sheet1!B3244</f>
        <v>4.63</v>
      </c>
      <c r="C3244">
        <f>IF(Sheet1!B3244&gt;0,1,0)</f>
        <v>1</v>
      </c>
    </row>
    <row r="3245" spans="1:3" x14ac:dyDescent="0.25">
      <c r="A3245" s="15">
        <f>Sheet1!A3245</f>
        <v>0</v>
      </c>
      <c r="B3245">
        <f>Sheet1!B3245</f>
        <v>4.72</v>
      </c>
      <c r="C3245">
        <f>IF(Sheet1!B3245&gt;0,1,0)</f>
        <v>1</v>
      </c>
    </row>
    <row r="3246" spans="1:3" x14ac:dyDescent="0.25">
      <c r="A3246" s="15">
        <f>Sheet1!A3246</f>
        <v>0</v>
      </c>
      <c r="B3246">
        <f>Sheet1!B3246</f>
        <v>4.75</v>
      </c>
      <c r="C3246">
        <f>IF(Sheet1!B3246&gt;0,1,0)</f>
        <v>1</v>
      </c>
    </row>
    <row r="3247" spans="1:3" x14ac:dyDescent="0.25">
      <c r="A3247" s="15">
        <f>Sheet1!A3247</f>
        <v>0</v>
      </c>
      <c r="B3247">
        <f>Sheet1!B3247</f>
        <v>3.34</v>
      </c>
      <c r="C3247">
        <f>IF(Sheet1!B3247&gt;0,1,0)</f>
        <v>1</v>
      </c>
    </row>
    <row r="3248" spans="1:3" x14ac:dyDescent="0.25">
      <c r="A3248" s="15">
        <f>Sheet1!A3248</f>
        <v>0</v>
      </c>
      <c r="B3248">
        <f>Sheet1!B3248</f>
        <v>0</v>
      </c>
      <c r="C3248">
        <f>IF(Sheet1!B3248&gt;0,1,0)</f>
        <v>0</v>
      </c>
    </row>
    <row r="3249" spans="1:3" x14ac:dyDescent="0.25">
      <c r="A3249" s="15">
        <f>Sheet1!A3249</f>
        <v>0</v>
      </c>
      <c r="B3249">
        <f>Sheet1!B3249</f>
        <v>0</v>
      </c>
      <c r="C3249">
        <f>IF(Sheet1!B3249&gt;0,1,0)</f>
        <v>0</v>
      </c>
    </row>
    <row r="3250" spans="1:3" x14ac:dyDescent="0.25">
      <c r="A3250" s="15">
        <f>Sheet1!A3250</f>
        <v>0</v>
      </c>
      <c r="B3250">
        <f>Sheet1!B3250</f>
        <v>3.51</v>
      </c>
      <c r="C3250">
        <f>IF(Sheet1!B3250&gt;0,1,0)</f>
        <v>1</v>
      </c>
    </row>
    <row r="3251" spans="1:3" x14ac:dyDescent="0.25">
      <c r="A3251" s="15">
        <f>Sheet1!A3251</f>
        <v>0</v>
      </c>
      <c r="B3251">
        <f>Sheet1!B3251</f>
        <v>0</v>
      </c>
      <c r="C3251">
        <f>IF(Sheet1!B3251&gt;0,1,0)</f>
        <v>0</v>
      </c>
    </row>
    <row r="3252" spans="1:3" x14ac:dyDescent="0.25">
      <c r="A3252" s="15">
        <f>Sheet1!A3252</f>
        <v>0</v>
      </c>
      <c r="B3252">
        <f>Sheet1!B3252</f>
        <v>0</v>
      </c>
      <c r="C3252">
        <f>IF(Sheet1!B3252&gt;0,1,0)</f>
        <v>0</v>
      </c>
    </row>
    <row r="3253" spans="1:3" x14ac:dyDescent="0.25">
      <c r="A3253" s="15">
        <f>Sheet1!A3253</f>
        <v>0</v>
      </c>
      <c r="B3253">
        <f>Sheet1!B3253</f>
        <v>0</v>
      </c>
      <c r="C3253">
        <f>IF(Sheet1!B3253&gt;0,1,0)</f>
        <v>0</v>
      </c>
    </row>
    <row r="3254" spans="1:3" x14ac:dyDescent="0.25">
      <c r="A3254" s="15">
        <f>Sheet1!A3254</f>
        <v>0</v>
      </c>
      <c r="B3254">
        <f>Sheet1!B3254</f>
        <v>0</v>
      </c>
      <c r="C3254">
        <f>IF(Sheet1!B3254&gt;0,1,0)</f>
        <v>0</v>
      </c>
    </row>
    <row r="3255" spans="1:3" x14ac:dyDescent="0.25">
      <c r="A3255" s="15">
        <f>Sheet1!A3255</f>
        <v>0</v>
      </c>
      <c r="B3255">
        <f>Sheet1!B3255</f>
        <v>0</v>
      </c>
      <c r="C3255">
        <f>IF(Sheet1!B3255&gt;0,1,0)</f>
        <v>0</v>
      </c>
    </row>
    <row r="3256" spans="1:3" x14ac:dyDescent="0.25">
      <c r="A3256" s="15">
        <f>Sheet1!A3256</f>
        <v>0</v>
      </c>
      <c r="B3256">
        <f>Sheet1!B3256</f>
        <v>0</v>
      </c>
      <c r="C3256">
        <f>IF(Sheet1!B3256&gt;0,1,0)</f>
        <v>0</v>
      </c>
    </row>
    <row r="3257" spans="1:3" x14ac:dyDescent="0.25">
      <c r="A3257" s="15">
        <f>Sheet1!A3257</f>
        <v>0</v>
      </c>
      <c r="B3257">
        <f>Sheet1!B3257</f>
        <v>0</v>
      </c>
      <c r="C3257">
        <f>IF(Sheet1!B3257&gt;0,1,0)</f>
        <v>0</v>
      </c>
    </row>
    <row r="3258" spans="1:3" x14ac:dyDescent="0.25">
      <c r="A3258" s="15">
        <f>Sheet1!A3258</f>
        <v>0</v>
      </c>
      <c r="B3258">
        <f>Sheet1!B3258</f>
        <v>3.09</v>
      </c>
      <c r="C3258">
        <f>IF(Sheet1!B3258&gt;0,1,0)</f>
        <v>1</v>
      </c>
    </row>
    <row r="3259" spans="1:3" x14ac:dyDescent="0.25">
      <c r="A3259" s="15">
        <f>Sheet1!A3259</f>
        <v>0</v>
      </c>
      <c r="B3259">
        <f>Sheet1!B3259</f>
        <v>0</v>
      </c>
      <c r="C3259">
        <f>IF(Sheet1!B3259&gt;0,1,0)</f>
        <v>0</v>
      </c>
    </row>
    <row r="3260" spans="1:3" x14ac:dyDescent="0.25">
      <c r="A3260" s="15">
        <f>Sheet1!A3260</f>
        <v>0</v>
      </c>
      <c r="B3260">
        <f>Sheet1!B3260</f>
        <v>0</v>
      </c>
      <c r="C3260">
        <f>IF(Sheet1!B3260&gt;0,1,0)</f>
        <v>0</v>
      </c>
    </row>
    <row r="3261" spans="1:3" x14ac:dyDescent="0.25">
      <c r="A3261" s="15">
        <f>Sheet1!A3261</f>
        <v>0</v>
      </c>
      <c r="B3261">
        <f>Sheet1!B3261</f>
        <v>0</v>
      </c>
      <c r="C3261">
        <f>IF(Sheet1!B3261&gt;0,1,0)</f>
        <v>0</v>
      </c>
    </row>
    <row r="3262" spans="1:3" x14ac:dyDescent="0.25">
      <c r="A3262" s="15">
        <f>Sheet1!A3262</f>
        <v>0</v>
      </c>
      <c r="B3262">
        <f>Sheet1!B3262</f>
        <v>0</v>
      </c>
      <c r="C3262">
        <f>IF(Sheet1!B3262&gt;0,1,0)</f>
        <v>0</v>
      </c>
    </row>
    <row r="3263" spans="1:3" x14ac:dyDescent="0.25">
      <c r="A3263" s="15">
        <f>Sheet1!A3263</f>
        <v>0</v>
      </c>
      <c r="B3263">
        <f>Sheet1!B3263</f>
        <v>0</v>
      </c>
      <c r="C3263">
        <f>IF(Sheet1!B3263&gt;0,1,0)</f>
        <v>0</v>
      </c>
    </row>
    <row r="3264" spans="1:3" x14ac:dyDescent="0.25">
      <c r="A3264" s="15">
        <f>Sheet1!A3264</f>
        <v>0</v>
      </c>
      <c r="B3264">
        <f>Sheet1!B3264</f>
        <v>0</v>
      </c>
      <c r="C3264">
        <f>IF(Sheet1!B3264&gt;0,1,0)</f>
        <v>0</v>
      </c>
    </row>
    <row r="3265" spans="1:3" x14ac:dyDescent="0.25">
      <c r="A3265" s="15">
        <f>Sheet1!A3265</f>
        <v>0</v>
      </c>
      <c r="B3265">
        <f>Sheet1!B3265</f>
        <v>0</v>
      </c>
      <c r="C3265">
        <f>IF(Sheet1!B3265&gt;0,1,0)</f>
        <v>0</v>
      </c>
    </row>
    <row r="3266" spans="1:3" x14ac:dyDescent="0.25">
      <c r="A3266" s="15">
        <f>Sheet1!A3266</f>
        <v>0</v>
      </c>
      <c r="B3266">
        <f>Sheet1!B3266</f>
        <v>0</v>
      </c>
      <c r="C3266">
        <f>IF(Sheet1!B3266&gt;0,1,0)</f>
        <v>0</v>
      </c>
    </row>
    <row r="3267" spans="1:3" x14ac:dyDescent="0.25">
      <c r="A3267" s="15">
        <f>Sheet1!A3267</f>
        <v>0</v>
      </c>
      <c r="B3267">
        <f>Sheet1!B3267</f>
        <v>4.9800000000000004</v>
      </c>
      <c r="C3267">
        <f>IF(Sheet1!B3267&gt;0,1,0)</f>
        <v>1</v>
      </c>
    </row>
    <row r="3268" spans="1:3" x14ac:dyDescent="0.25">
      <c r="A3268" s="15">
        <f>Sheet1!A3268</f>
        <v>0</v>
      </c>
      <c r="B3268">
        <f>Sheet1!B3268</f>
        <v>4.41</v>
      </c>
      <c r="C3268">
        <f>IF(Sheet1!B3268&gt;0,1,0)</f>
        <v>1</v>
      </c>
    </row>
    <row r="3269" spans="1:3" x14ac:dyDescent="0.25">
      <c r="A3269" s="15">
        <f>Sheet1!A3269</f>
        <v>0</v>
      </c>
      <c r="B3269">
        <f>Sheet1!B3269</f>
        <v>4.1500000000000004</v>
      </c>
      <c r="C3269">
        <f>IF(Sheet1!B3269&gt;0,1,0)</f>
        <v>1</v>
      </c>
    </row>
    <row r="3270" spans="1:3" x14ac:dyDescent="0.25">
      <c r="A3270" s="15">
        <f>Sheet1!A3270</f>
        <v>0</v>
      </c>
      <c r="B3270">
        <f>Sheet1!B3270</f>
        <v>4.3600000000000003</v>
      </c>
      <c r="C3270">
        <f>IF(Sheet1!B3270&gt;0,1,0)</f>
        <v>1</v>
      </c>
    </row>
    <row r="3271" spans="1:3" x14ac:dyDescent="0.25">
      <c r="A3271" s="15">
        <f>Sheet1!A3271</f>
        <v>0</v>
      </c>
      <c r="B3271">
        <f>Sheet1!B3271</f>
        <v>0</v>
      </c>
      <c r="C3271">
        <f>IF(Sheet1!B3271&gt;0,1,0)</f>
        <v>0</v>
      </c>
    </row>
    <row r="3272" spans="1:3" x14ac:dyDescent="0.25">
      <c r="A3272" s="15">
        <f>Sheet1!A3272</f>
        <v>0</v>
      </c>
      <c r="B3272">
        <f>Sheet1!B3272</f>
        <v>2.5499999999999998</v>
      </c>
      <c r="C3272">
        <f>IF(Sheet1!B3272&gt;0,1,0)</f>
        <v>1</v>
      </c>
    </row>
    <row r="3273" spans="1:3" x14ac:dyDescent="0.25">
      <c r="A3273" s="15">
        <f>Sheet1!A3273</f>
        <v>0</v>
      </c>
      <c r="B3273">
        <f>Sheet1!B3273</f>
        <v>3.26</v>
      </c>
      <c r="C3273">
        <f>IF(Sheet1!B3273&gt;0,1,0)</f>
        <v>1</v>
      </c>
    </row>
    <row r="3274" spans="1:3" x14ac:dyDescent="0.25">
      <c r="A3274" s="15">
        <f>Sheet1!A3274</f>
        <v>0</v>
      </c>
      <c r="B3274">
        <f>Sheet1!B3274</f>
        <v>3.33</v>
      </c>
      <c r="C3274">
        <f>IF(Sheet1!B3274&gt;0,1,0)</f>
        <v>1</v>
      </c>
    </row>
    <row r="3275" spans="1:3" x14ac:dyDescent="0.25">
      <c r="A3275" s="15">
        <f>Sheet1!A3275</f>
        <v>0</v>
      </c>
      <c r="B3275">
        <f>Sheet1!B3275</f>
        <v>0</v>
      </c>
      <c r="C3275">
        <f>IF(Sheet1!B3275&gt;0,1,0)</f>
        <v>0</v>
      </c>
    </row>
    <row r="3276" spans="1:3" x14ac:dyDescent="0.25">
      <c r="A3276" s="15">
        <f>Sheet1!A3276</f>
        <v>0</v>
      </c>
      <c r="B3276">
        <f>Sheet1!B3276</f>
        <v>0</v>
      </c>
      <c r="C3276">
        <f>IF(Sheet1!B3276&gt;0,1,0)</f>
        <v>0</v>
      </c>
    </row>
    <row r="3277" spans="1:3" x14ac:dyDescent="0.25">
      <c r="A3277" s="15">
        <f>Sheet1!A3277</f>
        <v>0</v>
      </c>
      <c r="B3277">
        <f>Sheet1!B3277</f>
        <v>0</v>
      </c>
      <c r="C3277">
        <f>IF(Sheet1!B3277&gt;0,1,0)</f>
        <v>0</v>
      </c>
    </row>
    <row r="3278" spans="1:3" x14ac:dyDescent="0.25">
      <c r="A3278" s="15">
        <f>Sheet1!A3278</f>
        <v>0</v>
      </c>
      <c r="B3278">
        <f>Sheet1!B3278</f>
        <v>0</v>
      </c>
      <c r="C3278">
        <f>IF(Sheet1!B3278&gt;0,1,0)</f>
        <v>0</v>
      </c>
    </row>
    <row r="3279" spans="1:3" x14ac:dyDescent="0.25">
      <c r="A3279" s="15">
        <f>Sheet1!A3279</f>
        <v>0</v>
      </c>
      <c r="B3279">
        <f>Sheet1!B3279</f>
        <v>0</v>
      </c>
      <c r="C3279">
        <f>IF(Sheet1!B3279&gt;0,1,0)</f>
        <v>0</v>
      </c>
    </row>
    <row r="3280" spans="1:3" x14ac:dyDescent="0.25">
      <c r="A3280" s="15">
        <f>Sheet1!A3280</f>
        <v>0</v>
      </c>
      <c r="B3280">
        <f>Sheet1!B3280</f>
        <v>4.7699999999999996</v>
      </c>
      <c r="C3280">
        <f>IF(Sheet1!B3280&gt;0,1,0)</f>
        <v>1</v>
      </c>
    </row>
    <row r="3281" spans="1:3" x14ac:dyDescent="0.25">
      <c r="A3281" s="15">
        <f>Sheet1!A3281</f>
        <v>0</v>
      </c>
      <c r="B3281">
        <f>Sheet1!B3281</f>
        <v>0</v>
      </c>
      <c r="C3281">
        <f>IF(Sheet1!B3281&gt;0,1,0)</f>
        <v>0</v>
      </c>
    </row>
    <row r="3282" spans="1:3" x14ac:dyDescent="0.25">
      <c r="A3282" s="15">
        <f>Sheet1!A3282</f>
        <v>0</v>
      </c>
      <c r="B3282">
        <f>Sheet1!B3282</f>
        <v>0</v>
      </c>
      <c r="C3282">
        <f>IF(Sheet1!B3282&gt;0,1,0)</f>
        <v>0</v>
      </c>
    </row>
    <row r="3283" spans="1:3" x14ac:dyDescent="0.25">
      <c r="A3283" s="15">
        <f>Sheet1!A3283</f>
        <v>0</v>
      </c>
      <c r="B3283">
        <f>Sheet1!B3283</f>
        <v>0</v>
      </c>
      <c r="C3283">
        <f>IF(Sheet1!B3283&gt;0,1,0)</f>
        <v>0</v>
      </c>
    </row>
    <row r="3284" spans="1:3" x14ac:dyDescent="0.25">
      <c r="A3284" s="15">
        <f>Sheet1!A3284</f>
        <v>0</v>
      </c>
      <c r="B3284">
        <f>Sheet1!B3284</f>
        <v>0</v>
      </c>
      <c r="C3284">
        <f>IF(Sheet1!B3284&gt;0,1,0)</f>
        <v>0</v>
      </c>
    </row>
    <row r="3285" spans="1:3" x14ac:dyDescent="0.25">
      <c r="A3285" s="15">
        <f>Sheet1!A3285</f>
        <v>0</v>
      </c>
      <c r="B3285">
        <f>Sheet1!B3285</f>
        <v>0</v>
      </c>
      <c r="C3285">
        <f>IF(Sheet1!B3285&gt;0,1,0)</f>
        <v>0</v>
      </c>
    </row>
    <row r="3286" spans="1:3" x14ac:dyDescent="0.25">
      <c r="A3286" s="15">
        <f>Sheet1!A3286</f>
        <v>0</v>
      </c>
      <c r="B3286">
        <f>Sheet1!B3286</f>
        <v>4.1900000000000004</v>
      </c>
      <c r="C3286">
        <f>IF(Sheet1!B3286&gt;0,1,0)</f>
        <v>1</v>
      </c>
    </row>
    <row r="3287" spans="1:3" x14ac:dyDescent="0.25">
      <c r="A3287" s="15">
        <f>Sheet1!A3287</f>
        <v>0</v>
      </c>
      <c r="B3287">
        <f>Sheet1!B3287</f>
        <v>0</v>
      </c>
      <c r="C3287">
        <f>IF(Sheet1!B3287&gt;0,1,0)</f>
        <v>0</v>
      </c>
    </row>
    <row r="3288" spans="1:3" x14ac:dyDescent="0.25">
      <c r="A3288" s="15">
        <f>Sheet1!A3288</f>
        <v>0</v>
      </c>
      <c r="B3288">
        <f>Sheet1!B3288</f>
        <v>0</v>
      </c>
      <c r="C3288">
        <f>IF(Sheet1!B3288&gt;0,1,0)</f>
        <v>0</v>
      </c>
    </row>
    <row r="3289" spans="1:3" x14ac:dyDescent="0.25">
      <c r="A3289" s="15">
        <f>Sheet1!A3289</f>
        <v>0</v>
      </c>
      <c r="B3289">
        <f>Sheet1!B3289</f>
        <v>0</v>
      </c>
      <c r="C3289">
        <f>IF(Sheet1!B3289&gt;0,1,0)</f>
        <v>0</v>
      </c>
    </row>
    <row r="3290" spans="1:3" x14ac:dyDescent="0.25">
      <c r="A3290" s="15">
        <f>Sheet1!A3290</f>
        <v>0</v>
      </c>
      <c r="B3290">
        <f>Sheet1!B3290</f>
        <v>4.9400000000000004</v>
      </c>
      <c r="C3290">
        <f>IF(Sheet1!B3290&gt;0,1,0)</f>
        <v>1</v>
      </c>
    </row>
    <row r="3291" spans="1:3" x14ac:dyDescent="0.25">
      <c r="A3291" s="15">
        <f>Sheet1!A3291</f>
        <v>0</v>
      </c>
      <c r="B3291">
        <f>Sheet1!B3291</f>
        <v>0</v>
      </c>
      <c r="C3291">
        <f>IF(Sheet1!B3291&gt;0,1,0)</f>
        <v>0</v>
      </c>
    </row>
    <row r="3292" spans="1:3" x14ac:dyDescent="0.25">
      <c r="A3292" s="15">
        <f>Sheet1!A3292</f>
        <v>0</v>
      </c>
      <c r="B3292">
        <f>Sheet1!B3292</f>
        <v>0</v>
      </c>
      <c r="C3292">
        <f>IF(Sheet1!B3292&gt;0,1,0)</f>
        <v>0</v>
      </c>
    </row>
    <row r="3293" spans="1:3" x14ac:dyDescent="0.25">
      <c r="A3293" s="15">
        <f>Sheet1!A3293</f>
        <v>0</v>
      </c>
      <c r="B3293">
        <f>Sheet1!B3293</f>
        <v>5.28</v>
      </c>
      <c r="C3293">
        <f>IF(Sheet1!B3293&gt;0,1,0)</f>
        <v>1</v>
      </c>
    </row>
    <row r="3294" spans="1:3" x14ac:dyDescent="0.25">
      <c r="A3294" s="15">
        <f>Sheet1!A3294</f>
        <v>0</v>
      </c>
      <c r="B3294">
        <f>Sheet1!B3294</f>
        <v>4.9400000000000004</v>
      </c>
      <c r="C3294">
        <f>IF(Sheet1!B3294&gt;0,1,0)</f>
        <v>1</v>
      </c>
    </row>
    <row r="3295" spans="1:3" x14ac:dyDescent="0.25">
      <c r="A3295" s="15">
        <f>Sheet1!A3295</f>
        <v>0</v>
      </c>
      <c r="B3295">
        <f>Sheet1!B3295</f>
        <v>5.15</v>
      </c>
      <c r="C3295">
        <f>IF(Sheet1!B3295&gt;0,1,0)</f>
        <v>1</v>
      </c>
    </row>
    <row r="3296" spans="1:3" x14ac:dyDescent="0.25">
      <c r="A3296" s="15">
        <f>Sheet1!A3296</f>
        <v>0</v>
      </c>
      <c r="B3296">
        <f>Sheet1!B3296</f>
        <v>3.55</v>
      </c>
      <c r="C3296">
        <f>IF(Sheet1!B3296&gt;0,1,0)</f>
        <v>1</v>
      </c>
    </row>
    <row r="3297" spans="1:3" x14ac:dyDescent="0.25">
      <c r="A3297" s="15">
        <f>Sheet1!A3297</f>
        <v>0</v>
      </c>
      <c r="B3297">
        <f>Sheet1!B3297</f>
        <v>2.2400000000000002</v>
      </c>
      <c r="C3297">
        <f>IF(Sheet1!B3297&gt;0,1,0)</f>
        <v>1</v>
      </c>
    </row>
    <row r="3298" spans="1:3" x14ac:dyDescent="0.25">
      <c r="A3298" s="15">
        <f>Sheet1!A3298</f>
        <v>0</v>
      </c>
      <c r="B3298">
        <f>Sheet1!B3298</f>
        <v>3.87</v>
      </c>
      <c r="C3298">
        <f>IF(Sheet1!B3298&gt;0,1,0)</f>
        <v>1</v>
      </c>
    </row>
    <row r="3299" spans="1:3" x14ac:dyDescent="0.25">
      <c r="A3299" s="15">
        <f>Sheet1!A3299</f>
        <v>0</v>
      </c>
      <c r="B3299">
        <f>Sheet1!B3299</f>
        <v>3.05</v>
      </c>
      <c r="C3299">
        <f>IF(Sheet1!B3299&gt;0,1,0)</f>
        <v>1</v>
      </c>
    </row>
    <row r="3300" spans="1:3" x14ac:dyDescent="0.25">
      <c r="A3300" s="15">
        <f>Sheet1!A3300</f>
        <v>0</v>
      </c>
      <c r="B3300">
        <f>Sheet1!B3300</f>
        <v>0</v>
      </c>
      <c r="C3300">
        <f>IF(Sheet1!B3300&gt;0,1,0)</f>
        <v>0</v>
      </c>
    </row>
    <row r="3301" spans="1:3" x14ac:dyDescent="0.25">
      <c r="A3301" s="15">
        <f>Sheet1!A3301</f>
        <v>0</v>
      </c>
      <c r="B3301">
        <f>Sheet1!B3301</f>
        <v>0</v>
      </c>
      <c r="C3301">
        <f>IF(Sheet1!B3301&gt;0,1,0)</f>
        <v>0</v>
      </c>
    </row>
    <row r="3302" spans="1:3" x14ac:dyDescent="0.25">
      <c r="A3302" s="15">
        <f>Sheet1!A3302</f>
        <v>0</v>
      </c>
      <c r="B3302">
        <f>Sheet1!B3302</f>
        <v>0</v>
      </c>
      <c r="C3302">
        <f>IF(Sheet1!B3302&gt;0,1,0)</f>
        <v>0</v>
      </c>
    </row>
    <row r="3303" spans="1:3" x14ac:dyDescent="0.25">
      <c r="A3303" s="15">
        <f>Sheet1!A3303</f>
        <v>0</v>
      </c>
      <c r="B3303">
        <f>Sheet1!B3303</f>
        <v>0</v>
      </c>
      <c r="C3303">
        <f>IF(Sheet1!B3303&gt;0,1,0)</f>
        <v>0</v>
      </c>
    </row>
    <row r="3304" spans="1:3" x14ac:dyDescent="0.25">
      <c r="A3304" s="15">
        <f>Sheet1!A3304</f>
        <v>0</v>
      </c>
      <c r="B3304">
        <f>Sheet1!B3304</f>
        <v>0</v>
      </c>
      <c r="C3304">
        <f>IF(Sheet1!B3304&gt;0,1,0)</f>
        <v>0</v>
      </c>
    </row>
    <row r="3305" spans="1:3" x14ac:dyDescent="0.25">
      <c r="A3305" s="15">
        <f>Sheet1!A3305</f>
        <v>0</v>
      </c>
      <c r="B3305">
        <f>Sheet1!B3305</f>
        <v>0</v>
      </c>
      <c r="C3305">
        <f>IF(Sheet1!B3305&gt;0,1,0)</f>
        <v>0</v>
      </c>
    </row>
    <row r="3306" spans="1:3" x14ac:dyDescent="0.25">
      <c r="A3306" s="15">
        <f>Sheet1!A3306</f>
        <v>0</v>
      </c>
      <c r="B3306">
        <f>Sheet1!B3306</f>
        <v>0</v>
      </c>
      <c r="C3306">
        <f>IF(Sheet1!B3306&gt;0,1,0)</f>
        <v>0</v>
      </c>
    </row>
    <row r="3307" spans="1:3" x14ac:dyDescent="0.25">
      <c r="A3307" s="15">
        <f>Sheet1!A3307</f>
        <v>0</v>
      </c>
      <c r="B3307">
        <f>Sheet1!B3307</f>
        <v>0</v>
      </c>
      <c r="C3307">
        <f>IF(Sheet1!B3307&gt;0,1,0)</f>
        <v>0</v>
      </c>
    </row>
    <row r="3308" spans="1:3" x14ac:dyDescent="0.25">
      <c r="A3308" s="15">
        <f>Sheet1!A3308</f>
        <v>0</v>
      </c>
      <c r="B3308">
        <f>Sheet1!B3308</f>
        <v>0</v>
      </c>
      <c r="C3308">
        <f>IF(Sheet1!B3308&gt;0,1,0)</f>
        <v>0</v>
      </c>
    </row>
    <row r="3309" spans="1:3" x14ac:dyDescent="0.25">
      <c r="A3309" s="15">
        <f>Sheet1!A3309</f>
        <v>0</v>
      </c>
      <c r="B3309">
        <f>Sheet1!B3309</f>
        <v>0</v>
      </c>
      <c r="C3309">
        <f>IF(Sheet1!B3309&gt;0,1,0)</f>
        <v>0</v>
      </c>
    </row>
    <row r="3310" spans="1:3" x14ac:dyDescent="0.25">
      <c r="A3310" s="15">
        <f>Sheet1!A3310</f>
        <v>0</v>
      </c>
      <c r="B3310">
        <f>Sheet1!B3310</f>
        <v>0</v>
      </c>
      <c r="C3310">
        <f>IF(Sheet1!B3310&gt;0,1,0)</f>
        <v>0</v>
      </c>
    </row>
    <row r="3311" spans="1:3" x14ac:dyDescent="0.25">
      <c r="A3311" s="15">
        <f>Sheet1!A3311</f>
        <v>0</v>
      </c>
      <c r="B3311">
        <f>Sheet1!B3311</f>
        <v>0</v>
      </c>
      <c r="C3311">
        <f>IF(Sheet1!B3311&gt;0,1,0)</f>
        <v>0</v>
      </c>
    </row>
    <row r="3312" spans="1:3" x14ac:dyDescent="0.25">
      <c r="A3312" s="15">
        <f>Sheet1!A3312</f>
        <v>0</v>
      </c>
      <c r="B3312">
        <f>Sheet1!B3312</f>
        <v>0</v>
      </c>
      <c r="C3312">
        <f>IF(Sheet1!B3312&gt;0,1,0)</f>
        <v>0</v>
      </c>
    </row>
    <row r="3313" spans="1:3" x14ac:dyDescent="0.25">
      <c r="A3313" s="15">
        <f>Sheet1!A3313</f>
        <v>0</v>
      </c>
      <c r="B3313">
        <f>Sheet1!B3313</f>
        <v>0</v>
      </c>
      <c r="C3313">
        <f>IF(Sheet1!B3313&gt;0,1,0)</f>
        <v>0</v>
      </c>
    </row>
    <row r="3314" spans="1:3" x14ac:dyDescent="0.25">
      <c r="A3314" s="15">
        <f>Sheet1!A3314</f>
        <v>0</v>
      </c>
      <c r="B3314">
        <f>Sheet1!B3314</f>
        <v>0</v>
      </c>
      <c r="C3314">
        <f>IF(Sheet1!B3314&gt;0,1,0)</f>
        <v>0</v>
      </c>
    </row>
    <row r="3315" spans="1:3" x14ac:dyDescent="0.25">
      <c r="A3315" s="15">
        <f>Sheet1!A3315</f>
        <v>0</v>
      </c>
      <c r="B3315">
        <f>Sheet1!B3315</f>
        <v>0</v>
      </c>
      <c r="C3315">
        <f>IF(Sheet1!B3315&gt;0,1,0)</f>
        <v>0</v>
      </c>
    </row>
    <row r="3316" spans="1:3" x14ac:dyDescent="0.25">
      <c r="A3316" s="15">
        <f>Sheet1!A3316</f>
        <v>0</v>
      </c>
      <c r="B3316">
        <f>Sheet1!B3316</f>
        <v>0</v>
      </c>
      <c r="C3316">
        <f>IF(Sheet1!B3316&gt;0,1,0)</f>
        <v>0</v>
      </c>
    </row>
    <row r="3317" spans="1:3" x14ac:dyDescent="0.25">
      <c r="A3317" s="15">
        <f>Sheet1!A3317</f>
        <v>0</v>
      </c>
      <c r="B3317">
        <f>Sheet1!B3317</f>
        <v>0</v>
      </c>
      <c r="C3317">
        <f>IF(Sheet1!B3317&gt;0,1,0)</f>
        <v>0</v>
      </c>
    </row>
    <row r="3318" spans="1:3" x14ac:dyDescent="0.25">
      <c r="A3318" s="15">
        <f>Sheet1!A3318</f>
        <v>0</v>
      </c>
      <c r="B3318">
        <f>Sheet1!B3318</f>
        <v>0</v>
      </c>
      <c r="C3318">
        <f>IF(Sheet1!B3318&gt;0,1,0)</f>
        <v>0</v>
      </c>
    </row>
    <row r="3319" spans="1:3" x14ac:dyDescent="0.25">
      <c r="A3319" s="15">
        <f>Sheet1!A3319</f>
        <v>0</v>
      </c>
      <c r="B3319">
        <f>Sheet1!B3319</f>
        <v>0</v>
      </c>
      <c r="C3319">
        <f>IF(Sheet1!B3319&gt;0,1,0)</f>
        <v>0</v>
      </c>
    </row>
    <row r="3320" spans="1:3" x14ac:dyDescent="0.25">
      <c r="A3320" s="15">
        <f>Sheet1!A3320</f>
        <v>0</v>
      </c>
      <c r="B3320">
        <f>Sheet1!B3320</f>
        <v>4.9000000000000004</v>
      </c>
      <c r="C3320">
        <f>IF(Sheet1!B3320&gt;0,1,0)</f>
        <v>1</v>
      </c>
    </row>
    <row r="3321" spans="1:3" x14ac:dyDescent="0.25">
      <c r="A3321" s="15">
        <f>Sheet1!A3321</f>
        <v>0</v>
      </c>
      <c r="B3321">
        <f>Sheet1!B3321</f>
        <v>0</v>
      </c>
      <c r="C3321">
        <f>IF(Sheet1!B3321&gt;0,1,0)</f>
        <v>0</v>
      </c>
    </row>
    <row r="3322" spans="1:3" x14ac:dyDescent="0.25">
      <c r="A3322" s="15">
        <f>Sheet1!A3322</f>
        <v>0</v>
      </c>
      <c r="B3322">
        <f>Sheet1!B3322</f>
        <v>0</v>
      </c>
      <c r="C3322">
        <f>IF(Sheet1!B3322&gt;0,1,0)</f>
        <v>0</v>
      </c>
    </row>
    <row r="3323" spans="1:3" x14ac:dyDescent="0.25">
      <c r="A3323" s="15">
        <f>Sheet1!A3323</f>
        <v>0</v>
      </c>
      <c r="B3323">
        <f>Sheet1!B3323</f>
        <v>0</v>
      </c>
      <c r="C3323">
        <f>IF(Sheet1!B3323&gt;0,1,0)</f>
        <v>0</v>
      </c>
    </row>
    <row r="3324" spans="1:3" x14ac:dyDescent="0.25">
      <c r="A3324" s="15">
        <f>Sheet1!A3324</f>
        <v>0</v>
      </c>
      <c r="B3324">
        <f>Sheet1!B3324</f>
        <v>7</v>
      </c>
      <c r="C3324">
        <f>IF(Sheet1!B3324&gt;0,1,0)</f>
        <v>1</v>
      </c>
    </row>
    <row r="3325" spans="1:3" x14ac:dyDescent="0.25">
      <c r="A3325" s="15">
        <f>Sheet1!A3325</f>
        <v>0</v>
      </c>
      <c r="B3325">
        <f>Sheet1!B3325</f>
        <v>0</v>
      </c>
      <c r="C3325">
        <f>IF(Sheet1!B3325&gt;0,1,0)</f>
        <v>0</v>
      </c>
    </row>
    <row r="3326" spans="1:3" x14ac:dyDescent="0.25">
      <c r="A3326" s="15">
        <f>Sheet1!A3326</f>
        <v>0</v>
      </c>
      <c r="B3326">
        <f>Sheet1!B3326</f>
        <v>0</v>
      </c>
      <c r="C3326">
        <f>IF(Sheet1!B3326&gt;0,1,0)</f>
        <v>0</v>
      </c>
    </row>
    <row r="3327" spans="1:3" x14ac:dyDescent="0.25">
      <c r="A3327" s="15">
        <f>Sheet1!A3327</f>
        <v>0</v>
      </c>
      <c r="B3327">
        <f>Sheet1!B3327</f>
        <v>0</v>
      </c>
      <c r="C3327">
        <f>IF(Sheet1!B3327&gt;0,1,0)</f>
        <v>0</v>
      </c>
    </row>
    <row r="3328" spans="1:3" x14ac:dyDescent="0.25">
      <c r="A3328" s="15">
        <f>Sheet1!A3328</f>
        <v>0</v>
      </c>
      <c r="B3328">
        <f>Sheet1!B3328</f>
        <v>0</v>
      </c>
      <c r="C3328">
        <f>IF(Sheet1!B3328&gt;0,1,0)</f>
        <v>0</v>
      </c>
    </row>
    <row r="3329" spans="1:3" x14ac:dyDescent="0.25">
      <c r="A3329" s="15">
        <f>Sheet1!A3329</f>
        <v>0</v>
      </c>
      <c r="B3329">
        <f>Sheet1!B3329</f>
        <v>0</v>
      </c>
      <c r="C3329">
        <f>IF(Sheet1!B3329&gt;0,1,0)</f>
        <v>0</v>
      </c>
    </row>
    <row r="3330" spans="1:3" x14ac:dyDescent="0.25">
      <c r="A3330" s="15">
        <f>Sheet1!A3330</f>
        <v>0</v>
      </c>
      <c r="B3330">
        <f>Sheet1!B3330</f>
        <v>0</v>
      </c>
      <c r="C3330">
        <f>IF(Sheet1!B3330&gt;0,1,0)</f>
        <v>0</v>
      </c>
    </row>
    <row r="3331" spans="1:3" x14ac:dyDescent="0.25">
      <c r="A3331" s="15">
        <f>Sheet1!A3331</f>
        <v>0</v>
      </c>
      <c r="B3331">
        <f>Sheet1!B3331</f>
        <v>0</v>
      </c>
      <c r="C3331">
        <f>IF(Sheet1!B3331&gt;0,1,0)</f>
        <v>0</v>
      </c>
    </row>
    <row r="3332" spans="1:3" x14ac:dyDescent="0.25">
      <c r="A3332" s="15">
        <f>Sheet1!A3332</f>
        <v>0</v>
      </c>
      <c r="B3332">
        <f>Sheet1!B3332</f>
        <v>0</v>
      </c>
      <c r="C3332">
        <f>IF(Sheet1!B3332&gt;0,1,0)</f>
        <v>0</v>
      </c>
    </row>
    <row r="3333" spans="1:3" x14ac:dyDescent="0.25">
      <c r="A3333" s="15">
        <f>Sheet1!A3333</f>
        <v>0</v>
      </c>
      <c r="B3333">
        <f>Sheet1!B3333</f>
        <v>0</v>
      </c>
      <c r="C3333">
        <f>IF(Sheet1!B3333&gt;0,1,0)</f>
        <v>0</v>
      </c>
    </row>
    <row r="3334" spans="1:3" x14ac:dyDescent="0.25">
      <c r="A3334" s="15">
        <f>Sheet1!A3334</f>
        <v>0</v>
      </c>
      <c r="B3334">
        <f>Sheet1!B3334</f>
        <v>0</v>
      </c>
      <c r="C3334">
        <f>IF(Sheet1!B3334&gt;0,1,0)</f>
        <v>0</v>
      </c>
    </row>
    <row r="3335" spans="1:3" x14ac:dyDescent="0.25">
      <c r="A3335" s="15">
        <f>Sheet1!A3335</f>
        <v>0</v>
      </c>
      <c r="B3335">
        <f>Sheet1!B3335</f>
        <v>0</v>
      </c>
      <c r="C3335">
        <f>IF(Sheet1!B3335&gt;0,1,0)</f>
        <v>0</v>
      </c>
    </row>
    <row r="3336" spans="1:3" x14ac:dyDescent="0.25">
      <c r="A3336" s="15">
        <f>Sheet1!A3336</f>
        <v>0</v>
      </c>
      <c r="B3336">
        <f>Sheet1!B3336</f>
        <v>0</v>
      </c>
      <c r="C3336">
        <f>IF(Sheet1!B3336&gt;0,1,0)</f>
        <v>0</v>
      </c>
    </row>
    <row r="3337" spans="1:3" x14ac:dyDescent="0.25">
      <c r="A3337" s="15">
        <f>Sheet1!A3337</f>
        <v>0</v>
      </c>
      <c r="B3337">
        <f>Sheet1!B3337</f>
        <v>0</v>
      </c>
      <c r="C3337">
        <f>IF(Sheet1!B3337&gt;0,1,0)</f>
        <v>0</v>
      </c>
    </row>
    <row r="3338" spans="1:3" x14ac:dyDescent="0.25">
      <c r="A3338" s="15">
        <f>Sheet1!A3338</f>
        <v>0</v>
      </c>
      <c r="B3338">
        <f>Sheet1!B3338</f>
        <v>7.37</v>
      </c>
      <c r="C3338">
        <f>IF(Sheet1!B3338&gt;0,1,0)</f>
        <v>1</v>
      </c>
    </row>
    <row r="3339" spans="1:3" x14ac:dyDescent="0.25">
      <c r="A3339" s="15">
        <f>Sheet1!A3339</f>
        <v>0</v>
      </c>
      <c r="B3339">
        <f>Sheet1!B3339</f>
        <v>0</v>
      </c>
      <c r="C3339">
        <f>IF(Sheet1!B3339&gt;0,1,0)</f>
        <v>0</v>
      </c>
    </row>
    <row r="3340" spans="1:3" x14ac:dyDescent="0.25">
      <c r="A3340" s="15">
        <f>Sheet1!A3340</f>
        <v>0</v>
      </c>
      <c r="B3340">
        <f>Sheet1!B3340</f>
        <v>0</v>
      </c>
      <c r="C3340">
        <f>IF(Sheet1!B3340&gt;0,1,0)</f>
        <v>0</v>
      </c>
    </row>
    <row r="3341" spans="1:3" x14ac:dyDescent="0.25">
      <c r="A3341" s="15">
        <f>Sheet1!A3341</f>
        <v>0</v>
      </c>
      <c r="B3341">
        <f>Sheet1!B3341</f>
        <v>0</v>
      </c>
      <c r="C3341">
        <f>IF(Sheet1!B3341&gt;0,1,0)</f>
        <v>0</v>
      </c>
    </row>
    <row r="3342" spans="1:3" x14ac:dyDescent="0.25">
      <c r="A3342" s="15">
        <f>Sheet1!A3342</f>
        <v>0</v>
      </c>
      <c r="B3342">
        <f>Sheet1!B3342</f>
        <v>7.47</v>
      </c>
      <c r="C3342">
        <f>IF(Sheet1!B3342&gt;0,1,0)</f>
        <v>1</v>
      </c>
    </row>
    <row r="3343" spans="1:3" x14ac:dyDescent="0.25">
      <c r="A3343" s="15">
        <f>Sheet1!A3343</f>
        <v>0</v>
      </c>
      <c r="B3343">
        <f>Sheet1!B3343</f>
        <v>0</v>
      </c>
      <c r="C3343">
        <f>IF(Sheet1!B3343&gt;0,1,0)</f>
        <v>0</v>
      </c>
    </row>
    <row r="3344" spans="1:3" x14ac:dyDescent="0.25">
      <c r="A3344" s="15">
        <f>Sheet1!A3344</f>
        <v>0</v>
      </c>
      <c r="B3344">
        <f>Sheet1!B3344</f>
        <v>0</v>
      </c>
      <c r="C3344">
        <f>IF(Sheet1!B3344&gt;0,1,0)</f>
        <v>0</v>
      </c>
    </row>
    <row r="3345" spans="1:3" x14ac:dyDescent="0.25">
      <c r="A3345" s="15">
        <f>Sheet1!A3345</f>
        <v>0</v>
      </c>
      <c r="B3345">
        <f>Sheet1!B3345</f>
        <v>0</v>
      </c>
      <c r="C3345">
        <f>IF(Sheet1!B3345&gt;0,1,0)</f>
        <v>0</v>
      </c>
    </row>
    <row r="3346" spans="1:3" x14ac:dyDescent="0.25">
      <c r="A3346" s="15">
        <f>Sheet1!A3346</f>
        <v>0</v>
      </c>
      <c r="B3346">
        <f>Sheet1!B3346</f>
        <v>0</v>
      </c>
      <c r="C3346">
        <f>IF(Sheet1!B3346&gt;0,1,0)</f>
        <v>0</v>
      </c>
    </row>
    <row r="3347" spans="1:3" x14ac:dyDescent="0.25">
      <c r="A3347" s="15">
        <f>Sheet1!A3347</f>
        <v>0</v>
      </c>
      <c r="B3347">
        <f>Sheet1!B3347</f>
        <v>0</v>
      </c>
      <c r="C3347">
        <f>IF(Sheet1!B3347&gt;0,1,0)</f>
        <v>0</v>
      </c>
    </row>
    <row r="3348" spans="1:3" x14ac:dyDescent="0.25">
      <c r="A3348" s="15">
        <f>Sheet1!A3348</f>
        <v>0</v>
      </c>
      <c r="B3348">
        <f>Sheet1!B3348</f>
        <v>0</v>
      </c>
      <c r="C3348">
        <f>IF(Sheet1!B3348&gt;0,1,0)</f>
        <v>0</v>
      </c>
    </row>
    <row r="3349" spans="1:3" x14ac:dyDescent="0.25">
      <c r="A3349" s="15">
        <f>Sheet1!A3349</f>
        <v>0</v>
      </c>
      <c r="B3349">
        <f>Sheet1!B3349</f>
        <v>0</v>
      </c>
      <c r="C3349">
        <f>IF(Sheet1!B3349&gt;0,1,0)</f>
        <v>0</v>
      </c>
    </row>
    <row r="3350" spans="1:3" x14ac:dyDescent="0.25">
      <c r="A3350" s="15">
        <f>Sheet1!A3350</f>
        <v>0</v>
      </c>
      <c r="B3350">
        <f>Sheet1!B3350</f>
        <v>0</v>
      </c>
      <c r="C3350">
        <f>IF(Sheet1!B3350&gt;0,1,0)</f>
        <v>0</v>
      </c>
    </row>
    <row r="3351" spans="1:3" x14ac:dyDescent="0.25">
      <c r="A3351" s="15">
        <f>Sheet1!A3351</f>
        <v>0</v>
      </c>
      <c r="B3351">
        <f>Sheet1!B3351</f>
        <v>0</v>
      </c>
      <c r="C3351">
        <f>IF(Sheet1!B3351&gt;0,1,0)</f>
        <v>0</v>
      </c>
    </row>
    <row r="3352" spans="1:3" x14ac:dyDescent="0.25">
      <c r="A3352" s="15">
        <f>Sheet1!A3352</f>
        <v>0</v>
      </c>
      <c r="B3352">
        <f>Sheet1!B3352</f>
        <v>0</v>
      </c>
      <c r="C3352">
        <f>IF(Sheet1!B3352&gt;0,1,0)</f>
        <v>0</v>
      </c>
    </row>
    <row r="3353" spans="1:3" x14ac:dyDescent="0.25">
      <c r="A3353" s="15">
        <f>Sheet1!A3353</f>
        <v>0</v>
      </c>
      <c r="B3353">
        <f>Sheet1!B3353</f>
        <v>0</v>
      </c>
      <c r="C3353">
        <f>IF(Sheet1!B3353&gt;0,1,0)</f>
        <v>0</v>
      </c>
    </row>
    <row r="3354" spans="1:3" x14ac:dyDescent="0.25">
      <c r="A3354" s="15">
        <f>Sheet1!A3354</f>
        <v>0</v>
      </c>
      <c r="B3354">
        <f>Sheet1!B3354</f>
        <v>0</v>
      </c>
      <c r="C3354">
        <f>IF(Sheet1!B3354&gt;0,1,0)</f>
        <v>0</v>
      </c>
    </row>
    <row r="3355" spans="1:3" x14ac:dyDescent="0.25">
      <c r="A3355" s="15">
        <f>Sheet1!A3355</f>
        <v>0</v>
      </c>
      <c r="B3355">
        <f>Sheet1!B3355</f>
        <v>0</v>
      </c>
      <c r="C3355">
        <f>IF(Sheet1!B3355&gt;0,1,0)</f>
        <v>0</v>
      </c>
    </row>
    <row r="3356" spans="1:3" x14ac:dyDescent="0.25">
      <c r="A3356" s="15">
        <f>Sheet1!A3356</f>
        <v>0</v>
      </c>
      <c r="B3356">
        <f>Sheet1!B3356</f>
        <v>0</v>
      </c>
      <c r="C3356">
        <f>IF(Sheet1!B3356&gt;0,1,0)</f>
        <v>0</v>
      </c>
    </row>
    <row r="3357" spans="1:3" x14ac:dyDescent="0.25">
      <c r="A3357" s="15">
        <f>Sheet1!A3357</f>
        <v>0</v>
      </c>
      <c r="B3357">
        <f>Sheet1!B3357</f>
        <v>0</v>
      </c>
      <c r="C3357">
        <f>IF(Sheet1!B3357&gt;0,1,0)</f>
        <v>0</v>
      </c>
    </row>
    <row r="3358" spans="1:3" x14ac:dyDescent="0.25">
      <c r="A3358" s="15">
        <f>Sheet1!A3358</f>
        <v>0</v>
      </c>
      <c r="B3358">
        <f>Sheet1!B3358</f>
        <v>0</v>
      </c>
      <c r="C3358">
        <f>IF(Sheet1!B3358&gt;0,1,0)</f>
        <v>0</v>
      </c>
    </row>
    <row r="3359" spans="1:3" x14ac:dyDescent="0.25">
      <c r="A3359" s="15">
        <f>Sheet1!A3359</f>
        <v>0</v>
      </c>
      <c r="B3359">
        <f>Sheet1!B3359</f>
        <v>0</v>
      </c>
      <c r="C3359">
        <f>IF(Sheet1!B3359&gt;0,1,0)</f>
        <v>0</v>
      </c>
    </row>
    <row r="3360" spans="1:3" x14ac:dyDescent="0.25">
      <c r="A3360" s="15">
        <f>Sheet1!A3360</f>
        <v>0</v>
      </c>
      <c r="B3360">
        <f>Sheet1!B3360</f>
        <v>0</v>
      </c>
      <c r="C3360">
        <f>IF(Sheet1!B3360&gt;0,1,0)</f>
        <v>0</v>
      </c>
    </row>
    <row r="3361" spans="1:3" x14ac:dyDescent="0.25">
      <c r="A3361" s="15">
        <f>Sheet1!A3361</f>
        <v>0</v>
      </c>
      <c r="B3361">
        <f>Sheet1!B3361</f>
        <v>0</v>
      </c>
      <c r="C3361">
        <f>IF(Sheet1!B3361&gt;0,1,0)</f>
        <v>0</v>
      </c>
    </row>
    <row r="3362" spans="1:3" x14ac:dyDescent="0.25">
      <c r="A3362" s="15">
        <f>Sheet1!A3362</f>
        <v>0</v>
      </c>
      <c r="B3362">
        <f>Sheet1!B3362</f>
        <v>0</v>
      </c>
      <c r="C3362">
        <f>IF(Sheet1!B3362&gt;0,1,0)</f>
        <v>0</v>
      </c>
    </row>
    <row r="3363" spans="1:3" x14ac:dyDescent="0.25">
      <c r="A3363" s="15">
        <f>Sheet1!A3363</f>
        <v>0</v>
      </c>
      <c r="B3363">
        <f>Sheet1!B3363</f>
        <v>0</v>
      </c>
      <c r="C3363">
        <f>IF(Sheet1!B3363&gt;0,1,0)</f>
        <v>0</v>
      </c>
    </row>
    <row r="3364" spans="1:3" x14ac:dyDescent="0.25">
      <c r="A3364" s="15">
        <f>Sheet1!A3364</f>
        <v>0</v>
      </c>
      <c r="B3364">
        <f>Sheet1!B3364</f>
        <v>0</v>
      </c>
      <c r="C3364">
        <f>IF(Sheet1!B3364&gt;0,1,0)</f>
        <v>0</v>
      </c>
    </row>
    <row r="3365" spans="1:3" x14ac:dyDescent="0.25">
      <c r="A3365" s="15">
        <f>Sheet1!A3365</f>
        <v>0</v>
      </c>
      <c r="B3365">
        <f>Sheet1!B3365</f>
        <v>0</v>
      </c>
      <c r="C3365">
        <f>IF(Sheet1!B3365&gt;0,1,0)</f>
        <v>0</v>
      </c>
    </row>
    <row r="3366" spans="1:3" x14ac:dyDescent="0.25">
      <c r="A3366" s="15">
        <f>Sheet1!A3366</f>
        <v>0</v>
      </c>
      <c r="B3366">
        <f>Sheet1!B3366</f>
        <v>0</v>
      </c>
      <c r="C3366">
        <f>IF(Sheet1!B3366&gt;0,1,0)</f>
        <v>0</v>
      </c>
    </row>
    <row r="3367" spans="1:3" x14ac:dyDescent="0.25">
      <c r="A3367" s="15">
        <f>Sheet1!A3367</f>
        <v>0</v>
      </c>
      <c r="B3367">
        <f>Sheet1!B3367</f>
        <v>0</v>
      </c>
      <c r="C3367">
        <f>IF(Sheet1!B3367&gt;0,1,0)</f>
        <v>0</v>
      </c>
    </row>
    <row r="3368" spans="1:3" x14ac:dyDescent="0.25">
      <c r="A3368" s="15">
        <f>Sheet1!A3368</f>
        <v>0</v>
      </c>
      <c r="B3368">
        <f>Sheet1!B3368</f>
        <v>0</v>
      </c>
      <c r="C3368">
        <f>IF(Sheet1!B3368&gt;0,1,0)</f>
        <v>0</v>
      </c>
    </row>
    <row r="3369" spans="1:3" x14ac:dyDescent="0.25">
      <c r="A3369" s="15">
        <f>Sheet1!A3369</f>
        <v>0</v>
      </c>
      <c r="B3369">
        <f>Sheet1!B3369</f>
        <v>10.64</v>
      </c>
      <c r="C3369">
        <f>IF(Sheet1!B3369&gt;0,1,0)</f>
        <v>1</v>
      </c>
    </row>
    <row r="3370" spans="1:3" x14ac:dyDescent="0.25">
      <c r="A3370" s="15">
        <f>Sheet1!A3370</f>
        <v>0</v>
      </c>
      <c r="B3370">
        <f>Sheet1!B3370</f>
        <v>9.56</v>
      </c>
      <c r="C3370">
        <f>IF(Sheet1!B3370&gt;0,1,0)</f>
        <v>1</v>
      </c>
    </row>
    <row r="3371" spans="1:3" x14ac:dyDescent="0.25">
      <c r="A3371" s="15">
        <f>Sheet1!A3371</f>
        <v>0</v>
      </c>
      <c r="B3371">
        <f>Sheet1!B3371</f>
        <v>0</v>
      </c>
      <c r="C3371">
        <f>IF(Sheet1!B3371&gt;0,1,0)</f>
        <v>0</v>
      </c>
    </row>
    <row r="3372" spans="1:3" x14ac:dyDescent="0.25">
      <c r="A3372" s="15">
        <f>Sheet1!A3372</f>
        <v>0</v>
      </c>
      <c r="B3372">
        <f>Sheet1!B3372</f>
        <v>0</v>
      </c>
      <c r="C3372">
        <f>IF(Sheet1!B3372&gt;0,1,0)</f>
        <v>0</v>
      </c>
    </row>
    <row r="3373" spans="1:3" x14ac:dyDescent="0.25">
      <c r="A3373" s="15">
        <f>Sheet1!A3373</f>
        <v>0</v>
      </c>
      <c r="B3373">
        <f>Sheet1!B3373</f>
        <v>0</v>
      </c>
      <c r="C3373">
        <f>IF(Sheet1!B3373&gt;0,1,0)</f>
        <v>0</v>
      </c>
    </row>
    <row r="3374" spans="1:3" x14ac:dyDescent="0.25">
      <c r="A3374" s="15">
        <f>Sheet1!A3374</f>
        <v>0</v>
      </c>
      <c r="B3374">
        <f>Sheet1!B3374</f>
        <v>11.57</v>
      </c>
      <c r="C3374">
        <f>IF(Sheet1!B3374&gt;0,1,0)</f>
        <v>1</v>
      </c>
    </row>
    <row r="3375" spans="1:3" x14ac:dyDescent="0.25">
      <c r="A3375" s="15">
        <f>Sheet1!A3375</f>
        <v>0</v>
      </c>
      <c r="B3375">
        <f>Sheet1!B3375</f>
        <v>0</v>
      </c>
      <c r="C3375">
        <f>IF(Sheet1!B3375&gt;0,1,0)</f>
        <v>0</v>
      </c>
    </row>
    <row r="3376" spans="1:3" x14ac:dyDescent="0.25">
      <c r="A3376" s="15">
        <f>Sheet1!A3376</f>
        <v>0</v>
      </c>
      <c r="B3376">
        <f>Sheet1!B3376</f>
        <v>0</v>
      </c>
      <c r="C3376">
        <f>IF(Sheet1!B3376&gt;0,1,0)</f>
        <v>0</v>
      </c>
    </row>
    <row r="3377" spans="1:3" x14ac:dyDescent="0.25">
      <c r="A3377" s="15">
        <f>Sheet1!A3377</f>
        <v>0</v>
      </c>
      <c r="B3377">
        <f>Sheet1!B3377</f>
        <v>0</v>
      </c>
      <c r="C3377">
        <f>IF(Sheet1!B3377&gt;0,1,0)</f>
        <v>0</v>
      </c>
    </row>
    <row r="3378" spans="1:3" x14ac:dyDescent="0.25">
      <c r="A3378" s="15">
        <f>Sheet1!A3378</f>
        <v>0</v>
      </c>
      <c r="B3378">
        <f>Sheet1!B3378</f>
        <v>0</v>
      </c>
      <c r="C3378">
        <f>IF(Sheet1!B3378&gt;0,1,0)</f>
        <v>0</v>
      </c>
    </row>
    <row r="3379" spans="1:3" x14ac:dyDescent="0.25">
      <c r="A3379" s="15">
        <f>Sheet1!A3379</f>
        <v>0</v>
      </c>
      <c r="B3379">
        <f>Sheet1!B3379</f>
        <v>0</v>
      </c>
      <c r="C3379">
        <f>IF(Sheet1!B3379&gt;0,1,0)</f>
        <v>0</v>
      </c>
    </row>
    <row r="3380" spans="1:3" x14ac:dyDescent="0.25">
      <c r="A3380" s="15">
        <f>Sheet1!A3380</f>
        <v>0</v>
      </c>
      <c r="B3380">
        <f>Sheet1!B3380</f>
        <v>0</v>
      </c>
      <c r="C3380">
        <f>IF(Sheet1!B3380&gt;0,1,0)</f>
        <v>0</v>
      </c>
    </row>
    <row r="3381" spans="1:3" x14ac:dyDescent="0.25">
      <c r="A3381" s="15">
        <f>Sheet1!A3381</f>
        <v>0</v>
      </c>
      <c r="B3381">
        <f>Sheet1!B3381</f>
        <v>0</v>
      </c>
      <c r="C3381">
        <f>IF(Sheet1!B3381&gt;0,1,0)</f>
        <v>0</v>
      </c>
    </row>
    <row r="3382" spans="1:3" x14ac:dyDescent="0.25">
      <c r="A3382" s="15">
        <f>Sheet1!A3382</f>
        <v>0</v>
      </c>
      <c r="B3382">
        <f>Sheet1!B3382</f>
        <v>0</v>
      </c>
      <c r="C3382">
        <f>IF(Sheet1!B3382&gt;0,1,0)</f>
        <v>0</v>
      </c>
    </row>
    <row r="3383" spans="1:3" x14ac:dyDescent="0.25">
      <c r="A3383" s="15">
        <f>Sheet1!A3383</f>
        <v>0</v>
      </c>
      <c r="B3383">
        <f>Sheet1!B3383</f>
        <v>0</v>
      </c>
      <c r="C3383">
        <f>IF(Sheet1!B3383&gt;0,1,0)</f>
        <v>0</v>
      </c>
    </row>
    <row r="3384" spans="1:3" x14ac:dyDescent="0.25">
      <c r="A3384" s="15">
        <f>Sheet1!A3384</f>
        <v>0</v>
      </c>
      <c r="B3384">
        <f>Sheet1!B3384</f>
        <v>0</v>
      </c>
      <c r="C3384">
        <f>IF(Sheet1!B3384&gt;0,1,0)</f>
        <v>0</v>
      </c>
    </row>
    <row r="3385" spans="1:3" x14ac:dyDescent="0.25">
      <c r="A3385" s="15">
        <f>Sheet1!A3385</f>
        <v>0</v>
      </c>
      <c r="B3385">
        <f>Sheet1!B3385</f>
        <v>0</v>
      </c>
      <c r="C3385">
        <f>IF(Sheet1!B3385&gt;0,1,0)</f>
        <v>0</v>
      </c>
    </row>
    <row r="3386" spans="1:3" x14ac:dyDescent="0.25">
      <c r="A3386" s="15">
        <f>Sheet1!A3386</f>
        <v>0</v>
      </c>
      <c r="B3386">
        <f>Sheet1!B3386</f>
        <v>0</v>
      </c>
      <c r="C3386">
        <f>IF(Sheet1!B3386&gt;0,1,0)</f>
        <v>0</v>
      </c>
    </row>
    <row r="3387" spans="1:3" x14ac:dyDescent="0.25">
      <c r="A3387" s="15">
        <f>Sheet1!A3387</f>
        <v>0</v>
      </c>
      <c r="B3387">
        <f>Sheet1!B3387</f>
        <v>0</v>
      </c>
      <c r="C3387">
        <f>IF(Sheet1!B3387&gt;0,1,0)</f>
        <v>0</v>
      </c>
    </row>
    <row r="3388" spans="1:3" x14ac:dyDescent="0.25">
      <c r="A3388" s="15">
        <f>Sheet1!A3388</f>
        <v>0</v>
      </c>
      <c r="B3388">
        <f>Sheet1!B3388</f>
        <v>10.6</v>
      </c>
      <c r="C3388">
        <f>IF(Sheet1!B3388&gt;0,1,0)</f>
        <v>1</v>
      </c>
    </row>
    <row r="3389" spans="1:3" x14ac:dyDescent="0.25">
      <c r="A3389" s="15">
        <f>Sheet1!A3389</f>
        <v>0</v>
      </c>
      <c r="B3389">
        <f>Sheet1!B3389</f>
        <v>0</v>
      </c>
      <c r="C3389">
        <f>IF(Sheet1!B3389&gt;0,1,0)</f>
        <v>0</v>
      </c>
    </row>
    <row r="3390" spans="1:3" x14ac:dyDescent="0.25">
      <c r="A3390" s="15">
        <f>Sheet1!A3390</f>
        <v>0</v>
      </c>
      <c r="B3390">
        <f>Sheet1!B3390</f>
        <v>0</v>
      </c>
      <c r="C3390">
        <f>IF(Sheet1!B3390&gt;0,1,0)</f>
        <v>0</v>
      </c>
    </row>
    <row r="3391" spans="1:3" x14ac:dyDescent="0.25">
      <c r="A3391" s="15">
        <f>Sheet1!A3391</f>
        <v>0</v>
      </c>
      <c r="B3391">
        <f>Sheet1!B3391</f>
        <v>0</v>
      </c>
      <c r="C3391">
        <f>IF(Sheet1!B3391&gt;0,1,0)</f>
        <v>0</v>
      </c>
    </row>
    <row r="3392" spans="1:3" x14ac:dyDescent="0.25">
      <c r="A3392" s="15">
        <f>Sheet1!A3392</f>
        <v>0</v>
      </c>
      <c r="B3392">
        <f>Sheet1!B3392</f>
        <v>9.31</v>
      </c>
      <c r="C3392">
        <f>IF(Sheet1!B3392&gt;0,1,0)</f>
        <v>1</v>
      </c>
    </row>
    <row r="3393" spans="1:3" x14ac:dyDescent="0.25">
      <c r="A3393" s="15">
        <f>Sheet1!A3393</f>
        <v>0</v>
      </c>
      <c r="B3393">
        <f>Sheet1!B3393</f>
        <v>0</v>
      </c>
      <c r="C3393">
        <f>IF(Sheet1!B3393&gt;0,1,0)</f>
        <v>0</v>
      </c>
    </row>
    <row r="3394" spans="1:3" x14ac:dyDescent="0.25">
      <c r="A3394" s="15">
        <f>Sheet1!A3394</f>
        <v>0</v>
      </c>
      <c r="B3394">
        <f>Sheet1!B3394</f>
        <v>0</v>
      </c>
      <c r="C3394">
        <f>IF(Sheet1!B3394&gt;0,1,0)</f>
        <v>0</v>
      </c>
    </row>
    <row r="3395" spans="1:3" x14ac:dyDescent="0.25">
      <c r="A3395" s="15">
        <f>Sheet1!A3395</f>
        <v>0</v>
      </c>
      <c r="B3395">
        <f>Sheet1!B3395</f>
        <v>0</v>
      </c>
      <c r="C3395">
        <f>IF(Sheet1!B3395&gt;0,1,0)</f>
        <v>0</v>
      </c>
    </row>
    <row r="3396" spans="1:3" x14ac:dyDescent="0.25">
      <c r="A3396" s="15">
        <f>Sheet1!A3396</f>
        <v>0</v>
      </c>
      <c r="B3396">
        <f>Sheet1!B3396</f>
        <v>0</v>
      </c>
      <c r="C3396">
        <f>IF(Sheet1!B3396&gt;0,1,0)</f>
        <v>0</v>
      </c>
    </row>
    <row r="3397" spans="1:3" x14ac:dyDescent="0.25">
      <c r="A3397" s="15">
        <f>Sheet1!A3397</f>
        <v>0</v>
      </c>
      <c r="B3397">
        <f>Sheet1!B3397</f>
        <v>0</v>
      </c>
      <c r="C3397">
        <f>IF(Sheet1!B3397&gt;0,1,0)</f>
        <v>0</v>
      </c>
    </row>
    <row r="3398" spans="1:3" x14ac:dyDescent="0.25">
      <c r="A3398" s="15">
        <f>Sheet1!A3398</f>
        <v>0</v>
      </c>
      <c r="B3398">
        <f>Sheet1!B3398</f>
        <v>0</v>
      </c>
      <c r="C3398">
        <f>IF(Sheet1!B3398&gt;0,1,0)</f>
        <v>0</v>
      </c>
    </row>
    <row r="3399" spans="1:3" x14ac:dyDescent="0.25">
      <c r="A3399" s="15">
        <f>Sheet1!A3399</f>
        <v>0</v>
      </c>
      <c r="B3399">
        <f>Sheet1!B3399</f>
        <v>0</v>
      </c>
      <c r="C3399">
        <f>IF(Sheet1!B3399&gt;0,1,0)</f>
        <v>0</v>
      </c>
    </row>
    <row r="3400" spans="1:3" x14ac:dyDescent="0.25">
      <c r="A3400" s="15">
        <f>Sheet1!A3400</f>
        <v>0</v>
      </c>
      <c r="B3400">
        <f>Sheet1!B3400</f>
        <v>0</v>
      </c>
      <c r="C3400">
        <f>IF(Sheet1!B3400&gt;0,1,0)</f>
        <v>0</v>
      </c>
    </row>
    <row r="3401" spans="1:3" x14ac:dyDescent="0.25">
      <c r="A3401" s="15">
        <f>Sheet1!A3401</f>
        <v>0</v>
      </c>
      <c r="B3401">
        <f>Sheet1!B3401</f>
        <v>0</v>
      </c>
      <c r="C3401">
        <f>IF(Sheet1!B3401&gt;0,1,0)</f>
        <v>0</v>
      </c>
    </row>
    <row r="3402" spans="1:3" x14ac:dyDescent="0.25">
      <c r="A3402" s="15">
        <f>Sheet1!A3402</f>
        <v>0</v>
      </c>
      <c r="B3402">
        <f>Sheet1!B3402</f>
        <v>0</v>
      </c>
      <c r="C3402">
        <f>IF(Sheet1!B3402&gt;0,1,0)</f>
        <v>0</v>
      </c>
    </row>
    <row r="3403" spans="1:3" x14ac:dyDescent="0.25">
      <c r="A3403" s="15">
        <f>Sheet1!A3403</f>
        <v>0</v>
      </c>
      <c r="B3403">
        <f>Sheet1!B3403</f>
        <v>0</v>
      </c>
      <c r="C3403">
        <f>IF(Sheet1!B3403&gt;0,1,0)</f>
        <v>0</v>
      </c>
    </row>
    <row r="3404" spans="1:3" x14ac:dyDescent="0.25">
      <c r="A3404" s="15">
        <f>Sheet1!A3404</f>
        <v>0</v>
      </c>
      <c r="B3404">
        <f>Sheet1!B3404</f>
        <v>0</v>
      </c>
      <c r="C3404">
        <f>IF(Sheet1!B3404&gt;0,1,0)</f>
        <v>0</v>
      </c>
    </row>
    <row r="3405" spans="1:3" x14ac:dyDescent="0.25">
      <c r="A3405" s="15">
        <f>Sheet1!A3405</f>
        <v>0</v>
      </c>
      <c r="B3405">
        <f>Sheet1!B3405</f>
        <v>0</v>
      </c>
      <c r="C3405">
        <f>IF(Sheet1!B3405&gt;0,1,0)</f>
        <v>0</v>
      </c>
    </row>
    <row r="3406" spans="1:3" x14ac:dyDescent="0.25">
      <c r="A3406" s="15">
        <f>Sheet1!A3406</f>
        <v>0</v>
      </c>
      <c r="B3406">
        <f>Sheet1!B3406</f>
        <v>0</v>
      </c>
      <c r="C3406">
        <f>IF(Sheet1!B3406&gt;0,1,0)</f>
        <v>0</v>
      </c>
    </row>
    <row r="3407" spans="1:3" x14ac:dyDescent="0.25">
      <c r="A3407" s="15">
        <f>Sheet1!A3407</f>
        <v>0</v>
      </c>
      <c r="B3407">
        <f>Sheet1!B3407</f>
        <v>0</v>
      </c>
      <c r="C3407">
        <f>IF(Sheet1!B3407&gt;0,1,0)</f>
        <v>0</v>
      </c>
    </row>
    <row r="3408" spans="1:3" x14ac:dyDescent="0.25">
      <c r="A3408" s="15">
        <f>Sheet1!A3408</f>
        <v>0</v>
      </c>
      <c r="B3408">
        <f>Sheet1!B3408</f>
        <v>0</v>
      </c>
      <c r="C3408">
        <f>IF(Sheet1!B3408&gt;0,1,0)</f>
        <v>0</v>
      </c>
    </row>
    <row r="3409" spans="1:3" x14ac:dyDescent="0.25">
      <c r="A3409" s="15">
        <f>Sheet1!A3409</f>
        <v>0</v>
      </c>
      <c r="B3409">
        <f>Sheet1!B3409</f>
        <v>0</v>
      </c>
      <c r="C3409">
        <f>IF(Sheet1!B3409&gt;0,1,0)</f>
        <v>0</v>
      </c>
    </row>
    <row r="3410" spans="1:3" x14ac:dyDescent="0.25">
      <c r="A3410" s="15">
        <f>Sheet1!A3410</f>
        <v>0</v>
      </c>
      <c r="B3410">
        <f>Sheet1!B3410</f>
        <v>0</v>
      </c>
      <c r="C3410">
        <f>IF(Sheet1!B3410&gt;0,1,0)</f>
        <v>0</v>
      </c>
    </row>
    <row r="3411" spans="1:3" x14ac:dyDescent="0.25">
      <c r="A3411" s="15">
        <f>Sheet1!A3411</f>
        <v>0</v>
      </c>
      <c r="B3411">
        <f>Sheet1!B3411</f>
        <v>0</v>
      </c>
      <c r="C3411">
        <f>IF(Sheet1!B3411&gt;0,1,0)</f>
        <v>0</v>
      </c>
    </row>
    <row r="3412" spans="1:3" x14ac:dyDescent="0.25">
      <c r="A3412" s="15">
        <f>Sheet1!A3412</f>
        <v>0</v>
      </c>
      <c r="B3412">
        <f>Sheet1!B3412</f>
        <v>0</v>
      </c>
      <c r="C3412">
        <f>IF(Sheet1!B3412&gt;0,1,0)</f>
        <v>0</v>
      </c>
    </row>
    <row r="3413" spans="1:3" x14ac:dyDescent="0.25">
      <c r="A3413" s="15">
        <f>Sheet1!A3413</f>
        <v>0</v>
      </c>
      <c r="B3413">
        <f>Sheet1!B3413</f>
        <v>0</v>
      </c>
      <c r="C3413">
        <f>IF(Sheet1!B3413&gt;0,1,0)</f>
        <v>0</v>
      </c>
    </row>
    <row r="3414" spans="1:3" x14ac:dyDescent="0.25">
      <c r="A3414" s="15">
        <f>Sheet1!A3414</f>
        <v>0</v>
      </c>
      <c r="B3414">
        <f>Sheet1!B3414</f>
        <v>10.06</v>
      </c>
      <c r="C3414">
        <f>IF(Sheet1!B3414&gt;0,1,0)</f>
        <v>1</v>
      </c>
    </row>
    <row r="3415" spans="1:3" x14ac:dyDescent="0.25">
      <c r="A3415" s="15">
        <f>Sheet1!A3415</f>
        <v>0</v>
      </c>
      <c r="B3415">
        <f>Sheet1!B3415</f>
        <v>0</v>
      </c>
      <c r="C3415">
        <f>IF(Sheet1!B3415&gt;0,1,0)</f>
        <v>0</v>
      </c>
    </row>
    <row r="3416" spans="1:3" x14ac:dyDescent="0.25">
      <c r="A3416" s="15">
        <f>Sheet1!A3416</f>
        <v>0</v>
      </c>
      <c r="B3416">
        <f>Sheet1!B3416</f>
        <v>0</v>
      </c>
      <c r="C3416">
        <f>IF(Sheet1!B3416&gt;0,1,0)</f>
        <v>0</v>
      </c>
    </row>
    <row r="3417" spans="1:3" x14ac:dyDescent="0.25">
      <c r="A3417" s="15">
        <f>Sheet1!A3417</f>
        <v>0</v>
      </c>
      <c r="B3417">
        <f>Sheet1!B3417</f>
        <v>0</v>
      </c>
      <c r="C3417">
        <f>IF(Sheet1!B3417&gt;0,1,0)</f>
        <v>0</v>
      </c>
    </row>
    <row r="3418" spans="1:3" x14ac:dyDescent="0.25">
      <c r="A3418" s="15">
        <f>Sheet1!A3418</f>
        <v>0</v>
      </c>
      <c r="B3418">
        <f>Sheet1!B3418</f>
        <v>0</v>
      </c>
      <c r="C3418">
        <f>IF(Sheet1!B3418&gt;0,1,0)</f>
        <v>0</v>
      </c>
    </row>
    <row r="3419" spans="1:3" x14ac:dyDescent="0.25">
      <c r="A3419" s="15">
        <f>Sheet1!A3419</f>
        <v>0</v>
      </c>
      <c r="B3419">
        <f>Sheet1!B3419</f>
        <v>0</v>
      </c>
      <c r="C3419">
        <f>IF(Sheet1!B3419&gt;0,1,0)</f>
        <v>0</v>
      </c>
    </row>
    <row r="3420" spans="1:3" x14ac:dyDescent="0.25">
      <c r="A3420" s="15">
        <f>Sheet1!A3420</f>
        <v>0</v>
      </c>
      <c r="B3420">
        <f>Sheet1!B3420</f>
        <v>11.81</v>
      </c>
      <c r="C3420">
        <f>IF(Sheet1!B3420&gt;0,1,0)</f>
        <v>1</v>
      </c>
    </row>
    <row r="3421" spans="1:3" x14ac:dyDescent="0.25">
      <c r="A3421" s="15">
        <f>Sheet1!A3421</f>
        <v>0</v>
      </c>
      <c r="B3421">
        <f>Sheet1!B3421</f>
        <v>0</v>
      </c>
      <c r="C3421">
        <f>IF(Sheet1!B3421&gt;0,1,0)</f>
        <v>0</v>
      </c>
    </row>
    <row r="3422" spans="1:3" x14ac:dyDescent="0.25">
      <c r="A3422" s="15">
        <f>Sheet1!A3422</f>
        <v>0</v>
      </c>
      <c r="B3422">
        <f>Sheet1!B3422</f>
        <v>0</v>
      </c>
      <c r="C3422">
        <f>IF(Sheet1!B3422&gt;0,1,0)</f>
        <v>0</v>
      </c>
    </row>
    <row r="3423" spans="1:3" x14ac:dyDescent="0.25">
      <c r="A3423" s="15">
        <f>Sheet1!A3423</f>
        <v>0</v>
      </c>
      <c r="B3423">
        <f>Sheet1!B3423</f>
        <v>0</v>
      </c>
      <c r="C3423">
        <f>IF(Sheet1!B3423&gt;0,1,0)</f>
        <v>0</v>
      </c>
    </row>
    <row r="3424" spans="1:3" x14ac:dyDescent="0.25">
      <c r="A3424" s="15">
        <f>Sheet1!A3424</f>
        <v>0</v>
      </c>
      <c r="B3424">
        <f>Sheet1!B3424</f>
        <v>0</v>
      </c>
      <c r="C3424">
        <f>IF(Sheet1!B3424&gt;0,1,0)</f>
        <v>0</v>
      </c>
    </row>
    <row r="3425" spans="1:3" x14ac:dyDescent="0.25">
      <c r="A3425" s="15">
        <f>Sheet1!A3425</f>
        <v>0</v>
      </c>
      <c r="B3425">
        <f>Sheet1!B3425</f>
        <v>0</v>
      </c>
      <c r="C3425">
        <f>IF(Sheet1!B3425&gt;0,1,0)</f>
        <v>0</v>
      </c>
    </row>
    <row r="3426" spans="1:3" x14ac:dyDescent="0.25">
      <c r="A3426" s="15">
        <f>Sheet1!A3426</f>
        <v>0</v>
      </c>
      <c r="B3426">
        <f>Sheet1!B3426</f>
        <v>12.86</v>
      </c>
      <c r="C3426">
        <f>IF(Sheet1!B3426&gt;0,1,0)</f>
        <v>1</v>
      </c>
    </row>
    <row r="3427" spans="1:3" x14ac:dyDescent="0.25">
      <c r="A3427" s="15">
        <f>Sheet1!A3427</f>
        <v>0</v>
      </c>
      <c r="B3427">
        <f>Sheet1!B3427</f>
        <v>0</v>
      </c>
      <c r="C3427">
        <f>IF(Sheet1!B3427&gt;0,1,0)</f>
        <v>0</v>
      </c>
    </row>
    <row r="3428" spans="1:3" x14ac:dyDescent="0.25">
      <c r="A3428" s="15">
        <f>Sheet1!A3428</f>
        <v>0</v>
      </c>
      <c r="B3428">
        <f>Sheet1!B3428</f>
        <v>0</v>
      </c>
      <c r="C3428">
        <f>IF(Sheet1!B3428&gt;0,1,0)</f>
        <v>0</v>
      </c>
    </row>
    <row r="3429" spans="1:3" x14ac:dyDescent="0.25">
      <c r="A3429" s="15">
        <f>Sheet1!A3429</f>
        <v>0</v>
      </c>
      <c r="B3429">
        <f>Sheet1!B3429</f>
        <v>8.44</v>
      </c>
      <c r="C3429">
        <f>IF(Sheet1!B3429&gt;0,1,0)</f>
        <v>1</v>
      </c>
    </row>
    <row r="3430" spans="1:3" x14ac:dyDescent="0.25">
      <c r="A3430" s="15">
        <f>Sheet1!A3430</f>
        <v>0</v>
      </c>
      <c r="B3430">
        <f>Sheet1!B3430</f>
        <v>12.77</v>
      </c>
      <c r="C3430">
        <f>IF(Sheet1!B3430&gt;0,1,0)</f>
        <v>1</v>
      </c>
    </row>
    <row r="3431" spans="1:3" x14ac:dyDescent="0.25">
      <c r="A3431" s="15">
        <f>Sheet1!A3431</f>
        <v>0</v>
      </c>
      <c r="B3431">
        <f>Sheet1!B3431</f>
        <v>0</v>
      </c>
      <c r="C3431">
        <f>IF(Sheet1!B3431&gt;0,1,0)</f>
        <v>0</v>
      </c>
    </row>
    <row r="3432" spans="1:3" x14ac:dyDescent="0.25">
      <c r="A3432" s="15">
        <f>Sheet1!A3432</f>
        <v>0</v>
      </c>
      <c r="B3432">
        <f>Sheet1!B3432</f>
        <v>0</v>
      </c>
      <c r="C3432">
        <f>IF(Sheet1!B3432&gt;0,1,0)</f>
        <v>0</v>
      </c>
    </row>
    <row r="3433" spans="1:3" x14ac:dyDescent="0.25">
      <c r="A3433" s="15">
        <f>Sheet1!A3433</f>
        <v>0</v>
      </c>
      <c r="B3433">
        <f>Sheet1!B3433</f>
        <v>0</v>
      </c>
      <c r="C3433">
        <f>IF(Sheet1!B3433&gt;0,1,0)</f>
        <v>0</v>
      </c>
    </row>
    <row r="3434" spans="1:3" x14ac:dyDescent="0.25">
      <c r="A3434" s="15">
        <f>Sheet1!A3434</f>
        <v>0</v>
      </c>
      <c r="B3434">
        <f>Sheet1!B3434</f>
        <v>0</v>
      </c>
      <c r="C3434">
        <f>IF(Sheet1!B3434&gt;0,1,0)</f>
        <v>0</v>
      </c>
    </row>
    <row r="3435" spans="1:3" x14ac:dyDescent="0.25">
      <c r="A3435" s="15">
        <f>Sheet1!A3435</f>
        <v>0</v>
      </c>
      <c r="B3435">
        <f>Sheet1!B3435</f>
        <v>0</v>
      </c>
      <c r="C3435">
        <f>IF(Sheet1!B3435&gt;0,1,0)</f>
        <v>0</v>
      </c>
    </row>
    <row r="3436" spans="1:3" x14ac:dyDescent="0.25">
      <c r="A3436" s="15">
        <f>Sheet1!A3436</f>
        <v>0</v>
      </c>
      <c r="B3436">
        <f>Sheet1!B3436</f>
        <v>10.45</v>
      </c>
      <c r="C3436">
        <f>IF(Sheet1!B3436&gt;0,1,0)</f>
        <v>1</v>
      </c>
    </row>
    <row r="3437" spans="1:3" x14ac:dyDescent="0.25">
      <c r="A3437" s="15">
        <f>Sheet1!A3437</f>
        <v>0</v>
      </c>
      <c r="B3437">
        <f>Sheet1!B3437</f>
        <v>0</v>
      </c>
      <c r="C3437">
        <f>IF(Sheet1!B3437&gt;0,1,0)</f>
        <v>0</v>
      </c>
    </row>
    <row r="3438" spans="1:3" x14ac:dyDescent="0.25">
      <c r="A3438" s="15">
        <f>Sheet1!A3438</f>
        <v>0</v>
      </c>
      <c r="B3438">
        <f>Sheet1!B3438</f>
        <v>0</v>
      </c>
      <c r="C3438">
        <f>IF(Sheet1!B3438&gt;0,1,0)</f>
        <v>0</v>
      </c>
    </row>
    <row r="3439" spans="1:3" x14ac:dyDescent="0.25">
      <c r="A3439" s="15">
        <f>Sheet1!A3439</f>
        <v>0</v>
      </c>
      <c r="B3439">
        <f>Sheet1!B3439</f>
        <v>0</v>
      </c>
      <c r="C3439">
        <f>IF(Sheet1!B3439&gt;0,1,0)</f>
        <v>0</v>
      </c>
    </row>
    <row r="3440" spans="1:3" x14ac:dyDescent="0.25">
      <c r="A3440" s="15">
        <f>Sheet1!A3440</f>
        <v>0</v>
      </c>
      <c r="B3440">
        <f>Sheet1!B3440</f>
        <v>8.61</v>
      </c>
      <c r="C3440">
        <f>IF(Sheet1!B3440&gt;0,1,0)</f>
        <v>1</v>
      </c>
    </row>
    <row r="3441" spans="1:3" x14ac:dyDescent="0.25">
      <c r="A3441" s="15">
        <f>Sheet1!A3441</f>
        <v>0</v>
      </c>
      <c r="B3441">
        <f>Sheet1!B3441</f>
        <v>0</v>
      </c>
      <c r="C3441">
        <f>IF(Sheet1!B3441&gt;0,1,0)</f>
        <v>0</v>
      </c>
    </row>
    <row r="3442" spans="1:3" x14ac:dyDescent="0.25">
      <c r="A3442" s="15">
        <f>Sheet1!A3442</f>
        <v>0</v>
      </c>
      <c r="B3442">
        <f>Sheet1!B3442</f>
        <v>0</v>
      </c>
      <c r="C3442">
        <f>IF(Sheet1!B3442&gt;0,1,0)</f>
        <v>0</v>
      </c>
    </row>
    <row r="3443" spans="1:3" x14ac:dyDescent="0.25">
      <c r="A3443" s="15">
        <f>Sheet1!A3443</f>
        <v>0</v>
      </c>
      <c r="B3443">
        <f>Sheet1!B3443</f>
        <v>0</v>
      </c>
      <c r="C3443">
        <f>IF(Sheet1!B3443&gt;0,1,0)</f>
        <v>0</v>
      </c>
    </row>
    <row r="3444" spans="1:3" x14ac:dyDescent="0.25">
      <c r="A3444" s="15">
        <f>Sheet1!A3444</f>
        <v>0</v>
      </c>
      <c r="B3444">
        <f>Sheet1!B3444</f>
        <v>0</v>
      </c>
      <c r="C3444">
        <f>IF(Sheet1!B3444&gt;0,1,0)</f>
        <v>0</v>
      </c>
    </row>
    <row r="3445" spans="1:3" x14ac:dyDescent="0.25">
      <c r="A3445" s="15">
        <f>Sheet1!A3445</f>
        <v>0</v>
      </c>
      <c r="B3445">
        <f>Sheet1!B3445</f>
        <v>0</v>
      </c>
      <c r="C3445">
        <f>IF(Sheet1!B3445&gt;0,1,0)</f>
        <v>0</v>
      </c>
    </row>
    <row r="3446" spans="1:3" x14ac:dyDescent="0.25">
      <c r="A3446" s="15">
        <f>Sheet1!A3446</f>
        <v>0</v>
      </c>
      <c r="B3446">
        <f>Sheet1!B3446</f>
        <v>13.45</v>
      </c>
      <c r="C3446">
        <f>IF(Sheet1!B3446&gt;0,1,0)</f>
        <v>1</v>
      </c>
    </row>
    <row r="3447" spans="1:3" x14ac:dyDescent="0.25">
      <c r="A3447" s="15">
        <f>Sheet1!A3447</f>
        <v>0</v>
      </c>
      <c r="B3447">
        <f>Sheet1!B3447</f>
        <v>0</v>
      </c>
      <c r="C3447">
        <f>IF(Sheet1!B3447&gt;0,1,0)</f>
        <v>0</v>
      </c>
    </row>
    <row r="3448" spans="1:3" x14ac:dyDescent="0.25">
      <c r="A3448" s="15">
        <f>Sheet1!A3448</f>
        <v>0</v>
      </c>
      <c r="B3448">
        <f>Sheet1!B3448</f>
        <v>0</v>
      </c>
      <c r="C3448">
        <f>IF(Sheet1!B3448&gt;0,1,0)</f>
        <v>0</v>
      </c>
    </row>
    <row r="3449" spans="1:3" x14ac:dyDescent="0.25">
      <c r="A3449" s="15">
        <f>Sheet1!A3449</f>
        <v>0</v>
      </c>
      <c r="B3449">
        <f>Sheet1!B3449</f>
        <v>0</v>
      </c>
      <c r="C3449">
        <f>IF(Sheet1!B3449&gt;0,1,0)</f>
        <v>0</v>
      </c>
    </row>
    <row r="3450" spans="1:3" x14ac:dyDescent="0.25">
      <c r="A3450" s="15">
        <f>Sheet1!A3450</f>
        <v>0</v>
      </c>
      <c r="B3450">
        <f>Sheet1!B3450</f>
        <v>0</v>
      </c>
      <c r="C3450">
        <f>IF(Sheet1!B3450&gt;0,1,0)</f>
        <v>0</v>
      </c>
    </row>
    <row r="3451" spans="1:3" x14ac:dyDescent="0.25">
      <c r="A3451" s="15">
        <f>Sheet1!A3451</f>
        <v>0</v>
      </c>
      <c r="B3451">
        <f>Sheet1!B3451</f>
        <v>0</v>
      </c>
      <c r="C3451">
        <f>IF(Sheet1!B3451&gt;0,1,0)</f>
        <v>0</v>
      </c>
    </row>
    <row r="3452" spans="1:3" x14ac:dyDescent="0.25">
      <c r="A3452" s="15">
        <f>Sheet1!A3452</f>
        <v>0</v>
      </c>
      <c r="B3452">
        <f>Sheet1!B3452</f>
        <v>0</v>
      </c>
      <c r="C3452">
        <f>IF(Sheet1!B3452&gt;0,1,0)</f>
        <v>0</v>
      </c>
    </row>
    <row r="3453" spans="1:3" x14ac:dyDescent="0.25">
      <c r="A3453" s="15">
        <f>Sheet1!A3453</f>
        <v>0</v>
      </c>
      <c r="B3453">
        <f>Sheet1!B3453</f>
        <v>0</v>
      </c>
      <c r="C3453">
        <f>IF(Sheet1!B3453&gt;0,1,0)</f>
        <v>0</v>
      </c>
    </row>
    <row r="3454" spans="1:3" x14ac:dyDescent="0.25">
      <c r="A3454" s="15">
        <f>Sheet1!A3454</f>
        <v>0</v>
      </c>
      <c r="B3454">
        <f>Sheet1!B3454</f>
        <v>0</v>
      </c>
      <c r="C3454">
        <f>IF(Sheet1!B3454&gt;0,1,0)</f>
        <v>0</v>
      </c>
    </row>
    <row r="3455" spans="1:3" x14ac:dyDescent="0.25">
      <c r="A3455" s="15">
        <f>Sheet1!A3455</f>
        <v>0</v>
      </c>
      <c r="B3455">
        <f>Sheet1!B3455</f>
        <v>0</v>
      </c>
      <c r="C3455">
        <f>IF(Sheet1!B3455&gt;0,1,0)</f>
        <v>0</v>
      </c>
    </row>
    <row r="3456" spans="1:3" x14ac:dyDescent="0.25">
      <c r="A3456" s="15">
        <f>Sheet1!A3456</f>
        <v>0</v>
      </c>
      <c r="B3456">
        <f>Sheet1!B3456</f>
        <v>0</v>
      </c>
      <c r="C3456">
        <f>IF(Sheet1!B3456&gt;0,1,0)</f>
        <v>0</v>
      </c>
    </row>
    <row r="3457" spans="1:3" x14ac:dyDescent="0.25">
      <c r="A3457" s="15">
        <f>Sheet1!A3457</f>
        <v>0</v>
      </c>
      <c r="B3457">
        <f>Sheet1!B3457</f>
        <v>0</v>
      </c>
      <c r="C3457">
        <f>IF(Sheet1!B3457&gt;0,1,0)</f>
        <v>0</v>
      </c>
    </row>
    <row r="3458" spans="1:3" x14ac:dyDescent="0.25">
      <c r="A3458" s="15">
        <f>Sheet1!A3458</f>
        <v>0</v>
      </c>
      <c r="B3458">
        <f>Sheet1!B3458</f>
        <v>10.16</v>
      </c>
      <c r="C3458">
        <f>IF(Sheet1!B3458&gt;0,1,0)</f>
        <v>1</v>
      </c>
    </row>
    <row r="3459" spans="1:3" x14ac:dyDescent="0.25">
      <c r="A3459" s="15">
        <f>Sheet1!A3459</f>
        <v>0</v>
      </c>
      <c r="B3459">
        <f>Sheet1!B3459</f>
        <v>0</v>
      </c>
      <c r="C3459">
        <f>IF(Sheet1!B3459&gt;0,1,0)</f>
        <v>0</v>
      </c>
    </row>
    <row r="3460" spans="1:3" x14ac:dyDescent="0.25">
      <c r="A3460" s="15">
        <f>Sheet1!A3460</f>
        <v>0</v>
      </c>
      <c r="B3460">
        <f>Sheet1!B3460</f>
        <v>0</v>
      </c>
      <c r="C3460">
        <f>IF(Sheet1!B3460&gt;0,1,0)</f>
        <v>0</v>
      </c>
    </row>
    <row r="3461" spans="1:3" x14ac:dyDescent="0.25">
      <c r="A3461" s="15">
        <f>Sheet1!A3461</f>
        <v>0</v>
      </c>
      <c r="B3461">
        <f>Sheet1!B3461</f>
        <v>0</v>
      </c>
      <c r="C3461">
        <f>IF(Sheet1!B3461&gt;0,1,0)</f>
        <v>0</v>
      </c>
    </row>
    <row r="3462" spans="1:3" x14ac:dyDescent="0.25">
      <c r="A3462" s="15">
        <f>Sheet1!A3462</f>
        <v>0</v>
      </c>
      <c r="B3462">
        <f>Sheet1!B3462</f>
        <v>9.7200000000000006</v>
      </c>
      <c r="C3462">
        <f>IF(Sheet1!B3462&gt;0,1,0)</f>
        <v>1</v>
      </c>
    </row>
    <row r="3463" spans="1:3" x14ac:dyDescent="0.25">
      <c r="A3463" s="15">
        <f>Sheet1!A3463</f>
        <v>0</v>
      </c>
      <c r="B3463">
        <f>Sheet1!B3463</f>
        <v>0</v>
      </c>
      <c r="C3463">
        <f>IF(Sheet1!B3463&gt;0,1,0)</f>
        <v>0</v>
      </c>
    </row>
    <row r="3464" spans="1:3" x14ac:dyDescent="0.25">
      <c r="A3464" s="15">
        <f>Sheet1!A3464</f>
        <v>0</v>
      </c>
      <c r="B3464">
        <f>Sheet1!B3464</f>
        <v>0</v>
      </c>
      <c r="C3464">
        <f>IF(Sheet1!B3464&gt;0,1,0)</f>
        <v>0</v>
      </c>
    </row>
    <row r="3465" spans="1:3" x14ac:dyDescent="0.25">
      <c r="A3465" s="15">
        <f>Sheet1!A3465</f>
        <v>0</v>
      </c>
      <c r="B3465">
        <f>Sheet1!B3465</f>
        <v>0</v>
      </c>
      <c r="C3465">
        <f>IF(Sheet1!B3465&gt;0,1,0)</f>
        <v>0</v>
      </c>
    </row>
    <row r="3466" spans="1:3" x14ac:dyDescent="0.25">
      <c r="A3466" s="15">
        <f>Sheet1!A3466</f>
        <v>0</v>
      </c>
      <c r="B3466">
        <f>Sheet1!B3466</f>
        <v>12.54</v>
      </c>
      <c r="C3466">
        <f>IF(Sheet1!B3466&gt;0,1,0)</f>
        <v>1</v>
      </c>
    </row>
    <row r="3467" spans="1:3" x14ac:dyDescent="0.25">
      <c r="A3467" s="15">
        <f>Sheet1!A3467</f>
        <v>0</v>
      </c>
      <c r="B3467">
        <f>Sheet1!B3467</f>
        <v>0</v>
      </c>
      <c r="C3467">
        <f>IF(Sheet1!B3467&gt;0,1,0)</f>
        <v>0</v>
      </c>
    </row>
    <row r="3468" spans="1:3" x14ac:dyDescent="0.25">
      <c r="A3468" s="15">
        <f>Sheet1!A3468</f>
        <v>0</v>
      </c>
      <c r="B3468">
        <f>Sheet1!B3468</f>
        <v>0</v>
      </c>
      <c r="C3468">
        <f>IF(Sheet1!B3468&gt;0,1,0)</f>
        <v>0</v>
      </c>
    </row>
    <row r="3469" spans="1:3" x14ac:dyDescent="0.25">
      <c r="A3469" s="15">
        <f>Sheet1!A3469</f>
        <v>0</v>
      </c>
      <c r="B3469">
        <f>Sheet1!B3469</f>
        <v>0</v>
      </c>
      <c r="C3469">
        <f>IF(Sheet1!B3469&gt;0,1,0)</f>
        <v>0</v>
      </c>
    </row>
    <row r="3470" spans="1:3" x14ac:dyDescent="0.25">
      <c r="A3470" s="15">
        <f>Sheet1!A3470</f>
        <v>0</v>
      </c>
      <c r="B3470">
        <f>Sheet1!B3470</f>
        <v>0</v>
      </c>
      <c r="C3470">
        <f>IF(Sheet1!B3470&gt;0,1,0)</f>
        <v>0</v>
      </c>
    </row>
    <row r="3471" spans="1:3" x14ac:dyDescent="0.25">
      <c r="A3471" s="15">
        <f>Sheet1!A3471</f>
        <v>0</v>
      </c>
      <c r="B3471">
        <f>Sheet1!B3471</f>
        <v>0</v>
      </c>
      <c r="C3471">
        <f>IF(Sheet1!B3471&gt;0,1,0)</f>
        <v>0</v>
      </c>
    </row>
    <row r="3472" spans="1:3" x14ac:dyDescent="0.25">
      <c r="A3472" s="15">
        <f>Sheet1!A3472</f>
        <v>0</v>
      </c>
      <c r="B3472">
        <f>Sheet1!B3472</f>
        <v>14.77</v>
      </c>
      <c r="C3472">
        <f>IF(Sheet1!B3472&gt;0,1,0)</f>
        <v>1</v>
      </c>
    </row>
    <row r="3473" spans="1:3" x14ac:dyDescent="0.25">
      <c r="A3473" s="15">
        <f>Sheet1!A3473</f>
        <v>0</v>
      </c>
      <c r="B3473">
        <f>Sheet1!B3473</f>
        <v>0</v>
      </c>
      <c r="C3473">
        <f>IF(Sheet1!B3473&gt;0,1,0)</f>
        <v>0</v>
      </c>
    </row>
    <row r="3474" spans="1:3" x14ac:dyDescent="0.25">
      <c r="A3474" s="15">
        <f>Sheet1!A3474</f>
        <v>0</v>
      </c>
      <c r="B3474">
        <f>Sheet1!B3474</f>
        <v>0</v>
      </c>
      <c r="C3474">
        <f>IF(Sheet1!B3474&gt;0,1,0)</f>
        <v>0</v>
      </c>
    </row>
    <row r="3475" spans="1:3" x14ac:dyDescent="0.25">
      <c r="A3475" s="15">
        <f>Sheet1!A3475</f>
        <v>0</v>
      </c>
      <c r="B3475">
        <f>Sheet1!B3475</f>
        <v>0</v>
      </c>
      <c r="C3475">
        <f>IF(Sheet1!B3475&gt;0,1,0)</f>
        <v>0</v>
      </c>
    </row>
    <row r="3476" spans="1:3" x14ac:dyDescent="0.25">
      <c r="A3476" s="15">
        <f>Sheet1!A3476</f>
        <v>0</v>
      </c>
      <c r="B3476">
        <f>Sheet1!B3476</f>
        <v>0</v>
      </c>
      <c r="C3476">
        <f>IF(Sheet1!B3476&gt;0,1,0)</f>
        <v>0</v>
      </c>
    </row>
    <row r="3477" spans="1:3" x14ac:dyDescent="0.25">
      <c r="A3477" s="15">
        <f>Sheet1!A3477</f>
        <v>0</v>
      </c>
      <c r="B3477">
        <f>Sheet1!B3477</f>
        <v>0</v>
      </c>
      <c r="C3477">
        <f>IF(Sheet1!B3477&gt;0,1,0)</f>
        <v>0</v>
      </c>
    </row>
    <row r="3478" spans="1:3" x14ac:dyDescent="0.25">
      <c r="A3478" s="15">
        <f>Sheet1!A3478</f>
        <v>0</v>
      </c>
      <c r="B3478">
        <f>Sheet1!B3478</f>
        <v>13.93</v>
      </c>
      <c r="C3478">
        <f>IF(Sheet1!B3478&gt;0,1,0)</f>
        <v>1</v>
      </c>
    </row>
    <row r="3479" spans="1:3" x14ac:dyDescent="0.25">
      <c r="A3479" s="15">
        <f>Sheet1!A3479</f>
        <v>0</v>
      </c>
      <c r="B3479">
        <f>Sheet1!B3479</f>
        <v>0</v>
      </c>
      <c r="C3479">
        <f>IF(Sheet1!B3479&gt;0,1,0)</f>
        <v>0</v>
      </c>
    </row>
    <row r="3480" spans="1:3" x14ac:dyDescent="0.25">
      <c r="A3480" s="15">
        <f>Sheet1!A3480</f>
        <v>0</v>
      </c>
      <c r="B3480">
        <f>Sheet1!B3480</f>
        <v>0</v>
      </c>
      <c r="C3480">
        <f>IF(Sheet1!B3480&gt;0,1,0)</f>
        <v>0</v>
      </c>
    </row>
    <row r="3481" spans="1:3" x14ac:dyDescent="0.25">
      <c r="A3481" s="15">
        <f>Sheet1!A3481</f>
        <v>0</v>
      </c>
      <c r="B3481">
        <f>Sheet1!B3481</f>
        <v>0</v>
      </c>
      <c r="C3481">
        <f>IF(Sheet1!B3481&gt;0,1,0)</f>
        <v>0</v>
      </c>
    </row>
    <row r="3482" spans="1:3" x14ac:dyDescent="0.25">
      <c r="A3482" s="15">
        <f>Sheet1!A3482</f>
        <v>0</v>
      </c>
      <c r="B3482">
        <f>Sheet1!B3482</f>
        <v>10.029999999999999</v>
      </c>
      <c r="C3482">
        <f>IF(Sheet1!B3482&gt;0,1,0)</f>
        <v>1</v>
      </c>
    </row>
    <row r="3483" spans="1:3" x14ac:dyDescent="0.25">
      <c r="A3483" s="15">
        <f>Sheet1!A3483</f>
        <v>0</v>
      </c>
      <c r="B3483">
        <f>Sheet1!B3483</f>
        <v>0</v>
      </c>
      <c r="C3483">
        <f>IF(Sheet1!B3483&gt;0,1,0)</f>
        <v>0</v>
      </c>
    </row>
    <row r="3484" spans="1:3" x14ac:dyDescent="0.25">
      <c r="A3484" s="15">
        <f>Sheet1!A3484</f>
        <v>0</v>
      </c>
      <c r="B3484">
        <f>Sheet1!B3484</f>
        <v>0</v>
      </c>
      <c r="C3484">
        <f>IF(Sheet1!B3484&gt;0,1,0)</f>
        <v>0</v>
      </c>
    </row>
    <row r="3485" spans="1:3" x14ac:dyDescent="0.25">
      <c r="A3485" s="15">
        <f>Sheet1!A3485</f>
        <v>0</v>
      </c>
      <c r="B3485">
        <f>Sheet1!B3485</f>
        <v>0</v>
      </c>
      <c r="C3485">
        <f>IF(Sheet1!B3485&gt;0,1,0)</f>
        <v>0</v>
      </c>
    </row>
    <row r="3486" spans="1:3" x14ac:dyDescent="0.25">
      <c r="A3486" s="15">
        <f>Sheet1!A3486</f>
        <v>0</v>
      </c>
      <c r="B3486">
        <f>Sheet1!B3486</f>
        <v>0</v>
      </c>
      <c r="C3486">
        <f>IF(Sheet1!B3486&gt;0,1,0)</f>
        <v>0</v>
      </c>
    </row>
    <row r="3487" spans="1:3" x14ac:dyDescent="0.25">
      <c r="A3487" s="15">
        <f>Sheet1!A3487</f>
        <v>0</v>
      </c>
      <c r="B3487">
        <f>Sheet1!B3487</f>
        <v>0</v>
      </c>
      <c r="C3487">
        <f>IF(Sheet1!B3487&gt;0,1,0)</f>
        <v>0</v>
      </c>
    </row>
    <row r="3488" spans="1:3" x14ac:dyDescent="0.25">
      <c r="A3488" s="15">
        <f>Sheet1!A3488</f>
        <v>0</v>
      </c>
      <c r="B3488">
        <f>Sheet1!B3488</f>
        <v>0</v>
      </c>
      <c r="C3488">
        <f>IF(Sheet1!B3488&gt;0,1,0)</f>
        <v>0</v>
      </c>
    </row>
    <row r="3489" spans="1:3" x14ac:dyDescent="0.25">
      <c r="A3489" s="15">
        <f>Sheet1!A3489</f>
        <v>0</v>
      </c>
      <c r="B3489">
        <f>Sheet1!B3489</f>
        <v>0</v>
      </c>
      <c r="C3489">
        <f>IF(Sheet1!B3489&gt;0,1,0)</f>
        <v>0</v>
      </c>
    </row>
    <row r="3490" spans="1:3" x14ac:dyDescent="0.25">
      <c r="A3490" s="15">
        <f>Sheet1!A3490</f>
        <v>0</v>
      </c>
      <c r="B3490">
        <f>Sheet1!B3490</f>
        <v>0</v>
      </c>
      <c r="C3490">
        <f>IF(Sheet1!B3490&gt;0,1,0)</f>
        <v>0</v>
      </c>
    </row>
    <row r="3491" spans="1:3" x14ac:dyDescent="0.25">
      <c r="A3491" s="15">
        <f>Sheet1!A3491</f>
        <v>0</v>
      </c>
      <c r="B3491">
        <f>Sheet1!B3491</f>
        <v>0</v>
      </c>
      <c r="C3491">
        <f>IF(Sheet1!B3491&gt;0,1,0)</f>
        <v>0</v>
      </c>
    </row>
    <row r="3492" spans="1:3" x14ac:dyDescent="0.25">
      <c r="A3492" s="15">
        <f>Sheet1!A3492</f>
        <v>0</v>
      </c>
      <c r="B3492">
        <f>Sheet1!B3492</f>
        <v>0</v>
      </c>
      <c r="C3492">
        <f>IF(Sheet1!B3492&gt;0,1,0)</f>
        <v>0</v>
      </c>
    </row>
    <row r="3493" spans="1:3" x14ac:dyDescent="0.25">
      <c r="A3493" s="15">
        <f>Sheet1!A3493</f>
        <v>0</v>
      </c>
      <c r="B3493">
        <f>Sheet1!B3493</f>
        <v>0</v>
      </c>
      <c r="C3493">
        <f>IF(Sheet1!B3493&gt;0,1,0)</f>
        <v>0</v>
      </c>
    </row>
    <row r="3494" spans="1:3" x14ac:dyDescent="0.25">
      <c r="A3494" s="15">
        <f>Sheet1!A3494</f>
        <v>0</v>
      </c>
      <c r="B3494">
        <f>Sheet1!B3494</f>
        <v>0</v>
      </c>
      <c r="C3494">
        <f>IF(Sheet1!B3494&gt;0,1,0)</f>
        <v>0</v>
      </c>
    </row>
    <row r="3495" spans="1:3" x14ac:dyDescent="0.25">
      <c r="A3495" s="15">
        <f>Sheet1!A3495</f>
        <v>0</v>
      </c>
      <c r="B3495">
        <f>Sheet1!B3495</f>
        <v>0</v>
      </c>
      <c r="C3495">
        <f>IF(Sheet1!B3495&gt;0,1,0)</f>
        <v>0</v>
      </c>
    </row>
    <row r="3496" spans="1:3" x14ac:dyDescent="0.25">
      <c r="A3496" s="15">
        <f>Sheet1!A3496</f>
        <v>0</v>
      </c>
      <c r="B3496">
        <f>Sheet1!B3496</f>
        <v>0</v>
      </c>
      <c r="C3496">
        <f>IF(Sheet1!B3496&gt;0,1,0)</f>
        <v>0</v>
      </c>
    </row>
    <row r="3497" spans="1:3" x14ac:dyDescent="0.25">
      <c r="A3497" s="15">
        <f>Sheet1!A3497</f>
        <v>0</v>
      </c>
      <c r="B3497">
        <f>Sheet1!B3497</f>
        <v>0</v>
      </c>
      <c r="C3497">
        <f>IF(Sheet1!B3497&gt;0,1,0)</f>
        <v>0</v>
      </c>
    </row>
    <row r="3498" spans="1:3" x14ac:dyDescent="0.25">
      <c r="A3498" s="15">
        <f>Sheet1!A3498</f>
        <v>0</v>
      </c>
      <c r="B3498">
        <f>Sheet1!B3498</f>
        <v>0</v>
      </c>
      <c r="C3498">
        <f>IF(Sheet1!B3498&gt;0,1,0)</f>
        <v>0</v>
      </c>
    </row>
    <row r="3499" spans="1:3" x14ac:dyDescent="0.25">
      <c r="A3499" s="15">
        <f>Sheet1!A3499</f>
        <v>0</v>
      </c>
      <c r="B3499">
        <f>Sheet1!B3499</f>
        <v>0</v>
      </c>
      <c r="C3499">
        <f>IF(Sheet1!B3499&gt;0,1,0)</f>
        <v>0</v>
      </c>
    </row>
    <row r="3500" spans="1:3" x14ac:dyDescent="0.25">
      <c r="A3500" s="15">
        <f>Sheet1!A3500</f>
        <v>0</v>
      </c>
      <c r="B3500">
        <f>Sheet1!B3500</f>
        <v>13.38</v>
      </c>
      <c r="C3500">
        <f>IF(Sheet1!B3500&gt;0,1,0)</f>
        <v>1</v>
      </c>
    </row>
    <row r="3501" spans="1:3" x14ac:dyDescent="0.25">
      <c r="A3501" s="15">
        <f>Sheet1!A3501</f>
        <v>0</v>
      </c>
      <c r="B3501">
        <f>Sheet1!B3501</f>
        <v>0</v>
      </c>
      <c r="C3501">
        <f>IF(Sheet1!B3501&gt;0,1,0)</f>
        <v>0</v>
      </c>
    </row>
    <row r="3502" spans="1:3" x14ac:dyDescent="0.25">
      <c r="A3502" s="15">
        <f>Sheet1!A3502</f>
        <v>0</v>
      </c>
      <c r="B3502">
        <f>Sheet1!B3502</f>
        <v>0</v>
      </c>
      <c r="C3502">
        <f>IF(Sheet1!B3502&gt;0,1,0)</f>
        <v>0</v>
      </c>
    </row>
    <row r="3503" spans="1:3" x14ac:dyDescent="0.25">
      <c r="A3503" s="15">
        <f>Sheet1!A3503</f>
        <v>0</v>
      </c>
      <c r="B3503">
        <f>Sheet1!B3503</f>
        <v>0</v>
      </c>
      <c r="C3503">
        <f>IF(Sheet1!B3503&gt;0,1,0)</f>
        <v>0</v>
      </c>
    </row>
    <row r="3504" spans="1:3" x14ac:dyDescent="0.25">
      <c r="A3504" s="15">
        <f>Sheet1!A3504</f>
        <v>0</v>
      </c>
      <c r="B3504">
        <f>Sheet1!B3504</f>
        <v>0</v>
      </c>
      <c r="C3504">
        <f>IF(Sheet1!B3504&gt;0,1,0)</f>
        <v>0</v>
      </c>
    </row>
    <row r="3505" spans="1:3" x14ac:dyDescent="0.25">
      <c r="A3505" s="15">
        <f>Sheet1!A3505</f>
        <v>0</v>
      </c>
      <c r="B3505">
        <f>Sheet1!B3505</f>
        <v>0</v>
      </c>
      <c r="C3505">
        <f>IF(Sheet1!B3505&gt;0,1,0)</f>
        <v>0</v>
      </c>
    </row>
    <row r="3506" spans="1:3" x14ac:dyDescent="0.25">
      <c r="A3506" s="15">
        <f>Sheet1!A3506</f>
        <v>0</v>
      </c>
      <c r="B3506">
        <f>Sheet1!B3506</f>
        <v>0</v>
      </c>
      <c r="C3506">
        <f>IF(Sheet1!B3506&gt;0,1,0)</f>
        <v>0</v>
      </c>
    </row>
    <row r="3507" spans="1:3" x14ac:dyDescent="0.25">
      <c r="A3507" s="15">
        <f>Sheet1!A3507</f>
        <v>0</v>
      </c>
      <c r="B3507">
        <f>Sheet1!B3507</f>
        <v>0</v>
      </c>
      <c r="C3507">
        <f>IF(Sheet1!B3507&gt;0,1,0)</f>
        <v>0</v>
      </c>
    </row>
    <row r="3508" spans="1:3" x14ac:dyDescent="0.25">
      <c r="A3508" s="15">
        <f>Sheet1!A3508</f>
        <v>0</v>
      </c>
      <c r="B3508">
        <f>Sheet1!B3508</f>
        <v>0</v>
      </c>
      <c r="C3508">
        <f>IF(Sheet1!B3508&gt;0,1,0)</f>
        <v>0</v>
      </c>
    </row>
    <row r="3509" spans="1:3" x14ac:dyDescent="0.25">
      <c r="A3509" s="15">
        <f>Sheet1!A3509</f>
        <v>0</v>
      </c>
      <c r="B3509">
        <f>Sheet1!B3509</f>
        <v>0</v>
      </c>
      <c r="C3509">
        <f>IF(Sheet1!B3509&gt;0,1,0)</f>
        <v>0</v>
      </c>
    </row>
    <row r="3510" spans="1:3" x14ac:dyDescent="0.25">
      <c r="A3510" s="15">
        <f>Sheet1!A3510</f>
        <v>0</v>
      </c>
      <c r="B3510">
        <f>Sheet1!B3510</f>
        <v>0</v>
      </c>
      <c r="C3510">
        <f>IF(Sheet1!B3510&gt;0,1,0)</f>
        <v>0</v>
      </c>
    </row>
    <row r="3511" spans="1:3" x14ac:dyDescent="0.25">
      <c r="A3511" s="15">
        <f>Sheet1!A3511</f>
        <v>0</v>
      </c>
      <c r="B3511">
        <f>Sheet1!B3511</f>
        <v>0</v>
      </c>
      <c r="C3511">
        <f>IF(Sheet1!B3511&gt;0,1,0)</f>
        <v>0</v>
      </c>
    </row>
    <row r="3512" spans="1:3" x14ac:dyDescent="0.25">
      <c r="A3512" s="15">
        <f>Sheet1!A3512</f>
        <v>0</v>
      </c>
      <c r="B3512">
        <f>Sheet1!B3512</f>
        <v>0</v>
      </c>
      <c r="C3512">
        <f>IF(Sheet1!B3512&gt;0,1,0)</f>
        <v>0</v>
      </c>
    </row>
    <row r="3513" spans="1:3" x14ac:dyDescent="0.25">
      <c r="A3513" s="15">
        <f>Sheet1!A3513</f>
        <v>0</v>
      </c>
      <c r="B3513">
        <f>Sheet1!B3513</f>
        <v>0</v>
      </c>
      <c r="C3513">
        <f>IF(Sheet1!B3513&gt;0,1,0)</f>
        <v>0</v>
      </c>
    </row>
    <row r="3514" spans="1:3" x14ac:dyDescent="0.25">
      <c r="A3514" s="15">
        <f>Sheet1!A3514</f>
        <v>0</v>
      </c>
      <c r="B3514">
        <f>Sheet1!B3514</f>
        <v>0</v>
      </c>
      <c r="C3514">
        <f>IF(Sheet1!B3514&gt;0,1,0)</f>
        <v>0</v>
      </c>
    </row>
    <row r="3515" spans="1:3" x14ac:dyDescent="0.25">
      <c r="A3515" s="15">
        <f>Sheet1!A3515</f>
        <v>0</v>
      </c>
      <c r="B3515">
        <f>Sheet1!B3515</f>
        <v>0</v>
      </c>
      <c r="C3515">
        <f>IF(Sheet1!B3515&gt;0,1,0)</f>
        <v>0</v>
      </c>
    </row>
    <row r="3516" spans="1:3" x14ac:dyDescent="0.25">
      <c r="A3516" s="15">
        <f>Sheet1!A3516</f>
        <v>0</v>
      </c>
      <c r="B3516">
        <f>Sheet1!B3516</f>
        <v>0</v>
      </c>
      <c r="C3516">
        <f>IF(Sheet1!B3516&gt;0,1,0)</f>
        <v>0</v>
      </c>
    </row>
    <row r="3517" spans="1:3" x14ac:dyDescent="0.25">
      <c r="A3517" s="15">
        <f>Sheet1!A3517</f>
        <v>0</v>
      </c>
      <c r="B3517">
        <f>Sheet1!B3517</f>
        <v>0</v>
      </c>
      <c r="C3517">
        <f>IF(Sheet1!B3517&gt;0,1,0)</f>
        <v>0</v>
      </c>
    </row>
    <row r="3518" spans="1:3" x14ac:dyDescent="0.25">
      <c r="A3518" s="15">
        <f>Sheet1!A3518</f>
        <v>0</v>
      </c>
      <c r="B3518">
        <f>Sheet1!B3518</f>
        <v>0</v>
      </c>
      <c r="C3518">
        <f>IF(Sheet1!B3518&gt;0,1,0)</f>
        <v>0</v>
      </c>
    </row>
    <row r="3519" spans="1:3" x14ac:dyDescent="0.25">
      <c r="A3519" s="15">
        <f>Sheet1!A3519</f>
        <v>0</v>
      </c>
      <c r="B3519">
        <f>Sheet1!B3519</f>
        <v>0</v>
      </c>
      <c r="C3519">
        <f>IF(Sheet1!B3519&gt;0,1,0)</f>
        <v>0</v>
      </c>
    </row>
    <row r="3520" spans="1:3" x14ac:dyDescent="0.25">
      <c r="A3520" s="15">
        <f>Sheet1!A3520</f>
        <v>0</v>
      </c>
      <c r="B3520">
        <f>Sheet1!B3520</f>
        <v>0</v>
      </c>
      <c r="C3520">
        <f>IF(Sheet1!B3520&gt;0,1,0)</f>
        <v>0</v>
      </c>
    </row>
    <row r="3521" spans="1:3" x14ac:dyDescent="0.25">
      <c r="A3521" s="15">
        <f>Sheet1!A3521</f>
        <v>0</v>
      </c>
      <c r="B3521">
        <f>Sheet1!B3521</f>
        <v>0</v>
      </c>
      <c r="C3521">
        <f>IF(Sheet1!B3521&gt;0,1,0)</f>
        <v>0</v>
      </c>
    </row>
    <row r="3522" spans="1:3" x14ac:dyDescent="0.25">
      <c r="A3522" s="15">
        <f>Sheet1!A3522</f>
        <v>0</v>
      </c>
      <c r="B3522">
        <f>Sheet1!B3522</f>
        <v>0</v>
      </c>
      <c r="C3522">
        <f>IF(Sheet1!B3522&gt;0,1,0)</f>
        <v>0</v>
      </c>
    </row>
    <row r="3523" spans="1:3" x14ac:dyDescent="0.25">
      <c r="A3523" s="15">
        <f>Sheet1!A3523</f>
        <v>0</v>
      </c>
      <c r="B3523">
        <f>Sheet1!B3523</f>
        <v>0</v>
      </c>
      <c r="C3523">
        <f>IF(Sheet1!B3523&gt;0,1,0)</f>
        <v>0</v>
      </c>
    </row>
    <row r="3524" spans="1:3" x14ac:dyDescent="0.25">
      <c r="A3524" s="15">
        <f>Sheet1!A3524</f>
        <v>0</v>
      </c>
      <c r="B3524">
        <f>Sheet1!B3524</f>
        <v>0</v>
      </c>
      <c r="C3524">
        <f>IF(Sheet1!B3524&gt;0,1,0)</f>
        <v>0</v>
      </c>
    </row>
    <row r="3525" spans="1:3" x14ac:dyDescent="0.25">
      <c r="A3525" s="15">
        <f>Sheet1!A3525</f>
        <v>0</v>
      </c>
      <c r="B3525">
        <f>Sheet1!B3525</f>
        <v>0</v>
      </c>
      <c r="C3525">
        <f>IF(Sheet1!B3525&gt;0,1,0)</f>
        <v>0</v>
      </c>
    </row>
    <row r="3526" spans="1:3" x14ac:dyDescent="0.25">
      <c r="A3526" s="15">
        <f>Sheet1!A3526</f>
        <v>0</v>
      </c>
      <c r="B3526">
        <f>Sheet1!B3526</f>
        <v>0</v>
      </c>
      <c r="C3526">
        <f>IF(Sheet1!B3526&gt;0,1,0)</f>
        <v>0</v>
      </c>
    </row>
    <row r="3527" spans="1:3" x14ac:dyDescent="0.25">
      <c r="A3527" s="15">
        <f>Sheet1!A3527</f>
        <v>0</v>
      </c>
      <c r="B3527">
        <f>Sheet1!B3527</f>
        <v>0</v>
      </c>
      <c r="C3527">
        <f>IF(Sheet1!B3527&gt;0,1,0)</f>
        <v>0</v>
      </c>
    </row>
    <row r="3528" spans="1:3" x14ac:dyDescent="0.25">
      <c r="A3528" s="15">
        <f>Sheet1!A3528</f>
        <v>0</v>
      </c>
      <c r="B3528">
        <f>Sheet1!B3528</f>
        <v>13.78</v>
      </c>
      <c r="C3528">
        <f>IF(Sheet1!B3528&gt;0,1,0)</f>
        <v>1</v>
      </c>
    </row>
    <row r="3529" spans="1:3" x14ac:dyDescent="0.25">
      <c r="A3529" s="15">
        <f>Sheet1!A3529</f>
        <v>0</v>
      </c>
      <c r="B3529">
        <f>Sheet1!B3529</f>
        <v>0</v>
      </c>
      <c r="C3529">
        <f>IF(Sheet1!B3529&gt;0,1,0)</f>
        <v>0</v>
      </c>
    </row>
    <row r="3530" spans="1:3" x14ac:dyDescent="0.25">
      <c r="A3530" s="15">
        <f>Sheet1!A3530</f>
        <v>0</v>
      </c>
      <c r="B3530">
        <f>Sheet1!B3530</f>
        <v>0</v>
      </c>
      <c r="C3530">
        <f>IF(Sheet1!B3530&gt;0,1,0)</f>
        <v>0</v>
      </c>
    </row>
    <row r="3531" spans="1:3" x14ac:dyDescent="0.25">
      <c r="A3531" s="15">
        <f>Sheet1!A3531</f>
        <v>0</v>
      </c>
      <c r="B3531">
        <f>Sheet1!B3531</f>
        <v>0</v>
      </c>
      <c r="C3531">
        <f>IF(Sheet1!B3531&gt;0,1,0)</f>
        <v>0</v>
      </c>
    </row>
    <row r="3532" spans="1:3" x14ac:dyDescent="0.25">
      <c r="A3532" s="15">
        <f>Sheet1!A3532</f>
        <v>0</v>
      </c>
      <c r="B3532">
        <f>Sheet1!B3532</f>
        <v>11.11</v>
      </c>
      <c r="C3532">
        <f>IF(Sheet1!B3532&gt;0,1,0)</f>
        <v>1</v>
      </c>
    </row>
    <row r="3533" spans="1:3" x14ac:dyDescent="0.25">
      <c r="A3533" s="15">
        <f>Sheet1!A3533</f>
        <v>0</v>
      </c>
      <c r="B3533">
        <f>Sheet1!B3533</f>
        <v>0</v>
      </c>
      <c r="C3533">
        <f>IF(Sheet1!B3533&gt;0,1,0)</f>
        <v>0</v>
      </c>
    </row>
    <row r="3534" spans="1:3" x14ac:dyDescent="0.25">
      <c r="A3534" s="15">
        <f>Sheet1!A3534</f>
        <v>0</v>
      </c>
      <c r="B3534">
        <f>Sheet1!B3534</f>
        <v>0</v>
      </c>
      <c r="C3534">
        <f>IF(Sheet1!B3534&gt;0,1,0)</f>
        <v>0</v>
      </c>
    </row>
    <row r="3535" spans="1:3" x14ac:dyDescent="0.25">
      <c r="A3535" s="15">
        <f>Sheet1!A3535</f>
        <v>0</v>
      </c>
      <c r="B3535">
        <f>Sheet1!B3535</f>
        <v>0</v>
      </c>
      <c r="C3535">
        <f>IF(Sheet1!B3535&gt;0,1,0)</f>
        <v>0</v>
      </c>
    </row>
    <row r="3536" spans="1:3" x14ac:dyDescent="0.25">
      <c r="A3536" s="15">
        <f>Sheet1!A3536</f>
        <v>0</v>
      </c>
      <c r="B3536">
        <f>Sheet1!B3536</f>
        <v>11.78</v>
      </c>
      <c r="C3536">
        <f>IF(Sheet1!B3536&gt;0,1,0)</f>
        <v>1</v>
      </c>
    </row>
    <row r="3537" spans="1:3" x14ac:dyDescent="0.25">
      <c r="A3537" s="15">
        <f>Sheet1!A3537</f>
        <v>0</v>
      </c>
      <c r="B3537">
        <f>Sheet1!B3537</f>
        <v>0</v>
      </c>
      <c r="C3537">
        <f>IF(Sheet1!B3537&gt;0,1,0)</f>
        <v>0</v>
      </c>
    </row>
    <row r="3538" spans="1:3" x14ac:dyDescent="0.25">
      <c r="A3538" s="15">
        <f>Sheet1!A3538</f>
        <v>0</v>
      </c>
      <c r="B3538">
        <f>Sheet1!B3538</f>
        <v>0</v>
      </c>
      <c r="C3538">
        <f>IF(Sheet1!B3538&gt;0,1,0)</f>
        <v>0</v>
      </c>
    </row>
    <row r="3539" spans="1:3" x14ac:dyDescent="0.25">
      <c r="A3539" s="15">
        <f>Sheet1!A3539</f>
        <v>0</v>
      </c>
      <c r="B3539">
        <f>Sheet1!B3539</f>
        <v>0</v>
      </c>
      <c r="C3539">
        <f>IF(Sheet1!B3539&gt;0,1,0)</f>
        <v>0</v>
      </c>
    </row>
    <row r="3540" spans="1:3" x14ac:dyDescent="0.25">
      <c r="A3540" s="15">
        <f>Sheet1!A3540</f>
        <v>0</v>
      </c>
      <c r="B3540">
        <f>Sheet1!B3540</f>
        <v>0</v>
      </c>
      <c r="C3540">
        <f>IF(Sheet1!B3540&gt;0,1,0)</f>
        <v>0</v>
      </c>
    </row>
    <row r="3541" spans="1:3" x14ac:dyDescent="0.25">
      <c r="A3541" s="15">
        <f>Sheet1!A3541</f>
        <v>0</v>
      </c>
      <c r="B3541">
        <f>Sheet1!B3541</f>
        <v>0</v>
      </c>
      <c r="C3541">
        <f>IF(Sheet1!B3541&gt;0,1,0)</f>
        <v>0</v>
      </c>
    </row>
    <row r="3542" spans="1:3" x14ac:dyDescent="0.25">
      <c r="A3542" s="15">
        <f>Sheet1!A3542</f>
        <v>0</v>
      </c>
      <c r="B3542">
        <f>Sheet1!B3542</f>
        <v>18.079999999999998</v>
      </c>
      <c r="C3542">
        <f>IF(Sheet1!B3542&gt;0,1,0)</f>
        <v>1</v>
      </c>
    </row>
    <row r="3543" spans="1:3" x14ac:dyDescent="0.25">
      <c r="A3543" s="15">
        <f>Sheet1!A3543</f>
        <v>0</v>
      </c>
      <c r="B3543">
        <f>Sheet1!B3543</f>
        <v>0</v>
      </c>
      <c r="C3543">
        <f>IF(Sheet1!B3543&gt;0,1,0)</f>
        <v>0</v>
      </c>
    </row>
    <row r="3544" spans="1:3" x14ac:dyDescent="0.25">
      <c r="A3544" s="15">
        <f>Sheet1!A3544</f>
        <v>0</v>
      </c>
      <c r="B3544">
        <f>Sheet1!B3544</f>
        <v>0</v>
      </c>
      <c r="C3544">
        <f>IF(Sheet1!B3544&gt;0,1,0)</f>
        <v>0</v>
      </c>
    </row>
    <row r="3545" spans="1:3" x14ac:dyDescent="0.25">
      <c r="A3545" s="15">
        <f>Sheet1!A3545</f>
        <v>0</v>
      </c>
      <c r="B3545">
        <f>Sheet1!B3545</f>
        <v>0</v>
      </c>
      <c r="C3545">
        <f>IF(Sheet1!B3545&gt;0,1,0)</f>
        <v>0</v>
      </c>
    </row>
    <row r="3546" spans="1:3" x14ac:dyDescent="0.25">
      <c r="A3546" s="15">
        <f>Sheet1!A3546</f>
        <v>0</v>
      </c>
      <c r="B3546">
        <f>Sheet1!B3546</f>
        <v>0</v>
      </c>
      <c r="C3546">
        <f>IF(Sheet1!B3546&gt;0,1,0)</f>
        <v>0</v>
      </c>
    </row>
    <row r="3547" spans="1:3" x14ac:dyDescent="0.25">
      <c r="A3547" s="15">
        <f>Sheet1!A3547</f>
        <v>0</v>
      </c>
      <c r="B3547">
        <f>Sheet1!B3547</f>
        <v>0</v>
      </c>
      <c r="C3547">
        <f>IF(Sheet1!B3547&gt;0,1,0)</f>
        <v>0</v>
      </c>
    </row>
    <row r="3548" spans="1:3" x14ac:dyDescent="0.25">
      <c r="A3548" s="15">
        <f>Sheet1!A3548</f>
        <v>0</v>
      </c>
      <c r="B3548">
        <f>Sheet1!B3548</f>
        <v>0</v>
      </c>
      <c r="C3548">
        <f>IF(Sheet1!B3548&gt;0,1,0)</f>
        <v>0</v>
      </c>
    </row>
    <row r="3549" spans="1:3" x14ac:dyDescent="0.25">
      <c r="A3549" s="15">
        <f>Sheet1!A3549</f>
        <v>0</v>
      </c>
      <c r="B3549">
        <f>Sheet1!B3549</f>
        <v>0</v>
      </c>
      <c r="C3549">
        <f>IF(Sheet1!B3549&gt;0,1,0)</f>
        <v>0</v>
      </c>
    </row>
    <row r="3550" spans="1:3" x14ac:dyDescent="0.25">
      <c r="A3550" s="15">
        <f>Sheet1!A3550</f>
        <v>0</v>
      </c>
      <c r="B3550">
        <f>Sheet1!B3550</f>
        <v>0</v>
      </c>
      <c r="C3550">
        <f>IF(Sheet1!B3550&gt;0,1,0)</f>
        <v>0</v>
      </c>
    </row>
    <row r="3551" spans="1:3" x14ac:dyDescent="0.25">
      <c r="A3551" s="15">
        <f>Sheet1!A3551</f>
        <v>0</v>
      </c>
      <c r="B3551">
        <f>Sheet1!B3551</f>
        <v>0</v>
      </c>
      <c r="C3551">
        <f>IF(Sheet1!B3551&gt;0,1,0)</f>
        <v>0</v>
      </c>
    </row>
    <row r="3552" spans="1:3" x14ac:dyDescent="0.25">
      <c r="A3552" s="15">
        <f>Sheet1!A3552</f>
        <v>0</v>
      </c>
      <c r="B3552">
        <f>Sheet1!B3552</f>
        <v>0</v>
      </c>
      <c r="C3552">
        <f>IF(Sheet1!B3552&gt;0,1,0)</f>
        <v>0</v>
      </c>
    </row>
    <row r="3553" spans="1:3" x14ac:dyDescent="0.25">
      <c r="A3553" s="15">
        <f>Sheet1!A3553</f>
        <v>0</v>
      </c>
      <c r="B3553">
        <f>Sheet1!B3553</f>
        <v>0</v>
      </c>
      <c r="C3553">
        <f>IF(Sheet1!B3553&gt;0,1,0)</f>
        <v>0</v>
      </c>
    </row>
    <row r="3554" spans="1:3" x14ac:dyDescent="0.25">
      <c r="A3554" s="15">
        <f>Sheet1!A3554</f>
        <v>0</v>
      </c>
      <c r="B3554">
        <f>Sheet1!B3554</f>
        <v>0</v>
      </c>
      <c r="C3554">
        <f>IF(Sheet1!B3554&gt;0,1,0)</f>
        <v>0</v>
      </c>
    </row>
    <row r="3555" spans="1:3" x14ac:dyDescent="0.25">
      <c r="A3555" s="15">
        <f>Sheet1!A3555</f>
        <v>0</v>
      </c>
      <c r="B3555">
        <f>Sheet1!B3555</f>
        <v>0</v>
      </c>
      <c r="C3555">
        <f>IF(Sheet1!B3555&gt;0,1,0)</f>
        <v>0</v>
      </c>
    </row>
    <row r="3556" spans="1:3" x14ac:dyDescent="0.25">
      <c r="A3556" s="15">
        <f>Sheet1!A3556</f>
        <v>0</v>
      </c>
      <c r="B3556">
        <f>Sheet1!B3556</f>
        <v>0</v>
      </c>
      <c r="C3556">
        <f>IF(Sheet1!B3556&gt;0,1,0)</f>
        <v>0</v>
      </c>
    </row>
    <row r="3557" spans="1:3" x14ac:dyDescent="0.25">
      <c r="A3557" s="15">
        <f>Sheet1!A3557</f>
        <v>0</v>
      </c>
      <c r="B3557">
        <f>Sheet1!B3557</f>
        <v>0</v>
      </c>
      <c r="C3557">
        <f>IF(Sheet1!B3557&gt;0,1,0)</f>
        <v>0</v>
      </c>
    </row>
    <row r="3558" spans="1:3" x14ac:dyDescent="0.25">
      <c r="A3558" s="15">
        <f>Sheet1!A3558</f>
        <v>0</v>
      </c>
      <c r="B3558">
        <f>Sheet1!B3558</f>
        <v>0</v>
      </c>
      <c r="C3558">
        <f>IF(Sheet1!B3558&gt;0,1,0)</f>
        <v>0</v>
      </c>
    </row>
    <row r="3559" spans="1:3" x14ac:dyDescent="0.25">
      <c r="A3559" s="15">
        <f>Sheet1!A3559</f>
        <v>0</v>
      </c>
      <c r="B3559">
        <f>Sheet1!B3559</f>
        <v>0</v>
      </c>
      <c r="C3559">
        <f>IF(Sheet1!B3559&gt;0,1,0)</f>
        <v>0</v>
      </c>
    </row>
    <row r="3560" spans="1:3" x14ac:dyDescent="0.25">
      <c r="A3560" s="15">
        <f>Sheet1!A3560</f>
        <v>0</v>
      </c>
      <c r="B3560">
        <f>Sheet1!B3560</f>
        <v>0</v>
      </c>
      <c r="C3560">
        <f>IF(Sheet1!B3560&gt;0,1,0)</f>
        <v>0</v>
      </c>
    </row>
    <row r="3561" spans="1:3" x14ac:dyDescent="0.25">
      <c r="A3561" s="15">
        <f>Sheet1!A3561</f>
        <v>0</v>
      </c>
      <c r="B3561">
        <f>Sheet1!B3561</f>
        <v>0</v>
      </c>
      <c r="C3561">
        <f>IF(Sheet1!B3561&gt;0,1,0)</f>
        <v>0</v>
      </c>
    </row>
    <row r="3562" spans="1:3" x14ac:dyDescent="0.25">
      <c r="A3562" s="15">
        <f>Sheet1!A3562</f>
        <v>0</v>
      </c>
      <c r="B3562">
        <f>Sheet1!B3562</f>
        <v>0</v>
      </c>
      <c r="C3562">
        <f>IF(Sheet1!B3562&gt;0,1,0)</f>
        <v>0</v>
      </c>
    </row>
    <row r="3563" spans="1:3" x14ac:dyDescent="0.25">
      <c r="A3563" s="15">
        <f>Sheet1!A3563</f>
        <v>0</v>
      </c>
      <c r="B3563">
        <f>Sheet1!B3563</f>
        <v>0</v>
      </c>
      <c r="C3563">
        <f>IF(Sheet1!B3563&gt;0,1,0)</f>
        <v>0</v>
      </c>
    </row>
    <row r="3564" spans="1:3" x14ac:dyDescent="0.25">
      <c r="A3564" s="15">
        <f>Sheet1!A3564</f>
        <v>0</v>
      </c>
      <c r="B3564">
        <f>Sheet1!B3564</f>
        <v>0</v>
      </c>
      <c r="C3564">
        <f>IF(Sheet1!B3564&gt;0,1,0)</f>
        <v>0</v>
      </c>
    </row>
    <row r="3565" spans="1:3" x14ac:dyDescent="0.25">
      <c r="A3565" s="15">
        <f>Sheet1!A3565</f>
        <v>0</v>
      </c>
      <c r="B3565">
        <f>Sheet1!B3565</f>
        <v>0</v>
      </c>
      <c r="C3565">
        <f>IF(Sheet1!B3565&gt;0,1,0)</f>
        <v>0</v>
      </c>
    </row>
    <row r="3566" spans="1:3" x14ac:dyDescent="0.25">
      <c r="A3566" s="15">
        <f>Sheet1!A3566</f>
        <v>0</v>
      </c>
      <c r="B3566">
        <f>Sheet1!B3566</f>
        <v>0</v>
      </c>
      <c r="C3566">
        <f>IF(Sheet1!B3566&gt;0,1,0)</f>
        <v>0</v>
      </c>
    </row>
    <row r="3567" spans="1:3" x14ac:dyDescent="0.25">
      <c r="A3567" s="15">
        <f>Sheet1!A3567</f>
        <v>0</v>
      </c>
      <c r="B3567">
        <f>Sheet1!B3567</f>
        <v>0</v>
      </c>
      <c r="C3567">
        <f>IF(Sheet1!B3567&gt;0,1,0)</f>
        <v>0</v>
      </c>
    </row>
    <row r="3568" spans="1:3" x14ac:dyDescent="0.25">
      <c r="A3568" s="15">
        <f>Sheet1!A3568</f>
        <v>0</v>
      </c>
      <c r="B3568">
        <f>Sheet1!B3568</f>
        <v>0</v>
      </c>
      <c r="C3568">
        <f>IF(Sheet1!B3568&gt;0,1,0)</f>
        <v>0</v>
      </c>
    </row>
    <row r="3569" spans="1:3" x14ac:dyDescent="0.25">
      <c r="A3569" s="15">
        <f>Sheet1!A3569</f>
        <v>0</v>
      </c>
      <c r="B3569">
        <f>Sheet1!B3569</f>
        <v>0</v>
      </c>
      <c r="C3569">
        <f>IF(Sheet1!B3569&gt;0,1,0)</f>
        <v>0</v>
      </c>
    </row>
    <row r="3570" spans="1:3" x14ac:dyDescent="0.25">
      <c r="A3570" s="15">
        <f>Sheet1!A3570</f>
        <v>0</v>
      </c>
      <c r="B3570">
        <f>Sheet1!B3570</f>
        <v>0</v>
      </c>
      <c r="C3570">
        <f>IF(Sheet1!B3570&gt;0,1,0)</f>
        <v>0</v>
      </c>
    </row>
    <row r="3571" spans="1:3" x14ac:dyDescent="0.25">
      <c r="A3571" s="15">
        <f>Sheet1!A3571</f>
        <v>0</v>
      </c>
      <c r="B3571">
        <f>Sheet1!B3571</f>
        <v>0</v>
      </c>
      <c r="C3571">
        <f>IF(Sheet1!B3571&gt;0,1,0)</f>
        <v>0</v>
      </c>
    </row>
    <row r="3572" spans="1:3" x14ac:dyDescent="0.25">
      <c r="A3572" s="15">
        <f>Sheet1!A3572</f>
        <v>0</v>
      </c>
      <c r="B3572">
        <f>Sheet1!B3572</f>
        <v>0</v>
      </c>
      <c r="C3572">
        <f>IF(Sheet1!B3572&gt;0,1,0)</f>
        <v>0</v>
      </c>
    </row>
    <row r="3573" spans="1:3" x14ac:dyDescent="0.25">
      <c r="A3573" s="15">
        <f>Sheet1!A3573</f>
        <v>0</v>
      </c>
      <c r="B3573">
        <f>Sheet1!B3573</f>
        <v>0</v>
      </c>
      <c r="C3573">
        <f>IF(Sheet1!B3573&gt;0,1,0)</f>
        <v>0</v>
      </c>
    </row>
    <row r="3574" spans="1:3" x14ac:dyDescent="0.25">
      <c r="A3574" s="15">
        <f>Sheet1!A3574</f>
        <v>0</v>
      </c>
      <c r="B3574">
        <f>Sheet1!B3574</f>
        <v>0</v>
      </c>
      <c r="C3574">
        <f>IF(Sheet1!B3574&gt;0,1,0)</f>
        <v>0</v>
      </c>
    </row>
    <row r="3575" spans="1:3" x14ac:dyDescent="0.25">
      <c r="A3575" s="15">
        <f>Sheet1!A3575</f>
        <v>0</v>
      </c>
      <c r="B3575">
        <f>Sheet1!B3575</f>
        <v>0</v>
      </c>
      <c r="C3575">
        <f>IF(Sheet1!B3575&gt;0,1,0)</f>
        <v>0</v>
      </c>
    </row>
    <row r="3576" spans="1:3" x14ac:dyDescent="0.25">
      <c r="A3576" s="15">
        <f>Sheet1!A3576</f>
        <v>0</v>
      </c>
      <c r="B3576">
        <f>Sheet1!B3576</f>
        <v>0</v>
      </c>
      <c r="C3576">
        <f>IF(Sheet1!B3576&gt;0,1,0)</f>
        <v>0</v>
      </c>
    </row>
    <row r="3577" spans="1:3" x14ac:dyDescent="0.25">
      <c r="A3577" s="15">
        <f>Sheet1!A3577</f>
        <v>0</v>
      </c>
      <c r="B3577">
        <f>Sheet1!B3577</f>
        <v>0</v>
      </c>
      <c r="C3577">
        <f>IF(Sheet1!B3577&gt;0,1,0)</f>
        <v>0</v>
      </c>
    </row>
    <row r="3578" spans="1:3" x14ac:dyDescent="0.25">
      <c r="A3578" s="15">
        <f>Sheet1!A3578</f>
        <v>0</v>
      </c>
      <c r="B3578">
        <f>Sheet1!B3578</f>
        <v>0</v>
      </c>
      <c r="C3578">
        <f>IF(Sheet1!B3578&gt;0,1,0)</f>
        <v>0</v>
      </c>
    </row>
    <row r="3579" spans="1:3" x14ac:dyDescent="0.25">
      <c r="A3579" s="15">
        <f>Sheet1!A3579</f>
        <v>0</v>
      </c>
      <c r="B3579">
        <f>Sheet1!B3579</f>
        <v>0</v>
      </c>
      <c r="C3579">
        <f>IF(Sheet1!B3579&gt;0,1,0)</f>
        <v>0</v>
      </c>
    </row>
    <row r="3580" spans="1:3" x14ac:dyDescent="0.25">
      <c r="A3580" s="15">
        <f>Sheet1!A3580</f>
        <v>0</v>
      </c>
      <c r="B3580">
        <f>Sheet1!B3580</f>
        <v>0</v>
      </c>
      <c r="C3580">
        <f>IF(Sheet1!B3580&gt;0,1,0)</f>
        <v>0</v>
      </c>
    </row>
    <row r="3581" spans="1:3" x14ac:dyDescent="0.25">
      <c r="A3581" s="15">
        <f>Sheet1!A3581</f>
        <v>0</v>
      </c>
      <c r="B3581">
        <f>Sheet1!B3581</f>
        <v>0</v>
      </c>
      <c r="C3581">
        <f>IF(Sheet1!B3581&gt;0,1,0)</f>
        <v>0</v>
      </c>
    </row>
    <row r="3582" spans="1:3" x14ac:dyDescent="0.25">
      <c r="A3582" s="15">
        <f>Sheet1!A3582</f>
        <v>0</v>
      </c>
      <c r="B3582">
        <f>Sheet1!B3582</f>
        <v>0</v>
      </c>
      <c r="C3582">
        <f>IF(Sheet1!B3582&gt;0,1,0)</f>
        <v>0</v>
      </c>
    </row>
    <row r="3583" spans="1:3" x14ac:dyDescent="0.25">
      <c r="A3583" s="15">
        <f>Sheet1!A3583</f>
        <v>0</v>
      </c>
      <c r="B3583">
        <f>Sheet1!B3583</f>
        <v>0</v>
      </c>
      <c r="C3583">
        <f>IF(Sheet1!B3583&gt;0,1,0)</f>
        <v>0</v>
      </c>
    </row>
    <row r="3584" spans="1:3" x14ac:dyDescent="0.25">
      <c r="A3584" s="15">
        <f>Sheet1!A3584</f>
        <v>0</v>
      </c>
      <c r="B3584">
        <f>Sheet1!B3584</f>
        <v>0</v>
      </c>
      <c r="C3584">
        <f>IF(Sheet1!B3584&gt;0,1,0)</f>
        <v>0</v>
      </c>
    </row>
    <row r="3585" spans="1:3" x14ac:dyDescent="0.25">
      <c r="A3585" s="15">
        <f>Sheet1!A3585</f>
        <v>0</v>
      </c>
      <c r="B3585">
        <f>Sheet1!B3585</f>
        <v>0</v>
      </c>
      <c r="C3585">
        <f>IF(Sheet1!B3585&gt;0,1,0)</f>
        <v>0</v>
      </c>
    </row>
    <row r="3586" spans="1:3" x14ac:dyDescent="0.25">
      <c r="A3586" s="15">
        <f>Sheet1!A3586</f>
        <v>0</v>
      </c>
      <c r="B3586">
        <f>Sheet1!B3586</f>
        <v>0</v>
      </c>
      <c r="C3586">
        <f>IF(Sheet1!B3586&gt;0,1,0)</f>
        <v>0</v>
      </c>
    </row>
    <row r="3587" spans="1:3" x14ac:dyDescent="0.25">
      <c r="A3587" s="15">
        <f>Sheet1!A3587</f>
        <v>0</v>
      </c>
      <c r="B3587">
        <f>Sheet1!B3587</f>
        <v>0</v>
      </c>
      <c r="C3587">
        <f>IF(Sheet1!B3587&gt;0,1,0)</f>
        <v>0</v>
      </c>
    </row>
    <row r="3588" spans="1:3" x14ac:dyDescent="0.25">
      <c r="A3588" s="15">
        <f>Sheet1!A3588</f>
        <v>0</v>
      </c>
      <c r="B3588">
        <f>Sheet1!B3588</f>
        <v>0</v>
      </c>
      <c r="C3588">
        <f>IF(Sheet1!B3588&gt;0,1,0)</f>
        <v>0</v>
      </c>
    </row>
    <row r="3589" spans="1:3" x14ac:dyDescent="0.25">
      <c r="A3589" s="15">
        <f>Sheet1!A3589</f>
        <v>0</v>
      </c>
      <c r="B3589">
        <f>Sheet1!B3589</f>
        <v>0</v>
      </c>
      <c r="C3589">
        <f>IF(Sheet1!B3589&gt;0,1,0)</f>
        <v>0</v>
      </c>
    </row>
    <row r="3590" spans="1:3" x14ac:dyDescent="0.25">
      <c r="A3590" s="15">
        <f>Sheet1!A3590</f>
        <v>0</v>
      </c>
      <c r="B3590">
        <f>Sheet1!B3590</f>
        <v>0</v>
      </c>
      <c r="C3590">
        <f>IF(Sheet1!B3590&gt;0,1,0)</f>
        <v>0</v>
      </c>
    </row>
    <row r="3591" spans="1:3" x14ac:dyDescent="0.25">
      <c r="A3591" s="15">
        <f>Sheet1!A3591</f>
        <v>0</v>
      </c>
      <c r="B3591">
        <f>Sheet1!B3591</f>
        <v>0</v>
      </c>
      <c r="C3591">
        <f>IF(Sheet1!B3591&gt;0,1,0)</f>
        <v>0</v>
      </c>
    </row>
    <row r="3592" spans="1:3" x14ac:dyDescent="0.25">
      <c r="A3592" s="15">
        <f>Sheet1!A3592</f>
        <v>0</v>
      </c>
      <c r="B3592">
        <f>Sheet1!B3592</f>
        <v>0</v>
      </c>
      <c r="C3592">
        <f>IF(Sheet1!B3592&gt;0,1,0)</f>
        <v>0</v>
      </c>
    </row>
    <row r="3593" spans="1:3" x14ac:dyDescent="0.25">
      <c r="A3593" s="15">
        <f>Sheet1!A3593</f>
        <v>0</v>
      </c>
      <c r="B3593">
        <f>Sheet1!B3593</f>
        <v>0</v>
      </c>
      <c r="C3593">
        <f>IF(Sheet1!B3593&gt;0,1,0)</f>
        <v>0</v>
      </c>
    </row>
    <row r="3594" spans="1:3" x14ac:dyDescent="0.25">
      <c r="A3594" s="15">
        <f>Sheet1!A3594</f>
        <v>0</v>
      </c>
      <c r="B3594">
        <f>Sheet1!B3594</f>
        <v>0</v>
      </c>
      <c r="C3594">
        <f>IF(Sheet1!B3594&gt;0,1,0)</f>
        <v>0</v>
      </c>
    </row>
    <row r="3595" spans="1:3" x14ac:dyDescent="0.25">
      <c r="A3595" s="15">
        <f>Sheet1!A3595</f>
        <v>0</v>
      </c>
      <c r="B3595">
        <f>Sheet1!B3595</f>
        <v>0</v>
      </c>
      <c r="C3595">
        <f>IF(Sheet1!B3595&gt;0,1,0)</f>
        <v>0</v>
      </c>
    </row>
    <row r="3596" spans="1:3" x14ac:dyDescent="0.25">
      <c r="A3596" s="15">
        <f>Sheet1!A3596</f>
        <v>0</v>
      </c>
      <c r="B3596">
        <f>Sheet1!B3596</f>
        <v>0</v>
      </c>
      <c r="C3596">
        <f>IF(Sheet1!B3596&gt;0,1,0)</f>
        <v>0</v>
      </c>
    </row>
    <row r="3597" spans="1:3" x14ac:dyDescent="0.25">
      <c r="A3597" s="15">
        <f>Sheet1!A3597</f>
        <v>0</v>
      </c>
      <c r="B3597">
        <f>Sheet1!B3597</f>
        <v>0</v>
      </c>
      <c r="C3597">
        <f>IF(Sheet1!B3597&gt;0,1,0)</f>
        <v>0</v>
      </c>
    </row>
    <row r="3598" spans="1:3" x14ac:dyDescent="0.25">
      <c r="A3598" s="15">
        <f>Sheet1!A3598</f>
        <v>0</v>
      </c>
      <c r="B3598">
        <f>Sheet1!B3598</f>
        <v>0</v>
      </c>
      <c r="C3598">
        <f>IF(Sheet1!B3598&gt;0,1,0)</f>
        <v>0</v>
      </c>
    </row>
    <row r="3599" spans="1:3" x14ac:dyDescent="0.25">
      <c r="A3599" s="15">
        <f>Sheet1!A3599</f>
        <v>0</v>
      </c>
      <c r="B3599">
        <f>Sheet1!B3599</f>
        <v>0</v>
      </c>
      <c r="C3599">
        <f>IF(Sheet1!B3599&gt;0,1,0)</f>
        <v>0</v>
      </c>
    </row>
    <row r="3600" spans="1:3" x14ac:dyDescent="0.25">
      <c r="A3600" s="15">
        <f>Sheet1!A3600</f>
        <v>0</v>
      </c>
      <c r="B3600">
        <f>Sheet1!B3600</f>
        <v>0</v>
      </c>
      <c r="C3600">
        <f>IF(Sheet1!B3600&gt;0,1,0)</f>
        <v>0</v>
      </c>
    </row>
    <row r="3601" spans="1:3" x14ac:dyDescent="0.25">
      <c r="A3601" s="15">
        <f>Sheet1!A3601</f>
        <v>0</v>
      </c>
      <c r="B3601">
        <f>Sheet1!B3601</f>
        <v>0</v>
      </c>
      <c r="C3601">
        <f>IF(Sheet1!B3601&gt;0,1,0)</f>
        <v>0</v>
      </c>
    </row>
    <row r="3602" spans="1:3" x14ac:dyDescent="0.25">
      <c r="A3602" s="15">
        <f>Sheet1!A3602</f>
        <v>0</v>
      </c>
      <c r="B3602">
        <f>Sheet1!B3602</f>
        <v>11.68</v>
      </c>
      <c r="C3602">
        <f>IF(Sheet1!B3602&gt;0,1,0)</f>
        <v>1</v>
      </c>
    </row>
    <row r="3603" spans="1:3" x14ac:dyDescent="0.25">
      <c r="A3603" s="15">
        <f>Sheet1!A3603</f>
        <v>0</v>
      </c>
      <c r="B3603">
        <f>Sheet1!B3603</f>
        <v>0</v>
      </c>
      <c r="C3603">
        <f>IF(Sheet1!B3603&gt;0,1,0)</f>
        <v>0</v>
      </c>
    </row>
    <row r="3604" spans="1:3" x14ac:dyDescent="0.25">
      <c r="A3604" s="15">
        <f>Sheet1!A3604</f>
        <v>0</v>
      </c>
      <c r="B3604">
        <f>Sheet1!B3604</f>
        <v>0</v>
      </c>
      <c r="C3604">
        <f>IF(Sheet1!B3604&gt;0,1,0)</f>
        <v>0</v>
      </c>
    </row>
    <row r="3605" spans="1:3" x14ac:dyDescent="0.25">
      <c r="A3605" s="15">
        <f>Sheet1!A3605</f>
        <v>0</v>
      </c>
      <c r="B3605">
        <f>Sheet1!B3605</f>
        <v>0</v>
      </c>
      <c r="C3605">
        <f>IF(Sheet1!B3605&gt;0,1,0)</f>
        <v>0</v>
      </c>
    </row>
    <row r="3606" spans="1:3" x14ac:dyDescent="0.25">
      <c r="A3606" s="15">
        <f>Sheet1!A3606</f>
        <v>0</v>
      </c>
      <c r="B3606">
        <f>Sheet1!B3606</f>
        <v>0</v>
      </c>
      <c r="C3606">
        <f>IF(Sheet1!B3606&gt;0,1,0)</f>
        <v>0</v>
      </c>
    </row>
    <row r="3607" spans="1:3" x14ac:dyDescent="0.25">
      <c r="A3607" s="15">
        <f>Sheet1!A3607</f>
        <v>0</v>
      </c>
      <c r="B3607">
        <f>Sheet1!B3607</f>
        <v>0</v>
      </c>
      <c r="C3607">
        <f>IF(Sheet1!B3607&gt;0,1,0)</f>
        <v>0</v>
      </c>
    </row>
    <row r="3608" spans="1:3" x14ac:dyDescent="0.25">
      <c r="A3608" s="15">
        <f>Sheet1!A3608</f>
        <v>0</v>
      </c>
      <c r="B3608">
        <f>Sheet1!B3608</f>
        <v>0</v>
      </c>
      <c r="C3608">
        <f>IF(Sheet1!B3608&gt;0,1,0)</f>
        <v>0</v>
      </c>
    </row>
    <row r="3609" spans="1:3" x14ac:dyDescent="0.25">
      <c r="A3609" s="15">
        <f>Sheet1!A3609</f>
        <v>0</v>
      </c>
      <c r="B3609">
        <f>Sheet1!B3609</f>
        <v>0</v>
      </c>
      <c r="C3609">
        <f>IF(Sheet1!B3609&gt;0,1,0)</f>
        <v>0</v>
      </c>
    </row>
    <row r="3610" spans="1:3" x14ac:dyDescent="0.25">
      <c r="A3610" s="15">
        <f>Sheet1!A3610</f>
        <v>0</v>
      </c>
      <c r="B3610">
        <f>Sheet1!B3610</f>
        <v>0</v>
      </c>
      <c r="C3610">
        <f>IF(Sheet1!B3610&gt;0,1,0)</f>
        <v>0</v>
      </c>
    </row>
    <row r="3611" spans="1:3" x14ac:dyDescent="0.25">
      <c r="A3611" s="15">
        <f>Sheet1!A3611</f>
        <v>0</v>
      </c>
      <c r="B3611">
        <f>Sheet1!B3611</f>
        <v>0</v>
      </c>
      <c r="C3611">
        <f>IF(Sheet1!B3611&gt;0,1,0)</f>
        <v>0</v>
      </c>
    </row>
    <row r="3612" spans="1:3" x14ac:dyDescent="0.25">
      <c r="A3612" s="15">
        <f>Sheet1!A3612</f>
        <v>0</v>
      </c>
      <c r="B3612">
        <f>Sheet1!B3612</f>
        <v>0</v>
      </c>
      <c r="C3612">
        <f>IF(Sheet1!B3612&gt;0,1,0)</f>
        <v>0</v>
      </c>
    </row>
    <row r="3613" spans="1:3" x14ac:dyDescent="0.25">
      <c r="A3613" s="15">
        <f>Sheet1!A3613</f>
        <v>0</v>
      </c>
      <c r="B3613">
        <f>Sheet1!B3613</f>
        <v>0</v>
      </c>
      <c r="C3613">
        <f>IF(Sheet1!B3613&gt;0,1,0)</f>
        <v>0</v>
      </c>
    </row>
    <row r="3614" spans="1:3" x14ac:dyDescent="0.25">
      <c r="A3614" s="15">
        <f>Sheet1!A3614</f>
        <v>0</v>
      </c>
      <c r="B3614">
        <f>Sheet1!B3614</f>
        <v>0</v>
      </c>
      <c r="C3614">
        <f>IF(Sheet1!B3614&gt;0,1,0)</f>
        <v>0</v>
      </c>
    </row>
    <row r="3615" spans="1:3" x14ac:dyDescent="0.25">
      <c r="A3615" s="15">
        <f>Sheet1!A3615</f>
        <v>0</v>
      </c>
      <c r="B3615">
        <f>Sheet1!B3615</f>
        <v>0</v>
      </c>
      <c r="C3615">
        <f>IF(Sheet1!B3615&gt;0,1,0)</f>
        <v>0</v>
      </c>
    </row>
    <row r="3616" spans="1:3" x14ac:dyDescent="0.25">
      <c r="A3616" s="15">
        <f>Sheet1!A3616</f>
        <v>0</v>
      </c>
      <c r="B3616">
        <f>Sheet1!B3616</f>
        <v>0</v>
      </c>
      <c r="C3616">
        <f>IF(Sheet1!B3616&gt;0,1,0)</f>
        <v>0</v>
      </c>
    </row>
    <row r="3617" spans="1:3" x14ac:dyDescent="0.25">
      <c r="A3617" s="15">
        <f>Sheet1!A3617</f>
        <v>0</v>
      </c>
      <c r="B3617">
        <f>Sheet1!B3617</f>
        <v>0</v>
      </c>
      <c r="C3617">
        <f>IF(Sheet1!B3617&gt;0,1,0)</f>
        <v>0</v>
      </c>
    </row>
    <row r="3618" spans="1:3" x14ac:dyDescent="0.25">
      <c r="A3618" s="15">
        <f>Sheet1!A3618</f>
        <v>0</v>
      </c>
      <c r="B3618">
        <f>Sheet1!B3618</f>
        <v>12.7</v>
      </c>
      <c r="C3618">
        <f>IF(Sheet1!B3618&gt;0,1,0)</f>
        <v>1</v>
      </c>
    </row>
    <row r="3619" spans="1:3" x14ac:dyDescent="0.25">
      <c r="A3619" s="15">
        <f>Sheet1!A3619</f>
        <v>0</v>
      </c>
      <c r="B3619">
        <f>Sheet1!B3619</f>
        <v>0</v>
      </c>
      <c r="C3619">
        <f>IF(Sheet1!B3619&gt;0,1,0)</f>
        <v>0</v>
      </c>
    </row>
    <row r="3620" spans="1:3" x14ac:dyDescent="0.25">
      <c r="A3620" s="15">
        <f>Sheet1!A3620</f>
        <v>0</v>
      </c>
      <c r="B3620">
        <f>Sheet1!B3620</f>
        <v>0</v>
      </c>
      <c r="C3620">
        <f>IF(Sheet1!B3620&gt;0,1,0)</f>
        <v>0</v>
      </c>
    </row>
    <row r="3621" spans="1:3" x14ac:dyDescent="0.25">
      <c r="A3621" s="15">
        <f>Sheet1!A3621</f>
        <v>0</v>
      </c>
      <c r="B3621">
        <f>Sheet1!B3621</f>
        <v>0</v>
      </c>
      <c r="C3621">
        <f>IF(Sheet1!B3621&gt;0,1,0)</f>
        <v>0</v>
      </c>
    </row>
    <row r="3622" spans="1:3" x14ac:dyDescent="0.25">
      <c r="A3622" s="15">
        <f>Sheet1!A3622</f>
        <v>0</v>
      </c>
      <c r="B3622">
        <f>Sheet1!B3622</f>
        <v>0</v>
      </c>
      <c r="C3622">
        <f>IF(Sheet1!B3622&gt;0,1,0)</f>
        <v>0</v>
      </c>
    </row>
    <row r="3623" spans="1:3" x14ac:dyDescent="0.25">
      <c r="A3623" s="15">
        <f>Sheet1!A3623</f>
        <v>0</v>
      </c>
      <c r="B3623">
        <f>Sheet1!B3623</f>
        <v>0</v>
      </c>
      <c r="C3623">
        <f>IF(Sheet1!B3623&gt;0,1,0)</f>
        <v>0</v>
      </c>
    </row>
    <row r="3624" spans="1:3" x14ac:dyDescent="0.25">
      <c r="A3624" s="15">
        <f>Sheet1!A3624</f>
        <v>0</v>
      </c>
      <c r="B3624">
        <f>Sheet1!B3624</f>
        <v>11.75</v>
      </c>
      <c r="C3624">
        <f>IF(Sheet1!B3624&gt;0,1,0)</f>
        <v>1</v>
      </c>
    </row>
    <row r="3625" spans="1:3" x14ac:dyDescent="0.25">
      <c r="A3625" s="15">
        <f>Sheet1!A3625</f>
        <v>0</v>
      </c>
      <c r="B3625">
        <f>Sheet1!B3625</f>
        <v>0</v>
      </c>
      <c r="C3625">
        <f>IF(Sheet1!B3625&gt;0,1,0)</f>
        <v>0</v>
      </c>
    </row>
    <row r="3626" spans="1:3" x14ac:dyDescent="0.25">
      <c r="A3626" s="15">
        <f>Sheet1!A3626</f>
        <v>0</v>
      </c>
      <c r="B3626">
        <f>Sheet1!B3626</f>
        <v>0</v>
      </c>
      <c r="C3626">
        <f>IF(Sheet1!B3626&gt;0,1,0)</f>
        <v>0</v>
      </c>
    </row>
    <row r="3627" spans="1:3" x14ac:dyDescent="0.25">
      <c r="A3627" s="15">
        <f>Sheet1!A3627</f>
        <v>0</v>
      </c>
      <c r="B3627">
        <f>Sheet1!B3627</f>
        <v>0</v>
      </c>
      <c r="C3627">
        <f>IF(Sheet1!B3627&gt;0,1,0)</f>
        <v>0</v>
      </c>
    </row>
    <row r="3628" spans="1:3" x14ac:dyDescent="0.25">
      <c r="A3628" s="15">
        <f>Sheet1!A3628</f>
        <v>0</v>
      </c>
      <c r="B3628">
        <f>Sheet1!B3628</f>
        <v>0</v>
      </c>
      <c r="C3628">
        <f>IF(Sheet1!B3628&gt;0,1,0)</f>
        <v>0</v>
      </c>
    </row>
    <row r="3629" spans="1:3" x14ac:dyDescent="0.25">
      <c r="A3629" s="15">
        <f>Sheet1!A3629</f>
        <v>0</v>
      </c>
      <c r="B3629">
        <f>Sheet1!B3629</f>
        <v>0</v>
      </c>
      <c r="C3629">
        <f>IF(Sheet1!B3629&gt;0,1,0)</f>
        <v>0</v>
      </c>
    </row>
    <row r="3630" spans="1:3" x14ac:dyDescent="0.25">
      <c r="A3630" s="15">
        <f>Sheet1!A3630</f>
        <v>0</v>
      </c>
      <c r="B3630">
        <f>Sheet1!B3630</f>
        <v>10.65</v>
      </c>
      <c r="C3630">
        <f>IF(Sheet1!B3630&gt;0,1,0)</f>
        <v>1</v>
      </c>
    </row>
    <row r="3631" spans="1:3" x14ac:dyDescent="0.25">
      <c r="A3631" s="15">
        <f>Sheet1!A3631</f>
        <v>0</v>
      </c>
      <c r="B3631">
        <f>Sheet1!B3631</f>
        <v>0</v>
      </c>
      <c r="C3631">
        <f>IF(Sheet1!B3631&gt;0,1,0)</f>
        <v>0</v>
      </c>
    </row>
    <row r="3632" spans="1:3" x14ac:dyDescent="0.25">
      <c r="A3632" s="15">
        <f>Sheet1!A3632</f>
        <v>0</v>
      </c>
      <c r="B3632">
        <f>Sheet1!B3632</f>
        <v>0</v>
      </c>
      <c r="C3632">
        <f>IF(Sheet1!B3632&gt;0,1,0)</f>
        <v>0</v>
      </c>
    </row>
    <row r="3633" spans="1:3" x14ac:dyDescent="0.25">
      <c r="A3633" s="15">
        <f>Sheet1!A3633</f>
        <v>0</v>
      </c>
      <c r="B3633">
        <f>Sheet1!B3633</f>
        <v>0</v>
      </c>
      <c r="C3633">
        <f>IF(Sheet1!B3633&gt;0,1,0)</f>
        <v>0</v>
      </c>
    </row>
    <row r="3634" spans="1:3" x14ac:dyDescent="0.25">
      <c r="A3634" s="15">
        <f>Sheet1!A3634</f>
        <v>0</v>
      </c>
      <c r="B3634">
        <f>Sheet1!B3634</f>
        <v>13.38</v>
      </c>
      <c r="C3634">
        <f>IF(Sheet1!B3634&gt;0,1,0)</f>
        <v>1</v>
      </c>
    </row>
    <row r="3635" spans="1:3" x14ac:dyDescent="0.25">
      <c r="A3635" s="15">
        <f>Sheet1!A3635</f>
        <v>0</v>
      </c>
      <c r="B3635">
        <f>Sheet1!B3635</f>
        <v>0</v>
      </c>
      <c r="C3635">
        <f>IF(Sheet1!B3635&gt;0,1,0)</f>
        <v>0</v>
      </c>
    </row>
    <row r="3636" spans="1:3" x14ac:dyDescent="0.25">
      <c r="A3636" s="15">
        <f>Sheet1!A3636</f>
        <v>0</v>
      </c>
      <c r="B3636">
        <f>Sheet1!B3636</f>
        <v>0</v>
      </c>
      <c r="C3636">
        <f>IF(Sheet1!B3636&gt;0,1,0)</f>
        <v>0</v>
      </c>
    </row>
    <row r="3637" spans="1:3" x14ac:dyDescent="0.25">
      <c r="A3637" s="15">
        <f>Sheet1!A3637</f>
        <v>0</v>
      </c>
      <c r="B3637">
        <f>Sheet1!B3637</f>
        <v>0</v>
      </c>
      <c r="C3637">
        <f>IF(Sheet1!B3637&gt;0,1,0)</f>
        <v>0</v>
      </c>
    </row>
    <row r="3638" spans="1:3" x14ac:dyDescent="0.25">
      <c r="A3638" s="15">
        <f>Sheet1!A3638</f>
        <v>0</v>
      </c>
      <c r="B3638">
        <f>Sheet1!B3638</f>
        <v>13.45</v>
      </c>
      <c r="C3638">
        <f>IF(Sheet1!B3638&gt;0,1,0)</f>
        <v>1</v>
      </c>
    </row>
    <row r="3639" spans="1:3" x14ac:dyDescent="0.25">
      <c r="A3639" s="15">
        <f>Sheet1!A3639</f>
        <v>0</v>
      </c>
      <c r="B3639">
        <f>Sheet1!B3639</f>
        <v>0</v>
      </c>
      <c r="C3639">
        <f>IF(Sheet1!B3639&gt;0,1,0)</f>
        <v>0</v>
      </c>
    </row>
    <row r="3640" spans="1:3" x14ac:dyDescent="0.25">
      <c r="A3640" s="15">
        <f>Sheet1!A3640</f>
        <v>0</v>
      </c>
      <c r="B3640">
        <f>Sheet1!B3640</f>
        <v>0</v>
      </c>
      <c r="C3640">
        <f>IF(Sheet1!B3640&gt;0,1,0)</f>
        <v>0</v>
      </c>
    </row>
    <row r="3641" spans="1:3" x14ac:dyDescent="0.25">
      <c r="A3641" s="15">
        <f>Sheet1!A3641</f>
        <v>0</v>
      </c>
      <c r="B3641">
        <f>Sheet1!B3641</f>
        <v>0</v>
      </c>
      <c r="C3641">
        <f>IF(Sheet1!B3641&gt;0,1,0)</f>
        <v>0</v>
      </c>
    </row>
    <row r="3642" spans="1:3" x14ac:dyDescent="0.25">
      <c r="A3642" s="15">
        <f>Sheet1!A3642</f>
        <v>0</v>
      </c>
      <c r="B3642">
        <f>Sheet1!B3642</f>
        <v>0</v>
      </c>
      <c r="C3642">
        <f>IF(Sheet1!B3642&gt;0,1,0)</f>
        <v>0</v>
      </c>
    </row>
    <row r="3643" spans="1:3" x14ac:dyDescent="0.25">
      <c r="A3643" s="15">
        <f>Sheet1!A3643</f>
        <v>0</v>
      </c>
      <c r="B3643">
        <f>Sheet1!B3643</f>
        <v>0</v>
      </c>
      <c r="C3643">
        <f>IF(Sheet1!B3643&gt;0,1,0)</f>
        <v>0</v>
      </c>
    </row>
    <row r="3644" spans="1:3" x14ac:dyDescent="0.25">
      <c r="A3644" s="15">
        <f>Sheet1!A3644</f>
        <v>0</v>
      </c>
      <c r="B3644">
        <f>Sheet1!B3644</f>
        <v>0</v>
      </c>
      <c r="C3644">
        <f>IF(Sheet1!B3644&gt;0,1,0)</f>
        <v>0</v>
      </c>
    </row>
    <row r="3645" spans="1:3" x14ac:dyDescent="0.25">
      <c r="A3645" s="15">
        <f>Sheet1!A3645</f>
        <v>0</v>
      </c>
      <c r="B3645">
        <f>Sheet1!B3645</f>
        <v>0</v>
      </c>
      <c r="C3645">
        <f>IF(Sheet1!B3645&gt;0,1,0)</f>
        <v>0</v>
      </c>
    </row>
    <row r="3646" spans="1:3" x14ac:dyDescent="0.25">
      <c r="A3646" s="15">
        <f>Sheet1!A3646</f>
        <v>0</v>
      </c>
      <c r="B3646">
        <f>Sheet1!B3646</f>
        <v>0</v>
      </c>
      <c r="C3646">
        <f>IF(Sheet1!B3646&gt;0,1,0)</f>
        <v>0</v>
      </c>
    </row>
    <row r="3647" spans="1:3" x14ac:dyDescent="0.25">
      <c r="A3647" s="15">
        <f>Sheet1!A3647</f>
        <v>0</v>
      </c>
      <c r="B3647">
        <f>Sheet1!B3647</f>
        <v>0</v>
      </c>
      <c r="C3647">
        <f>IF(Sheet1!B3647&gt;0,1,0)</f>
        <v>0</v>
      </c>
    </row>
    <row r="3648" spans="1:3" x14ac:dyDescent="0.25">
      <c r="A3648" s="15">
        <f>Sheet1!A3648</f>
        <v>0</v>
      </c>
      <c r="B3648">
        <f>Sheet1!B3648</f>
        <v>0</v>
      </c>
      <c r="C3648">
        <f>IF(Sheet1!B3648&gt;0,1,0)</f>
        <v>0</v>
      </c>
    </row>
    <row r="3649" spans="1:3" x14ac:dyDescent="0.25">
      <c r="A3649" s="15">
        <f>Sheet1!A3649</f>
        <v>0</v>
      </c>
      <c r="B3649">
        <f>Sheet1!B3649</f>
        <v>0</v>
      </c>
      <c r="C3649">
        <f>IF(Sheet1!B3649&gt;0,1,0)</f>
        <v>0</v>
      </c>
    </row>
    <row r="3650" spans="1:3" x14ac:dyDescent="0.25">
      <c r="A3650" s="15">
        <f>Sheet1!A3650</f>
        <v>0</v>
      </c>
      <c r="B3650">
        <f>Sheet1!B3650</f>
        <v>8.18</v>
      </c>
      <c r="C3650">
        <f>IF(Sheet1!B3650&gt;0,1,0)</f>
        <v>1</v>
      </c>
    </row>
    <row r="3651" spans="1:3" x14ac:dyDescent="0.25">
      <c r="A3651" s="15">
        <f>Sheet1!A3651</f>
        <v>0</v>
      </c>
      <c r="B3651">
        <f>Sheet1!B3651</f>
        <v>0</v>
      </c>
      <c r="C3651">
        <f>IF(Sheet1!B3651&gt;0,1,0)</f>
        <v>0</v>
      </c>
    </row>
    <row r="3652" spans="1:3" x14ac:dyDescent="0.25">
      <c r="A3652" s="15">
        <f>Sheet1!A3652</f>
        <v>0</v>
      </c>
      <c r="B3652">
        <f>Sheet1!B3652</f>
        <v>0</v>
      </c>
      <c r="C3652">
        <f>IF(Sheet1!B3652&gt;0,1,0)</f>
        <v>0</v>
      </c>
    </row>
    <row r="3653" spans="1:3" x14ac:dyDescent="0.25">
      <c r="A3653" s="15">
        <f>Sheet1!A3653</f>
        <v>0</v>
      </c>
      <c r="B3653">
        <f>Sheet1!B3653</f>
        <v>0</v>
      </c>
      <c r="C3653">
        <f>IF(Sheet1!B3653&gt;0,1,0)</f>
        <v>0</v>
      </c>
    </row>
    <row r="3654" spans="1:3" x14ac:dyDescent="0.25">
      <c r="A3654" s="15">
        <f>Sheet1!A3654</f>
        <v>0</v>
      </c>
      <c r="B3654">
        <f>Sheet1!B3654</f>
        <v>0</v>
      </c>
      <c r="C3654">
        <f>IF(Sheet1!B3654&gt;0,1,0)</f>
        <v>0</v>
      </c>
    </row>
    <row r="3655" spans="1:3" x14ac:dyDescent="0.25">
      <c r="A3655" s="15">
        <f>Sheet1!A3655</f>
        <v>0</v>
      </c>
      <c r="B3655">
        <f>Sheet1!B3655</f>
        <v>0</v>
      </c>
      <c r="C3655">
        <f>IF(Sheet1!B3655&gt;0,1,0)</f>
        <v>0</v>
      </c>
    </row>
    <row r="3656" spans="1:3" x14ac:dyDescent="0.25">
      <c r="A3656" s="15">
        <f>Sheet1!A3656</f>
        <v>0</v>
      </c>
      <c r="B3656">
        <f>Sheet1!B3656</f>
        <v>7.12</v>
      </c>
      <c r="C3656">
        <f>IF(Sheet1!B3656&gt;0,1,0)</f>
        <v>1</v>
      </c>
    </row>
    <row r="3657" spans="1:3" x14ac:dyDescent="0.25">
      <c r="A3657" s="15">
        <f>Sheet1!A3657</f>
        <v>0</v>
      </c>
      <c r="B3657">
        <f>Sheet1!B3657</f>
        <v>0</v>
      </c>
      <c r="C3657">
        <f>IF(Sheet1!B3657&gt;0,1,0)</f>
        <v>0</v>
      </c>
    </row>
    <row r="3658" spans="1:3" x14ac:dyDescent="0.25">
      <c r="A3658" s="15">
        <f>Sheet1!A3658</f>
        <v>0</v>
      </c>
      <c r="B3658">
        <f>Sheet1!B3658</f>
        <v>0</v>
      </c>
      <c r="C3658">
        <f>IF(Sheet1!B3658&gt;0,1,0)</f>
        <v>0</v>
      </c>
    </row>
    <row r="3659" spans="1:3" x14ac:dyDescent="0.25">
      <c r="A3659" s="15">
        <f>Sheet1!A3659</f>
        <v>0</v>
      </c>
      <c r="B3659">
        <f>Sheet1!B3659</f>
        <v>0</v>
      </c>
      <c r="C3659">
        <f>IF(Sheet1!B3659&gt;0,1,0)</f>
        <v>0</v>
      </c>
    </row>
    <row r="3660" spans="1:3" x14ac:dyDescent="0.25">
      <c r="A3660" s="15">
        <f>Sheet1!A3660</f>
        <v>0</v>
      </c>
      <c r="B3660">
        <f>Sheet1!B3660</f>
        <v>16.420000000000002</v>
      </c>
      <c r="C3660">
        <f>IF(Sheet1!B3660&gt;0,1,0)</f>
        <v>1</v>
      </c>
    </row>
    <row r="3661" spans="1:3" x14ac:dyDescent="0.25">
      <c r="A3661" s="15">
        <f>Sheet1!A3661</f>
        <v>0</v>
      </c>
      <c r="B3661">
        <f>Sheet1!B3661</f>
        <v>0</v>
      </c>
      <c r="C3661">
        <f>IF(Sheet1!B3661&gt;0,1,0)</f>
        <v>0</v>
      </c>
    </row>
    <row r="3662" spans="1:3" x14ac:dyDescent="0.25">
      <c r="A3662" s="15">
        <f>Sheet1!A3662</f>
        <v>0</v>
      </c>
      <c r="B3662">
        <f>Sheet1!B3662</f>
        <v>0</v>
      </c>
      <c r="C3662">
        <f>IF(Sheet1!B3662&gt;0,1,0)</f>
        <v>0</v>
      </c>
    </row>
    <row r="3663" spans="1:3" x14ac:dyDescent="0.25">
      <c r="A3663" s="15">
        <f>Sheet1!A3663</f>
        <v>0</v>
      </c>
      <c r="B3663">
        <f>Sheet1!B3663</f>
        <v>0</v>
      </c>
      <c r="C3663">
        <f>IF(Sheet1!B3663&gt;0,1,0)</f>
        <v>0</v>
      </c>
    </row>
    <row r="3664" spans="1:3" x14ac:dyDescent="0.25">
      <c r="A3664" s="15">
        <f>Sheet1!A3664</f>
        <v>0</v>
      </c>
      <c r="B3664">
        <f>Sheet1!B3664</f>
        <v>0</v>
      </c>
      <c r="C3664">
        <f>IF(Sheet1!B3664&gt;0,1,0)</f>
        <v>0</v>
      </c>
    </row>
    <row r="3665" spans="1:3" x14ac:dyDescent="0.25">
      <c r="A3665" s="15">
        <f>Sheet1!A3665</f>
        <v>0</v>
      </c>
      <c r="B3665">
        <f>Sheet1!B3665</f>
        <v>0</v>
      </c>
      <c r="C3665">
        <f>IF(Sheet1!B3665&gt;0,1,0)</f>
        <v>0</v>
      </c>
    </row>
    <row r="3666" spans="1:3" x14ac:dyDescent="0.25">
      <c r="A3666" s="15">
        <f>Sheet1!A3666</f>
        <v>0</v>
      </c>
      <c r="B3666">
        <f>Sheet1!B3666</f>
        <v>15.9</v>
      </c>
      <c r="C3666">
        <f>IF(Sheet1!B3666&gt;0,1,0)</f>
        <v>1</v>
      </c>
    </row>
    <row r="3667" spans="1:3" x14ac:dyDescent="0.25">
      <c r="A3667" s="15">
        <f>Sheet1!A3667</f>
        <v>0</v>
      </c>
      <c r="B3667">
        <f>Sheet1!B3667</f>
        <v>0</v>
      </c>
      <c r="C3667">
        <f>IF(Sheet1!B3667&gt;0,1,0)</f>
        <v>0</v>
      </c>
    </row>
    <row r="3668" spans="1:3" x14ac:dyDescent="0.25">
      <c r="A3668" s="15">
        <f>Sheet1!A3668</f>
        <v>0</v>
      </c>
      <c r="B3668">
        <f>Sheet1!B3668</f>
        <v>0</v>
      </c>
      <c r="C3668">
        <f>IF(Sheet1!B3668&gt;0,1,0)</f>
        <v>0</v>
      </c>
    </row>
    <row r="3669" spans="1:3" x14ac:dyDescent="0.25">
      <c r="A3669" s="15">
        <f>Sheet1!A3669</f>
        <v>0</v>
      </c>
      <c r="B3669">
        <f>Sheet1!B3669</f>
        <v>0</v>
      </c>
      <c r="C3669">
        <f>IF(Sheet1!B3669&gt;0,1,0)</f>
        <v>0</v>
      </c>
    </row>
    <row r="3670" spans="1:3" x14ac:dyDescent="0.25">
      <c r="A3670" s="15">
        <f>Sheet1!A3670</f>
        <v>0</v>
      </c>
      <c r="B3670">
        <f>Sheet1!B3670</f>
        <v>0</v>
      </c>
      <c r="C3670">
        <f>IF(Sheet1!B3670&gt;0,1,0)</f>
        <v>0</v>
      </c>
    </row>
    <row r="3671" spans="1:3" x14ac:dyDescent="0.25">
      <c r="A3671" s="15">
        <f>Sheet1!A3671</f>
        <v>0</v>
      </c>
      <c r="B3671">
        <f>Sheet1!B3671</f>
        <v>0</v>
      </c>
      <c r="C3671">
        <f>IF(Sheet1!B3671&gt;0,1,0)</f>
        <v>0</v>
      </c>
    </row>
    <row r="3672" spans="1:3" x14ac:dyDescent="0.25">
      <c r="A3672" s="15">
        <f>Sheet1!A3672</f>
        <v>0</v>
      </c>
      <c r="B3672">
        <f>Sheet1!B3672</f>
        <v>0</v>
      </c>
      <c r="C3672">
        <f>IF(Sheet1!B3672&gt;0,1,0)</f>
        <v>0</v>
      </c>
    </row>
    <row r="3673" spans="1:3" x14ac:dyDescent="0.25">
      <c r="A3673" s="15">
        <f>Sheet1!A3673</f>
        <v>0</v>
      </c>
      <c r="B3673">
        <f>Sheet1!B3673</f>
        <v>0</v>
      </c>
      <c r="C3673">
        <f>IF(Sheet1!B3673&gt;0,1,0)</f>
        <v>0</v>
      </c>
    </row>
    <row r="3674" spans="1:3" x14ac:dyDescent="0.25">
      <c r="A3674" s="15">
        <f>Sheet1!A3674</f>
        <v>0</v>
      </c>
      <c r="B3674">
        <f>Sheet1!B3674</f>
        <v>9.3800000000000008</v>
      </c>
      <c r="C3674">
        <f>IF(Sheet1!B3674&gt;0,1,0)</f>
        <v>1</v>
      </c>
    </row>
    <row r="3675" spans="1:3" x14ac:dyDescent="0.25">
      <c r="A3675" s="15">
        <f>Sheet1!A3675</f>
        <v>0</v>
      </c>
      <c r="B3675">
        <f>Sheet1!B3675</f>
        <v>0</v>
      </c>
      <c r="C3675">
        <f>IF(Sheet1!B3675&gt;0,1,0)</f>
        <v>0</v>
      </c>
    </row>
    <row r="3676" spans="1:3" x14ac:dyDescent="0.25">
      <c r="A3676" s="15">
        <f>Sheet1!A3676</f>
        <v>0</v>
      </c>
      <c r="B3676">
        <f>Sheet1!B3676</f>
        <v>0</v>
      </c>
      <c r="C3676">
        <f>IF(Sheet1!B3676&gt;0,1,0)</f>
        <v>0</v>
      </c>
    </row>
    <row r="3677" spans="1:3" x14ac:dyDescent="0.25">
      <c r="A3677" s="15">
        <f>Sheet1!A3677</f>
        <v>0</v>
      </c>
      <c r="B3677">
        <f>Sheet1!B3677</f>
        <v>0</v>
      </c>
      <c r="C3677">
        <f>IF(Sheet1!B3677&gt;0,1,0)</f>
        <v>0</v>
      </c>
    </row>
    <row r="3678" spans="1:3" x14ac:dyDescent="0.25">
      <c r="A3678" s="15">
        <f>Sheet1!A3678</f>
        <v>0</v>
      </c>
      <c r="B3678">
        <f>Sheet1!B3678</f>
        <v>8.91</v>
      </c>
      <c r="C3678">
        <f>IF(Sheet1!B3678&gt;0,1,0)</f>
        <v>1</v>
      </c>
    </row>
    <row r="3679" spans="1:3" x14ac:dyDescent="0.25">
      <c r="A3679" s="15">
        <f>Sheet1!A3679</f>
        <v>0</v>
      </c>
      <c r="B3679">
        <f>Sheet1!B3679</f>
        <v>0</v>
      </c>
      <c r="C3679">
        <f>IF(Sheet1!B3679&gt;0,1,0)</f>
        <v>0</v>
      </c>
    </row>
    <row r="3680" spans="1:3" x14ac:dyDescent="0.25">
      <c r="A3680" s="15">
        <f>Sheet1!A3680</f>
        <v>0</v>
      </c>
      <c r="B3680">
        <f>Sheet1!B3680</f>
        <v>0</v>
      </c>
      <c r="C3680">
        <f>IF(Sheet1!B3680&gt;0,1,0)</f>
        <v>0</v>
      </c>
    </row>
    <row r="3681" spans="1:3" x14ac:dyDescent="0.25">
      <c r="A3681" s="15">
        <f>Sheet1!A3681</f>
        <v>0</v>
      </c>
      <c r="B3681">
        <f>Sheet1!B3681</f>
        <v>0</v>
      </c>
      <c r="C3681">
        <f>IF(Sheet1!B3681&gt;0,1,0)</f>
        <v>0</v>
      </c>
    </row>
    <row r="3682" spans="1:3" x14ac:dyDescent="0.25">
      <c r="A3682" s="15">
        <f>Sheet1!A3682</f>
        <v>0</v>
      </c>
      <c r="B3682">
        <f>Sheet1!B3682</f>
        <v>0</v>
      </c>
      <c r="C3682">
        <f>IF(Sheet1!B3682&gt;0,1,0)</f>
        <v>0</v>
      </c>
    </row>
    <row r="3683" spans="1:3" x14ac:dyDescent="0.25">
      <c r="A3683" s="15">
        <f>Sheet1!A3683</f>
        <v>0</v>
      </c>
      <c r="B3683">
        <f>Sheet1!B3683</f>
        <v>0</v>
      </c>
      <c r="C3683">
        <f>IF(Sheet1!B3683&gt;0,1,0)</f>
        <v>0</v>
      </c>
    </row>
    <row r="3684" spans="1:3" x14ac:dyDescent="0.25">
      <c r="A3684" s="15">
        <f>Sheet1!A3684</f>
        <v>0</v>
      </c>
      <c r="B3684">
        <f>Sheet1!B3684</f>
        <v>11.04</v>
      </c>
      <c r="C3684">
        <f>IF(Sheet1!B3684&gt;0,1,0)</f>
        <v>1</v>
      </c>
    </row>
    <row r="3685" spans="1:3" x14ac:dyDescent="0.25">
      <c r="A3685" s="15">
        <f>Sheet1!A3685</f>
        <v>0</v>
      </c>
      <c r="B3685">
        <f>Sheet1!B3685</f>
        <v>0</v>
      </c>
      <c r="C3685">
        <f>IF(Sheet1!B3685&gt;0,1,0)</f>
        <v>0</v>
      </c>
    </row>
    <row r="3686" spans="1:3" x14ac:dyDescent="0.25">
      <c r="A3686" s="15">
        <f>Sheet1!A3686</f>
        <v>0</v>
      </c>
      <c r="B3686">
        <f>Sheet1!B3686</f>
        <v>0</v>
      </c>
      <c r="C3686">
        <f>IF(Sheet1!B3686&gt;0,1,0)</f>
        <v>0</v>
      </c>
    </row>
    <row r="3687" spans="1:3" x14ac:dyDescent="0.25">
      <c r="A3687" s="15">
        <f>Sheet1!A3687</f>
        <v>0</v>
      </c>
      <c r="B3687">
        <f>Sheet1!B3687</f>
        <v>0</v>
      </c>
      <c r="C3687">
        <f>IF(Sheet1!B3687&gt;0,1,0)</f>
        <v>0</v>
      </c>
    </row>
    <row r="3688" spans="1:3" x14ac:dyDescent="0.25">
      <c r="A3688" s="15">
        <f>Sheet1!A3688</f>
        <v>0</v>
      </c>
      <c r="B3688">
        <f>Sheet1!B3688</f>
        <v>5.22</v>
      </c>
      <c r="C3688">
        <f>IF(Sheet1!B3688&gt;0,1,0)</f>
        <v>1</v>
      </c>
    </row>
    <row r="3689" spans="1:3" x14ac:dyDescent="0.25">
      <c r="A3689" s="15">
        <f>Sheet1!A3689</f>
        <v>0</v>
      </c>
      <c r="B3689">
        <f>Sheet1!B3689</f>
        <v>0</v>
      </c>
      <c r="C3689">
        <f>IF(Sheet1!B3689&gt;0,1,0)</f>
        <v>0</v>
      </c>
    </row>
    <row r="3690" spans="1:3" x14ac:dyDescent="0.25">
      <c r="A3690" s="15">
        <f>Sheet1!A3690</f>
        <v>0</v>
      </c>
      <c r="B3690">
        <f>Sheet1!B3690</f>
        <v>0</v>
      </c>
      <c r="C3690">
        <f>IF(Sheet1!B3690&gt;0,1,0)</f>
        <v>0</v>
      </c>
    </row>
    <row r="3691" spans="1:3" x14ac:dyDescent="0.25">
      <c r="A3691" s="15">
        <f>Sheet1!A3691</f>
        <v>0</v>
      </c>
      <c r="B3691">
        <f>Sheet1!B3691</f>
        <v>0</v>
      </c>
      <c r="C3691">
        <f>IF(Sheet1!B3691&gt;0,1,0)</f>
        <v>0</v>
      </c>
    </row>
    <row r="3692" spans="1:3" x14ac:dyDescent="0.25">
      <c r="A3692" s="15">
        <f>Sheet1!A3692</f>
        <v>0</v>
      </c>
      <c r="B3692">
        <f>Sheet1!B3692</f>
        <v>0</v>
      </c>
      <c r="C3692">
        <f>IF(Sheet1!B3692&gt;0,1,0)</f>
        <v>0</v>
      </c>
    </row>
    <row r="3693" spans="1:3" x14ac:dyDescent="0.25">
      <c r="A3693" s="15">
        <f>Sheet1!A3693</f>
        <v>0</v>
      </c>
      <c r="B3693">
        <f>Sheet1!B3693</f>
        <v>0</v>
      </c>
      <c r="C3693">
        <f>IF(Sheet1!B3693&gt;0,1,0)</f>
        <v>0</v>
      </c>
    </row>
    <row r="3694" spans="1:3" x14ac:dyDescent="0.25">
      <c r="A3694" s="15">
        <f>Sheet1!A3694</f>
        <v>0</v>
      </c>
      <c r="B3694">
        <f>Sheet1!B3694</f>
        <v>11.57</v>
      </c>
      <c r="C3694">
        <f>IF(Sheet1!B3694&gt;0,1,0)</f>
        <v>1</v>
      </c>
    </row>
    <row r="3695" spans="1:3" x14ac:dyDescent="0.25">
      <c r="A3695" s="15">
        <f>Sheet1!A3695</f>
        <v>0</v>
      </c>
      <c r="B3695">
        <f>Sheet1!B3695</f>
        <v>0</v>
      </c>
      <c r="C3695">
        <f>IF(Sheet1!B3695&gt;0,1,0)</f>
        <v>0</v>
      </c>
    </row>
    <row r="3696" spans="1:3" x14ac:dyDescent="0.25">
      <c r="A3696" s="15">
        <f>Sheet1!A3696</f>
        <v>0</v>
      </c>
      <c r="B3696">
        <f>Sheet1!B3696</f>
        <v>0</v>
      </c>
      <c r="C3696">
        <f>IF(Sheet1!B3696&gt;0,1,0)</f>
        <v>0</v>
      </c>
    </row>
    <row r="3697" spans="1:3" x14ac:dyDescent="0.25">
      <c r="A3697" s="15">
        <f>Sheet1!A3697</f>
        <v>0</v>
      </c>
      <c r="B3697">
        <f>Sheet1!B3697</f>
        <v>0</v>
      </c>
      <c r="C3697">
        <f>IF(Sheet1!B3697&gt;0,1,0)</f>
        <v>0</v>
      </c>
    </row>
    <row r="3698" spans="1:3" x14ac:dyDescent="0.25">
      <c r="A3698" s="15">
        <f>Sheet1!A3698</f>
        <v>0</v>
      </c>
      <c r="B3698">
        <f>Sheet1!B3698</f>
        <v>0</v>
      </c>
      <c r="C3698">
        <f>IF(Sheet1!B3698&gt;0,1,0)</f>
        <v>0</v>
      </c>
    </row>
    <row r="3699" spans="1:3" x14ac:dyDescent="0.25">
      <c r="A3699" s="15">
        <f>Sheet1!A3699</f>
        <v>0</v>
      </c>
      <c r="B3699">
        <f>Sheet1!B3699</f>
        <v>0</v>
      </c>
      <c r="C3699">
        <f>IF(Sheet1!B3699&gt;0,1,0)</f>
        <v>0</v>
      </c>
    </row>
    <row r="3700" spans="1:3" x14ac:dyDescent="0.25">
      <c r="A3700" s="15">
        <f>Sheet1!A3700</f>
        <v>0</v>
      </c>
      <c r="B3700">
        <f>Sheet1!B3700</f>
        <v>7.13</v>
      </c>
      <c r="C3700">
        <f>IF(Sheet1!B3700&gt;0,1,0)</f>
        <v>1</v>
      </c>
    </row>
    <row r="3701" spans="1:3" x14ac:dyDescent="0.25">
      <c r="A3701" s="15">
        <f>Sheet1!A3701</f>
        <v>0</v>
      </c>
      <c r="B3701">
        <f>Sheet1!B3701</f>
        <v>0</v>
      </c>
      <c r="C3701">
        <f>IF(Sheet1!B3701&gt;0,1,0)</f>
        <v>0</v>
      </c>
    </row>
    <row r="3702" spans="1:3" x14ac:dyDescent="0.25">
      <c r="A3702" s="15">
        <f>Sheet1!A3702</f>
        <v>0</v>
      </c>
      <c r="B3702">
        <f>Sheet1!B3702</f>
        <v>0</v>
      </c>
      <c r="C3702">
        <f>IF(Sheet1!B3702&gt;0,1,0)</f>
        <v>0</v>
      </c>
    </row>
    <row r="3703" spans="1:3" x14ac:dyDescent="0.25">
      <c r="A3703" s="15">
        <f>Sheet1!A3703</f>
        <v>0</v>
      </c>
      <c r="B3703">
        <f>Sheet1!B3703</f>
        <v>0</v>
      </c>
      <c r="C3703">
        <f>IF(Sheet1!B3703&gt;0,1,0)</f>
        <v>0</v>
      </c>
    </row>
    <row r="3704" spans="1:3" x14ac:dyDescent="0.25">
      <c r="A3704" s="15">
        <f>Sheet1!A3704</f>
        <v>0</v>
      </c>
      <c r="B3704">
        <f>Sheet1!B3704</f>
        <v>3.77</v>
      </c>
      <c r="C3704">
        <f>IF(Sheet1!B3704&gt;0,1,0)</f>
        <v>1</v>
      </c>
    </row>
    <row r="3705" spans="1:3" x14ac:dyDescent="0.25">
      <c r="A3705" s="15">
        <f>Sheet1!A3705</f>
        <v>0</v>
      </c>
      <c r="B3705">
        <f>Sheet1!B3705</f>
        <v>0</v>
      </c>
      <c r="C3705">
        <f>IF(Sheet1!B3705&gt;0,1,0)</f>
        <v>0</v>
      </c>
    </row>
    <row r="3706" spans="1:3" x14ac:dyDescent="0.25">
      <c r="A3706" s="15">
        <f>Sheet1!A3706</f>
        <v>0</v>
      </c>
      <c r="B3706">
        <f>Sheet1!B3706</f>
        <v>0</v>
      </c>
      <c r="C3706">
        <f>IF(Sheet1!B3706&gt;0,1,0)</f>
        <v>0</v>
      </c>
    </row>
    <row r="3707" spans="1:3" x14ac:dyDescent="0.25">
      <c r="A3707" s="15">
        <f>Sheet1!A3707</f>
        <v>0</v>
      </c>
      <c r="B3707">
        <f>Sheet1!B3707</f>
        <v>0</v>
      </c>
      <c r="C3707">
        <f>IF(Sheet1!B3707&gt;0,1,0)</f>
        <v>0</v>
      </c>
    </row>
    <row r="3708" spans="1:3" x14ac:dyDescent="0.25">
      <c r="A3708" s="15">
        <f>Sheet1!A3708</f>
        <v>0</v>
      </c>
      <c r="B3708">
        <f>Sheet1!B3708</f>
        <v>12.01</v>
      </c>
      <c r="C3708">
        <f>IF(Sheet1!B3708&gt;0,1,0)</f>
        <v>1</v>
      </c>
    </row>
    <row r="3709" spans="1:3" x14ac:dyDescent="0.25">
      <c r="A3709" s="15">
        <f>Sheet1!A3709</f>
        <v>0</v>
      </c>
      <c r="B3709">
        <f>Sheet1!B3709</f>
        <v>0</v>
      </c>
      <c r="C3709">
        <f>IF(Sheet1!B3709&gt;0,1,0)</f>
        <v>0</v>
      </c>
    </row>
    <row r="3710" spans="1:3" x14ac:dyDescent="0.25">
      <c r="A3710" s="15">
        <f>Sheet1!A3710</f>
        <v>0</v>
      </c>
      <c r="B3710">
        <f>Sheet1!B3710</f>
        <v>0</v>
      </c>
      <c r="C3710">
        <f>IF(Sheet1!B3710&gt;0,1,0)</f>
        <v>0</v>
      </c>
    </row>
    <row r="3711" spans="1:3" x14ac:dyDescent="0.25">
      <c r="A3711" s="15">
        <f>Sheet1!A3711</f>
        <v>0</v>
      </c>
      <c r="B3711">
        <f>Sheet1!B3711</f>
        <v>0</v>
      </c>
      <c r="C3711">
        <f>IF(Sheet1!B3711&gt;0,1,0)</f>
        <v>0</v>
      </c>
    </row>
    <row r="3712" spans="1:3" x14ac:dyDescent="0.25">
      <c r="A3712" s="15">
        <f>Sheet1!A3712</f>
        <v>0</v>
      </c>
      <c r="B3712">
        <f>Sheet1!B3712</f>
        <v>11.68</v>
      </c>
      <c r="C3712">
        <f>IF(Sheet1!B3712&gt;0,1,0)</f>
        <v>1</v>
      </c>
    </row>
    <row r="3713" spans="1:3" x14ac:dyDescent="0.25">
      <c r="A3713" s="15">
        <f>Sheet1!A3713</f>
        <v>0</v>
      </c>
      <c r="B3713">
        <f>Sheet1!B3713</f>
        <v>0</v>
      </c>
      <c r="C3713">
        <f>IF(Sheet1!B3713&gt;0,1,0)</f>
        <v>0</v>
      </c>
    </row>
    <row r="3714" spans="1:3" x14ac:dyDescent="0.25">
      <c r="A3714" s="15">
        <f>Sheet1!A3714</f>
        <v>0</v>
      </c>
      <c r="B3714">
        <f>Sheet1!B3714</f>
        <v>0</v>
      </c>
      <c r="C3714">
        <f>IF(Sheet1!B3714&gt;0,1,0)</f>
        <v>0</v>
      </c>
    </row>
    <row r="3715" spans="1:3" x14ac:dyDescent="0.25">
      <c r="A3715" s="15">
        <f>Sheet1!A3715</f>
        <v>0</v>
      </c>
      <c r="B3715">
        <f>Sheet1!B3715</f>
        <v>0</v>
      </c>
      <c r="C3715">
        <f>IF(Sheet1!B3715&gt;0,1,0)</f>
        <v>0</v>
      </c>
    </row>
    <row r="3716" spans="1:3" x14ac:dyDescent="0.25">
      <c r="A3716" s="15">
        <f>Sheet1!A3716</f>
        <v>0</v>
      </c>
      <c r="B3716">
        <f>Sheet1!B3716</f>
        <v>9.98</v>
      </c>
      <c r="C3716">
        <f>IF(Sheet1!B3716&gt;0,1,0)</f>
        <v>1</v>
      </c>
    </row>
    <row r="3717" spans="1:3" x14ac:dyDescent="0.25">
      <c r="A3717" s="15">
        <f>Sheet1!A3717</f>
        <v>0</v>
      </c>
      <c r="B3717">
        <f>Sheet1!B3717</f>
        <v>0</v>
      </c>
      <c r="C3717">
        <f>IF(Sheet1!B3717&gt;0,1,0)</f>
        <v>0</v>
      </c>
    </row>
    <row r="3718" spans="1:3" x14ac:dyDescent="0.25">
      <c r="A3718" s="15">
        <f>Sheet1!A3718</f>
        <v>0</v>
      </c>
      <c r="B3718">
        <f>Sheet1!B3718</f>
        <v>0</v>
      </c>
      <c r="C3718">
        <f>IF(Sheet1!B3718&gt;0,1,0)</f>
        <v>0</v>
      </c>
    </row>
    <row r="3719" spans="1:3" x14ac:dyDescent="0.25">
      <c r="A3719" s="15">
        <f>Sheet1!A3719</f>
        <v>0</v>
      </c>
      <c r="B3719">
        <f>Sheet1!B3719</f>
        <v>0</v>
      </c>
      <c r="C3719">
        <f>IF(Sheet1!B3719&gt;0,1,0)</f>
        <v>0</v>
      </c>
    </row>
    <row r="3720" spans="1:3" x14ac:dyDescent="0.25">
      <c r="A3720" s="15">
        <f>Sheet1!A3720</f>
        <v>0</v>
      </c>
      <c r="B3720">
        <f>Sheet1!B3720</f>
        <v>0</v>
      </c>
      <c r="C3720">
        <f>IF(Sheet1!B3720&gt;0,1,0)</f>
        <v>0</v>
      </c>
    </row>
    <row r="3721" spans="1:3" x14ac:dyDescent="0.25">
      <c r="A3721" s="15">
        <f>Sheet1!A3721</f>
        <v>0</v>
      </c>
      <c r="B3721">
        <f>Sheet1!B3721</f>
        <v>0</v>
      </c>
      <c r="C3721">
        <f>IF(Sheet1!B3721&gt;0,1,0)</f>
        <v>0</v>
      </c>
    </row>
    <row r="3722" spans="1:3" x14ac:dyDescent="0.25">
      <c r="A3722" s="15">
        <f>Sheet1!A3722</f>
        <v>0</v>
      </c>
      <c r="B3722">
        <f>Sheet1!B3722</f>
        <v>11.78</v>
      </c>
      <c r="C3722">
        <f>IF(Sheet1!B3722&gt;0,1,0)</f>
        <v>1</v>
      </c>
    </row>
    <row r="3723" spans="1:3" x14ac:dyDescent="0.25">
      <c r="A3723" s="15">
        <f>Sheet1!A3723</f>
        <v>0</v>
      </c>
      <c r="B3723">
        <f>Sheet1!B3723</f>
        <v>0</v>
      </c>
      <c r="C3723">
        <f>IF(Sheet1!B3723&gt;0,1,0)</f>
        <v>0</v>
      </c>
    </row>
    <row r="3724" spans="1:3" x14ac:dyDescent="0.25">
      <c r="A3724" s="15">
        <f>Sheet1!A3724</f>
        <v>0</v>
      </c>
      <c r="B3724">
        <f>Sheet1!B3724</f>
        <v>0</v>
      </c>
      <c r="C3724">
        <f>IF(Sheet1!B3724&gt;0,1,0)</f>
        <v>0</v>
      </c>
    </row>
    <row r="3725" spans="1:3" x14ac:dyDescent="0.25">
      <c r="A3725" s="15">
        <f>Sheet1!A3725</f>
        <v>0</v>
      </c>
      <c r="B3725">
        <f>Sheet1!B3725</f>
        <v>0</v>
      </c>
      <c r="C3725">
        <f>IF(Sheet1!B3725&gt;0,1,0)</f>
        <v>0</v>
      </c>
    </row>
    <row r="3726" spans="1:3" x14ac:dyDescent="0.25">
      <c r="A3726" s="15">
        <f>Sheet1!A3726</f>
        <v>0</v>
      </c>
      <c r="B3726">
        <f>Sheet1!B3726</f>
        <v>10.18</v>
      </c>
      <c r="C3726">
        <f>IF(Sheet1!B3726&gt;0,1,0)</f>
        <v>1</v>
      </c>
    </row>
    <row r="3727" spans="1:3" x14ac:dyDescent="0.25">
      <c r="A3727" s="15">
        <f>Sheet1!A3727</f>
        <v>0</v>
      </c>
      <c r="B3727">
        <f>Sheet1!B3727</f>
        <v>0</v>
      </c>
      <c r="C3727">
        <f>IF(Sheet1!B3727&gt;0,1,0)</f>
        <v>0</v>
      </c>
    </row>
    <row r="3728" spans="1:3" x14ac:dyDescent="0.25">
      <c r="A3728" s="15">
        <f>Sheet1!A3728</f>
        <v>0</v>
      </c>
      <c r="B3728">
        <f>Sheet1!B3728</f>
        <v>0</v>
      </c>
      <c r="C3728">
        <f>IF(Sheet1!B3728&gt;0,1,0)</f>
        <v>0</v>
      </c>
    </row>
    <row r="3729" spans="1:3" x14ac:dyDescent="0.25">
      <c r="A3729" s="15">
        <f>Sheet1!A3729</f>
        <v>0</v>
      </c>
      <c r="B3729">
        <f>Sheet1!B3729</f>
        <v>0</v>
      </c>
      <c r="C3729">
        <f>IF(Sheet1!B3729&gt;0,1,0)</f>
        <v>0</v>
      </c>
    </row>
    <row r="3730" spans="1:3" x14ac:dyDescent="0.25">
      <c r="A3730" s="15">
        <f>Sheet1!A3730</f>
        <v>0</v>
      </c>
      <c r="B3730">
        <f>Sheet1!B3730</f>
        <v>13.2</v>
      </c>
      <c r="C3730">
        <f>IF(Sheet1!B3730&gt;0,1,0)</f>
        <v>1</v>
      </c>
    </row>
    <row r="3731" spans="1:3" x14ac:dyDescent="0.25">
      <c r="A3731" s="15">
        <f>Sheet1!A3731</f>
        <v>0</v>
      </c>
      <c r="B3731">
        <f>Sheet1!B3731</f>
        <v>0</v>
      </c>
      <c r="C3731">
        <f>IF(Sheet1!B3731&gt;0,1,0)</f>
        <v>0</v>
      </c>
    </row>
    <row r="3732" spans="1:3" x14ac:dyDescent="0.25">
      <c r="A3732" s="15">
        <f>Sheet1!A3732</f>
        <v>0</v>
      </c>
      <c r="B3732">
        <f>Sheet1!B3732</f>
        <v>0</v>
      </c>
      <c r="C3732">
        <f>IF(Sheet1!B3732&gt;0,1,0)</f>
        <v>0</v>
      </c>
    </row>
    <row r="3733" spans="1:3" x14ac:dyDescent="0.25">
      <c r="A3733" s="15">
        <f>Sheet1!A3733</f>
        <v>0</v>
      </c>
      <c r="B3733">
        <f>Sheet1!B3733</f>
        <v>0</v>
      </c>
      <c r="C3733">
        <f>IF(Sheet1!B3733&gt;0,1,0)</f>
        <v>0</v>
      </c>
    </row>
    <row r="3734" spans="1:3" x14ac:dyDescent="0.25">
      <c r="A3734" s="15">
        <f>Sheet1!A3734</f>
        <v>0</v>
      </c>
      <c r="B3734">
        <f>Sheet1!B3734</f>
        <v>0</v>
      </c>
      <c r="C3734">
        <f>IF(Sheet1!B3734&gt;0,1,0)</f>
        <v>0</v>
      </c>
    </row>
    <row r="3735" spans="1:3" x14ac:dyDescent="0.25">
      <c r="A3735" s="15">
        <f>Sheet1!A3735</f>
        <v>0</v>
      </c>
      <c r="B3735">
        <f>Sheet1!B3735</f>
        <v>0</v>
      </c>
      <c r="C3735">
        <f>IF(Sheet1!B3735&gt;0,1,0)</f>
        <v>0</v>
      </c>
    </row>
    <row r="3736" spans="1:3" x14ac:dyDescent="0.25">
      <c r="A3736" s="15">
        <f>Sheet1!A3736</f>
        <v>0</v>
      </c>
      <c r="B3736">
        <f>Sheet1!B3736</f>
        <v>14.22</v>
      </c>
      <c r="C3736">
        <f>IF(Sheet1!B3736&gt;0,1,0)</f>
        <v>1</v>
      </c>
    </row>
    <row r="3737" spans="1:3" x14ac:dyDescent="0.25">
      <c r="A3737" s="15">
        <f>Sheet1!A3737</f>
        <v>0</v>
      </c>
      <c r="B3737">
        <f>Sheet1!B3737</f>
        <v>0</v>
      </c>
      <c r="C3737">
        <f>IF(Sheet1!B3737&gt;0,1,0)</f>
        <v>0</v>
      </c>
    </row>
    <row r="3738" spans="1:3" x14ac:dyDescent="0.25">
      <c r="A3738" s="15">
        <f>Sheet1!A3738</f>
        <v>0</v>
      </c>
      <c r="B3738">
        <f>Sheet1!B3738</f>
        <v>0</v>
      </c>
      <c r="C3738">
        <f>IF(Sheet1!B3738&gt;0,1,0)</f>
        <v>0</v>
      </c>
    </row>
    <row r="3739" spans="1:3" x14ac:dyDescent="0.25">
      <c r="A3739" s="15">
        <f>Sheet1!A3739</f>
        <v>0</v>
      </c>
      <c r="B3739">
        <f>Sheet1!B3739</f>
        <v>0</v>
      </c>
      <c r="C3739">
        <f>IF(Sheet1!B3739&gt;0,1,0)</f>
        <v>0</v>
      </c>
    </row>
    <row r="3740" spans="1:3" x14ac:dyDescent="0.25">
      <c r="A3740" s="15">
        <f>Sheet1!A3740</f>
        <v>0</v>
      </c>
      <c r="B3740">
        <f>Sheet1!B3740</f>
        <v>0</v>
      </c>
      <c r="C3740">
        <f>IF(Sheet1!B3740&gt;0,1,0)</f>
        <v>0</v>
      </c>
    </row>
    <row r="3741" spans="1:3" x14ac:dyDescent="0.25">
      <c r="A3741" s="15">
        <f>Sheet1!A3741</f>
        <v>0</v>
      </c>
      <c r="B3741">
        <f>Sheet1!B3741</f>
        <v>0</v>
      </c>
      <c r="C3741">
        <f>IF(Sheet1!B3741&gt;0,1,0)</f>
        <v>0</v>
      </c>
    </row>
    <row r="3742" spans="1:3" x14ac:dyDescent="0.25">
      <c r="A3742" s="15">
        <f>Sheet1!A3742</f>
        <v>0</v>
      </c>
      <c r="B3742">
        <f>Sheet1!B3742</f>
        <v>14.59</v>
      </c>
      <c r="C3742">
        <f>IF(Sheet1!B3742&gt;0,1,0)</f>
        <v>1</v>
      </c>
    </row>
    <row r="3743" spans="1:3" x14ac:dyDescent="0.25">
      <c r="A3743" s="15">
        <f>Sheet1!A3743</f>
        <v>0</v>
      </c>
      <c r="B3743">
        <f>Sheet1!B3743</f>
        <v>0</v>
      </c>
      <c r="C3743">
        <f>IF(Sheet1!B3743&gt;0,1,0)</f>
        <v>0</v>
      </c>
    </row>
    <row r="3744" spans="1:3" x14ac:dyDescent="0.25">
      <c r="A3744" s="15">
        <f>Sheet1!A3744</f>
        <v>0</v>
      </c>
      <c r="B3744">
        <f>Sheet1!B3744</f>
        <v>0</v>
      </c>
      <c r="C3744">
        <f>IF(Sheet1!B3744&gt;0,1,0)</f>
        <v>0</v>
      </c>
    </row>
    <row r="3745" spans="1:3" x14ac:dyDescent="0.25">
      <c r="A3745" s="15">
        <f>Sheet1!A3745</f>
        <v>0</v>
      </c>
      <c r="B3745">
        <f>Sheet1!B3745</f>
        <v>0</v>
      </c>
      <c r="C3745">
        <f>IF(Sheet1!B3745&gt;0,1,0)</f>
        <v>0</v>
      </c>
    </row>
    <row r="3746" spans="1:3" x14ac:dyDescent="0.25">
      <c r="A3746" s="15">
        <f>Sheet1!A3746</f>
        <v>0</v>
      </c>
      <c r="B3746">
        <f>Sheet1!B3746</f>
        <v>10.199999999999999</v>
      </c>
      <c r="C3746">
        <f>IF(Sheet1!B3746&gt;0,1,0)</f>
        <v>1</v>
      </c>
    </row>
    <row r="3747" spans="1:3" x14ac:dyDescent="0.25">
      <c r="A3747" s="15">
        <f>Sheet1!A3747</f>
        <v>0</v>
      </c>
      <c r="B3747">
        <f>Sheet1!B3747</f>
        <v>0</v>
      </c>
      <c r="C3747">
        <f>IF(Sheet1!B3747&gt;0,1,0)</f>
        <v>0</v>
      </c>
    </row>
    <row r="3748" spans="1:3" x14ac:dyDescent="0.25">
      <c r="A3748" s="15">
        <f>Sheet1!A3748</f>
        <v>0</v>
      </c>
      <c r="B3748">
        <f>Sheet1!B3748</f>
        <v>0</v>
      </c>
      <c r="C3748">
        <f>IF(Sheet1!B3748&gt;0,1,0)</f>
        <v>0</v>
      </c>
    </row>
    <row r="3749" spans="1:3" x14ac:dyDescent="0.25">
      <c r="A3749" s="15">
        <f>Sheet1!A3749</f>
        <v>0</v>
      </c>
      <c r="B3749">
        <f>Sheet1!B3749</f>
        <v>0</v>
      </c>
      <c r="C3749">
        <f>IF(Sheet1!B3749&gt;0,1,0)</f>
        <v>0</v>
      </c>
    </row>
    <row r="3750" spans="1:3" x14ac:dyDescent="0.25">
      <c r="A3750" s="15">
        <f>Sheet1!A3750</f>
        <v>0</v>
      </c>
      <c r="B3750">
        <f>Sheet1!B3750</f>
        <v>10.119999999999999</v>
      </c>
      <c r="C3750">
        <f>IF(Sheet1!B3750&gt;0,1,0)</f>
        <v>1</v>
      </c>
    </row>
    <row r="3751" spans="1:3" x14ac:dyDescent="0.25">
      <c r="A3751" s="15">
        <f>Sheet1!A3751</f>
        <v>0</v>
      </c>
      <c r="B3751">
        <f>Sheet1!B3751</f>
        <v>0</v>
      </c>
      <c r="C3751">
        <f>IF(Sheet1!B3751&gt;0,1,0)</f>
        <v>0</v>
      </c>
    </row>
    <row r="3752" spans="1:3" x14ac:dyDescent="0.25">
      <c r="A3752" s="15">
        <f>Sheet1!A3752</f>
        <v>0</v>
      </c>
      <c r="B3752">
        <f>Sheet1!B3752</f>
        <v>0</v>
      </c>
      <c r="C3752">
        <f>IF(Sheet1!B3752&gt;0,1,0)</f>
        <v>0</v>
      </c>
    </row>
    <row r="3753" spans="1:3" x14ac:dyDescent="0.25">
      <c r="A3753" s="15">
        <f>Sheet1!A3753</f>
        <v>0</v>
      </c>
      <c r="B3753">
        <f>Sheet1!B3753</f>
        <v>0</v>
      </c>
      <c r="C3753">
        <f>IF(Sheet1!B3753&gt;0,1,0)</f>
        <v>0</v>
      </c>
    </row>
    <row r="3754" spans="1:3" x14ac:dyDescent="0.25">
      <c r="A3754" s="15">
        <f>Sheet1!A3754</f>
        <v>0</v>
      </c>
      <c r="B3754">
        <f>Sheet1!B3754</f>
        <v>11.24</v>
      </c>
      <c r="C3754">
        <f>IF(Sheet1!B3754&gt;0,1,0)</f>
        <v>1</v>
      </c>
    </row>
    <row r="3755" spans="1:3" x14ac:dyDescent="0.25">
      <c r="A3755" s="15">
        <f>Sheet1!A3755</f>
        <v>0</v>
      </c>
      <c r="B3755">
        <f>Sheet1!B3755</f>
        <v>0</v>
      </c>
      <c r="C3755">
        <f>IF(Sheet1!B3755&gt;0,1,0)</f>
        <v>0</v>
      </c>
    </row>
    <row r="3756" spans="1:3" x14ac:dyDescent="0.25">
      <c r="A3756" s="15">
        <f>Sheet1!A3756</f>
        <v>0</v>
      </c>
      <c r="B3756">
        <f>Sheet1!B3756</f>
        <v>0</v>
      </c>
      <c r="C3756">
        <f>IF(Sheet1!B3756&gt;0,1,0)</f>
        <v>0</v>
      </c>
    </row>
    <row r="3757" spans="1:3" x14ac:dyDescent="0.25">
      <c r="A3757" s="15">
        <f>Sheet1!A3757</f>
        <v>0</v>
      </c>
      <c r="B3757">
        <f>Sheet1!B3757</f>
        <v>0</v>
      </c>
      <c r="C3757">
        <f>IF(Sheet1!B3757&gt;0,1,0)</f>
        <v>0</v>
      </c>
    </row>
    <row r="3758" spans="1:3" x14ac:dyDescent="0.25">
      <c r="A3758" s="15">
        <f>Sheet1!A3758</f>
        <v>0</v>
      </c>
      <c r="B3758">
        <f>Sheet1!B3758</f>
        <v>12.61</v>
      </c>
      <c r="C3758">
        <f>IF(Sheet1!B3758&gt;0,1,0)</f>
        <v>1</v>
      </c>
    </row>
    <row r="3759" spans="1:3" x14ac:dyDescent="0.25">
      <c r="A3759" s="15">
        <f>Sheet1!A3759</f>
        <v>0</v>
      </c>
      <c r="B3759">
        <f>Sheet1!B3759</f>
        <v>0</v>
      </c>
      <c r="C3759">
        <f>IF(Sheet1!B3759&gt;0,1,0)</f>
        <v>0</v>
      </c>
    </row>
    <row r="3760" spans="1:3" x14ac:dyDescent="0.25">
      <c r="A3760" s="15">
        <f>Sheet1!A3760</f>
        <v>0</v>
      </c>
      <c r="B3760">
        <f>Sheet1!B3760</f>
        <v>0</v>
      </c>
      <c r="C3760">
        <f>IF(Sheet1!B3760&gt;0,1,0)</f>
        <v>0</v>
      </c>
    </row>
    <row r="3761" spans="1:3" x14ac:dyDescent="0.25">
      <c r="A3761" s="15">
        <f>Sheet1!A3761</f>
        <v>0</v>
      </c>
      <c r="B3761">
        <f>Sheet1!B3761</f>
        <v>0</v>
      </c>
      <c r="C3761">
        <f>IF(Sheet1!B3761&gt;0,1,0)</f>
        <v>0</v>
      </c>
    </row>
    <row r="3762" spans="1:3" x14ac:dyDescent="0.25">
      <c r="A3762" s="15">
        <f>Sheet1!A3762</f>
        <v>0</v>
      </c>
      <c r="B3762">
        <f>Sheet1!B3762</f>
        <v>14.37</v>
      </c>
      <c r="C3762">
        <f>IF(Sheet1!B3762&gt;0,1,0)</f>
        <v>1</v>
      </c>
    </row>
    <row r="3763" spans="1:3" x14ac:dyDescent="0.25">
      <c r="A3763" s="15">
        <f>Sheet1!A3763</f>
        <v>0</v>
      </c>
      <c r="B3763">
        <f>Sheet1!B3763</f>
        <v>0</v>
      </c>
      <c r="C3763">
        <f>IF(Sheet1!B3763&gt;0,1,0)</f>
        <v>0</v>
      </c>
    </row>
    <row r="3764" spans="1:3" x14ac:dyDescent="0.25">
      <c r="A3764" s="15">
        <f>Sheet1!A3764</f>
        <v>0</v>
      </c>
      <c r="B3764">
        <f>Sheet1!B3764</f>
        <v>0</v>
      </c>
      <c r="C3764">
        <f>IF(Sheet1!B3764&gt;0,1,0)</f>
        <v>0</v>
      </c>
    </row>
    <row r="3765" spans="1:3" x14ac:dyDescent="0.25">
      <c r="A3765" s="15">
        <f>Sheet1!A3765</f>
        <v>0</v>
      </c>
      <c r="B3765">
        <f>Sheet1!B3765</f>
        <v>0</v>
      </c>
      <c r="C3765">
        <f>IF(Sheet1!B3765&gt;0,1,0)</f>
        <v>0</v>
      </c>
    </row>
    <row r="3766" spans="1:3" x14ac:dyDescent="0.25">
      <c r="A3766" s="15">
        <f>Sheet1!A3766</f>
        <v>0</v>
      </c>
      <c r="B3766">
        <f>Sheet1!B3766</f>
        <v>11.7</v>
      </c>
      <c r="C3766">
        <f>IF(Sheet1!B3766&gt;0,1,0)</f>
        <v>1</v>
      </c>
    </row>
    <row r="3767" spans="1:3" x14ac:dyDescent="0.25">
      <c r="A3767" s="15">
        <f>Sheet1!A3767</f>
        <v>0</v>
      </c>
      <c r="B3767">
        <f>Sheet1!B3767</f>
        <v>0</v>
      </c>
      <c r="C3767">
        <f>IF(Sheet1!B3767&gt;0,1,0)</f>
        <v>0</v>
      </c>
    </row>
    <row r="3768" spans="1:3" x14ac:dyDescent="0.25">
      <c r="A3768" s="15">
        <f>Sheet1!A3768</f>
        <v>0</v>
      </c>
      <c r="B3768">
        <f>Sheet1!B3768</f>
        <v>0</v>
      </c>
      <c r="C3768">
        <f>IF(Sheet1!B3768&gt;0,1,0)</f>
        <v>0</v>
      </c>
    </row>
    <row r="3769" spans="1:3" x14ac:dyDescent="0.25">
      <c r="A3769" s="15">
        <f>Sheet1!A3769</f>
        <v>0</v>
      </c>
      <c r="B3769">
        <f>Sheet1!B3769</f>
        <v>0</v>
      </c>
      <c r="C3769">
        <f>IF(Sheet1!B3769&gt;0,1,0)</f>
        <v>0</v>
      </c>
    </row>
    <row r="3770" spans="1:3" x14ac:dyDescent="0.25">
      <c r="A3770" s="15">
        <f>Sheet1!A3770</f>
        <v>0</v>
      </c>
      <c r="B3770">
        <f>Sheet1!B3770</f>
        <v>11.06</v>
      </c>
      <c r="C3770">
        <f>IF(Sheet1!B3770&gt;0,1,0)</f>
        <v>1</v>
      </c>
    </row>
    <row r="3771" spans="1:3" x14ac:dyDescent="0.25">
      <c r="A3771" s="15">
        <f>Sheet1!A3771</f>
        <v>0</v>
      </c>
      <c r="B3771">
        <f>Sheet1!B3771</f>
        <v>0</v>
      </c>
      <c r="C3771">
        <f>IF(Sheet1!B3771&gt;0,1,0)</f>
        <v>0</v>
      </c>
    </row>
    <row r="3772" spans="1:3" x14ac:dyDescent="0.25">
      <c r="A3772" s="15">
        <f>Sheet1!A3772</f>
        <v>0</v>
      </c>
      <c r="B3772">
        <f>Sheet1!B3772</f>
        <v>0</v>
      </c>
      <c r="C3772">
        <f>IF(Sheet1!B3772&gt;0,1,0)</f>
        <v>0</v>
      </c>
    </row>
    <row r="3773" spans="1:3" x14ac:dyDescent="0.25">
      <c r="A3773" s="15">
        <f>Sheet1!A3773</f>
        <v>0</v>
      </c>
      <c r="B3773">
        <f>Sheet1!B3773</f>
        <v>0</v>
      </c>
      <c r="C3773">
        <f>IF(Sheet1!B3773&gt;0,1,0)</f>
        <v>0</v>
      </c>
    </row>
    <row r="3774" spans="1:3" x14ac:dyDescent="0.25">
      <c r="A3774" s="15">
        <f>Sheet1!A3774</f>
        <v>0</v>
      </c>
      <c r="B3774">
        <f>Sheet1!B3774</f>
        <v>10.58</v>
      </c>
      <c r="C3774">
        <f>IF(Sheet1!B3774&gt;0,1,0)</f>
        <v>1</v>
      </c>
    </row>
    <row r="3775" spans="1:3" x14ac:dyDescent="0.25">
      <c r="A3775" s="15">
        <f>Sheet1!A3775</f>
        <v>0</v>
      </c>
      <c r="B3775">
        <f>Sheet1!B3775</f>
        <v>0</v>
      </c>
      <c r="C3775">
        <f>IF(Sheet1!B3775&gt;0,1,0)</f>
        <v>0</v>
      </c>
    </row>
    <row r="3776" spans="1:3" x14ac:dyDescent="0.25">
      <c r="A3776" s="15">
        <f>Sheet1!A3776</f>
        <v>0</v>
      </c>
      <c r="B3776">
        <f>Sheet1!B3776</f>
        <v>0</v>
      </c>
      <c r="C3776">
        <f>IF(Sheet1!B3776&gt;0,1,0)</f>
        <v>0</v>
      </c>
    </row>
    <row r="3777" spans="1:3" x14ac:dyDescent="0.25">
      <c r="A3777" s="15">
        <f>Sheet1!A3777</f>
        <v>0</v>
      </c>
      <c r="B3777">
        <f>Sheet1!B3777</f>
        <v>0</v>
      </c>
      <c r="C3777">
        <f>IF(Sheet1!B3777&gt;0,1,0)</f>
        <v>0</v>
      </c>
    </row>
    <row r="3778" spans="1:3" x14ac:dyDescent="0.25">
      <c r="A3778" s="15">
        <f>Sheet1!A3778</f>
        <v>0</v>
      </c>
      <c r="B3778">
        <f>Sheet1!B3778</f>
        <v>12.88</v>
      </c>
      <c r="C3778">
        <f>IF(Sheet1!B3778&gt;0,1,0)</f>
        <v>1</v>
      </c>
    </row>
    <row r="3779" spans="1:3" x14ac:dyDescent="0.25">
      <c r="A3779" s="15">
        <f>Sheet1!A3779</f>
        <v>0</v>
      </c>
      <c r="B3779">
        <f>Sheet1!B3779</f>
        <v>0</v>
      </c>
      <c r="C3779">
        <f>IF(Sheet1!B3779&gt;0,1,0)</f>
        <v>0</v>
      </c>
    </row>
    <row r="3780" spans="1:3" x14ac:dyDescent="0.25">
      <c r="A3780" s="15">
        <f>Sheet1!A3780</f>
        <v>0</v>
      </c>
      <c r="B3780">
        <f>Sheet1!B3780</f>
        <v>0</v>
      </c>
      <c r="C3780">
        <f>IF(Sheet1!B3780&gt;0,1,0)</f>
        <v>0</v>
      </c>
    </row>
    <row r="3781" spans="1:3" x14ac:dyDescent="0.25">
      <c r="A3781" s="15">
        <f>Sheet1!A3781</f>
        <v>0</v>
      </c>
      <c r="B3781">
        <f>Sheet1!B3781</f>
        <v>0</v>
      </c>
      <c r="C3781">
        <f>IF(Sheet1!B3781&gt;0,1,0)</f>
        <v>0</v>
      </c>
    </row>
    <row r="3782" spans="1:3" x14ac:dyDescent="0.25">
      <c r="A3782" s="15">
        <f>Sheet1!A3782</f>
        <v>0</v>
      </c>
      <c r="B3782">
        <f>Sheet1!B3782</f>
        <v>0</v>
      </c>
      <c r="C3782">
        <f>IF(Sheet1!B3782&gt;0,1,0)</f>
        <v>0</v>
      </c>
    </row>
    <row r="3783" spans="1:3" x14ac:dyDescent="0.25">
      <c r="A3783" s="15">
        <f>Sheet1!A3783</f>
        <v>0</v>
      </c>
      <c r="B3783">
        <f>Sheet1!B3783</f>
        <v>0</v>
      </c>
      <c r="C3783">
        <f>IF(Sheet1!B3783&gt;0,1,0)</f>
        <v>0</v>
      </c>
    </row>
    <row r="3784" spans="1:3" x14ac:dyDescent="0.25">
      <c r="A3784" s="15">
        <f>Sheet1!A3784</f>
        <v>0</v>
      </c>
      <c r="B3784">
        <f>Sheet1!B3784</f>
        <v>12.66</v>
      </c>
      <c r="C3784">
        <f>IF(Sheet1!B3784&gt;0,1,0)</f>
        <v>1</v>
      </c>
    </row>
    <row r="3785" spans="1:3" x14ac:dyDescent="0.25">
      <c r="A3785" s="15">
        <f>Sheet1!A3785</f>
        <v>0</v>
      </c>
      <c r="B3785">
        <f>Sheet1!B3785</f>
        <v>0</v>
      </c>
      <c r="C3785">
        <f>IF(Sheet1!B3785&gt;0,1,0)</f>
        <v>0</v>
      </c>
    </row>
    <row r="3786" spans="1:3" x14ac:dyDescent="0.25">
      <c r="A3786" s="15">
        <f>Sheet1!A3786</f>
        <v>0</v>
      </c>
      <c r="B3786">
        <f>Sheet1!B3786</f>
        <v>0</v>
      </c>
      <c r="C3786">
        <f>IF(Sheet1!B3786&gt;0,1,0)</f>
        <v>0</v>
      </c>
    </row>
    <row r="3787" spans="1:3" x14ac:dyDescent="0.25">
      <c r="A3787" s="15">
        <f>Sheet1!A3787</f>
        <v>0</v>
      </c>
      <c r="B3787">
        <f>Sheet1!B3787</f>
        <v>0</v>
      </c>
      <c r="C3787">
        <f>IF(Sheet1!B3787&gt;0,1,0)</f>
        <v>0</v>
      </c>
    </row>
    <row r="3788" spans="1:3" x14ac:dyDescent="0.25">
      <c r="A3788" s="15">
        <f>Sheet1!A3788</f>
        <v>0</v>
      </c>
      <c r="B3788">
        <f>Sheet1!B3788</f>
        <v>16.79</v>
      </c>
      <c r="C3788">
        <f>IF(Sheet1!B3788&gt;0,1,0)</f>
        <v>1</v>
      </c>
    </row>
    <row r="3789" spans="1:3" x14ac:dyDescent="0.25">
      <c r="A3789" s="15">
        <f>Sheet1!A3789</f>
        <v>0</v>
      </c>
      <c r="B3789">
        <f>Sheet1!B3789</f>
        <v>8.43</v>
      </c>
      <c r="C3789">
        <f>IF(Sheet1!B3789&gt;0,1,0)</f>
        <v>1</v>
      </c>
    </row>
    <row r="3790" spans="1:3" x14ac:dyDescent="0.25">
      <c r="A3790" s="15">
        <f>Sheet1!A3790</f>
        <v>0</v>
      </c>
      <c r="B3790">
        <f>Sheet1!B3790</f>
        <v>0</v>
      </c>
      <c r="C3790">
        <f>IF(Sheet1!B3790&gt;0,1,0)</f>
        <v>0</v>
      </c>
    </row>
    <row r="3791" spans="1:3" x14ac:dyDescent="0.25">
      <c r="A3791" s="15">
        <f>Sheet1!A3791</f>
        <v>0</v>
      </c>
      <c r="B3791">
        <f>Sheet1!B3791</f>
        <v>0</v>
      </c>
      <c r="C3791">
        <f>IF(Sheet1!B3791&gt;0,1,0)</f>
        <v>0</v>
      </c>
    </row>
    <row r="3792" spans="1:3" x14ac:dyDescent="0.25">
      <c r="A3792" s="15">
        <f>Sheet1!A3792</f>
        <v>0</v>
      </c>
      <c r="B3792">
        <f>Sheet1!B3792</f>
        <v>0</v>
      </c>
      <c r="C3792">
        <f>IF(Sheet1!B3792&gt;0,1,0)</f>
        <v>0</v>
      </c>
    </row>
    <row r="3793" spans="1:3" x14ac:dyDescent="0.25">
      <c r="A3793" s="15">
        <f>Sheet1!A3793</f>
        <v>0</v>
      </c>
      <c r="B3793">
        <f>Sheet1!B3793</f>
        <v>0</v>
      </c>
      <c r="C3793">
        <f>IF(Sheet1!B3793&gt;0,1,0)</f>
        <v>0</v>
      </c>
    </row>
    <row r="3794" spans="1:3" x14ac:dyDescent="0.25">
      <c r="A3794" s="15">
        <f>Sheet1!A3794</f>
        <v>0</v>
      </c>
      <c r="B3794">
        <f>Sheet1!B3794</f>
        <v>11.58</v>
      </c>
      <c r="C3794">
        <f>IF(Sheet1!B3794&gt;0,1,0)</f>
        <v>1</v>
      </c>
    </row>
    <row r="3795" spans="1:3" x14ac:dyDescent="0.25">
      <c r="A3795" s="15">
        <f>Sheet1!A3795</f>
        <v>0</v>
      </c>
      <c r="B3795">
        <f>Sheet1!B3795</f>
        <v>0</v>
      </c>
      <c r="C3795">
        <f>IF(Sheet1!B3795&gt;0,1,0)</f>
        <v>0</v>
      </c>
    </row>
    <row r="3796" spans="1:3" x14ac:dyDescent="0.25">
      <c r="A3796" s="15">
        <f>Sheet1!A3796</f>
        <v>0</v>
      </c>
      <c r="B3796">
        <f>Sheet1!B3796</f>
        <v>0</v>
      </c>
      <c r="C3796">
        <f>IF(Sheet1!B3796&gt;0,1,0)</f>
        <v>0</v>
      </c>
    </row>
    <row r="3797" spans="1:3" x14ac:dyDescent="0.25">
      <c r="A3797" s="15">
        <f>Sheet1!A3797</f>
        <v>0</v>
      </c>
      <c r="B3797">
        <f>Sheet1!B3797</f>
        <v>0</v>
      </c>
      <c r="C3797">
        <f>IF(Sheet1!B3797&gt;0,1,0)</f>
        <v>0</v>
      </c>
    </row>
    <row r="3798" spans="1:3" x14ac:dyDescent="0.25">
      <c r="A3798" s="15">
        <f>Sheet1!A3798</f>
        <v>0</v>
      </c>
      <c r="B3798">
        <f>Sheet1!B3798</f>
        <v>10.15</v>
      </c>
      <c r="C3798">
        <f>IF(Sheet1!B3798&gt;0,1,0)</f>
        <v>1</v>
      </c>
    </row>
    <row r="3799" spans="1:3" x14ac:dyDescent="0.25">
      <c r="A3799" s="15">
        <f>Sheet1!A3799</f>
        <v>0</v>
      </c>
      <c r="B3799">
        <f>Sheet1!B3799</f>
        <v>0</v>
      </c>
      <c r="C3799">
        <f>IF(Sheet1!B3799&gt;0,1,0)</f>
        <v>0</v>
      </c>
    </row>
    <row r="3800" spans="1:3" x14ac:dyDescent="0.25">
      <c r="A3800" s="15">
        <f>Sheet1!A3800</f>
        <v>0</v>
      </c>
      <c r="B3800">
        <f>Sheet1!B3800</f>
        <v>0</v>
      </c>
      <c r="C3800">
        <f>IF(Sheet1!B3800&gt;0,1,0)</f>
        <v>0</v>
      </c>
    </row>
    <row r="3801" spans="1:3" x14ac:dyDescent="0.25">
      <c r="A3801" s="15">
        <f>Sheet1!A3801</f>
        <v>0</v>
      </c>
      <c r="B3801">
        <f>Sheet1!B3801</f>
        <v>0</v>
      </c>
      <c r="C3801">
        <f>IF(Sheet1!B3801&gt;0,1,0)</f>
        <v>0</v>
      </c>
    </row>
    <row r="3802" spans="1:3" x14ac:dyDescent="0.25">
      <c r="A3802" s="15">
        <f>Sheet1!A3802</f>
        <v>0</v>
      </c>
      <c r="B3802">
        <f>Sheet1!B3802</f>
        <v>13.1</v>
      </c>
      <c r="C3802">
        <f>IF(Sheet1!B3802&gt;0,1,0)</f>
        <v>1</v>
      </c>
    </row>
    <row r="3803" spans="1:3" x14ac:dyDescent="0.25">
      <c r="A3803" s="15">
        <f>Sheet1!A3803</f>
        <v>0</v>
      </c>
      <c r="B3803">
        <f>Sheet1!B3803</f>
        <v>0</v>
      </c>
      <c r="C3803">
        <f>IF(Sheet1!B3803&gt;0,1,0)</f>
        <v>0</v>
      </c>
    </row>
    <row r="3804" spans="1:3" x14ac:dyDescent="0.25">
      <c r="A3804" s="15">
        <f>Sheet1!A3804</f>
        <v>0</v>
      </c>
      <c r="B3804">
        <f>Sheet1!B3804</f>
        <v>0</v>
      </c>
      <c r="C3804">
        <f>IF(Sheet1!B3804&gt;0,1,0)</f>
        <v>0</v>
      </c>
    </row>
    <row r="3805" spans="1:3" x14ac:dyDescent="0.25">
      <c r="A3805" s="15">
        <f>Sheet1!A3805</f>
        <v>0</v>
      </c>
      <c r="B3805">
        <f>Sheet1!B3805</f>
        <v>0</v>
      </c>
      <c r="C3805">
        <f>IF(Sheet1!B3805&gt;0,1,0)</f>
        <v>0</v>
      </c>
    </row>
    <row r="3806" spans="1:3" x14ac:dyDescent="0.25">
      <c r="A3806" s="15">
        <f>Sheet1!A3806</f>
        <v>0</v>
      </c>
      <c r="B3806">
        <f>Sheet1!B3806</f>
        <v>14.75</v>
      </c>
      <c r="C3806">
        <f>IF(Sheet1!B3806&gt;0,1,0)</f>
        <v>1</v>
      </c>
    </row>
    <row r="3807" spans="1:3" x14ac:dyDescent="0.25">
      <c r="A3807" s="15">
        <f>Sheet1!A3807</f>
        <v>0</v>
      </c>
      <c r="B3807">
        <f>Sheet1!B3807</f>
        <v>0</v>
      </c>
      <c r="C3807">
        <f>IF(Sheet1!B3807&gt;0,1,0)</f>
        <v>0</v>
      </c>
    </row>
    <row r="3808" spans="1:3" x14ac:dyDescent="0.25">
      <c r="A3808" s="15">
        <f>Sheet1!A3808</f>
        <v>0</v>
      </c>
      <c r="B3808">
        <f>Sheet1!B3808</f>
        <v>0</v>
      </c>
      <c r="C3808">
        <f>IF(Sheet1!B3808&gt;0,1,0)</f>
        <v>0</v>
      </c>
    </row>
    <row r="3809" spans="1:3" x14ac:dyDescent="0.25">
      <c r="A3809" s="15">
        <f>Sheet1!A3809</f>
        <v>0</v>
      </c>
      <c r="B3809">
        <f>Sheet1!B3809</f>
        <v>0</v>
      </c>
      <c r="C3809">
        <f>IF(Sheet1!B3809&gt;0,1,0)</f>
        <v>0</v>
      </c>
    </row>
    <row r="3810" spans="1:3" x14ac:dyDescent="0.25">
      <c r="A3810" s="15">
        <f>Sheet1!A3810</f>
        <v>0</v>
      </c>
      <c r="B3810">
        <f>Sheet1!B3810</f>
        <v>0</v>
      </c>
      <c r="C3810">
        <f>IF(Sheet1!B3810&gt;0,1,0)</f>
        <v>0</v>
      </c>
    </row>
    <row r="3811" spans="1:3" x14ac:dyDescent="0.25">
      <c r="A3811" s="15">
        <f>Sheet1!A3811</f>
        <v>0</v>
      </c>
      <c r="B3811">
        <f>Sheet1!B3811</f>
        <v>0</v>
      </c>
      <c r="C3811">
        <f>IF(Sheet1!B3811&gt;0,1,0)</f>
        <v>0</v>
      </c>
    </row>
    <row r="3812" spans="1:3" x14ac:dyDescent="0.25">
      <c r="A3812" s="15">
        <f>Sheet1!A3812</f>
        <v>0</v>
      </c>
      <c r="B3812">
        <f>Sheet1!B3812</f>
        <v>14.91</v>
      </c>
      <c r="C3812">
        <f>IF(Sheet1!B3812&gt;0,1,0)</f>
        <v>1</v>
      </c>
    </row>
    <row r="3813" spans="1:3" x14ac:dyDescent="0.25">
      <c r="A3813" s="15">
        <f>Sheet1!A3813</f>
        <v>0</v>
      </c>
      <c r="B3813">
        <f>Sheet1!B3813</f>
        <v>0</v>
      </c>
      <c r="C3813">
        <f>IF(Sheet1!B3813&gt;0,1,0)</f>
        <v>0</v>
      </c>
    </row>
    <row r="3814" spans="1:3" x14ac:dyDescent="0.25">
      <c r="A3814" s="15">
        <f>Sheet1!A3814</f>
        <v>0</v>
      </c>
      <c r="B3814">
        <f>Sheet1!B3814</f>
        <v>0</v>
      </c>
      <c r="C3814">
        <f>IF(Sheet1!B3814&gt;0,1,0)</f>
        <v>0</v>
      </c>
    </row>
    <row r="3815" spans="1:3" x14ac:dyDescent="0.25">
      <c r="A3815" s="15">
        <f>Sheet1!A3815</f>
        <v>0</v>
      </c>
      <c r="B3815">
        <f>Sheet1!B3815</f>
        <v>0</v>
      </c>
      <c r="C3815">
        <f>IF(Sheet1!B3815&gt;0,1,0)</f>
        <v>0</v>
      </c>
    </row>
    <row r="3816" spans="1:3" x14ac:dyDescent="0.25">
      <c r="A3816" s="15">
        <f>Sheet1!A3816</f>
        <v>0</v>
      </c>
      <c r="B3816">
        <f>Sheet1!B3816</f>
        <v>13.12</v>
      </c>
      <c r="C3816">
        <f>IF(Sheet1!B3816&gt;0,1,0)</f>
        <v>1</v>
      </c>
    </row>
    <row r="3817" spans="1:3" x14ac:dyDescent="0.25">
      <c r="A3817" s="15">
        <f>Sheet1!A3817</f>
        <v>0</v>
      </c>
      <c r="B3817">
        <f>Sheet1!B3817</f>
        <v>0</v>
      </c>
      <c r="C3817">
        <f>IF(Sheet1!B3817&gt;0,1,0)</f>
        <v>0</v>
      </c>
    </row>
    <row r="3818" spans="1:3" x14ac:dyDescent="0.25">
      <c r="A3818" s="15">
        <f>Sheet1!A3818</f>
        <v>0</v>
      </c>
      <c r="B3818">
        <f>Sheet1!B3818</f>
        <v>0</v>
      </c>
      <c r="C3818">
        <f>IF(Sheet1!B3818&gt;0,1,0)</f>
        <v>0</v>
      </c>
    </row>
    <row r="3819" spans="1:3" x14ac:dyDescent="0.25">
      <c r="A3819" s="15">
        <f>Sheet1!A3819</f>
        <v>0</v>
      </c>
      <c r="B3819">
        <f>Sheet1!B3819</f>
        <v>0</v>
      </c>
      <c r="C3819">
        <f>IF(Sheet1!B3819&gt;0,1,0)</f>
        <v>0</v>
      </c>
    </row>
    <row r="3820" spans="1:3" x14ac:dyDescent="0.25">
      <c r="A3820" s="15">
        <f>Sheet1!A3820</f>
        <v>0</v>
      </c>
      <c r="B3820">
        <f>Sheet1!B3820</f>
        <v>0</v>
      </c>
      <c r="C3820">
        <f>IF(Sheet1!B3820&gt;0,1,0)</f>
        <v>0</v>
      </c>
    </row>
    <row r="3821" spans="1:3" x14ac:dyDescent="0.25">
      <c r="A3821" s="15">
        <f>Sheet1!A3821</f>
        <v>0</v>
      </c>
      <c r="B3821">
        <f>Sheet1!B3821</f>
        <v>0</v>
      </c>
      <c r="C3821">
        <f>IF(Sheet1!B3821&gt;0,1,0)</f>
        <v>0</v>
      </c>
    </row>
    <row r="3822" spans="1:3" x14ac:dyDescent="0.25">
      <c r="A3822" s="15">
        <f>Sheet1!A3822</f>
        <v>0</v>
      </c>
      <c r="B3822">
        <f>Sheet1!B3822</f>
        <v>0</v>
      </c>
      <c r="C3822">
        <f>IF(Sheet1!B3822&gt;0,1,0)</f>
        <v>0</v>
      </c>
    </row>
    <row r="3823" spans="1:3" x14ac:dyDescent="0.25">
      <c r="A3823" s="15">
        <f>Sheet1!A3823</f>
        <v>0</v>
      </c>
      <c r="B3823">
        <f>Sheet1!B3823</f>
        <v>0</v>
      </c>
      <c r="C3823">
        <f>IF(Sheet1!B3823&gt;0,1,0)</f>
        <v>0</v>
      </c>
    </row>
    <row r="3824" spans="1:3" x14ac:dyDescent="0.25">
      <c r="A3824" s="15">
        <f>Sheet1!A3824</f>
        <v>0</v>
      </c>
      <c r="B3824">
        <f>Sheet1!B3824</f>
        <v>0</v>
      </c>
      <c r="C3824">
        <f>IF(Sheet1!B3824&gt;0,1,0)</f>
        <v>0</v>
      </c>
    </row>
    <row r="3825" spans="1:3" x14ac:dyDescent="0.25">
      <c r="A3825" s="15">
        <f>Sheet1!A3825</f>
        <v>0</v>
      </c>
      <c r="B3825">
        <f>Sheet1!B3825</f>
        <v>0</v>
      </c>
      <c r="C3825">
        <f>IF(Sheet1!B3825&gt;0,1,0)</f>
        <v>0</v>
      </c>
    </row>
    <row r="3826" spans="1:3" x14ac:dyDescent="0.25">
      <c r="A3826" s="15">
        <f>Sheet1!A3826</f>
        <v>0</v>
      </c>
      <c r="B3826">
        <f>Sheet1!B3826</f>
        <v>14.47</v>
      </c>
      <c r="C3826">
        <f>IF(Sheet1!B3826&gt;0,1,0)</f>
        <v>1</v>
      </c>
    </row>
    <row r="3827" spans="1:3" x14ac:dyDescent="0.25">
      <c r="A3827" s="15">
        <f>Sheet1!A3827</f>
        <v>0</v>
      </c>
      <c r="B3827">
        <f>Sheet1!B3827</f>
        <v>0</v>
      </c>
      <c r="C3827">
        <f>IF(Sheet1!B3827&gt;0,1,0)</f>
        <v>0</v>
      </c>
    </row>
    <row r="3828" spans="1:3" x14ac:dyDescent="0.25">
      <c r="A3828" s="15">
        <f>Sheet1!A3828</f>
        <v>0</v>
      </c>
      <c r="B3828">
        <f>Sheet1!B3828</f>
        <v>0</v>
      </c>
      <c r="C3828">
        <f>IF(Sheet1!B3828&gt;0,1,0)</f>
        <v>0</v>
      </c>
    </row>
    <row r="3829" spans="1:3" x14ac:dyDescent="0.25">
      <c r="A3829" s="15">
        <f>Sheet1!A3829</f>
        <v>0</v>
      </c>
      <c r="B3829">
        <f>Sheet1!B3829</f>
        <v>0</v>
      </c>
      <c r="C3829">
        <f>IF(Sheet1!B3829&gt;0,1,0)</f>
        <v>0</v>
      </c>
    </row>
    <row r="3830" spans="1:3" x14ac:dyDescent="0.25">
      <c r="A3830" s="15">
        <f>Sheet1!A3830</f>
        <v>0</v>
      </c>
      <c r="B3830">
        <f>Sheet1!B3830</f>
        <v>0</v>
      </c>
      <c r="C3830">
        <f>IF(Sheet1!B3830&gt;0,1,0)</f>
        <v>0</v>
      </c>
    </row>
    <row r="3831" spans="1:3" x14ac:dyDescent="0.25">
      <c r="A3831" s="15">
        <f>Sheet1!A3831</f>
        <v>0</v>
      </c>
      <c r="B3831">
        <f>Sheet1!B3831</f>
        <v>0</v>
      </c>
      <c r="C3831">
        <f>IF(Sheet1!B3831&gt;0,1,0)</f>
        <v>0</v>
      </c>
    </row>
    <row r="3832" spans="1:3" x14ac:dyDescent="0.25">
      <c r="A3832" s="15">
        <f>Sheet1!A3832</f>
        <v>0</v>
      </c>
      <c r="B3832">
        <f>Sheet1!B3832</f>
        <v>16.920000000000002</v>
      </c>
      <c r="C3832">
        <f>IF(Sheet1!B3832&gt;0,1,0)</f>
        <v>1</v>
      </c>
    </row>
    <row r="3833" spans="1:3" x14ac:dyDescent="0.25">
      <c r="A3833" s="15">
        <f>Sheet1!A3833</f>
        <v>0</v>
      </c>
      <c r="B3833">
        <f>Sheet1!B3833</f>
        <v>0</v>
      </c>
      <c r="C3833">
        <f>IF(Sheet1!B3833&gt;0,1,0)</f>
        <v>0</v>
      </c>
    </row>
    <row r="3834" spans="1:3" x14ac:dyDescent="0.25">
      <c r="A3834" s="15">
        <f>Sheet1!A3834</f>
        <v>0</v>
      </c>
      <c r="B3834">
        <f>Sheet1!B3834</f>
        <v>0</v>
      </c>
      <c r="C3834">
        <f>IF(Sheet1!B3834&gt;0,1,0)</f>
        <v>0</v>
      </c>
    </row>
    <row r="3835" spans="1:3" x14ac:dyDescent="0.25">
      <c r="A3835" s="15">
        <f>Sheet1!A3835</f>
        <v>0</v>
      </c>
      <c r="B3835">
        <f>Sheet1!B3835</f>
        <v>0</v>
      </c>
      <c r="C3835">
        <f>IF(Sheet1!B3835&gt;0,1,0)</f>
        <v>0</v>
      </c>
    </row>
    <row r="3836" spans="1:3" x14ac:dyDescent="0.25">
      <c r="A3836" s="15">
        <f>Sheet1!A3836</f>
        <v>0</v>
      </c>
      <c r="B3836">
        <f>Sheet1!B3836</f>
        <v>0</v>
      </c>
      <c r="C3836">
        <f>IF(Sheet1!B3836&gt;0,1,0)</f>
        <v>0</v>
      </c>
    </row>
    <row r="3837" spans="1:3" x14ac:dyDescent="0.25">
      <c r="A3837" s="15">
        <f>Sheet1!A3837</f>
        <v>0</v>
      </c>
      <c r="B3837">
        <f>Sheet1!B3837</f>
        <v>0</v>
      </c>
      <c r="C3837">
        <f>IF(Sheet1!B3837&gt;0,1,0)</f>
        <v>0</v>
      </c>
    </row>
    <row r="3838" spans="1:3" x14ac:dyDescent="0.25">
      <c r="A3838" s="15">
        <f>Sheet1!A3838</f>
        <v>0</v>
      </c>
      <c r="B3838">
        <f>Sheet1!B3838</f>
        <v>0</v>
      </c>
      <c r="C3838">
        <f>IF(Sheet1!B3838&gt;0,1,0)</f>
        <v>0</v>
      </c>
    </row>
    <row r="3839" spans="1:3" x14ac:dyDescent="0.25">
      <c r="A3839" s="15">
        <f>Sheet1!A3839</f>
        <v>0</v>
      </c>
      <c r="B3839">
        <f>Sheet1!B3839</f>
        <v>0</v>
      </c>
      <c r="C3839">
        <f>IF(Sheet1!B3839&gt;0,1,0)</f>
        <v>0</v>
      </c>
    </row>
    <row r="3840" spans="1:3" x14ac:dyDescent="0.25">
      <c r="A3840" s="15">
        <f>Sheet1!A3840</f>
        <v>0</v>
      </c>
      <c r="B3840">
        <f>Sheet1!B3840</f>
        <v>0</v>
      </c>
      <c r="C3840">
        <f>IF(Sheet1!B3840&gt;0,1,0)</f>
        <v>0</v>
      </c>
    </row>
    <row r="3841" spans="1:3" x14ac:dyDescent="0.25">
      <c r="A3841" s="15">
        <f>Sheet1!A3841</f>
        <v>0</v>
      </c>
      <c r="B3841">
        <f>Sheet1!B3841</f>
        <v>0</v>
      </c>
      <c r="C3841">
        <f>IF(Sheet1!B3841&gt;0,1,0)</f>
        <v>0</v>
      </c>
    </row>
    <row r="3842" spans="1:3" x14ac:dyDescent="0.25">
      <c r="A3842" s="15">
        <f>Sheet1!A3842</f>
        <v>0</v>
      </c>
      <c r="B3842">
        <f>Sheet1!B3842</f>
        <v>0</v>
      </c>
      <c r="C3842">
        <f>IF(Sheet1!B3842&gt;0,1,0)</f>
        <v>0</v>
      </c>
    </row>
    <row r="3843" spans="1:3" x14ac:dyDescent="0.25">
      <c r="A3843" s="15">
        <f>Sheet1!A3843</f>
        <v>0</v>
      </c>
      <c r="B3843">
        <f>Sheet1!B3843</f>
        <v>0</v>
      </c>
      <c r="C3843">
        <f>IF(Sheet1!B3843&gt;0,1,0)</f>
        <v>0</v>
      </c>
    </row>
    <row r="3844" spans="1:3" x14ac:dyDescent="0.25">
      <c r="A3844" s="15">
        <f>Sheet1!A3844</f>
        <v>0</v>
      </c>
      <c r="B3844">
        <f>Sheet1!B3844</f>
        <v>11.54</v>
      </c>
      <c r="C3844">
        <f>IF(Sheet1!B3844&gt;0,1,0)</f>
        <v>1</v>
      </c>
    </row>
    <row r="3845" spans="1:3" x14ac:dyDescent="0.25">
      <c r="A3845" s="15">
        <f>Sheet1!A3845</f>
        <v>0</v>
      </c>
      <c r="B3845">
        <f>Sheet1!B3845</f>
        <v>0</v>
      </c>
      <c r="C3845">
        <f>IF(Sheet1!B3845&gt;0,1,0)</f>
        <v>0</v>
      </c>
    </row>
    <row r="3846" spans="1:3" x14ac:dyDescent="0.25">
      <c r="A3846" s="15">
        <f>Sheet1!A3846</f>
        <v>0</v>
      </c>
      <c r="B3846">
        <f>Sheet1!B3846</f>
        <v>0</v>
      </c>
      <c r="C3846">
        <f>IF(Sheet1!B3846&gt;0,1,0)</f>
        <v>0</v>
      </c>
    </row>
    <row r="3847" spans="1:3" x14ac:dyDescent="0.25">
      <c r="A3847" s="15">
        <f>Sheet1!A3847</f>
        <v>0</v>
      </c>
      <c r="B3847">
        <f>Sheet1!B3847</f>
        <v>0</v>
      </c>
      <c r="C3847">
        <f>IF(Sheet1!B3847&gt;0,1,0)</f>
        <v>0</v>
      </c>
    </row>
    <row r="3848" spans="1:3" x14ac:dyDescent="0.25">
      <c r="A3848" s="15">
        <f>Sheet1!A3848</f>
        <v>0</v>
      </c>
      <c r="B3848">
        <f>Sheet1!B3848</f>
        <v>0</v>
      </c>
      <c r="C3848">
        <f>IF(Sheet1!B3848&gt;0,1,0)</f>
        <v>0</v>
      </c>
    </row>
    <row r="3849" spans="1:3" x14ac:dyDescent="0.25">
      <c r="A3849" s="15">
        <f>Sheet1!A3849</f>
        <v>0</v>
      </c>
      <c r="B3849">
        <f>Sheet1!B3849</f>
        <v>0</v>
      </c>
      <c r="C3849">
        <f>IF(Sheet1!B3849&gt;0,1,0)</f>
        <v>0</v>
      </c>
    </row>
    <row r="3850" spans="1:3" x14ac:dyDescent="0.25">
      <c r="A3850" s="15">
        <f>Sheet1!A3850</f>
        <v>0</v>
      </c>
      <c r="B3850">
        <f>Sheet1!B3850</f>
        <v>14.44</v>
      </c>
      <c r="C3850">
        <f>IF(Sheet1!B3850&gt;0,1,0)</f>
        <v>1</v>
      </c>
    </row>
    <row r="3851" spans="1:3" x14ac:dyDescent="0.25">
      <c r="A3851" s="15">
        <f>Sheet1!A3851</f>
        <v>0</v>
      </c>
      <c r="B3851">
        <f>Sheet1!B3851</f>
        <v>0</v>
      </c>
      <c r="C3851">
        <f>IF(Sheet1!B3851&gt;0,1,0)</f>
        <v>0</v>
      </c>
    </row>
    <row r="3852" spans="1:3" x14ac:dyDescent="0.25">
      <c r="A3852" s="15">
        <f>Sheet1!A3852</f>
        <v>0</v>
      </c>
      <c r="B3852">
        <f>Sheet1!B3852</f>
        <v>0</v>
      </c>
      <c r="C3852">
        <f>IF(Sheet1!B3852&gt;0,1,0)</f>
        <v>0</v>
      </c>
    </row>
    <row r="3853" spans="1:3" x14ac:dyDescent="0.25">
      <c r="A3853" s="15">
        <f>Sheet1!A3853</f>
        <v>0</v>
      </c>
      <c r="B3853">
        <f>Sheet1!B3853</f>
        <v>0</v>
      </c>
      <c r="C3853">
        <f>IF(Sheet1!B3853&gt;0,1,0)</f>
        <v>0</v>
      </c>
    </row>
    <row r="3854" spans="1:3" x14ac:dyDescent="0.25">
      <c r="A3854" s="15">
        <f>Sheet1!A3854</f>
        <v>0</v>
      </c>
      <c r="B3854">
        <f>Sheet1!B3854</f>
        <v>0</v>
      </c>
      <c r="C3854">
        <f>IF(Sheet1!B3854&gt;0,1,0)</f>
        <v>0</v>
      </c>
    </row>
    <row r="3855" spans="1:3" x14ac:dyDescent="0.25">
      <c r="A3855" s="15">
        <f>Sheet1!A3855</f>
        <v>0</v>
      </c>
      <c r="B3855">
        <f>Sheet1!B3855</f>
        <v>0</v>
      </c>
      <c r="C3855">
        <f>IF(Sheet1!B3855&gt;0,1,0)</f>
        <v>0</v>
      </c>
    </row>
    <row r="3856" spans="1:3" x14ac:dyDescent="0.25">
      <c r="A3856" s="15">
        <f>Sheet1!A3856</f>
        <v>0</v>
      </c>
      <c r="B3856">
        <f>Sheet1!B3856</f>
        <v>16.25</v>
      </c>
      <c r="C3856">
        <f>IF(Sheet1!B3856&gt;0,1,0)</f>
        <v>1</v>
      </c>
    </row>
    <row r="3857" spans="1:3" x14ac:dyDescent="0.25">
      <c r="A3857" s="15">
        <f>Sheet1!A3857</f>
        <v>0</v>
      </c>
      <c r="B3857">
        <f>Sheet1!B3857</f>
        <v>0</v>
      </c>
      <c r="C3857">
        <f>IF(Sheet1!B3857&gt;0,1,0)</f>
        <v>0</v>
      </c>
    </row>
    <row r="3858" spans="1:3" x14ac:dyDescent="0.25">
      <c r="A3858" s="15">
        <f>Sheet1!A3858</f>
        <v>0</v>
      </c>
      <c r="B3858">
        <f>Sheet1!B3858</f>
        <v>0</v>
      </c>
      <c r="C3858">
        <f>IF(Sheet1!B3858&gt;0,1,0)</f>
        <v>0</v>
      </c>
    </row>
    <row r="3859" spans="1:3" x14ac:dyDescent="0.25">
      <c r="A3859" s="15">
        <f>Sheet1!A3859</f>
        <v>0</v>
      </c>
      <c r="B3859">
        <f>Sheet1!B3859</f>
        <v>0</v>
      </c>
      <c r="C3859">
        <f>IF(Sheet1!B3859&gt;0,1,0)</f>
        <v>0</v>
      </c>
    </row>
    <row r="3860" spans="1:3" x14ac:dyDescent="0.25">
      <c r="A3860" s="15">
        <f>Sheet1!A3860</f>
        <v>0</v>
      </c>
      <c r="B3860">
        <f>Sheet1!B3860</f>
        <v>0</v>
      </c>
      <c r="C3860">
        <f>IF(Sheet1!B3860&gt;0,1,0)</f>
        <v>0</v>
      </c>
    </row>
    <row r="3861" spans="1:3" x14ac:dyDescent="0.25">
      <c r="A3861" s="15">
        <f>Sheet1!A3861</f>
        <v>0</v>
      </c>
      <c r="B3861">
        <f>Sheet1!B3861</f>
        <v>0</v>
      </c>
      <c r="C3861">
        <f>IF(Sheet1!B3861&gt;0,1,0)</f>
        <v>0</v>
      </c>
    </row>
    <row r="3862" spans="1:3" x14ac:dyDescent="0.25">
      <c r="A3862" s="15">
        <f>Sheet1!A3862</f>
        <v>0</v>
      </c>
      <c r="B3862">
        <f>Sheet1!B3862</f>
        <v>17.84</v>
      </c>
      <c r="C3862">
        <f>IF(Sheet1!B3862&gt;0,1,0)</f>
        <v>1</v>
      </c>
    </row>
    <row r="3863" spans="1:3" x14ac:dyDescent="0.25">
      <c r="A3863" s="15">
        <f>Sheet1!A3863</f>
        <v>0</v>
      </c>
      <c r="B3863">
        <f>Sheet1!B3863</f>
        <v>0</v>
      </c>
      <c r="C3863">
        <f>IF(Sheet1!B3863&gt;0,1,0)</f>
        <v>0</v>
      </c>
    </row>
    <row r="3864" spans="1:3" x14ac:dyDescent="0.25">
      <c r="A3864" s="15">
        <f>Sheet1!A3864</f>
        <v>0</v>
      </c>
      <c r="B3864">
        <f>Sheet1!B3864</f>
        <v>0</v>
      </c>
      <c r="C3864">
        <f>IF(Sheet1!B3864&gt;0,1,0)</f>
        <v>0</v>
      </c>
    </row>
    <row r="3865" spans="1:3" x14ac:dyDescent="0.25">
      <c r="A3865" s="15">
        <f>Sheet1!A3865</f>
        <v>0</v>
      </c>
      <c r="B3865">
        <f>Sheet1!B3865</f>
        <v>0</v>
      </c>
      <c r="C3865">
        <f>IF(Sheet1!B3865&gt;0,1,0)</f>
        <v>0</v>
      </c>
    </row>
    <row r="3866" spans="1:3" x14ac:dyDescent="0.25">
      <c r="A3866" s="15">
        <f>Sheet1!A3866</f>
        <v>0</v>
      </c>
      <c r="B3866">
        <f>Sheet1!B3866</f>
        <v>0</v>
      </c>
      <c r="C3866">
        <f>IF(Sheet1!B3866&gt;0,1,0)</f>
        <v>0</v>
      </c>
    </row>
    <row r="3867" spans="1:3" x14ac:dyDescent="0.25">
      <c r="A3867" s="15">
        <f>Sheet1!A3867</f>
        <v>0</v>
      </c>
      <c r="B3867">
        <f>Sheet1!B3867</f>
        <v>0</v>
      </c>
      <c r="C3867">
        <f>IF(Sheet1!B3867&gt;0,1,0)</f>
        <v>0</v>
      </c>
    </row>
    <row r="3868" spans="1:3" x14ac:dyDescent="0.25">
      <c r="A3868" s="15">
        <f>Sheet1!A3868</f>
        <v>0</v>
      </c>
      <c r="B3868">
        <f>Sheet1!B3868</f>
        <v>11.32</v>
      </c>
      <c r="C3868">
        <f>IF(Sheet1!B3868&gt;0,1,0)</f>
        <v>1</v>
      </c>
    </row>
    <row r="3869" spans="1:3" x14ac:dyDescent="0.25">
      <c r="A3869" s="15">
        <f>Sheet1!A3869</f>
        <v>0</v>
      </c>
      <c r="B3869">
        <f>Sheet1!B3869</f>
        <v>0</v>
      </c>
      <c r="C3869">
        <f>IF(Sheet1!B3869&gt;0,1,0)</f>
        <v>0</v>
      </c>
    </row>
    <row r="3870" spans="1:3" x14ac:dyDescent="0.25">
      <c r="A3870" s="15">
        <f>Sheet1!A3870</f>
        <v>0</v>
      </c>
      <c r="B3870">
        <f>Sheet1!B3870</f>
        <v>0</v>
      </c>
      <c r="C3870">
        <f>IF(Sheet1!B3870&gt;0,1,0)</f>
        <v>0</v>
      </c>
    </row>
    <row r="3871" spans="1:3" x14ac:dyDescent="0.25">
      <c r="A3871" s="15">
        <f>Sheet1!A3871</f>
        <v>0</v>
      </c>
      <c r="B3871">
        <f>Sheet1!B3871</f>
        <v>0</v>
      </c>
      <c r="C3871">
        <f>IF(Sheet1!B3871&gt;0,1,0)</f>
        <v>0</v>
      </c>
    </row>
    <row r="3872" spans="1:3" x14ac:dyDescent="0.25">
      <c r="A3872" s="15">
        <f>Sheet1!A3872</f>
        <v>0</v>
      </c>
      <c r="B3872">
        <f>Sheet1!B3872</f>
        <v>0.23</v>
      </c>
      <c r="C3872">
        <f>IF(Sheet1!B3872&gt;0,1,0)</f>
        <v>1</v>
      </c>
    </row>
    <row r="3873" spans="1:3" x14ac:dyDescent="0.25">
      <c r="A3873" s="15">
        <f>Sheet1!A3873</f>
        <v>0</v>
      </c>
      <c r="B3873">
        <f>Sheet1!B3873</f>
        <v>0</v>
      </c>
      <c r="C3873">
        <f>IF(Sheet1!B3873&gt;0,1,0)</f>
        <v>0</v>
      </c>
    </row>
    <row r="3874" spans="1:3" x14ac:dyDescent="0.25">
      <c r="A3874" s="15">
        <f>Sheet1!A3874</f>
        <v>0</v>
      </c>
      <c r="B3874">
        <f>Sheet1!B3874</f>
        <v>0</v>
      </c>
      <c r="C3874">
        <f>IF(Sheet1!B3874&gt;0,1,0)</f>
        <v>0</v>
      </c>
    </row>
    <row r="3875" spans="1:3" x14ac:dyDescent="0.25">
      <c r="A3875" s="15">
        <f>Sheet1!A3875</f>
        <v>0</v>
      </c>
      <c r="B3875">
        <f>Sheet1!B3875</f>
        <v>0</v>
      </c>
      <c r="C3875">
        <f>IF(Sheet1!B3875&gt;0,1,0)</f>
        <v>0</v>
      </c>
    </row>
    <row r="3876" spans="1:3" x14ac:dyDescent="0.25">
      <c r="A3876" s="15">
        <f>Sheet1!A3876</f>
        <v>0</v>
      </c>
      <c r="B3876">
        <f>Sheet1!B3876</f>
        <v>0</v>
      </c>
      <c r="C3876">
        <f>IF(Sheet1!B3876&gt;0,1,0)</f>
        <v>0</v>
      </c>
    </row>
    <row r="3877" spans="1:3" x14ac:dyDescent="0.25">
      <c r="A3877" s="15">
        <f>Sheet1!A3877</f>
        <v>0</v>
      </c>
      <c r="B3877">
        <f>Sheet1!B3877</f>
        <v>0</v>
      </c>
      <c r="C3877">
        <f>IF(Sheet1!B3877&gt;0,1,0)</f>
        <v>0</v>
      </c>
    </row>
    <row r="3878" spans="1:3" x14ac:dyDescent="0.25">
      <c r="A3878" s="15">
        <f>Sheet1!A3878</f>
        <v>0</v>
      </c>
      <c r="B3878">
        <f>Sheet1!B3878</f>
        <v>15.45</v>
      </c>
      <c r="C3878">
        <f>IF(Sheet1!B3878&gt;0,1,0)</f>
        <v>1</v>
      </c>
    </row>
    <row r="3879" spans="1:3" x14ac:dyDescent="0.25">
      <c r="A3879" s="15">
        <f>Sheet1!A3879</f>
        <v>0</v>
      </c>
      <c r="B3879">
        <f>Sheet1!B3879</f>
        <v>10.24</v>
      </c>
      <c r="C3879">
        <f>IF(Sheet1!B3879&gt;0,1,0)</f>
        <v>1</v>
      </c>
    </row>
    <row r="3880" spans="1:3" x14ac:dyDescent="0.25">
      <c r="A3880" s="15">
        <f>Sheet1!A3880</f>
        <v>0</v>
      </c>
      <c r="B3880">
        <f>Sheet1!B3880</f>
        <v>12.29</v>
      </c>
      <c r="C3880">
        <f>IF(Sheet1!B3880&gt;0,1,0)</f>
        <v>1</v>
      </c>
    </row>
    <row r="3881" spans="1:3" x14ac:dyDescent="0.25">
      <c r="A3881" s="15">
        <f>Sheet1!A3881</f>
        <v>0</v>
      </c>
      <c r="B3881">
        <f>Sheet1!B3881</f>
        <v>14.78</v>
      </c>
      <c r="C3881">
        <f>IF(Sheet1!B3881&gt;0,1,0)</f>
        <v>1</v>
      </c>
    </row>
    <row r="3882" spans="1:3" x14ac:dyDescent="0.25">
      <c r="A3882" s="15">
        <f>Sheet1!A3882</f>
        <v>0</v>
      </c>
      <c r="B3882">
        <f>Sheet1!B3882</f>
        <v>17</v>
      </c>
      <c r="C3882">
        <f>IF(Sheet1!B3882&gt;0,1,0)</f>
        <v>1</v>
      </c>
    </row>
    <row r="3883" spans="1:3" x14ac:dyDescent="0.25">
      <c r="A3883" s="15">
        <f>Sheet1!A3883</f>
        <v>0</v>
      </c>
      <c r="B3883">
        <f>Sheet1!B3883</f>
        <v>0</v>
      </c>
      <c r="C3883">
        <f>IF(Sheet1!B3883&gt;0,1,0)</f>
        <v>0</v>
      </c>
    </row>
    <row r="3884" spans="1:3" x14ac:dyDescent="0.25">
      <c r="A3884" s="15">
        <f>Sheet1!A3884</f>
        <v>0</v>
      </c>
      <c r="B3884">
        <f>Sheet1!B3884</f>
        <v>0</v>
      </c>
      <c r="C3884">
        <f>IF(Sheet1!B3884&gt;0,1,0)</f>
        <v>0</v>
      </c>
    </row>
    <row r="3885" spans="1:3" x14ac:dyDescent="0.25">
      <c r="A3885" s="15">
        <f>Sheet1!A3885</f>
        <v>0</v>
      </c>
      <c r="B3885">
        <f>Sheet1!B3885</f>
        <v>0</v>
      </c>
      <c r="C3885">
        <f>IF(Sheet1!B3885&gt;0,1,0)</f>
        <v>0</v>
      </c>
    </row>
    <row r="3886" spans="1:3" x14ac:dyDescent="0.25">
      <c r="A3886" s="15">
        <f>Sheet1!A3886</f>
        <v>0</v>
      </c>
      <c r="B3886">
        <f>Sheet1!B3886</f>
        <v>0</v>
      </c>
      <c r="C3886">
        <f>IF(Sheet1!B3886&gt;0,1,0)</f>
        <v>0</v>
      </c>
    </row>
    <row r="3887" spans="1:3" x14ac:dyDescent="0.25">
      <c r="A3887" s="15">
        <f>Sheet1!A3887</f>
        <v>0</v>
      </c>
      <c r="B3887">
        <f>Sheet1!B3887</f>
        <v>0</v>
      </c>
      <c r="C3887">
        <f>IF(Sheet1!B3887&gt;0,1,0)</f>
        <v>0</v>
      </c>
    </row>
    <row r="3888" spans="1:3" x14ac:dyDescent="0.25">
      <c r="A3888" s="15">
        <f>Sheet1!A3888</f>
        <v>0</v>
      </c>
      <c r="B3888">
        <f>Sheet1!B3888</f>
        <v>16.079999999999998</v>
      </c>
      <c r="C3888">
        <f>IF(Sheet1!B3888&gt;0,1,0)</f>
        <v>1</v>
      </c>
    </row>
    <row r="3889" spans="1:3" x14ac:dyDescent="0.25">
      <c r="A3889" s="15">
        <f>Sheet1!A3889</f>
        <v>0</v>
      </c>
      <c r="B3889">
        <f>Sheet1!B3889</f>
        <v>0</v>
      </c>
      <c r="C3889">
        <f>IF(Sheet1!B3889&gt;0,1,0)</f>
        <v>0</v>
      </c>
    </row>
    <row r="3890" spans="1:3" x14ac:dyDescent="0.25">
      <c r="A3890" s="15">
        <f>Sheet1!A3890</f>
        <v>0</v>
      </c>
      <c r="B3890">
        <f>Sheet1!B3890</f>
        <v>0</v>
      </c>
      <c r="C3890">
        <f>IF(Sheet1!B3890&gt;0,1,0)</f>
        <v>0</v>
      </c>
    </row>
    <row r="3891" spans="1:3" x14ac:dyDescent="0.25">
      <c r="A3891" s="15">
        <f>Sheet1!A3891</f>
        <v>0</v>
      </c>
      <c r="B3891">
        <f>Sheet1!B3891</f>
        <v>0</v>
      </c>
      <c r="C3891">
        <f>IF(Sheet1!B3891&gt;0,1,0)</f>
        <v>0</v>
      </c>
    </row>
    <row r="3892" spans="1:3" x14ac:dyDescent="0.25">
      <c r="A3892" s="15">
        <f>Sheet1!A3892</f>
        <v>0</v>
      </c>
      <c r="B3892">
        <f>Sheet1!B3892</f>
        <v>10.27</v>
      </c>
      <c r="C3892">
        <f>IF(Sheet1!B3892&gt;0,1,0)</f>
        <v>1</v>
      </c>
    </row>
    <row r="3893" spans="1:3" x14ac:dyDescent="0.25">
      <c r="A3893" s="15">
        <f>Sheet1!A3893</f>
        <v>0</v>
      </c>
      <c r="B3893">
        <f>Sheet1!B3893</f>
        <v>0</v>
      </c>
      <c r="C3893">
        <f>IF(Sheet1!B3893&gt;0,1,0)</f>
        <v>0</v>
      </c>
    </row>
    <row r="3894" spans="1:3" x14ac:dyDescent="0.25">
      <c r="A3894" s="15">
        <f>Sheet1!A3894</f>
        <v>0</v>
      </c>
      <c r="B3894">
        <f>Sheet1!B3894</f>
        <v>0</v>
      </c>
      <c r="C3894">
        <f>IF(Sheet1!B3894&gt;0,1,0)</f>
        <v>0</v>
      </c>
    </row>
    <row r="3895" spans="1:3" x14ac:dyDescent="0.25">
      <c r="A3895" s="15">
        <f>Sheet1!A3895</f>
        <v>0</v>
      </c>
      <c r="B3895">
        <f>Sheet1!B3895</f>
        <v>0</v>
      </c>
      <c r="C3895">
        <f>IF(Sheet1!B3895&gt;0,1,0)</f>
        <v>0</v>
      </c>
    </row>
    <row r="3896" spans="1:3" x14ac:dyDescent="0.25">
      <c r="A3896" s="15">
        <f>Sheet1!A3896</f>
        <v>0</v>
      </c>
      <c r="B3896">
        <f>Sheet1!B3896</f>
        <v>0</v>
      </c>
      <c r="C3896">
        <f>IF(Sheet1!B3896&gt;0,1,0)</f>
        <v>0</v>
      </c>
    </row>
    <row r="3897" spans="1:3" x14ac:dyDescent="0.25">
      <c r="A3897" s="15">
        <f>Sheet1!A3897</f>
        <v>0</v>
      </c>
      <c r="B3897">
        <f>Sheet1!B3897</f>
        <v>0</v>
      </c>
      <c r="C3897">
        <f>IF(Sheet1!B3897&gt;0,1,0)</f>
        <v>0</v>
      </c>
    </row>
    <row r="3898" spans="1:3" x14ac:dyDescent="0.25">
      <c r="A3898" s="15">
        <f>Sheet1!A3898</f>
        <v>0</v>
      </c>
      <c r="B3898">
        <f>Sheet1!B3898</f>
        <v>13.02</v>
      </c>
      <c r="C3898">
        <f>IF(Sheet1!B3898&gt;0,1,0)</f>
        <v>1</v>
      </c>
    </row>
    <row r="3899" spans="1:3" x14ac:dyDescent="0.25">
      <c r="A3899" s="15">
        <f>Sheet1!A3899</f>
        <v>0</v>
      </c>
      <c r="B3899">
        <f>Sheet1!B3899</f>
        <v>0</v>
      </c>
      <c r="C3899">
        <f>IF(Sheet1!B3899&gt;0,1,0)</f>
        <v>0</v>
      </c>
    </row>
    <row r="3900" spans="1:3" x14ac:dyDescent="0.25">
      <c r="A3900" s="15">
        <f>Sheet1!A3900</f>
        <v>0</v>
      </c>
      <c r="B3900">
        <f>Sheet1!B3900</f>
        <v>0</v>
      </c>
      <c r="C3900">
        <f>IF(Sheet1!B3900&gt;0,1,0)</f>
        <v>0</v>
      </c>
    </row>
    <row r="3901" spans="1:3" x14ac:dyDescent="0.25">
      <c r="A3901" s="15">
        <f>Sheet1!A3901</f>
        <v>0</v>
      </c>
      <c r="B3901">
        <f>Sheet1!B3901</f>
        <v>0</v>
      </c>
      <c r="C3901">
        <f>IF(Sheet1!B3901&gt;0,1,0)</f>
        <v>0</v>
      </c>
    </row>
    <row r="3902" spans="1:3" x14ac:dyDescent="0.25">
      <c r="A3902" s="15">
        <f>Sheet1!A3902</f>
        <v>0</v>
      </c>
      <c r="B3902">
        <f>Sheet1!B3902</f>
        <v>12.44</v>
      </c>
      <c r="C3902">
        <f>IF(Sheet1!B3902&gt;0,1,0)</f>
        <v>1</v>
      </c>
    </row>
    <row r="3903" spans="1:3" x14ac:dyDescent="0.25">
      <c r="A3903" s="15">
        <f>Sheet1!A3903</f>
        <v>0</v>
      </c>
      <c r="B3903">
        <f>Sheet1!B3903</f>
        <v>0</v>
      </c>
      <c r="C3903">
        <f>IF(Sheet1!B3903&gt;0,1,0)</f>
        <v>0</v>
      </c>
    </row>
    <row r="3904" spans="1:3" x14ac:dyDescent="0.25">
      <c r="A3904" s="15">
        <f>Sheet1!A3904</f>
        <v>0</v>
      </c>
      <c r="B3904">
        <f>Sheet1!B3904</f>
        <v>0</v>
      </c>
      <c r="C3904">
        <f>IF(Sheet1!B3904&gt;0,1,0)</f>
        <v>0</v>
      </c>
    </row>
    <row r="3905" spans="1:3" x14ac:dyDescent="0.25">
      <c r="A3905" s="15">
        <f>Sheet1!A3905</f>
        <v>0</v>
      </c>
      <c r="B3905">
        <f>Sheet1!B3905</f>
        <v>0</v>
      </c>
      <c r="C3905">
        <f>IF(Sheet1!B3905&gt;0,1,0)</f>
        <v>0</v>
      </c>
    </row>
    <row r="3906" spans="1:3" x14ac:dyDescent="0.25">
      <c r="A3906" s="15">
        <f>Sheet1!A3906</f>
        <v>0</v>
      </c>
      <c r="B3906">
        <f>Sheet1!B3906</f>
        <v>0</v>
      </c>
      <c r="C3906">
        <f>IF(Sheet1!B3906&gt;0,1,0)</f>
        <v>0</v>
      </c>
    </row>
    <row r="3907" spans="1:3" x14ac:dyDescent="0.25">
      <c r="A3907" s="15">
        <f>Sheet1!A3907</f>
        <v>0</v>
      </c>
      <c r="B3907">
        <f>Sheet1!B3907</f>
        <v>0</v>
      </c>
      <c r="C3907">
        <f>IF(Sheet1!B3907&gt;0,1,0)</f>
        <v>0</v>
      </c>
    </row>
    <row r="3908" spans="1:3" x14ac:dyDescent="0.25">
      <c r="A3908" s="15">
        <f>Sheet1!A3908</f>
        <v>0</v>
      </c>
      <c r="B3908">
        <f>Sheet1!B3908</f>
        <v>12.41</v>
      </c>
      <c r="C3908">
        <f>IF(Sheet1!B3908&gt;0,1,0)</f>
        <v>1</v>
      </c>
    </row>
    <row r="3909" spans="1:3" x14ac:dyDescent="0.25">
      <c r="A3909" s="15">
        <f>Sheet1!A3909</f>
        <v>0</v>
      </c>
      <c r="B3909">
        <f>Sheet1!B3909</f>
        <v>0</v>
      </c>
      <c r="C3909">
        <f>IF(Sheet1!B3909&gt;0,1,0)</f>
        <v>0</v>
      </c>
    </row>
    <row r="3910" spans="1:3" x14ac:dyDescent="0.25">
      <c r="A3910" s="15">
        <f>Sheet1!A3910</f>
        <v>0</v>
      </c>
      <c r="B3910">
        <f>Sheet1!B3910</f>
        <v>0</v>
      </c>
      <c r="C3910">
        <f>IF(Sheet1!B3910&gt;0,1,0)</f>
        <v>0</v>
      </c>
    </row>
    <row r="3911" spans="1:3" x14ac:dyDescent="0.25">
      <c r="A3911" s="15">
        <f>Sheet1!A3911</f>
        <v>0</v>
      </c>
      <c r="B3911">
        <f>Sheet1!B3911</f>
        <v>0</v>
      </c>
      <c r="C3911">
        <f>IF(Sheet1!B3911&gt;0,1,0)</f>
        <v>0</v>
      </c>
    </row>
    <row r="3912" spans="1:3" x14ac:dyDescent="0.25">
      <c r="A3912" s="15">
        <f>Sheet1!A3912</f>
        <v>0</v>
      </c>
      <c r="B3912">
        <f>Sheet1!B3912</f>
        <v>0</v>
      </c>
      <c r="C3912">
        <f>IF(Sheet1!B3912&gt;0,1,0)</f>
        <v>0</v>
      </c>
    </row>
    <row r="3913" spans="1:3" x14ac:dyDescent="0.25">
      <c r="A3913" s="15">
        <f>Sheet1!A3913</f>
        <v>0</v>
      </c>
      <c r="B3913">
        <f>Sheet1!B3913</f>
        <v>0</v>
      </c>
      <c r="C3913">
        <f>IF(Sheet1!B3913&gt;0,1,0)</f>
        <v>0</v>
      </c>
    </row>
    <row r="3914" spans="1:3" x14ac:dyDescent="0.25">
      <c r="A3914" s="15">
        <f>Sheet1!A3914</f>
        <v>0</v>
      </c>
      <c r="B3914">
        <f>Sheet1!B3914</f>
        <v>11.96</v>
      </c>
      <c r="C3914">
        <f>IF(Sheet1!B3914&gt;0,1,0)</f>
        <v>1</v>
      </c>
    </row>
    <row r="3915" spans="1:3" x14ac:dyDescent="0.25">
      <c r="A3915" s="15">
        <f>Sheet1!A3915</f>
        <v>0</v>
      </c>
      <c r="B3915">
        <f>Sheet1!B3915</f>
        <v>0</v>
      </c>
      <c r="C3915">
        <f>IF(Sheet1!B3915&gt;0,1,0)</f>
        <v>0</v>
      </c>
    </row>
    <row r="3916" spans="1:3" x14ac:dyDescent="0.25">
      <c r="A3916" s="15">
        <f>Sheet1!A3916</f>
        <v>0</v>
      </c>
      <c r="B3916">
        <f>Sheet1!B3916</f>
        <v>0</v>
      </c>
      <c r="C3916">
        <f>IF(Sheet1!B3916&gt;0,1,0)</f>
        <v>0</v>
      </c>
    </row>
    <row r="3917" spans="1:3" x14ac:dyDescent="0.25">
      <c r="A3917" s="15">
        <f>Sheet1!A3917</f>
        <v>0</v>
      </c>
      <c r="B3917">
        <f>Sheet1!B3917</f>
        <v>0</v>
      </c>
      <c r="C3917">
        <f>IF(Sheet1!B3917&gt;0,1,0)</f>
        <v>0</v>
      </c>
    </row>
    <row r="3918" spans="1:3" x14ac:dyDescent="0.25">
      <c r="A3918" s="15">
        <f>Sheet1!A3918</f>
        <v>0</v>
      </c>
      <c r="B3918">
        <f>Sheet1!B3918</f>
        <v>12.39</v>
      </c>
      <c r="C3918">
        <f>IF(Sheet1!B3918&gt;0,1,0)</f>
        <v>1</v>
      </c>
    </row>
    <row r="3919" spans="1:3" x14ac:dyDescent="0.25">
      <c r="A3919" s="15">
        <f>Sheet1!A3919</f>
        <v>0</v>
      </c>
      <c r="B3919">
        <f>Sheet1!B3919</f>
        <v>1.46</v>
      </c>
      <c r="C3919">
        <f>IF(Sheet1!B3919&gt;0,1,0)</f>
        <v>1</v>
      </c>
    </row>
    <row r="3920" spans="1:3" x14ac:dyDescent="0.25">
      <c r="A3920" s="15">
        <f>Sheet1!A3920</f>
        <v>0</v>
      </c>
      <c r="B3920">
        <f>Sheet1!B3920</f>
        <v>0</v>
      </c>
      <c r="C3920">
        <f>IF(Sheet1!B3920&gt;0,1,0)</f>
        <v>0</v>
      </c>
    </row>
    <row r="3921" spans="1:3" x14ac:dyDescent="0.25">
      <c r="A3921" s="15">
        <f>Sheet1!A3921</f>
        <v>0</v>
      </c>
      <c r="B3921">
        <f>Sheet1!B3921</f>
        <v>0</v>
      </c>
      <c r="C3921">
        <f>IF(Sheet1!B3921&gt;0,1,0)</f>
        <v>0</v>
      </c>
    </row>
    <row r="3922" spans="1:3" x14ac:dyDescent="0.25">
      <c r="A3922" s="15">
        <f>Sheet1!A3922</f>
        <v>0</v>
      </c>
      <c r="B3922">
        <f>Sheet1!B3922</f>
        <v>12.44</v>
      </c>
      <c r="C3922">
        <f>IF(Sheet1!B3922&gt;0,1,0)</f>
        <v>1</v>
      </c>
    </row>
    <row r="3923" spans="1:3" x14ac:dyDescent="0.25">
      <c r="A3923" s="15">
        <f>Sheet1!A3923</f>
        <v>0</v>
      </c>
      <c r="B3923">
        <f>Sheet1!B3923</f>
        <v>0</v>
      </c>
      <c r="C3923">
        <f>IF(Sheet1!B3923&gt;0,1,0)</f>
        <v>0</v>
      </c>
    </row>
    <row r="3924" spans="1:3" x14ac:dyDescent="0.25">
      <c r="A3924" s="15">
        <f>Sheet1!A3924</f>
        <v>0</v>
      </c>
      <c r="B3924">
        <f>Sheet1!B3924</f>
        <v>0</v>
      </c>
      <c r="C3924">
        <f>IF(Sheet1!B3924&gt;0,1,0)</f>
        <v>0</v>
      </c>
    </row>
    <row r="3925" spans="1:3" x14ac:dyDescent="0.25">
      <c r="A3925" s="15">
        <f>Sheet1!A3925</f>
        <v>0</v>
      </c>
      <c r="B3925">
        <f>Sheet1!B3925</f>
        <v>0</v>
      </c>
      <c r="C3925">
        <f>IF(Sheet1!B3925&gt;0,1,0)</f>
        <v>0</v>
      </c>
    </row>
    <row r="3926" spans="1:3" x14ac:dyDescent="0.25">
      <c r="A3926" s="15">
        <f>Sheet1!A3926</f>
        <v>0</v>
      </c>
      <c r="B3926">
        <f>Sheet1!B3926</f>
        <v>0</v>
      </c>
      <c r="C3926">
        <f>IF(Sheet1!B3926&gt;0,1,0)</f>
        <v>0</v>
      </c>
    </row>
    <row r="3927" spans="1:3" x14ac:dyDescent="0.25">
      <c r="A3927" s="15">
        <f>Sheet1!A3927</f>
        <v>0</v>
      </c>
      <c r="B3927">
        <f>Sheet1!B3927</f>
        <v>0</v>
      </c>
      <c r="C3927">
        <f>IF(Sheet1!B3927&gt;0,1,0)</f>
        <v>0</v>
      </c>
    </row>
    <row r="3928" spans="1:3" x14ac:dyDescent="0.25">
      <c r="A3928" s="15">
        <f>Sheet1!A3928</f>
        <v>0</v>
      </c>
      <c r="B3928">
        <f>Sheet1!B3928</f>
        <v>0</v>
      </c>
      <c r="C3928">
        <f>IF(Sheet1!B3928&gt;0,1,0)</f>
        <v>0</v>
      </c>
    </row>
    <row r="3929" spans="1:3" x14ac:dyDescent="0.25">
      <c r="A3929" s="15">
        <f>Sheet1!A3929</f>
        <v>0</v>
      </c>
      <c r="B3929">
        <f>Sheet1!B3929</f>
        <v>0</v>
      </c>
      <c r="C3929">
        <f>IF(Sheet1!B3929&gt;0,1,0)</f>
        <v>0</v>
      </c>
    </row>
    <row r="3930" spans="1:3" x14ac:dyDescent="0.25">
      <c r="A3930" s="15">
        <f>Sheet1!A3930</f>
        <v>0</v>
      </c>
      <c r="B3930">
        <f>Sheet1!B3930</f>
        <v>0</v>
      </c>
      <c r="C3930">
        <f>IF(Sheet1!B3930&gt;0,1,0)</f>
        <v>0</v>
      </c>
    </row>
    <row r="3931" spans="1:3" x14ac:dyDescent="0.25">
      <c r="A3931" s="15">
        <f>Sheet1!A3931</f>
        <v>0</v>
      </c>
      <c r="B3931">
        <f>Sheet1!B3931</f>
        <v>0</v>
      </c>
      <c r="C3931">
        <f>IF(Sheet1!B3931&gt;0,1,0)</f>
        <v>0</v>
      </c>
    </row>
    <row r="3932" spans="1:3" x14ac:dyDescent="0.25">
      <c r="A3932" s="15">
        <f>Sheet1!A3932</f>
        <v>0</v>
      </c>
      <c r="B3932">
        <f>Sheet1!B3932</f>
        <v>0</v>
      </c>
      <c r="C3932">
        <f>IF(Sheet1!B3932&gt;0,1,0)</f>
        <v>0</v>
      </c>
    </row>
    <row r="3933" spans="1:3" x14ac:dyDescent="0.25">
      <c r="A3933" s="15">
        <f>Sheet1!A3933</f>
        <v>0</v>
      </c>
      <c r="B3933">
        <f>Sheet1!B3933</f>
        <v>0</v>
      </c>
      <c r="C3933">
        <f>IF(Sheet1!B3933&gt;0,1,0)</f>
        <v>0</v>
      </c>
    </row>
    <row r="3934" spans="1:3" x14ac:dyDescent="0.25">
      <c r="A3934" s="15">
        <f>Sheet1!A3934</f>
        <v>0</v>
      </c>
      <c r="B3934">
        <f>Sheet1!B3934</f>
        <v>0</v>
      </c>
      <c r="C3934">
        <f>IF(Sheet1!B3934&gt;0,1,0)</f>
        <v>0</v>
      </c>
    </row>
    <row r="3935" spans="1:3" x14ac:dyDescent="0.25">
      <c r="A3935" s="15">
        <f>Sheet1!A3935</f>
        <v>0</v>
      </c>
      <c r="B3935">
        <f>Sheet1!B3935</f>
        <v>0</v>
      </c>
      <c r="C3935">
        <f>IF(Sheet1!B3935&gt;0,1,0)</f>
        <v>0</v>
      </c>
    </row>
    <row r="3936" spans="1:3" x14ac:dyDescent="0.25">
      <c r="A3936" s="15">
        <f>Sheet1!A3936</f>
        <v>0</v>
      </c>
      <c r="B3936">
        <f>Sheet1!B3936</f>
        <v>10.17</v>
      </c>
      <c r="C3936">
        <f>IF(Sheet1!B3936&gt;0,1,0)</f>
        <v>1</v>
      </c>
    </row>
    <row r="3937" spans="1:3" x14ac:dyDescent="0.25">
      <c r="A3937" s="15">
        <f>Sheet1!A3937</f>
        <v>0</v>
      </c>
      <c r="B3937">
        <f>Sheet1!B3937</f>
        <v>0</v>
      </c>
      <c r="C3937">
        <f>IF(Sheet1!B3937&gt;0,1,0)</f>
        <v>0</v>
      </c>
    </row>
    <row r="3938" spans="1:3" x14ac:dyDescent="0.25">
      <c r="A3938" s="15">
        <f>Sheet1!A3938</f>
        <v>0</v>
      </c>
      <c r="B3938">
        <f>Sheet1!B3938</f>
        <v>0</v>
      </c>
      <c r="C3938">
        <f>IF(Sheet1!B3938&gt;0,1,0)</f>
        <v>0</v>
      </c>
    </row>
    <row r="3939" spans="1:3" x14ac:dyDescent="0.25">
      <c r="A3939" s="15">
        <f>Sheet1!A3939</f>
        <v>0</v>
      </c>
      <c r="B3939">
        <f>Sheet1!B3939</f>
        <v>0</v>
      </c>
      <c r="C3939">
        <f>IF(Sheet1!B3939&gt;0,1,0)</f>
        <v>0</v>
      </c>
    </row>
    <row r="3940" spans="1:3" x14ac:dyDescent="0.25">
      <c r="A3940" s="15">
        <f>Sheet1!A3940</f>
        <v>0</v>
      </c>
      <c r="B3940">
        <f>Sheet1!B3940</f>
        <v>0</v>
      </c>
      <c r="C3940">
        <f>IF(Sheet1!B3940&gt;0,1,0)</f>
        <v>0</v>
      </c>
    </row>
    <row r="3941" spans="1:3" x14ac:dyDescent="0.25">
      <c r="A3941" s="15">
        <f>Sheet1!A3941</f>
        <v>0</v>
      </c>
      <c r="B3941">
        <f>Sheet1!B3941</f>
        <v>0</v>
      </c>
      <c r="C3941">
        <f>IF(Sheet1!B3941&gt;0,1,0)</f>
        <v>0</v>
      </c>
    </row>
    <row r="3942" spans="1:3" x14ac:dyDescent="0.25">
      <c r="A3942" s="15">
        <f>Sheet1!A3942</f>
        <v>0</v>
      </c>
      <c r="B3942">
        <f>Sheet1!B3942</f>
        <v>0</v>
      </c>
      <c r="C3942">
        <f>IF(Sheet1!B3942&gt;0,1,0)</f>
        <v>0</v>
      </c>
    </row>
    <row r="3943" spans="1:3" x14ac:dyDescent="0.25">
      <c r="A3943" s="15">
        <f>Sheet1!A3943</f>
        <v>0</v>
      </c>
      <c r="B3943">
        <f>Sheet1!B3943</f>
        <v>0</v>
      </c>
      <c r="C3943">
        <f>IF(Sheet1!B3943&gt;0,1,0)</f>
        <v>0</v>
      </c>
    </row>
    <row r="3944" spans="1:3" x14ac:dyDescent="0.25">
      <c r="A3944" s="15">
        <f>Sheet1!A3944</f>
        <v>0</v>
      </c>
      <c r="B3944">
        <f>Sheet1!B3944</f>
        <v>0</v>
      </c>
      <c r="C3944">
        <f>IF(Sheet1!B3944&gt;0,1,0)</f>
        <v>0</v>
      </c>
    </row>
    <row r="3945" spans="1:3" x14ac:dyDescent="0.25">
      <c r="A3945" s="15">
        <f>Sheet1!A3945</f>
        <v>0</v>
      </c>
      <c r="B3945">
        <f>Sheet1!B3945</f>
        <v>0</v>
      </c>
      <c r="C3945">
        <f>IF(Sheet1!B3945&gt;0,1,0)</f>
        <v>0</v>
      </c>
    </row>
    <row r="3946" spans="1:3" x14ac:dyDescent="0.25">
      <c r="A3946" s="15">
        <f>Sheet1!A3946</f>
        <v>0</v>
      </c>
      <c r="B3946">
        <f>Sheet1!B3946</f>
        <v>0</v>
      </c>
      <c r="C3946">
        <f>IF(Sheet1!B3946&gt;0,1,0)</f>
        <v>0</v>
      </c>
    </row>
    <row r="3947" spans="1:3" x14ac:dyDescent="0.25">
      <c r="A3947" s="15">
        <f>Sheet1!A3947</f>
        <v>0</v>
      </c>
      <c r="B3947">
        <f>Sheet1!B3947</f>
        <v>0</v>
      </c>
      <c r="C3947">
        <f>IF(Sheet1!B3947&gt;0,1,0)</f>
        <v>0</v>
      </c>
    </row>
    <row r="3948" spans="1:3" x14ac:dyDescent="0.25">
      <c r="A3948" s="15">
        <f>Sheet1!A3948</f>
        <v>0</v>
      </c>
      <c r="B3948">
        <f>Sheet1!B3948</f>
        <v>0</v>
      </c>
      <c r="C3948">
        <f>IF(Sheet1!B3948&gt;0,1,0)</f>
        <v>0</v>
      </c>
    </row>
    <row r="3949" spans="1:3" x14ac:dyDescent="0.25">
      <c r="A3949" s="15">
        <f>Sheet1!A3949</f>
        <v>0</v>
      </c>
      <c r="B3949">
        <f>Sheet1!B3949</f>
        <v>0</v>
      </c>
      <c r="C3949">
        <f>IF(Sheet1!B3949&gt;0,1,0)</f>
        <v>0</v>
      </c>
    </row>
    <row r="3950" spans="1:3" x14ac:dyDescent="0.25">
      <c r="A3950" s="15">
        <f>Sheet1!A3950</f>
        <v>0</v>
      </c>
      <c r="B3950">
        <f>Sheet1!B3950</f>
        <v>16.02</v>
      </c>
      <c r="C3950">
        <f>IF(Sheet1!B3950&gt;0,1,0)</f>
        <v>1</v>
      </c>
    </row>
    <row r="3951" spans="1:3" x14ac:dyDescent="0.25">
      <c r="A3951" s="15">
        <f>Sheet1!A3951</f>
        <v>0</v>
      </c>
      <c r="B3951">
        <f>Sheet1!B3951</f>
        <v>0</v>
      </c>
      <c r="C3951">
        <f>IF(Sheet1!B3951&gt;0,1,0)</f>
        <v>0</v>
      </c>
    </row>
    <row r="3952" spans="1:3" x14ac:dyDescent="0.25">
      <c r="A3952" s="15">
        <f>Sheet1!A3952</f>
        <v>0</v>
      </c>
      <c r="B3952">
        <f>Sheet1!B3952</f>
        <v>0</v>
      </c>
      <c r="C3952">
        <f>IF(Sheet1!B3952&gt;0,1,0)</f>
        <v>0</v>
      </c>
    </row>
    <row r="3953" spans="1:3" x14ac:dyDescent="0.25">
      <c r="A3953" s="15">
        <f>Sheet1!A3953</f>
        <v>0</v>
      </c>
      <c r="B3953">
        <f>Sheet1!B3953</f>
        <v>0</v>
      </c>
      <c r="C3953">
        <f>IF(Sheet1!B3953&gt;0,1,0)</f>
        <v>0</v>
      </c>
    </row>
    <row r="3954" spans="1:3" x14ac:dyDescent="0.25">
      <c r="A3954" s="15">
        <f>Sheet1!A3954</f>
        <v>0</v>
      </c>
      <c r="B3954">
        <f>Sheet1!B3954</f>
        <v>0</v>
      </c>
      <c r="C3954">
        <f>IF(Sheet1!B3954&gt;0,1,0)</f>
        <v>0</v>
      </c>
    </row>
    <row r="3955" spans="1:3" x14ac:dyDescent="0.25">
      <c r="A3955" s="15">
        <f>Sheet1!A3955</f>
        <v>0</v>
      </c>
      <c r="B3955">
        <f>Sheet1!B3955</f>
        <v>0</v>
      </c>
      <c r="C3955">
        <f>IF(Sheet1!B3955&gt;0,1,0)</f>
        <v>0</v>
      </c>
    </row>
    <row r="3956" spans="1:3" x14ac:dyDescent="0.25">
      <c r="A3956" s="15">
        <f>Sheet1!A3956</f>
        <v>0</v>
      </c>
      <c r="B3956">
        <f>Sheet1!B3956</f>
        <v>11.63</v>
      </c>
      <c r="C3956">
        <f>IF(Sheet1!B3956&gt;0,1,0)</f>
        <v>1</v>
      </c>
    </row>
    <row r="3957" spans="1:3" x14ac:dyDescent="0.25">
      <c r="A3957" s="15">
        <f>Sheet1!A3957</f>
        <v>0</v>
      </c>
      <c r="B3957">
        <f>Sheet1!B3957</f>
        <v>0</v>
      </c>
      <c r="C3957">
        <f>IF(Sheet1!B3957&gt;0,1,0)</f>
        <v>0</v>
      </c>
    </row>
    <row r="3958" spans="1:3" x14ac:dyDescent="0.25">
      <c r="A3958" s="15">
        <f>Sheet1!A3958</f>
        <v>0</v>
      </c>
      <c r="B3958">
        <f>Sheet1!B3958</f>
        <v>0</v>
      </c>
      <c r="C3958">
        <f>IF(Sheet1!B3958&gt;0,1,0)</f>
        <v>0</v>
      </c>
    </row>
    <row r="3959" spans="1:3" x14ac:dyDescent="0.25">
      <c r="A3959" s="15">
        <f>Sheet1!A3959</f>
        <v>0</v>
      </c>
      <c r="B3959">
        <f>Sheet1!B3959</f>
        <v>0</v>
      </c>
      <c r="C3959">
        <f>IF(Sheet1!B3959&gt;0,1,0)</f>
        <v>0</v>
      </c>
    </row>
    <row r="3960" spans="1:3" x14ac:dyDescent="0.25">
      <c r="A3960" s="15">
        <f>Sheet1!A3960</f>
        <v>0</v>
      </c>
      <c r="B3960">
        <f>Sheet1!B3960</f>
        <v>0</v>
      </c>
      <c r="C3960">
        <f>IF(Sheet1!B3960&gt;0,1,0)</f>
        <v>0</v>
      </c>
    </row>
    <row r="3961" spans="1:3" x14ac:dyDescent="0.25">
      <c r="A3961" s="15">
        <f>Sheet1!A3961</f>
        <v>0</v>
      </c>
      <c r="B3961">
        <f>Sheet1!B3961</f>
        <v>0</v>
      </c>
      <c r="C3961">
        <f>IF(Sheet1!B3961&gt;0,1,0)</f>
        <v>0</v>
      </c>
    </row>
    <row r="3962" spans="1:3" x14ac:dyDescent="0.25">
      <c r="A3962" s="15">
        <f>Sheet1!A3962</f>
        <v>0</v>
      </c>
      <c r="B3962">
        <f>Sheet1!B3962</f>
        <v>9.2100000000000009</v>
      </c>
      <c r="C3962">
        <f>IF(Sheet1!B3962&gt;0,1,0)</f>
        <v>1</v>
      </c>
    </row>
    <row r="3963" spans="1:3" x14ac:dyDescent="0.25">
      <c r="A3963" s="15">
        <f>Sheet1!A3963</f>
        <v>0</v>
      </c>
      <c r="B3963">
        <f>Sheet1!B3963</f>
        <v>0</v>
      </c>
      <c r="C3963">
        <f>IF(Sheet1!B3963&gt;0,1,0)</f>
        <v>0</v>
      </c>
    </row>
    <row r="3964" spans="1:3" x14ac:dyDescent="0.25">
      <c r="A3964" s="15">
        <f>Sheet1!A3964</f>
        <v>0</v>
      </c>
      <c r="B3964">
        <f>Sheet1!B3964</f>
        <v>0</v>
      </c>
      <c r="C3964">
        <f>IF(Sheet1!B3964&gt;0,1,0)</f>
        <v>0</v>
      </c>
    </row>
    <row r="3965" spans="1:3" x14ac:dyDescent="0.25">
      <c r="A3965" s="15">
        <f>Sheet1!A3965</f>
        <v>0</v>
      </c>
      <c r="B3965">
        <f>Sheet1!B3965</f>
        <v>0</v>
      </c>
      <c r="C3965">
        <f>IF(Sheet1!B3965&gt;0,1,0)</f>
        <v>0</v>
      </c>
    </row>
    <row r="3966" spans="1:3" x14ac:dyDescent="0.25">
      <c r="A3966" s="15">
        <f>Sheet1!A3966</f>
        <v>0</v>
      </c>
      <c r="B3966">
        <f>Sheet1!B3966</f>
        <v>0</v>
      </c>
      <c r="C3966">
        <f>IF(Sheet1!B3966&gt;0,1,0)</f>
        <v>0</v>
      </c>
    </row>
    <row r="3967" spans="1:3" x14ac:dyDescent="0.25">
      <c r="A3967" s="15">
        <f>Sheet1!A3967</f>
        <v>0</v>
      </c>
      <c r="B3967">
        <f>Sheet1!B3967</f>
        <v>9.6300000000000008</v>
      </c>
      <c r="C3967">
        <f>IF(Sheet1!B3967&gt;0,1,0)</f>
        <v>1</v>
      </c>
    </row>
    <row r="3968" spans="1:3" x14ac:dyDescent="0.25">
      <c r="A3968" s="15">
        <f>Sheet1!A3968</f>
        <v>0</v>
      </c>
      <c r="B3968">
        <f>Sheet1!B3968</f>
        <v>8.68</v>
      </c>
      <c r="C3968">
        <f>IF(Sheet1!B3968&gt;0,1,0)</f>
        <v>1</v>
      </c>
    </row>
    <row r="3969" spans="1:3" x14ac:dyDescent="0.25">
      <c r="A3969" s="15">
        <f>Sheet1!A3969</f>
        <v>0</v>
      </c>
      <c r="B3969">
        <f>Sheet1!B3969</f>
        <v>0</v>
      </c>
      <c r="C3969">
        <f>IF(Sheet1!B3969&gt;0,1,0)</f>
        <v>0</v>
      </c>
    </row>
    <row r="3970" spans="1:3" x14ac:dyDescent="0.25">
      <c r="A3970" s="15">
        <f>Sheet1!A3970</f>
        <v>0</v>
      </c>
      <c r="B3970">
        <f>Sheet1!B3970</f>
        <v>0</v>
      </c>
      <c r="C3970">
        <f>IF(Sheet1!B3970&gt;0,1,0)</f>
        <v>0</v>
      </c>
    </row>
    <row r="3971" spans="1:3" x14ac:dyDescent="0.25">
      <c r="A3971" s="15">
        <f>Sheet1!A3971</f>
        <v>0</v>
      </c>
      <c r="B3971">
        <f>Sheet1!B3971</f>
        <v>0</v>
      </c>
      <c r="C3971">
        <f>IF(Sheet1!B3971&gt;0,1,0)</f>
        <v>0</v>
      </c>
    </row>
    <row r="3972" spans="1:3" x14ac:dyDescent="0.25">
      <c r="A3972" s="15">
        <f>Sheet1!A3972</f>
        <v>0</v>
      </c>
      <c r="B3972">
        <f>Sheet1!B3972</f>
        <v>12.98</v>
      </c>
      <c r="C3972">
        <f>IF(Sheet1!B3972&gt;0,1,0)</f>
        <v>1</v>
      </c>
    </row>
    <row r="3973" spans="1:3" x14ac:dyDescent="0.25">
      <c r="A3973" s="15">
        <f>Sheet1!A3973</f>
        <v>0</v>
      </c>
      <c r="B3973">
        <f>Sheet1!B3973</f>
        <v>0</v>
      </c>
      <c r="C3973">
        <f>IF(Sheet1!B3973&gt;0,1,0)</f>
        <v>0</v>
      </c>
    </row>
    <row r="3974" spans="1:3" x14ac:dyDescent="0.25">
      <c r="A3974" s="15">
        <f>Sheet1!A3974</f>
        <v>0</v>
      </c>
      <c r="B3974">
        <f>Sheet1!B3974</f>
        <v>0</v>
      </c>
      <c r="C3974">
        <f>IF(Sheet1!B3974&gt;0,1,0)</f>
        <v>0</v>
      </c>
    </row>
    <row r="3975" spans="1:3" x14ac:dyDescent="0.25">
      <c r="A3975" s="15">
        <f>Sheet1!A3975</f>
        <v>0</v>
      </c>
      <c r="B3975">
        <f>Sheet1!B3975</f>
        <v>0</v>
      </c>
      <c r="C3975">
        <f>IF(Sheet1!B3975&gt;0,1,0)</f>
        <v>0</v>
      </c>
    </row>
    <row r="3976" spans="1:3" x14ac:dyDescent="0.25">
      <c r="A3976" s="15">
        <f>Sheet1!A3976</f>
        <v>0</v>
      </c>
      <c r="B3976">
        <f>Sheet1!B3976</f>
        <v>16.78</v>
      </c>
      <c r="C3976">
        <f>IF(Sheet1!B3976&gt;0,1,0)</f>
        <v>1</v>
      </c>
    </row>
    <row r="3977" spans="1:3" x14ac:dyDescent="0.25">
      <c r="A3977" s="15">
        <f>Sheet1!A3977</f>
        <v>0</v>
      </c>
      <c r="B3977">
        <f>Sheet1!B3977</f>
        <v>0</v>
      </c>
      <c r="C3977">
        <f>IF(Sheet1!B3977&gt;0,1,0)</f>
        <v>0</v>
      </c>
    </row>
    <row r="3978" spans="1:3" x14ac:dyDescent="0.25">
      <c r="A3978" s="15">
        <f>Sheet1!A3978</f>
        <v>0</v>
      </c>
      <c r="B3978">
        <f>Sheet1!B3978</f>
        <v>0</v>
      </c>
      <c r="C3978">
        <f>IF(Sheet1!B3978&gt;0,1,0)</f>
        <v>0</v>
      </c>
    </row>
    <row r="3979" spans="1:3" x14ac:dyDescent="0.25">
      <c r="A3979" s="15">
        <f>Sheet1!A3979</f>
        <v>0</v>
      </c>
      <c r="B3979">
        <f>Sheet1!B3979</f>
        <v>0</v>
      </c>
      <c r="C3979">
        <f>IF(Sheet1!B3979&gt;0,1,0)</f>
        <v>0</v>
      </c>
    </row>
    <row r="3980" spans="1:3" x14ac:dyDescent="0.25">
      <c r="A3980" s="15">
        <f>Sheet1!A3980</f>
        <v>0</v>
      </c>
      <c r="B3980">
        <f>Sheet1!B3980</f>
        <v>16.440000000000001</v>
      </c>
      <c r="C3980">
        <f>IF(Sheet1!B3980&gt;0,1,0)</f>
        <v>1</v>
      </c>
    </row>
    <row r="3981" spans="1:3" x14ac:dyDescent="0.25">
      <c r="A3981" s="15">
        <f>Sheet1!A3981</f>
        <v>0</v>
      </c>
      <c r="B3981">
        <f>Sheet1!B3981</f>
        <v>0</v>
      </c>
      <c r="C3981">
        <f>IF(Sheet1!B3981&gt;0,1,0)</f>
        <v>0</v>
      </c>
    </row>
    <row r="3982" spans="1:3" x14ac:dyDescent="0.25">
      <c r="A3982" s="15">
        <f>Sheet1!A3982</f>
        <v>0</v>
      </c>
      <c r="B3982">
        <f>Sheet1!B3982</f>
        <v>0</v>
      </c>
      <c r="C3982">
        <f>IF(Sheet1!B3982&gt;0,1,0)</f>
        <v>0</v>
      </c>
    </row>
    <row r="3983" spans="1:3" x14ac:dyDescent="0.25">
      <c r="A3983" s="15">
        <f>Sheet1!A3983</f>
        <v>0</v>
      </c>
      <c r="B3983">
        <f>Sheet1!B3983</f>
        <v>0</v>
      </c>
      <c r="C3983">
        <f>IF(Sheet1!B3983&gt;0,1,0)</f>
        <v>0</v>
      </c>
    </row>
    <row r="3984" spans="1:3" x14ac:dyDescent="0.25">
      <c r="A3984" s="15">
        <f>Sheet1!A3984</f>
        <v>0</v>
      </c>
      <c r="B3984">
        <f>Sheet1!B3984</f>
        <v>13.67</v>
      </c>
      <c r="C3984">
        <f>IF(Sheet1!B3984&gt;0,1,0)</f>
        <v>1</v>
      </c>
    </row>
    <row r="3985" spans="1:3" x14ac:dyDescent="0.25">
      <c r="A3985" s="15">
        <f>Sheet1!A3985</f>
        <v>0</v>
      </c>
      <c r="B3985">
        <f>Sheet1!B3985</f>
        <v>0</v>
      </c>
      <c r="C3985">
        <f>IF(Sheet1!B3985&gt;0,1,0)</f>
        <v>0</v>
      </c>
    </row>
    <row r="3986" spans="1:3" x14ac:dyDescent="0.25">
      <c r="A3986" s="15">
        <f>Sheet1!A3986</f>
        <v>0</v>
      </c>
      <c r="B3986">
        <f>Sheet1!B3986</f>
        <v>0</v>
      </c>
      <c r="C3986">
        <f>IF(Sheet1!B3986&gt;0,1,0)</f>
        <v>0</v>
      </c>
    </row>
    <row r="3987" spans="1:3" x14ac:dyDescent="0.25">
      <c r="A3987" s="15">
        <f>Sheet1!A3987</f>
        <v>0</v>
      </c>
      <c r="B3987">
        <f>Sheet1!B3987</f>
        <v>0</v>
      </c>
      <c r="C3987">
        <f>IF(Sheet1!B3987&gt;0,1,0)</f>
        <v>0</v>
      </c>
    </row>
    <row r="3988" spans="1:3" x14ac:dyDescent="0.25">
      <c r="A3988" s="15">
        <f>Sheet1!A3988</f>
        <v>0</v>
      </c>
      <c r="B3988">
        <f>Sheet1!B3988</f>
        <v>10.27</v>
      </c>
      <c r="C3988">
        <f>IF(Sheet1!B3988&gt;0,1,0)</f>
        <v>1</v>
      </c>
    </row>
    <row r="3989" spans="1:3" x14ac:dyDescent="0.25">
      <c r="A3989" s="15">
        <f>Sheet1!A3989</f>
        <v>0</v>
      </c>
      <c r="B3989">
        <f>Sheet1!B3989</f>
        <v>0</v>
      </c>
      <c r="C3989">
        <f>IF(Sheet1!B3989&gt;0,1,0)</f>
        <v>0</v>
      </c>
    </row>
    <row r="3990" spans="1:3" x14ac:dyDescent="0.25">
      <c r="A3990" s="15">
        <f>Sheet1!A3990</f>
        <v>0</v>
      </c>
      <c r="B3990">
        <f>Sheet1!B3990</f>
        <v>0</v>
      </c>
      <c r="C3990">
        <f>IF(Sheet1!B3990&gt;0,1,0)</f>
        <v>0</v>
      </c>
    </row>
    <row r="3991" spans="1:3" x14ac:dyDescent="0.25">
      <c r="A3991" s="15">
        <f>Sheet1!A3991</f>
        <v>0</v>
      </c>
      <c r="B3991">
        <f>Sheet1!B3991</f>
        <v>0</v>
      </c>
      <c r="C3991">
        <f>IF(Sheet1!B3991&gt;0,1,0)</f>
        <v>0</v>
      </c>
    </row>
    <row r="3992" spans="1:3" x14ac:dyDescent="0.25">
      <c r="A3992" s="15">
        <f>Sheet1!A3992</f>
        <v>0</v>
      </c>
      <c r="B3992">
        <f>Sheet1!B3992</f>
        <v>10.47</v>
      </c>
      <c r="C3992">
        <f>IF(Sheet1!B3992&gt;0,1,0)</f>
        <v>1</v>
      </c>
    </row>
    <row r="3993" spans="1:3" x14ac:dyDescent="0.25">
      <c r="A3993" s="15">
        <f>Sheet1!A3993</f>
        <v>0</v>
      </c>
      <c r="B3993">
        <f>Sheet1!B3993</f>
        <v>9.58</v>
      </c>
      <c r="C3993">
        <f>IF(Sheet1!B3993&gt;0,1,0)</f>
        <v>1</v>
      </c>
    </row>
    <row r="3994" spans="1:3" x14ac:dyDescent="0.25">
      <c r="A3994" s="15">
        <f>Sheet1!A3994</f>
        <v>0</v>
      </c>
      <c r="B3994">
        <f>Sheet1!B3994</f>
        <v>0</v>
      </c>
      <c r="C3994">
        <f>IF(Sheet1!B3994&gt;0,1,0)</f>
        <v>0</v>
      </c>
    </row>
    <row r="3995" spans="1:3" x14ac:dyDescent="0.25">
      <c r="A3995" s="15">
        <f>Sheet1!A3995</f>
        <v>0</v>
      </c>
      <c r="B3995">
        <f>Sheet1!B3995</f>
        <v>0</v>
      </c>
      <c r="C3995">
        <f>IF(Sheet1!B3995&gt;0,1,0)</f>
        <v>0</v>
      </c>
    </row>
    <row r="3996" spans="1:3" x14ac:dyDescent="0.25">
      <c r="A3996" s="15">
        <f>Sheet1!A3996</f>
        <v>0</v>
      </c>
      <c r="B3996">
        <f>Sheet1!B3996</f>
        <v>0</v>
      </c>
      <c r="C3996">
        <f>IF(Sheet1!B3996&gt;0,1,0)</f>
        <v>0</v>
      </c>
    </row>
    <row r="3997" spans="1:3" x14ac:dyDescent="0.25">
      <c r="A3997" s="15">
        <f>Sheet1!A3997</f>
        <v>0</v>
      </c>
      <c r="B3997">
        <f>Sheet1!B3997</f>
        <v>0</v>
      </c>
      <c r="C3997">
        <f>IF(Sheet1!B3997&gt;0,1,0)</f>
        <v>0</v>
      </c>
    </row>
    <row r="3998" spans="1:3" x14ac:dyDescent="0.25">
      <c r="A3998" s="15">
        <f>Sheet1!A3998</f>
        <v>0</v>
      </c>
      <c r="B3998">
        <f>Sheet1!B3998</f>
        <v>11.91</v>
      </c>
      <c r="C3998">
        <f>IF(Sheet1!B3998&gt;0,1,0)</f>
        <v>1</v>
      </c>
    </row>
    <row r="3999" spans="1:3" x14ac:dyDescent="0.25">
      <c r="A3999" s="15">
        <f>Sheet1!A3999</f>
        <v>0</v>
      </c>
      <c r="B3999">
        <f>Sheet1!B3999</f>
        <v>0</v>
      </c>
      <c r="C3999">
        <f>IF(Sheet1!B3999&gt;0,1,0)</f>
        <v>0</v>
      </c>
    </row>
    <row r="4000" spans="1:3" x14ac:dyDescent="0.25">
      <c r="A4000" s="15">
        <f>Sheet1!A4000</f>
        <v>0</v>
      </c>
      <c r="B4000">
        <f>Sheet1!B4000</f>
        <v>0</v>
      </c>
      <c r="C4000">
        <f>IF(Sheet1!B4000&gt;0,1,0)</f>
        <v>0</v>
      </c>
    </row>
    <row r="4001" spans="1:3" x14ac:dyDescent="0.25">
      <c r="A4001" s="15">
        <f>Sheet1!A4001</f>
        <v>0</v>
      </c>
      <c r="B4001">
        <f>Sheet1!B4001</f>
        <v>0</v>
      </c>
      <c r="C4001">
        <f>IF(Sheet1!B4001&gt;0,1,0)</f>
        <v>0</v>
      </c>
    </row>
    <row r="4002" spans="1:3" x14ac:dyDescent="0.25">
      <c r="A4002" s="15">
        <f>Sheet1!A4002</f>
        <v>0</v>
      </c>
      <c r="B4002">
        <f>Sheet1!B4002</f>
        <v>14.58</v>
      </c>
      <c r="C4002">
        <f>IF(Sheet1!B4002&gt;0,1,0)</f>
        <v>1</v>
      </c>
    </row>
    <row r="4003" spans="1:3" x14ac:dyDescent="0.25">
      <c r="A4003" s="15">
        <f>Sheet1!A4003</f>
        <v>0</v>
      </c>
      <c r="B4003">
        <f>Sheet1!B4003</f>
        <v>13.81</v>
      </c>
      <c r="C4003">
        <f>IF(Sheet1!B4003&gt;0,1,0)</f>
        <v>1</v>
      </c>
    </row>
    <row r="4004" spans="1:3" x14ac:dyDescent="0.25">
      <c r="A4004" s="15">
        <f>Sheet1!A4004</f>
        <v>0</v>
      </c>
      <c r="B4004">
        <f>Sheet1!B4004</f>
        <v>12.7</v>
      </c>
      <c r="C4004">
        <f>IF(Sheet1!B4004&gt;0,1,0)</f>
        <v>1</v>
      </c>
    </row>
    <row r="4005" spans="1:3" x14ac:dyDescent="0.25">
      <c r="A4005" s="15">
        <f>Sheet1!A4005</f>
        <v>0</v>
      </c>
      <c r="B4005">
        <f>Sheet1!B4005</f>
        <v>0</v>
      </c>
      <c r="C4005">
        <f>IF(Sheet1!B4005&gt;0,1,0)</f>
        <v>0</v>
      </c>
    </row>
    <row r="4006" spans="1:3" x14ac:dyDescent="0.25">
      <c r="A4006" s="15">
        <f>Sheet1!A4006</f>
        <v>0</v>
      </c>
      <c r="B4006">
        <f>Sheet1!B4006</f>
        <v>0</v>
      </c>
      <c r="C4006">
        <f>IF(Sheet1!B4006&gt;0,1,0)</f>
        <v>0</v>
      </c>
    </row>
    <row r="4007" spans="1:3" x14ac:dyDescent="0.25">
      <c r="A4007" s="15">
        <f>Sheet1!A4007</f>
        <v>0</v>
      </c>
      <c r="B4007">
        <f>Sheet1!B4007</f>
        <v>0</v>
      </c>
      <c r="C4007">
        <f>IF(Sheet1!B4007&gt;0,1,0)</f>
        <v>0</v>
      </c>
    </row>
    <row r="4008" spans="1:3" x14ac:dyDescent="0.25">
      <c r="A4008" s="15">
        <f>Sheet1!A4008</f>
        <v>0</v>
      </c>
      <c r="B4008">
        <f>Sheet1!B4008</f>
        <v>9.68</v>
      </c>
      <c r="C4008">
        <f>IF(Sheet1!B4008&gt;0,1,0)</f>
        <v>1</v>
      </c>
    </row>
    <row r="4009" spans="1:3" x14ac:dyDescent="0.25">
      <c r="A4009" s="15">
        <f>Sheet1!A4009</f>
        <v>0</v>
      </c>
      <c r="B4009">
        <f>Sheet1!B4009</f>
        <v>9.0500000000000007</v>
      </c>
      <c r="C4009">
        <f>IF(Sheet1!B4009&gt;0,1,0)</f>
        <v>1</v>
      </c>
    </row>
    <row r="4010" spans="1:3" x14ac:dyDescent="0.25">
      <c r="A4010" s="15">
        <f>Sheet1!A4010</f>
        <v>0</v>
      </c>
      <c r="B4010">
        <f>Sheet1!B4010</f>
        <v>7.96</v>
      </c>
      <c r="C4010">
        <f>IF(Sheet1!B4010&gt;0,1,0)</f>
        <v>1</v>
      </c>
    </row>
    <row r="4011" spans="1:3" x14ac:dyDescent="0.25">
      <c r="A4011" s="15">
        <f>Sheet1!A4011</f>
        <v>0</v>
      </c>
      <c r="B4011">
        <f>Sheet1!B4011</f>
        <v>0</v>
      </c>
      <c r="C4011">
        <f>IF(Sheet1!B4011&gt;0,1,0)</f>
        <v>0</v>
      </c>
    </row>
    <row r="4012" spans="1:3" x14ac:dyDescent="0.25">
      <c r="A4012" s="15">
        <f>Sheet1!A4012</f>
        <v>0</v>
      </c>
      <c r="B4012">
        <f>Sheet1!B4012</f>
        <v>0</v>
      </c>
      <c r="C4012">
        <f>IF(Sheet1!B4012&gt;0,1,0)</f>
        <v>0</v>
      </c>
    </row>
    <row r="4013" spans="1:3" x14ac:dyDescent="0.25">
      <c r="A4013" s="15">
        <f>Sheet1!A4013</f>
        <v>0</v>
      </c>
      <c r="B4013">
        <f>Sheet1!B4013</f>
        <v>0</v>
      </c>
      <c r="C4013">
        <f>IF(Sheet1!B4013&gt;0,1,0)</f>
        <v>0</v>
      </c>
    </row>
    <row r="4014" spans="1:3" x14ac:dyDescent="0.25">
      <c r="A4014" s="15">
        <f>Sheet1!A4014</f>
        <v>0</v>
      </c>
      <c r="B4014">
        <f>Sheet1!B4014</f>
        <v>7.86</v>
      </c>
      <c r="C4014">
        <f>IF(Sheet1!B4014&gt;0,1,0)</f>
        <v>1</v>
      </c>
    </row>
    <row r="4015" spans="1:3" x14ac:dyDescent="0.25">
      <c r="A4015" s="15">
        <f>Sheet1!A4015</f>
        <v>0</v>
      </c>
      <c r="B4015">
        <f>Sheet1!B4015</f>
        <v>10.43</v>
      </c>
      <c r="C4015">
        <f>IF(Sheet1!B4015&gt;0,1,0)</f>
        <v>1</v>
      </c>
    </row>
    <row r="4016" spans="1:3" x14ac:dyDescent="0.25">
      <c r="A4016" s="15">
        <f>Sheet1!A4016</f>
        <v>0</v>
      </c>
      <c r="B4016">
        <f>Sheet1!B4016</f>
        <v>0</v>
      </c>
      <c r="C4016">
        <f>IF(Sheet1!B4016&gt;0,1,0)</f>
        <v>0</v>
      </c>
    </row>
    <row r="4017" spans="1:3" x14ac:dyDescent="0.25">
      <c r="A4017" s="15">
        <f>Sheet1!A4017</f>
        <v>0</v>
      </c>
      <c r="B4017">
        <f>Sheet1!B4017</f>
        <v>0</v>
      </c>
      <c r="C4017">
        <f>IF(Sheet1!B4017&gt;0,1,0)</f>
        <v>0</v>
      </c>
    </row>
    <row r="4018" spans="1:3" x14ac:dyDescent="0.25">
      <c r="A4018" s="15">
        <f>Sheet1!A4018</f>
        <v>0</v>
      </c>
      <c r="B4018">
        <f>Sheet1!B4018</f>
        <v>0</v>
      </c>
      <c r="C4018">
        <f>IF(Sheet1!B4018&gt;0,1,0)</f>
        <v>0</v>
      </c>
    </row>
    <row r="4019" spans="1:3" x14ac:dyDescent="0.25">
      <c r="A4019" s="15">
        <f>Sheet1!A4019</f>
        <v>0</v>
      </c>
      <c r="B4019">
        <f>Sheet1!B4019</f>
        <v>0</v>
      </c>
      <c r="C4019">
        <f>IF(Sheet1!B4019&gt;0,1,0)</f>
        <v>0</v>
      </c>
    </row>
    <row r="4020" spans="1:3" x14ac:dyDescent="0.25">
      <c r="A4020" s="15">
        <f>Sheet1!A4020</f>
        <v>0</v>
      </c>
      <c r="B4020">
        <f>Sheet1!B4020</f>
        <v>13.14</v>
      </c>
      <c r="C4020">
        <f>IF(Sheet1!B4020&gt;0,1,0)</f>
        <v>1</v>
      </c>
    </row>
    <row r="4021" spans="1:3" x14ac:dyDescent="0.25">
      <c r="A4021" s="15">
        <f>Sheet1!A4021</f>
        <v>0</v>
      </c>
      <c r="B4021">
        <f>Sheet1!B4021</f>
        <v>0</v>
      </c>
      <c r="C4021">
        <f>IF(Sheet1!B4021&gt;0,1,0)</f>
        <v>0</v>
      </c>
    </row>
    <row r="4022" spans="1:3" x14ac:dyDescent="0.25">
      <c r="A4022" s="15">
        <f>Sheet1!A4022</f>
        <v>0</v>
      </c>
      <c r="B4022">
        <f>Sheet1!B4022</f>
        <v>0</v>
      </c>
      <c r="C4022">
        <f>IF(Sheet1!B4022&gt;0,1,0)</f>
        <v>0</v>
      </c>
    </row>
    <row r="4023" spans="1:3" x14ac:dyDescent="0.25">
      <c r="A4023" s="15">
        <f>Sheet1!A4023</f>
        <v>0</v>
      </c>
      <c r="B4023">
        <f>Sheet1!B4023</f>
        <v>0</v>
      </c>
      <c r="C4023">
        <f>IF(Sheet1!B4023&gt;0,1,0)</f>
        <v>0</v>
      </c>
    </row>
    <row r="4024" spans="1:3" x14ac:dyDescent="0.25">
      <c r="A4024" s="15">
        <f>Sheet1!A4024</f>
        <v>0</v>
      </c>
      <c r="B4024">
        <f>Sheet1!B4024</f>
        <v>0</v>
      </c>
      <c r="C4024">
        <f>IF(Sheet1!B4024&gt;0,1,0)</f>
        <v>0</v>
      </c>
    </row>
    <row r="4025" spans="1:3" x14ac:dyDescent="0.25">
      <c r="A4025" s="15">
        <f>Sheet1!A4025</f>
        <v>0</v>
      </c>
      <c r="B4025">
        <f>Sheet1!B4025</f>
        <v>13.9</v>
      </c>
      <c r="C4025">
        <f>IF(Sheet1!B4025&gt;0,1,0)</f>
        <v>1</v>
      </c>
    </row>
    <row r="4026" spans="1:3" x14ac:dyDescent="0.25">
      <c r="A4026" s="15">
        <f>Sheet1!A4026</f>
        <v>0</v>
      </c>
      <c r="B4026">
        <f>Sheet1!B4026</f>
        <v>0</v>
      </c>
      <c r="C4026">
        <f>IF(Sheet1!B4026&gt;0,1,0)</f>
        <v>0</v>
      </c>
    </row>
    <row r="4027" spans="1:3" x14ac:dyDescent="0.25">
      <c r="A4027" s="15">
        <f>Sheet1!A4027</f>
        <v>0</v>
      </c>
      <c r="B4027">
        <f>Sheet1!B4027</f>
        <v>0</v>
      </c>
      <c r="C4027">
        <f>IF(Sheet1!B4027&gt;0,1,0)</f>
        <v>0</v>
      </c>
    </row>
    <row r="4028" spans="1:3" x14ac:dyDescent="0.25">
      <c r="A4028" s="15">
        <f>Sheet1!A4028</f>
        <v>0</v>
      </c>
      <c r="B4028">
        <f>Sheet1!B4028</f>
        <v>14.17</v>
      </c>
      <c r="C4028">
        <f>IF(Sheet1!B4028&gt;0,1,0)</f>
        <v>1</v>
      </c>
    </row>
    <row r="4029" spans="1:3" x14ac:dyDescent="0.25">
      <c r="A4029" s="15">
        <f>Sheet1!A4029</f>
        <v>0</v>
      </c>
      <c r="B4029">
        <f>Sheet1!B4029</f>
        <v>0</v>
      </c>
      <c r="C4029">
        <f>IF(Sheet1!B4029&gt;0,1,0)</f>
        <v>0</v>
      </c>
    </row>
    <row r="4030" spans="1:3" x14ac:dyDescent="0.25">
      <c r="A4030" s="15">
        <f>Sheet1!A4030</f>
        <v>0</v>
      </c>
      <c r="B4030">
        <f>Sheet1!B4030</f>
        <v>0</v>
      </c>
      <c r="C4030">
        <f>IF(Sheet1!B4030&gt;0,1,0)</f>
        <v>0</v>
      </c>
    </row>
    <row r="4031" spans="1:3" x14ac:dyDescent="0.25">
      <c r="A4031" s="15">
        <f>Sheet1!A4031</f>
        <v>0</v>
      </c>
      <c r="B4031">
        <f>Sheet1!B4031</f>
        <v>0</v>
      </c>
      <c r="C4031">
        <f>IF(Sheet1!B4031&gt;0,1,0)</f>
        <v>0</v>
      </c>
    </row>
    <row r="4032" spans="1:3" x14ac:dyDescent="0.25">
      <c r="A4032" s="15">
        <f>Sheet1!A4032</f>
        <v>0</v>
      </c>
      <c r="B4032">
        <f>Sheet1!B4032</f>
        <v>12.24</v>
      </c>
      <c r="C4032">
        <f>IF(Sheet1!B4032&gt;0,1,0)</f>
        <v>1</v>
      </c>
    </row>
    <row r="4033" spans="1:3" x14ac:dyDescent="0.25">
      <c r="A4033" s="15">
        <f>Sheet1!A4033</f>
        <v>0</v>
      </c>
      <c r="B4033">
        <f>Sheet1!B4033</f>
        <v>0</v>
      </c>
      <c r="C4033">
        <f>IF(Sheet1!B4033&gt;0,1,0)</f>
        <v>0</v>
      </c>
    </row>
    <row r="4034" spans="1:3" x14ac:dyDescent="0.25">
      <c r="A4034" s="15">
        <f>Sheet1!A4034</f>
        <v>0</v>
      </c>
      <c r="B4034">
        <f>Sheet1!B4034</f>
        <v>0</v>
      </c>
      <c r="C4034">
        <f>IF(Sheet1!B4034&gt;0,1,0)</f>
        <v>0</v>
      </c>
    </row>
    <row r="4035" spans="1:3" x14ac:dyDescent="0.25">
      <c r="A4035" s="15">
        <f>Sheet1!A4035</f>
        <v>0</v>
      </c>
      <c r="B4035">
        <f>Sheet1!B4035</f>
        <v>0</v>
      </c>
      <c r="C4035">
        <f>IF(Sheet1!B4035&gt;0,1,0)</f>
        <v>0</v>
      </c>
    </row>
    <row r="4036" spans="1:3" x14ac:dyDescent="0.25">
      <c r="A4036" s="15">
        <f>Sheet1!A4036</f>
        <v>0</v>
      </c>
      <c r="B4036">
        <f>Sheet1!B4036</f>
        <v>10.039999999999999</v>
      </c>
      <c r="C4036">
        <f>IF(Sheet1!B4036&gt;0,1,0)</f>
        <v>1</v>
      </c>
    </row>
    <row r="4037" spans="1:3" x14ac:dyDescent="0.25">
      <c r="A4037" s="15">
        <f>Sheet1!A4037</f>
        <v>0</v>
      </c>
      <c r="B4037">
        <f>Sheet1!B4037</f>
        <v>7.35</v>
      </c>
      <c r="C4037">
        <f>IF(Sheet1!B4037&gt;0,1,0)</f>
        <v>1</v>
      </c>
    </row>
    <row r="4038" spans="1:3" x14ac:dyDescent="0.25">
      <c r="A4038" s="15">
        <f>Sheet1!A4038</f>
        <v>0</v>
      </c>
      <c r="B4038">
        <f>Sheet1!B4038</f>
        <v>0</v>
      </c>
      <c r="C4038">
        <f>IF(Sheet1!B4038&gt;0,1,0)</f>
        <v>0</v>
      </c>
    </row>
    <row r="4039" spans="1:3" x14ac:dyDescent="0.25">
      <c r="A4039" s="15">
        <f>Sheet1!A4039</f>
        <v>0</v>
      </c>
      <c r="B4039">
        <f>Sheet1!B4039</f>
        <v>0</v>
      </c>
      <c r="C4039">
        <f>IF(Sheet1!B4039&gt;0,1,0)</f>
        <v>0</v>
      </c>
    </row>
    <row r="4040" spans="1:3" x14ac:dyDescent="0.25">
      <c r="A4040" s="15">
        <f>Sheet1!A4040</f>
        <v>0</v>
      </c>
      <c r="B4040">
        <f>Sheet1!B4040</f>
        <v>11.72</v>
      </c>
      <c r="C4040">
        <f>IF(Sheet1!B4040&gt;0,1,0)</f>
        <v>1</v>
      </c>
    </row>
    <row r="4041" spans="1:3" x14ac:dyDescent="0.25">
      <c r="A4041" s="15">
        <f>Sheet1!A4041</f>
        <v>0</v>
      </c>
      <c r="B4041">
        <f>Sheet1!B4041</f>
        <v>0</v>
      </c>
      <c r="C4041">
        <f>IF(Sheet1!B4041&gt;0,1,0)</f>
        <v>0</v>
      </c>
    </row>
    <row r="4042" spans="1:3" x14ac:dyDescent="0.25">
      <c r="A4042" s="15">
        <f>Sheet1!A4042</f>
        <v>0</v>
      </c>
      <c r="B4042">
        <f>Sheet1!B4042</f>
        <v>0</v>
      </c>
      <c r="C4042">
        <f>IF(Sheet1!B4042&gt;0,1,0)</f>
        <v>0</v>
      </c>
    </row>
    <row r="4043" spans="1:3" x14ac:dyDescent="0.25">
      <c r="A4043" s="15">
        <f>Sheet1!A4043</f>
        <v>0</v>
      </c>
      <c r="B4043">
        <f>Sheet1!B4043</f>
        <v>0</v>
      </c>
      <c r="C4043">
        <f>IF(Sheet1!B4043&gt;0,1,0)</f>
        <v>0</v>
      </c>
    </row>
    <row r="4044" spans="1:3" x14ac:dyDescent="0.25">
      <c r="A4044" s="15">
        <f>Sheet1!A4044</f>
        <v>0</v>
      </c>
      <c r="B4044">
        <f>Sheet1!B4044</f>
        <v>0</v>
      </c>
      <c r="C4044">
        <f>IF(Sheet1!B4044&gt;0,1,0)</f>
        <v>0</v>
      </c>
    </row>
    <row r="4045" spans="1:3" x14ac:dyDescent="0.25">
      <c r="A4045" s="15">
        <f>Sheet1!A4045</f>
        <v>0</v>
      </c>
      <c r="B4045">
        <f>Sheet1!B4045</f>
        <v>0</v>
      </c>
      <c r="C4045">
        <f>IF(Sheet1!B4045&gt;0,1,0)</f>
        <v>0</v>
      </c>
    </row>
    <row r="4046" spans="1:3" x14ac:dyDescent="0.25">
      <c r="A4046" s="15">
        <f>Sheet1!A4046</f>
        <v>0</v>
      </c>
      <c r="B4046">
        <f>Sheet1!B4046</f>
        <v>13.94</v>
      </c>
      <c r="C4046">
        <f>IF(Sheet1!B4046&gt;0,1,0)</f>
        <v>1</v>
      </c>
    </row>
    <row r="4047" spans="1:3" x14ac:dyDescent="0.25">
      <c r="A4047" s="15">
        <f>Sheet1!A4047</f>
        <v>0</v>
      </c>
      <c r="B4047">
        <f>Sheet1!B4047</f>
        <v>0</v>
      </c>
      <c r="C4047">
        <f>IF(Sheet1!B4047&gt;0,1,0)</f>
        <v>0</v>
      </c>
    </row>
    <row r="4048" spans="1:3" x14ac:dyDescent="0.25">
      <c r="A4048" s="15">
        <f>Sheet1!A4048</f>
        <v>0</v>
      </c>
      <c r="B4048">
        <f>Sheet1!B4048</f>
        <v>0</v>
      </c>
      <c r="C4048">
        <f>IF(Sheet1!B4048&gt;0,1,0)</f>
        <v>0</v>
      </c>
    </row>
    <row r="4049" spans="1:3" x14ac:dyDescent="0.25">
      <c r="A4049" s="15">
        <f>Sheet1!A4049</f>
        <v>0</v>
      </c>
      <c r="B4049">
        <f>Sheet1!B4049</f>
        <v>0</v>
      </c>
      <c r="C4049">
        <f>IF(Sheet1!B4049&gt;0,1,0)</f>
        <v>0</v>
      </c>
    </row>
    <row r="4050" spans="1:3" x14ac:dyDescent="0.25">
      <c r="A4050" s="15">
        <f>Sheet1!A4050</f>
        <v>0</v>
      </c>
      <c r="B4050">
        <f>Sheet1!B4050</f>
        <v>0</v>
      </c>
      <c r="C4050">
        <f>IF(Sheet1!B4050&gt;0,1,0)</f>
        <v>0</v>
      </c>
    </row>
    <row r="4051" spans="1:3" x14ac:dyDescent="0.25">
      <c r="A4051" s="15">
        <f>Sheet1!A4051</f>
        <v>0</v>
      </c>
      <c r="B4051">
        <f>Sheet1!B4051</f>
        <v>0</v>
      </c>
      <c r="C4051">
        <f>IF(Sheet1!B4051&gt;0,1,0)</f>
        <v>0</v>
      </c>
    </row>
    <row r="4052" spans="1:3" x14ac:dyDescent="0.25">
      <c r="A4052" s="15">
        <f>Sheet1!A4052</f>
        <v>0</v>
      </c>
      <c r="B4052">
        <f>Sheet1!B4052</f>
        <v>0</v>
      </c>
      <c r="C4052">
        <f>IF(Sheet1!B4052&gt;0,1,0)</f>
        <v>0</v>
      </c>
    </row>
    <row r="4053" spans="1:3" x14ac:dyDescent="0.25">
      <c r="A4053" s="15">
        <f>Sheet1!A4053</f>
        <v>0</v>
      </c>
      <c r="B4053">
        <f>Sheet1!B4053</f>
        <v>0</v>
      </c>
      <c r="C4053">
        <f>IF(Sheet1!B4053&gt;0,1,0)</f>
        <v>0</v>
      </c>
    </row>
    <row r="4054" spans="1:3" x14ac:dyDescent="0.25">
      <c r="A4054" s="15">
        <f>Sheet1!A4054</f>
        <v>0</v>
      </c>
      <c r="B4054">
        <f>Sheet1!B4054</f>
        <v>12.55</v>
      </c>
      <c r="C4054">
        <f>IF(Sheet1!B4054&gt;0,1,0)</f>
        <v>1</v>
      </c>
    </row>
    <row r="4055" spans="1:3" x14ac:dyDescent="0.25">
      <c r="A4055" s="15">
        <f>Sheet1!A4055</f>
        <v>0</v>
      </c>
      <c r="B4055">
        <f>Sheet1!B4055</f>
        <v>0</v>
      </c>
      <c r="C4055">
        <f>IF(Sheet1!B4055&gt;0,1,0)</f>
        <v>0</v>
      </c>
    </row>
    <row r="4056" spans="1:3" x14ac:dyDescent="0.25">
      <c r="A4056" s="15">
        <f>Sheet1!A4056</f>
        <v>0</v>
      </c>
      <c r="B4056">
        <f>Sheet1!B4056</f>
        <v>0</v>
      </c>
      <c r="C4056">
        <f>IF(Sheet1!B4056&gt;0,1,0)</f>
        <v>0</v>
      </c>
    </row>
    <row r="4057" spans="1:3" x14ac:dyDescent="0.25">
      <c r="A4057" s="15">
        <f>Sheet1!A4057</f>
        <v>0</v>
      </c>
      <c r="B4057">
        <f>Sheet1!B4057</f>
        <v>0</v>
      </c>
      <c r="C4057">
        <f>IF(Sheet1!B4057&gt;0,1,0)</f>
        <v>0</v>
      </c>
    </row>
    <row r="4058" spans="1:3" x14ac:dyDescent="0.25">
      <c r="A4058" s="15">
        <f>Sheet1!A4058</f>
        <v>0</v>
      </c>
      <c r="B4058">
        <f>Sheet1!B4058</f>
        <v>10.67</v>
      </c>
      <c r="C4058">
        <f>IF(Sheet1!B4058&gt;0,1,0)</f>
        <v>1</v>
      </c>
    </row>
    <row r="4059" spans="1:3" x14ac:dyDescent="0.25">
      <c r="A4059" s="15">
        <f>Sheet1!A4059</f>
        <v>0</v>
      </c>
      <c r="B4059">
        <f>Sheet1!B4059</f>
        <v>0</v>
      </c>
      <c r="C4059">
        <f>IF(Sheet1!B4059&gt;0,1,0)</f>
        <v>0</v>
      </c>
    </row>
    <row r="4060" spans="1:3" x14ac:dyDescent="0.25">
      <c r="A4060" s="15">
        <f>Sheet1!A4060</f>
        <v>0</v>
      </c>
      <c r="B4060">
        <f>Sheet1!B4060</f>
        <v>0</v>
      </c>
      <c r="C4060">
        <f>IF(Sheet1!B4060&gt;0,1,0)</f>
        <v>0</v>
      </c>
    </row>
    <row r="4061" spans="1:3" x14ac:dyDescent="0.25">
      <c r="A4061" s="15">
        <f>Sheet1!A4061</f>
        <v>0</v>
      </c>
      <c r="B4061">
        <f>Sheet1!B4061</f>
        <v>0</v>
      </c>
      <c r="C4061">
        <f>IF(Sheet1!B4061&gt;0,1,0)</f>
        <v>0</v>
      </c>
    </row>
    <row r="4062" spans="1:3" x14ac:dyDescent="0.25">
      <c r="A4062" s="15">
        <f>Sheet1!A4062</f>
        <v>0</v>
      </c>
      <c r="B4062">
        <f>Sheet1!B4062</f>
        <v>10.39</v>
      </c>
      <c r="C4062">
        <f>IF(Sheet1!B4062&gt;0,1,0)</f>
        <v>1</v>
      </c>
    </row>
    <row r="4063" spans="1:3" x14ac:dyDescent="0.25">
      <c r="A4063" s="15">
        <f>Sheet1!A4063</f>
        <v>0</v>
      </c>
      <c r="B4063">
        <f>Sheet1!B4063</f>
        <v>0</v>
      </c>
      <c r="C4063">
        <f>IF(Sheet1!B4063&gt;0,1,0)</f>
        <v>0</v>
      </c>
    </row>
    <row r="4064" spans="1:3" x14ac:dyDescent="0.25">
      <c r="A4064" s="15">
        <f>Sheet1!A4064</f>
        <v>0</v>
      </c>
      <c r="B4064">
        <f>Sheet1!B4064</f>
        <v>0</v>
      </c>
      <c r="C4064">
        <f>IF(Sheet1!B4064&gt;0,1,0)</f>
        <v>0</v>
      </c>
    </row>
    <row r="4065" spans="1:3" x14ac:dyDescent="0.25">
      <c r="A4065" s="15">
        <f>Sheet1!A4065</f>
        <v>0</v>
      </c>
      <c r="B4065">
        <f>Sheet1!B4065</f>
        <v>0</v>
      </c>
      <c r="C4065">
        <f>IF(Sheet1!B4065&gt;0,1,0)</f>
        <v>0</v>
      </c>
    </row>
    <row r="4066" spans="1:3" x14ac:dyDescent="0.25">
      <c r="A4066" s="15">
        <f>Sheet1!A4066</f>
        <v>0</v>
      </c>
      <c r="B4066">
        <f>Sheet1!B4066</f>
        <v>10.78</v>
      </c>
      <c r="C4066">
        <f>IF(Sheet1!B4066&gt;0,1,0)</f>
        <v>1</v>
      </c>
    </row>
    <row r="4067" spans="1:3" x14ac:dyDescent="0.25">
      <c r="A4067" s="15">
        <f>Sheet1!A4067</f>
        <v>0</v>
      </c>
      <c r="B4067">
        <f>Sheet1!B4067</f>
        <v>10.48</v>
      </c>
      <c r="C4067">
        <f>IF(Sheet1!B4067&gt;0,1,0)</f>
        <v>1</v>
      </c>
    </row>
    <row r="4068" spans="1:3" x14ac:dyDescent="0.25">
      <c r="A4068" s="15">
        <f>Sheet1!A4068</f>
        <v>0</v>
      </c>
      <c r="B4068">
        <f>Sheet1!B4068</f>
        <v>10.64</v>
      </c>
      <c r="C4068">
        <f>IF(Sheet1!B4068&gt;0,1,0)</f>
        <v>1</v>
      </c>
    </row>
    <row r="4069" spans="1:3" x14ac:dyDescent="0.25">
      <c r="A4069" s="15">
        <f>Sheet1!A4069</f>
        <v>0</v>
      </c>
      <c r="B4069">
        <f>Sheet1!B4069</f>
        <v>0</v>
      </c>
      <c r="C4069">
        <f>IF(Sheet1!B4069&gt;0,1,0)</f>
        <v>0</v>
      </c>
    </row>
    <row r="4070" spans="1:3" x14ac:dyDescent="0.25">
      <c r="A4070" s="15">
        <f>Sheet1!A4070</f>
        <v>0</v>
      </c>
      <c r="B4070">
        <f>Sheet1!B4070</f>
        <v>0</v>
      </c>
      <c r="C4070">
        <f>IF(Sheet1!B4070&gt;0,1,0)</f>
        <v>0</v>
      </c>
    </row>
    <row r="4071" spans="1:3" x14ac:dyDescent="0.25">
      <c r="A4071" s="15">
        <f>Sheet1!A4071</f>
        <v>0</v>
      </c>
      <c r="B4071">
        <f>Sheet1!B4071</f>
        <v>0</v>
      </c>
      <c r="C4071">
        <f>IF(Sheet1!B4071&gt;0,1,0)</f>
        <v>0</v>
      </c>
    </row>
    <row r="4072" spans="1:3" x14ac:dyDescent="0.25">
      <c r="A4072" s="15">
        <f>Sheet1!A4072</f>
        <v>0</v>
      </c>
      <c r="B4072">
        <f>Sheet1!B4072</f>
        <v>11.96</v>
      </c>
      <c r="C4072">
        <f>IF(Sheet1!B4072&gt;0,1,0)</f>
        <v>1</v>
      </c>
    </row>
    <row r="4073" spans="1:3" x14ac:dyDescent="0.25">
      <c r="A4073" s="15">
        <f>Sheet1!A4073</f>
        <v>0</v>
      </c>
      <c r="B4073">
        <f>Sheet1!B4073</f>
        <v>0</v>
      </c>
      <c r="C4073">
        <f>IF(Sheet1!B4073&gt;0,1,0)</f>
        <v>0</v>
      </c>
    </row>
    <row r="4074" spans="1:3" x14ac:dyDescent="0.25">
      <c r="A4074" s="15">
        <f>Sheet1!A4074</f>
        <v>0</v>
      </c>
      <c r="B4074">
        <f>Sheet1!B4074</f>
        <v>0</v>
      </c>
      <c r="C4074">
        <f>IF(Sheet1!B4074&gt;0,1,0)</f>
        <v>0</v>
      </c>
    </row>
    <row r="4075" spans="1:3" x14ac:dyDescent="0.25">
      <c r="A4075" s="15">
        <f>Sheet1!A4075</f>
        <v>0</v>
      </c>
      <c r="B4075">
        <f>Sheet1!B4075</f>
        <v>0</v>
      </c>
      <c r="C4075">
        <f>IF(Sheet1!B4075&gt;0,1,0)</f>
        <v>0</v>
      </c>
    </row>
    <row r="4076" spans="1:3" x14ac:dyDescent="0.25">
      <c r="A4076" s="15">
        <f>Sheet1!A4076</f>
        <v>0</v>
      </c>
      <c r="B4076">
        <f>Sheet1!B4076</f>
        <v>15.2</v>
      </c>
      <c r="C4076">
        <f>IF(Sheet1!B4076&gt;0,1,0)</f>
        <v>1</v>
      </c>
    </row>
    <row r="4077" spans="1:3" x14ac:dyDescent="0.25">
      <c r="A4077" s="15">
        <f>Sheet1!A4077</f>
        <v>0</v>
      </c>
      <c r="B4077">
        <f>Sheet1!B4077</f>
        <v>0</v>
      </c>
      <c r="C4077">
        <f>IF(Sheet1!B4077&gt;0,1,0)</f>
        <v>0</v>
      </c>
    </row>
    <row r="4078" spans="1:3" x14ac:dyDescent="0.25">
      <c r="A4078" s="15">
        <f>Sheet1!A4078</f>
        <v>0</v>
      </c>
      <c r="B4078">
        <f>Sheet1!B4078</f>
        <v>0</v>
      </c>
      <c r="C4078">
        <f>IF(Sheet1!B4078&gt;0,1,0)</f>
        <v>0</v>
      </c>
    </row>
    <row r="4079" spans="1:3" x14ac:dyDescent="0.25">
      <c r="A4079" s="15">
        <f>Sheet1!A4079</f>
        <v>0</v>
      </c>
      <c r="B4079">
        <f>Sheet1!B4079</f>
        <v>0</v>
      </c>
      <c r="C4079">
        <f>IF(Sheet1!B4079&gt;0,1,0)</f>
        <v>0</v>
      </c>
    </row>
    <row r="4080" spans="1:3" x14ac:dyDescent="0.25">
      <c r="A4080" s="15">
        <f>Sheet1!A4080</f>
        <v>0</v>
      </c>
      <c r="B4080">
        <f>Sheet1!B4080</f>
        <v>0</v>
      </c>
      <c r="C4080">
        <f>IF(Sheet1!B4080&gt;0,1,0)</f>
        <v>0</v>
      </c>
    </row>
    <row r="4081" spans="1:3" x14ac:dyDescent="0.25">
      <c r="A4081" s="15">
        <f>Sheet1!A4081</f>
        <v>0</v>
      </c>
      <c r="B4081">
        <f>Sheet1!B4081</f>
        <v>0</v>
      </c>
      <c r="C4081">
        <f>IF(Sheet1!B4081&gt;0,1,0)</f>
        <v>0</v>
      </c>
    </row>
    <row r="4082" spans="1:3" x14ac:dyDescent="0.25">
      <c r="A4082" s="15">
        <f>Sheet1!A4082</f>
        <v>0</v>
      </c>
      <c r="B4082">
        <f>Sheet1!B4082</f>
        <v>11</v>
      </c>
      <c r="C4082">
        <f>IF(Sheet1!B4082&gt;0,1,0)</f>
        <v>1</v>
      </c>
    </row>
    <row r="4083" spans="1:3" x14ac:dyDescent="0.25">
      <c r="A4083" s="15">
        <f>Sheet1!A4083</f>
        <v>0</v>
      </c>
      <c r="B4083">
        <f>Sheet1!B4083</f>
        <v>0</v>
      </c>
      <c r="C4083">
        <f>IF(Sheet1!B4083&gt;0,1,0)</f>
        <v>0</v>
      </c>
    </row>
    <row r="4084" spans="1:3" x14ac:dyDescent="0.25">
      <c r="A4084" s="15">
        <f>Sheet1!A4084</f>
        <v>0</v>
      </c>
      <c r="B4084">
        <f>Sheet1!B4084</f>
        <v>0</v>
      </c>
      <c r="C4084">
        <f>IF(Sheet1!B4084&gt;0,1,0)</f>
        <v>0</v>
      </c>
    </row>
    <row r="4085" spans="1:3" x14ac:dyDescent="0.25">
      <c r="A4085" s="15">
        <f>Sheet1!A4085</f>
        <v>0</v>
      </c>
      <c r="B4085">
        <f>Sheet1!B4085</f>
        <v>0</v>
      </c>
      <c r="C4085">
        <f>IF(Sheet1!B4085&gt;0,1,0)</f>
        <v>0</v>
      </c>
    </row>
    <row r="4086" spans="1:3" x14ac:dyDescent="0.25">
      <c r="A4086" s="15">
        <f>Sheet1!A4086</f>
        <v>0</v>
      </c>
      <c r="B4086">
        <f>Sheet1!B4086</f>
        <v>10.029999999999999</v>
      </c>
      <c r="C4086">
        <f>IF(Sheet1!B4086&gt;0,1,0)</f>
        <v>1</v>
      </c>
    </row>
    <row r="4087" spans="1:3" x14ac:dyDescent="0.25">
      <c r="A4087" s="15">
        <f>Sheet1!A4087</f>
        <v>0</v>
      </c>
      <c r="B4087">
        <f>Sheet1!B4087</f>
        <v>0</v>
      </c>
      <c r="C4087">
        <f>IF(Sheet1!B4087&gt;0,1,0)</f>
        <v>0</v>
      </c>
    </row>
    <row r="4088" spans="1:3" x14ac:dyDescent="0.25">
      <c r="A4088" s="15">
        <f>Sheet1!A4088</f>
        <v>0</v>
      </c>
      <c r="B4088">
        <f>Sheet1!B4088</f>
        <v>0</v>
      </c>
      <c r="C4088">
        <f>IF(Sheet1!B4088&gt;0,1,0)</f>
        <v>0</v>
      </c>
    </row>
    <row r="4089" spans="1:3" x14ac:dyDescent="0.25">
      <c r="A4089" s="15">
        <f>Sheet1!A4089</f>
        <v>0</v>
      </c>
      <c r="B4089">
        <f>Sheet1!B4089</f>
        <v>0</v>
      </c>
      <c r="C4089">
        <f>IF(Sheet1!B4089&gt;0,1,0)</f>
        <v>0</v>
      </c>
    </row>
    <row r="4090" spans="1:3" x14ac:dyDescent="0.25">
      <c r="A4090" s="15">
        <f>Sheet1!A4090</f>
        <v>0</v>
      </c>
      <c r="B4090">
        <f>Sheet1!B4090</f>
        <v>0</v>
      </c>
      <c r="C4090">
        <f>IF(Sheet1!B4090&gt;0,1,0)</f>
        <v>0</v>
      </c>
    </row>
    <row r="4091" spans="1:3" x14ac:dyDescent="0.25">
      <c r="A4091" s="15">
        <f>Sheet1!A4091</f>
        <v>0</v>
      </c>
      <c r="B4091">
        <f>Sheet1!B4091</f>
        <v>0</v>
      </c>
      <c r="C4091">
        <f>IF(Sheet1!B4091&gt;0,1,0)</f>
        <v>0</v>
      </c>
    </row>
    <row r="4092" spans="1:3" x14ac:dyDescent="0.25">
      <c r="A4092" s="15">
        <f>Sheet1!A4092</f>
        <v>0</v>
      </c>
      <c r="B4092">
        <f>Sheet1!B4092</f>
        <v>10.29</v>
      </c>
      <c r="C4092">
        <f>IF(Sheet1!B4092&gt;0,1,0)</f>
        <v>1</v>
      </c>
    </row>
    <row r="4093" spans="1:3" x14ac:dyDescent="0.25">
      <c r="A4093" s="15">
        <f>Sheet1!A4093</f>
        <v>0</v>
      </c>
      <c r="B4093">
        <f>Sheet1!B4093</f>
        <v>0</v>
      </c>
      <c r="C4093">
        <f>IF(Sheet1!B4093&gt;0,1,0)</f>
        <v>0</v>
      </c>
    </row>
    <row r="4094" spans="1:3" x14ac:dyDescent="0.25">
      <c r="A4094" s="15">
        <f>Sheet1!A4094</f>
        <v>0</v>
      </c>
      <c r="B4094">
        <f>Sheet1!B4094</f>
        <v>0</v>
      </c>
      <c r="C4094">
        <f>IF(Sheet1!B4094&gt;0,1,0)</f>
        <v>0</v>
      </c>
    </row>
    <row r="4095" spans="1:3" x14ac:dyDescent="0.25">
      <c r="A4095" s="15">
        <f>Sheet1!A4095</f>
        <v>0</v>
      </c>
      <c r="B4095">
        <f>Sheet1!B4095</f>
        <v>0</v>
      </c>
      <c r="C4095">
        <f>IF(Sheet1!B4095&gt;0,1,0)</f>
        <v>0</v>
      </c>
    </row>
    <row r="4096" spans="1:3" x14ac:dyDescent="0.25">
      <c r="A4096" s="15">
        <f>Sheet1!A4096</f>
        <v>0</v>
      </c>
      <c r="B4096">
        <f>Sheet1!B4096</f>
        <v>0</v>
      </c>
      <c r="C4096">
        <f>IF(Sheet1!B4096&gt;0,1,0)</f>
        <v>0</v>
      </c>
    </row>
    <row r="4097" spans="1:3" x14ac:dyDescent="0.25">
      <c r="A4097" s="15">
        <f>Sheet1!A4097</f>
        <v>0</v>
      </c>
      <c r="B4097">
        <f>Sheet1!B4097</f>
        <v>0</v>
      </c>
      <c r="C4097">
        <f>IF(Sheet1!B4097&gt;0,1,0)</f>
        <v>0</v>
      </c>
    </row>
    <row r="4098" spans="1:3" x14ac:dyDescent="0.25">
      <c r="A4098" s="15">
        <f>Sheet1!A4098</f>
        <v>0</v>
      </c>
      <c r="B4098">
        <f>Sheet1!B4098</f>
        <v>13.08</v>
      </c>
      <c r="C4098">
        <f>IF(Sheet1!B4098&gt;0,1,0)</f>
        <v>1</v>
      </c>
    </row>
    <row r="4099" spans="1:3" x14ac:dyDescent="0.25">
      <c r="A4099" s="15">
        <f>Sheet1!A4099</f>
        <v>0</v>
      </c>
      <c r="B4099">
        <f>Sheet1!B4099</f>
        <v>0</v>
      </c>
      <c r="C4099">
        <f>IF(Sheet1!B4099&gt;0,1,0)</f>
        <v>0</v>
      </c>
    </row>
    <row r="4100" spans="1:3" x14ac:dyDescent="0.25">
      <c r="A4100" s="15">
        <f>Sheet1!A4100</f>
        <v>0</v>
      </c>
      <c r="B4100">
        <f>Sheet1!B4100</f>
        <v>0</v>
      </c>
      <c r="C4100">
        <f>IF(Sheet1!B4100&gt;0,1,0)</f>
        <v>0</v>
      </c>
    </row>
    <row r="4101" spans="1:3" x14ac:dyDescent="0.25">
      <c r="A4101" s="15">
        <f>Sheet1!A4101</f>
        <v>0</v>
      </c>
      <c r="B4101">
        <f>Sheet1!B4101</f>
        <v>0</v>
      </c>
      <c r="C4101">
        <f>IF(Sheet1!B4101&gt;0,1,0)</f>
        <v>0</v>
      </c>
    </row>
    <row r="4102" spans="1:3" x14ac:dyDescent="0.25">
      <c r="A4102" s="15">
        <f>Sheet1!A4102</f>
        <v>0</v>
      </c>
      <c r="B4102">
        <f>Sheet1!B4102</f>
        <v>13.54</v>
      </c>
      <c r="C4102">
        <f>IF(Sheet1!B4102&gt;0,1,0)</f>
        <v>1</v>
      </c>
    </row>
    <row r="4103" spans="1:3" x14ac:dyDescent="0.25">
      <c r="A4103" s="15">
        <f>Sheet1!A4103</f>
        <v>0</v>
      </c>
      <c r="B4103">
        <f>Sheet1!B4103</f>
        <v>0</v>
      </c>
      <c r="C4103">
        <f>IF(Sheet1!B4103&gt;0,1,0)</f>
        <v>0</v>
      </c>
    </row>
    <row r="4104" spans="1:3" x14ac:dyDescent="0.25">
      <c r="A4104" s="15">
        <f>Sheet1!A4104</f>
        <v>0</v>
      </c>
      <c r="B4104">
        <f>Sheet1!B4104</f>
        <v>0</v>
      </c>
      <c r="C4104">
        <f>IF(Sheet1!B4104&gt;0,1,0)</f>
        <v>0</v>
      </c>
    </row>
    <row r="4105" spans="1:3" x14ac:dyDescent="0.25">
      <c r="A4105" s="15">
        <f>Sheet1!A4105</f>
        <v>0</v>
      </c>
      <c r="B4105">
        <f>Sheet1!B4105</f>
        <v>0</v>
      </c>
      <c r="C4105">
        <f>IF(Sheet1!B4105&gt;0,1,0)</f>
        <v>0</v>
      </c>
    </row>
    <row r="4106" spans="1:3" x14ac:dyDescent="0.25">
      <c r="A4106" s="15">
        <f>Sheet1!A4106</f>
        <v>0</v>
      </c>
      <c r="B4106">
        <f>Sheet1!B4106</f>
        <v>9.89</v>
      </c>
      <c r="C4106">
        <f>IF(Sheet1!B4106&gt;0,1,0)</f>
        <v>1</v>
      </c>
    </row>
    <row r="4107" spans="1:3" x14ac:dyDescent="0.25">
      <c r="A4107" s="15">
        <f>Sheet1!A4107</f>
        <v>0</v>
      </c>
      <c r="B4107">
        <f>Sheet1!B4107</f>
        <v>0</v>
      </c>
      <c r="C4107">
        <f>IF(Sheet1!B4107&gt;0,1,0)</f>
        <v>0</v>
      </c>
    </row>
    <row r="4108" spans="1:3" x14ac:dyDescent="0.25">
      <c r="A4108" s="15">
        <f>Sheet1!A4108</f>
        <v>0</v>
      </c>
      <c r="B4108">
        <f>Sheet1!B4108</f>
        <v>0</v>
      </c>
      <c r="C4108">
        <f>IF(Sheet1!B4108&gt;0,1,0)</f>
        <v>0</v>
      </c>
    </row>
    <row r="4109" spans="1:3" x14ac:dyDescent="0.25">
      <c r="A4109" s="15">
        <f>Sheet1!A4109</f>
        <v>0</v>
      </c>
      <c r="B4109">
        <f>Sheet1!B4109</f>
        <v>9</v>
      </c>
      <c r="C4109">
        <f>IF(Sheet1!B4109&gt;0,1,0)</f>
        <v>1</v>
      </c>
    </row>
    <row r="4110" spans="1:3" x14ac:dyDescent="0.25">
      <c r="A4110" s="15">
        <f>Sheet1!A4110</f>
        <v>0</v>
      </c>
      <c r="B4110">
        <f>Sheet1!B4110</f>
        <v>9.6199999999999992</v>
      </c>
      <c r="C4110">
        <f>IF(Sheet1!B4110&gt;0,1,0)</f>
        <v>1</v>
      </c>
    </row>
    <row r="4111" spans="1:3" x14ac:dyDescent="0.25">
      <c r="A4111" s="15">
        <f>Sheet1!A4111</f>
        <v>0</v>
      </c>
      <c r="B4111">
        <f>Sheet1!B4111</f>
        <v>8.41</v>
      </c>
      <c r="C4111">
        <f>IF(Sheet1!B4111&gt;0,1,0)</f>
        <v>1</v>
      </c>
    </row>
    <row r="4112" spans="1:3" x14ac:dyDescent="0.25">
      <c r="A4112" s="15">
        <f>Sheet1!A4112</f>
        <v>0</v>
      </c>
      <c r="B4112">
        <f>Sheet1!B4112</f>
        <v>6.18</v>
      </c>
      <c r="C4112">
        <f>IF(Sheet1!B4112&gt;0,1,0)</f>
        <v>1</v>
      </c>
    </row>
    <row r="4113" spans="1:3" x14ac:dyDescent="0.25">
      <c r="A4113" s="15">
        <f>Sheet1!A4113</f>
        <v>0</v>
      </c>
      <c r="B4113">
        <f>Sheet1!B4113</f>
        <v>0</v>
      </c>
      <c r="C4113">
        <f>IF(Sheet1!B4113&gt;0,1,0)</f>
        <v>0</v>
      </c>
    </row>
    <row r="4114" spans="1:3" x14ac:dyDescent="0.25">
      <c r="A4114" s="15">
        <f>Sheet1!A4114</f>
        <v>0</v>
      </c>
      <c r="B4114">
        <f>Sheet1!B4114</f>
        <v>0</v>
      </c>
      <c r="C4114">
        <f>IF(Sheet1!B4114&gt;0,1,0)</f>
        <v>0</v>
      </c>
    </row>
    <row r="4115" spans="1:3" x14ac:dyDescent="0.25">
      <c r="A4115" s="15">
        <f>Sheet1!A4115</f>
        <v>0</v>
      </c>
      <c r="B4115">
        <f>Sheet1!B4115</f>
        <v>0</v>
      </c>
      <c r="C4115">
        <f>IF(Sheet1!B4115&gt;0,1,0)</f>
        <v>0</v>
      </c>
    </row>
    <row r="4116" spans="1:3" x14ac:dyDescent="0.25">
      <c r="A4116" s="15">
        <f>Sheet1!A4116</f>
        <v>0</v>
      </c>
      <c r="B4116">
        <f>Sheet1!B4116</f>
        <v>0</v>
      </c>
      <c r="C4116">
        <f>IF(Sheet1!B4116&gt;0,1,0)</f>
        <v>0</v>
      </c>
    </row>
    <row r="4117" spans="1:3" x14ac:dyDescent="0.25">
      <c r="A4117" s="15">
        <f>Sheet1!A4117</f>
        <v>0</v>
      </c>
      <c r="B4117">
        <f>Sheet1!B4117</f>
        <v>0</v>
      </c>
      <c r="C4117">
        <f>IF(Sheet1!B4117&gt;0,1,0)</f>
        <v>0</v>
      </c>
    </row>
    <row r="4118" spans="1:3" x14ac:dyDescent="0.25">
      <c r="A4118" s="15">
        <f>Sheet1!A4118</f>
        <v>0</v>
      </c>
      <c r="B4118">
        <f>Sheet1!B4118</f>
        <v>14.33</v>
      </c>
      <c r="C4118">
        <f>IF(Sheet1!B4118&gt;0,1,0)</f>
        <v>1</v>
      </c>
    </row>
    <row r="4119" spans="1:3" x14ac:dyDescent="0.25">
      <c r="A4119" s="15">
        <f>Sheet1!A4119</f>
        <v>0</v>
      </c>
      <c r="B4119">
        <f>Sheet1!B4119</f>
        <v>0</v>
      </c>
      <c r="C4119">
        <f>IF(Sheet1!B4119&gt;0,1,0)</f>
        <v>0</v>
      </c>
    </row>
    <row r="4120" spans="1:3" x14ac:dyDescent="0.25">
      <c r="A4120" s="15">
        <f>Sheet1!A4120</f>
        <v>0</v>
      </c>
      <c r="B4120">
        <f>Sheet1!B4120</f>
        <v>0</v>
      </c>
      <c r="C4120">
        <f>IF(Sheet1!B4120&gt;0,1,0)</f>
        <v>0</v>
      </c>
    </row>
    <row r="4121" spans="1:3" x14ac:dyDescent="0.25">
      <c r="A4121" s="15">
        <f>Sheet1!A4121</f>
        <v>0</v>
      </c>
      <c r="B4121">
        <f>Sheet1!B4121</f>
        <v>0</v>
      </c>
      <c r="C4121">
        <f>IF(Sheet1!B4121&gt;0,1,0)</f>
        <v>0</v>
      </c>
    </row>
    <row r="4122" spans="1:3" x14ac:dyDescent="0.25">
      <c r="A4122" s="15">
        <f>Sheet1!A4122</f>
        <v>0</v>
      </c>
      <c r="B4122">
        <f>Sheet1!B4122</f>
        <v>15.72</v>
      </c>
      <c r="C4122">
        <f>IF(Sheet1!B4122&gt;0,1,0)</f>
        <v>1</v>
      </c>
    </row>
    <row r="4123" spans="1:3" x14ac:dyDescent="0.25">
      <c r="A4123" s="15">
        <f>Sheet1!A4123</f>
        <v>0</v>
      </c>
      <c r="B4123">
        <f>Sheet1!B4123</f>
        <v>0</v>
      </c>
      <c r="C4123">
        <f>IF(Sheet1!B4123&gt;0,1,0)</f>
        <v>0</v>
      </c>
    </row>
    <row r="4124" spans="1:3" x14ac:dyDescent="0.25">
      <c r="A4124" s="15">
        <f>Sheet1!A4124</f>
        <v>0</v>
      </c>
      <c r="B4124">
        <f>Sheet1!B4124</f>
        <v>0</v>
      </c>
      <c r="C4124">
        <f>IF(Sheet1!B4124&gt;0,1,0)</f>
        <v>0</v>
      </c>
    </row>
    <row r="4125" spans="1:3" x14ac:dyDescent="0.25">
      <c r="A4125" s="15">
        <f>Sheet1!A4125</f>
        <v>0</v>
      </c>
      <c r="B4125">
        <f>Sheet1!B4125</f>
        <v>0</v>
      </c>
      <c r="C4125">
        <f>IF(Sheet1!B4125&gt;0,1,0)</f>
        <v>0</v>
      </c>
    </row>
    <row r="4126" spans="1:3" x14ac:dyDescent="0.25">
      <c r="A4126" s="15">
        <f>Sheet1!A4126</f>
        <v>0</v>
      </c>
      <c r="B4126">
        <f>Sheet1!B4126</f>
        <v>12.89</v>
      </c>
      <c r="C4126">
        <f>IF(Sheet1!B4126&gt;0,1,0)</f>
        <v>1</v>
      </c>
    </row>
    <row r="4127" spans="1:3" x14ac:dyDescent="0.25">
      <c r="A4127" s="15">
        <f>Sheet1!A4127</f>
        <v>0</v>
      </c>
      <c r="B4127">
        <f>Sheet1!B4127</f>
        <v>0</v>
      </c>
      <c r="C4127">
        <f>IF(Sheet1!B4127&gt;0,1,0)</f>
        <v>0</v>
      </c>
    </row>
    <row r="4128" spans="1:3" x14ac:dyDescent="0.25">
      <c r="A4128" s="15">
        <f>Sheet1!A4128</f>
        <v>0</v>
      </c>
      <c r="B4128">
        <f>Sheet1!B4128</f>
        <v>0</v>
      </c>
      <c r="C4128">
        <f>IF(Sheet1!B4128&gt;0,1,0)</f>
        <v>0</v>
      </c>
    </row>
    <row r="4129" spans="1:3" x14ac:dyDescent="0.25">
      <c r="A4129" s="15">
        <f>Sheet1!A4129</f>
        <v>0</v>
      </c>
      <c r="B4129">
        <f>Sheet1!B4129</f>
        <v>0</v>
      </c>
      <c r="C4129">
        <f>IF(Sheet1!B4129&gt;0,1,0)</f>
        <v>0</v>
      </c>
    </row>
    <row r="4130" spans="1:3" x14ac:dyDescent="0.25">
      <c r="A4130" s="15">
        <f>Sheet1!A4130</f>
        <v>0</v>
      </c>
      <c r="B4130">
        <f>Sheet1!B4130</f>
        <v>10.53</v>
      </c>
      <c r="C4130">
        <f>IF(Sheet1!B4130&gt;0,1,0)</f>
        <v>1</v>
      </c>
    </row>
    <row r="4131" spans="1:3" x14ac:dyDescent="0.25">
      <c r="A4131" s="15">
        <f>Sheet1!A4131</f>
        <v>0</v>
      </c>
      <c r="B4131">
        <f>Sheet1!B4131</f>
        <v>0</v>
      </c>
      <c r="C4131">
        <f>IF(Sheet1!B4131&gt;0,1,0)</f>
        <v>0</v>
      </c>
    </row>
    <row r="4132" spans="1:3" x14ac:dyDescent="0.25">
      <c r="A4132" s="15">
        <f>Sheet1!A4132</f>
        <v>0</v>
      </c>
      <c r="B4132">
        <f>Sheet1!B4132</f>
        <v>0</v>
      </c>
      <c r="C4132">
        <f>IF(Sheet1!B4132&gt;0,1,0)</f>
        <v>0</v>
      </c>
    </row>
    <row r="4133" spans="1:3" x14ac:dyDescent="0.25">
      <c r="A4133" s="15">
        <f>Sheet1!A4133</f>
        <v>0</v>
      </c>
      <c r="B4133">
        <f>Sheet1!B4133</f>
        <v>0</v>
      </c>
      <c r="C4133">
        <f>IF(Sheet1!B4133&gt;0,1,0)</f>
        <v>0</v>
      </c>
    </row>
    <row r="4134" spans="1:3" x14ac:dyDescent="0.25">
      <c r="A4134" s="15">
        <f>Sheet1!A4134</f>
        <v>0</v>
      </c>
      <c r="B4134">
        <f>Sheet1!B4134</f>
        <v>10.220000000000001</v>
      </c>
      <c r="C4134">
        <f>IF(Sheet1!B4134&gt;0,1,0)</f>
        <v>1</v>
      </c>
    </row>
    <row r="4135" spans="1:3" x14ac:dyDescent="0.25">
      <c r="A4135" s="15">
        <f>Sheet1!A4135</f>
        <v>0</v>
      </c>
      <c r="B4135">
        <f>Sheet1!B4135</f>
        <v>10.62</v>
      </c>
      <c r="C4135">
        <f>IF(Sheet1!B4135&gt;0,1,0)</f>
        <v>1</v>
      </c>
    </row>
    <row r="4136" spans="1:3" x14ac:dyDescent="0.25">
      <c r="A4136" s="15">
        <f>Sheet1!A4136</f>
        <v>0</v>
      </c>
      <c r="B4136">
        <f>Sheet1!B4136</f>
        <v>10.72</v>
      </c>
      <c r="C4136">
        <f>IF(Sheet1!B4136&gt;0,1,0)</f>
        <v>1</v>
      </c>
    </row>
    <row r="4137" spans="1:3" x14ac:dyDescent="0.25">
      <c r="A4137" s="15">
        <f>Sheet1!A4137</f>
        <v>0</v>
      </c>
      <c r="B4137">
        <f>Sheet1!B4137</f>
        <v>0</v>
      </c>
      <c r="C4137">
        <f>IF(Sheet1!B4137&gt;0,1,0)</f>
        <v>0</v>
      </c>
    </row>
    <row r="4138" spans="1:3" x14ac:dyDescent="0.25">
      <c r="A4138" s="15">
        <f>Sheet1!A4138</f>
        <v>0</v>
      </c>
      <c r="B4138">
        <f>Sheet1!B4138</f>
        <v>0</v>
      </c>
      <c r="C4138">
        <f>IF(Sheet1!B4138&gt;0,1,0)</f>
        <v>0</v>
      </c>
    </row>
    <row r="4139" spans="1:3" x14ac:dyDescent="0.25">
      <c r="A4139" s="15">
        <f>Sheet1!A4139</f>
        <v>0</v>
      </c>
      <c r="B4139">
        <f>Sheet1!B4139</f>
        <v>0</v>
      </c>
      <c r="C4139">
        <f>IF(Sheet1!B4139&gt;0,1,0)</f>
        <v>0</v>
      </c>
    </row>
    <row r="4140" spans="1:3" x14ac:dyDescent="0.25">
      <c r="A4140" s="15">
        <f>Sheet1!A4140</f>
        <v>0</v>
      </c>
      <c r="B4140">
        <f>Sheet1!B4140</f>
        <v>0</v>
      </c>
      <c r="C4140">
        <f>IF(Sheet1!B4140&gt;0,1,0)</f>
        <v>0</v>
      </c>
    </row>
    <row r="4141" spans="1:3" x14ac:dyDescent="0.25">
      <c r="A4141" s="15">
        <f>Sheet1!A4141</f>
        <v>0</v>
      </c>
      <c r="B4141">
        <f>Sheet1!B4141</f>
        <v>0</v>
      </c>
      <c r="C4141">
        <f>IF(Sheet1!B4141&gt;0,1,0)</f>
        <v>0</v>
      </c>
    </row>
    <row r="4142" spans="1:3" x14ac:dyDescent="0.25">
      <c r="A4142" s="15">
        <f>Sheet1!A4142</f>
        <v>0</v>
      </c>
      <c r="B4142">
        <f>Sheet1!B4142</f>
        <v>0</v>
      </c>
      <c r="C4142">
        <f>IF(Sheet1!B4142&gt;0,1,0)</f>
        <v>0</v>
      </c>
    </row>
    <row r="4143" spans="1:3" x14ac:dyDescent="0.25">
      <c r="A4143" s="15">
        <f>Sheet1!A4143</f>
        <v>0</v>
      </c>
      <c r="B4143">
        <f>Sheet1!B4143</f>
        <v>0</v>
      </c>
      <c r="C4143">
        <f>IF(Sheet1!B4143&gt;0,1,0)</f>
        <v>0</v>
      </c>
    </row>
    <row r="4144" spans="1:3" x14ac:dyDescent="0.25">
      <c r="A4144" s="15">
        <f>Sheet1!A4144</f>
        <v>0</v>
      </c>
      <c r="B4144">
        <f>Sheet1!B4144</f>
        <v>0</v>
      </c>
      <c r="C4144">
        <f>IF(Sheet1!B4144&gt;0,1,0)</f>
        <v>0</v>
      </c>
    </row>
    <row r="4145" spans="1:3" x14ac:dyDescent="0.25">
      <c r="A4145" s="15">
        <f>Sheet1!A4145</f>
        <v>0</v>
      </c>
      <c r="B4145">
        <f>Sheet1!B4145</f>
        <v>0</v>
      </c>
      <c r="C4145">
        <f>IF(Sheet1!B4145&gt;0,1,0)</f>
        <v>0</v>
      </c>
    </row>
    <row r="4146" spans="1:3" x14ac:dyDescent="0.25">
      <c r="A4146" s="15">
        <f>Sheet1!A4146</f>
        <v>0</v>
      </c>
      <c r="B4146">
        <f>Sheet1!B4146</f>
        <v>0</v>
      </c>
      <c r="C4146">
        <f>IF(Sheet1!B4146&gt;0,1,0)</f>
        <v>0</v>
      </c>
    </row>
    <row r="4147" spans="1:3" x14ac:dyDescent="0.25">
      <c r="A4147" s="15">
        <f>Sheet1!A4147</f>
        <v>0</v>
      </c>
      <c r="B4147">
        <f>Sheet1!B4147</f>
        <v>0</v>
      </c>
      <c r="C4147">
        <f>IF(Sheet1!B4147&gt;0,1,0)</f>
        <v>0</v>
      </c>
    </row>
    <row r="4148" spans="1:3" x14ac:dyDescent="0.25">
      <c r="A4148" s="15">
        <f>Sheet1!A4148</f>
        <v>0</v>
      </c>
      <c r="B4148">
        <f>Sheet1!B4148</f>
        <v>13.24</v>
      </c>
      <c r="C4148">
        <f>IF(Sheet1!B4148&gt;0,1,0)</f>
        <v>1</v>
      </c>
    </row>
    <row r="4149" spans="1:3" x14ac:dyDescent="0.25">
      <c r="A4149" s="15">
        <f>Sheet1!A4149</f>
        <v>0</v>
      </c>
      <c r="B4149">
        <f>Sheet1!B4149</f>
        <v>0</v>
      </c>
      <c r="C4149">
        <f>IF(Sheet1!B4149&gt;0,1,0)</f>
        <v>0</v>
      </c>
    </row>
    <row r="4150" spans="1:3" x14ac:dyDescent="0.25">
      <c r="A4150" s="15">
        <f>Sheet1!A4150</f>
        <v>0</v>
      </c>
      <c r="B4150">
        <f>Sheet1!B4150</f>
        <v>0</v>
      </c>
      <c r="C4150">
        <f>IF(Sheet1!B4150&gt;0,1,0)</f>
        <v>0</v>
      </c>
    </row>
    <row r="4151" spans="1:3" x14ac:dyDescent="0.25">
      <c r="A4151" s="15">
        <f>Sheet1!A4151</f>
        <v>0</v>
      </c>
      <c r="B4151">
        <f>Sheet1!B4151</f>
        <v>0</v>
      </c>
      <c r="C4151">
        <f>IF(Sheet1!B4151&gt;0,1,0)</f>
        <v>0</v>
      </c>
    </row>
    <row r="4152" spans="1:3" x14ac:dyDescent="0.25">
      <c r="A4152" s="15">
        <f>Sheet1!A4152</f>
        <v>0</v>
      </c>
      <c r="B4152">
        <f>Sheet1!B4152</f>
        <v>10.83</v>
      </c>
      <c r="C4152">
        <f>IF(Sheet1!B4152&gt;0,1,0)</f>
        <v>1</v>
      </c>
    </row>
    <row r="4153" spans="1:3" x14ac:dyDescent="0.25">
      <c r="A4153" s="15">
        <f>Sheet1!A4153</f>
        <v>0</v>
      </c>
      <c r="B4153">
        <f>Sheet1!B4153</f>
        <v>0</v>
      </c>
      <c r="C4153">
        <f>IF(Sheet1!B4153&gt;0,1,0)</f>
        <v>0</v>
      </c>
    </row>
    <row r="4154" spans="1:3" x14ac:dyDescent="0.25">
      <c r="A4154" s="15">
        <f>Sheet1!A4154</f>
        <v>0</v>
      </c>
      <c r="B4154">
        <f>Sheet1!B4154</f>
        <v>0</v>
      </c>
      <c r="C4154">
        <f>IF(Sheet1!B4154&gt;0,1,0)</f>
        <v>0</v>
      </c>
    </row>
    <row r="4155" spans="1:3" x14ac:dyDescent="0.25">
      <c r="A4155" s="15">
        <f>Sheet1!A4155</f>
        <v>0</v>
      </c>
      <c r="B4155">
        <f>Sheet1!B4155</f>
        <v>0</v>
      </c>
      <c r="C4155">
        <f>IF(Sheet1!B4155&gt;0,1,0)</f>
        <v>0</v>
      </c>
    </row>
    <row r="4156" spans="1:3" x14ac:dyDescent="0.25">
      <c r="A4156" s="15">
        <f>Sheet1!A4156</f>
        <v>0</v>
      </c>
      <c r="B4156">
        <f>Sheet1!B4156</f>
        <v>9.7200000000000006</v>
      </c>
      <c r="C4156">
        <f>IF(Sheet1!B4156&gt;0,1,0)</f>
        <v>1</v>
      </c>
    </row>
    <row r="4157" spans="1:3" x14ac:dyDescent="0.25">
      <c r="A4157" s="15">
        <f>Sheet1!A4157</f>
        <v>0</v>
      </c>
      <c r="B4157">
        <f>Sheet1!B4157</f>
        <v>9.35</v>
      </c>
      <c r="C4157">
        <f>IF(Sheet1!B4157&gt;0,1,0)</f>
        <v>1</v>
      </c>
    </row>
    <row r="4158" spans="1:3" x14ac:dyDescent="0.25">
      <c r="A4158" s="15">
        <f>Sheet1!A4158</f>
        <v>0</v>
      </c>
      <c r="B4158">
        <f>Sheet1!B4158</f>
        <v>9.4499999999999993</v>
      </c>
      <c r="C4158">
        <f>IF(Sheet1!B4158&gt;0,1,0)</f>
        <v>1</v>
      </c>
    </row>
    <row r="4159" spans="1:3" x14ac:dyDescent="0.25">
      <c r="A4159" s="15">
        <f>Sheet1!A4159</f>
        <v>0</v>
      </c>
      <c r="B4159">
        <f>Sheet1!B4159</f>
        <v>0</v>
      </c>
      <c r="C4159">
        <f>IF(Sheet1!B4159&gt;0,1,0)</f>
        <v>0</v>
      </c>
    </row>
    <row r="4160" spans="1:3" x14ac:dyDescent="0.25">
      <c r="A4160" s="15">
        <f>Sheet1!A4160</f>
        <v>0</v>
      </c>
      <c r="B4160">
        <f>Sheet1!B4160</f>
        <v>0</v>
      </c>
      <c r="C4160">
        <f>IF(Sheet1!B4160&gt;0,1,0)</f>
        <v>0</v>
      </c>
    </row>
    <row r="4161" spans="1:3" x14ac:dyDescent="0.25">
      <c r="A4161" s="15">
        <f>Sheet1!A4161</f>
        <v>0</v>
      </c>
      <c r="B4161">
        <f>Sheet1!B4161</f>
        <v>0</v>
      </c>
      <c r="C4161">
        <f>IF(Sheet1!B4161&gt;0,1,0)</f>
        <v>0</v>
      </c>
    </row>
    <row r="4162" spans="1:3" x14ac:dyDescent="0.25">
      <c r="A4162" s="15">
        <f>Sheet1!A4162</f>
        <v>0</v>
      </c>
      <c r="B4162">
        <f>Sheet1!B4162</f>
        <v>12.66</v>
      </c>
      <c r="C4162">
        <f>IF(Sheet1!B4162&gt;0,1,0)</f>
        <v>1</v>
      </c>
    </row>
    <row r="4163" spans="1:3" x14ac:dyDescent="0.25">
      <c r="A4163" s="15">
        <f>Sheet1!A4163</f>
        <v>0</v>
      </c>
      <c r="B4163">
        <f>Sheet1!B4163</f>
        <v>0</v>
      </c>
      <c r="C4163">
        <f>IF(Sheet1!B4163&gt;0,1,0)</f>
        <v>0</v>
      </c>
    </row>
    <row r="4164" spans="1:3" x14ac:dyDescent="0.25">
      <c r="A4164" s="15">
        <f>Sheet1!A4164</f>
        <v>0</v>
      </c>
      <c r="B4164">
        <f>Sheet1!B4164</f>
        <v>0</v>
      </c>
      <c r="C4164">
        <f>IF(Sheet1!B4164&gt;0,1,0)</f>
        <v>0</v>
      </c>
    </row>
    <row r="4165" spans="1:3" x14ac:dyDescent="0.25">
      <c r="A4165" s="15">
        <f>Sheet1!A4165</f>
        <v>0</v>
      </c>
      <c r="B4165">
        <f>Sheet1!B4165</f>
        <v>0</v>
      </c>
      <c r="C4165">
        <f>IF(Sheet1!B4165&gt;0,1,0)</f>
        <v>0</v>
      </c>
    </row>
    <row r="4166" spans="1:3" x14ac:dyDescent="0.25">
      <c r="A4166" s="15">
        <f>Sheet1!A4166</f>
        <v>0</v>
      </c>
      <c r="B4166">
        <f>Sheet1!B4166</f>
        <v>10.220000000000001</v>
      </c>
      <c r="C4166">
        <f>IF(Sheet1!B4166&gt;0,1,0)</f>
        <v>1</v>
      </c>
    </row>
    <row r="4167" spans="1:3" x14ac:dyDescent="0.25">
      <c r="A4167" s="15">
        <f>Sheet1!A4167</f>
        <v>0</v>
      </c>
      <c r="B4167">
        <f>Sheet1!B4167</f>
        <v>0</v>
      </c>
      <c r="C4167">
        <f>IF(Sheet1!B4167&gt;0,1,0)</f>
        <v>0</v>
      </c>
    </row>
    <row r="4168" spans="1:3" x14ac:dyDescent="0.25">
      <c r="A4168" s="15">
        <f>Sheet1!A4168</f>
        <v>0</v>
      </c>
      <c r="B4168">
        <f>Sheet1!B4168</f>
        <v>0</v>
      </c>
      <c r="C4168">
        <f>IF(Sheet1!B4168&gt;0,1,0)</f>
        <v>0</v>
      </c>
    </row>
    <row r="4169" spans="1:3" x14ac:dyDescent="0.25">
      <c r="A4169" s="15">
        <f>Sheet1!A4169</f>
        <v>0</v>
      </c>
      <c r="B4169">
        <f>Sheet1!B4169</f>
        <v>0</v>
      </c>
      <c r="C4169">
        <f>IF(Sheet1!B4169&gt;0,1,0)</f>
        <v>0</v>
      </c>
    </row>
    <row r="4170" spans="1:3" x14ac:dyDescent="0.25">
      <c r="A4170" s="15">
        <f>Sheet1!A4170</f>
        <v>0</v>
      </c>
      <c r="B4170">
        <f>Sheet1!B4170</f>
        <v>10.92</v>
      </c>
      <c r="C4170">
        <f>IF(Sheet1!B4170&gt;0,1,0)</f>
        <v>1</v>
      </c>
    </row>
    <row r="4171" spans="1:3" x14ac:dyDescent="0.25">
      <c r="A4171" s="15">
        <f>Sheet1!A4171</f>
        <v>0</v>
      </c>
      <c r="B4171">
        <f>Sheet1!B4171</f>
        <v>0</v>
      </c>
      <c r="C4171">
        <f>IF(Sheet1!B4171&gt;0,1,0)</f>
        <v>0</v>
      </c>
    </row>
    <row r="4172" spans="1:3" x14ac:dyDescent="0.25">
      <c r="A4172" s="15">
        <f>Sheet1!A4172</f>
        <v>0</v>
      </c>
      <c r="B4172">
        <f>Sheet1!B4172</f>
        <v>0</v>
      </c>
      <c r="C4172">
        <f>IF(Sheet1!B4172&gt;0,1,0)</f>
        <v>0</v>
      </c>
    </row>
    <row r="4173" spans="1:3" x14ac:dyDescent="0.25">
      <c r="A4173" s="15">
        <f>Sheet1!A4173</f>
        <v>0</v>
      </c>
      <c r="B4173">
        <f>Sheet1!B4173</f>
        <v>0</v>
      </c>
      <c r="C4173">
        <f>IF(Sheet1!B4173&gt;0,1,0)</f>
        <v>0</v>
      </c>
    </row>
    <row r="4174" spans="1:3" x14ac:dyDescent="0.25">
      <c r="A4174" s="15">
        <f>Sheet1!A4174</f>
        <v>0</v>
      </c>
      <c r="B4174">
        <f>Sheet1!B4174</f>
        <v>13.08</v>
      </c>
      <c r="C4174">
        <f>IF(Sheet1!B4174&gt;0,1,0)</f>
        <v>1</v>
      </c>
    </row>
    <row r="4175" spans="1:3" x14ac:dyDescent="0.25">
      <c r="A4175" s="15">
        <f>Sheet1!A4175</f>
        <v>0</v>
      </c>
      <c r="B4175">
        <f>Sheet1!B4175</f>
        <v>0</v>
      </c>
      <c r="C4175">
        <f>IF(Sheet1!B4175&gt;0,1,0)</f>
        <v>0</v>
      </c>
    </row>
    <row r="4176" spans="1:3" x14ac:dyDescent="0.25">
      <c r="A4176" s="15">
        <f>Sheet1!A4176</f>
        <v>0</v>
      </c>
      <c r="B4176">
        <f>Sheet1!B4176</f>
        <v>0</v>
      </c>
      <c r="C4176">
        <f>IF(Sheet1!B4176&gt;0,1,0)</f>
        <v>0</v>
      </c>
    </row>
    <row r="4177" spans="1:3" x14ac:dyDescent="0.25">
      <c r="A4177" s="15">
        <f>Sheet1!A4177</f>
        <v>0</v>
      </c>
      <c r="B4177">
        <f>Sheet1!B4177</f>
        <v>0</v>
      </c>
      <c r="C4177">
        <f>IF(Sheet1!B4177&gt;0,1,0)</f>
        <v>0</v>
      </c>
    </row>
    <row r="4178" spans="1:3" x14ac:dyDescent="0.25">
      <c r="A4178" s="15">
        <f>Sheet1!A4178</f>
        <v>0</v>
      </c>
      <c r="B4178">
        <f>Sheet1!B4178</f>
        <v>8.25</v>
      </c>
      <c r="C4178">
        <f>IF(Sheet1!B4178&gt;0,1,0)</f>
        <v>1</v>
      </c>
    </row>
    <row r="4179" spans="1:3" x14ac:dyDescent="0.25">
      <c r="A4179" s="15">
        <f>Sheet1!A4179</f>
        <v>0</v>
      </c>
      <c r="B4179">
        <f>Sheet1!B4179</f>
        <v>0</v>
      </c>
      <c r="C4179">
        <f>IF(Sheet1!B4179&gt;0,1,0)</f>
        <v>0</v>
      </c>
    </row>
    <row r="4180" spans="1:3" x14ac:dyDescent="0.25">
      <c r="A4180" s="15">
        <f>Sheet1!A4180</f>
        <v>0</v>
      </c>
      <c r="B4180">
        <f>Sheet1!B4180</f>
        <v>0</v>
      </c>
      <c r="C4180">
        <f>IF(Sheet1!B4180&gt;0,1,0)</f>
        <v>0</v>
      </c>
    </row>
    <row r="4181" spans="1:3" x14ac:dyDescent="0.25">
      <c r="A4181" s="15">
        <f>Sheet1!A4181</f>
        <v>0</v>
      </c>
      <c r="B4181">
        <f>Sheet1!B4181</f>
        <v>0</v>
      </c>
      <c r="C4181">
        <f>IF(Sheet1!B4181&gt;0,1,0)</f>
        <v>0</v>
      </c>
    </row>
    <row r="4182" spans="1:3" x14ac:dyDescent="0.25">
      <c r="A4182" s="15">
        <f>Sheet1!A4182</f>
        <v>0</v>
      </c>
      <c r="B4182">
        <f>Sheet1!B4182</f>
        <v>8.14</v>
      </c>
      <c r="C4182">
        <f>IF(Sheet1!B4182&gt;0,1,0)</f>
        <v>1</v>
      </c>
    </row>
    <row r="4183" spans="1:3" x14ac:dyDescent="0.25">
      <c r="A4183" s="15">
        <f>Sheet1!A4183</f>
        <v>0</v>
      </c>
      <c r="B4183">
        <f>Sheet1!B4183</f>
        <v>7.56</v>
      </c>
      <c r="C4183">
        <f>IF(Sheet1!B4183&gt;0,1,0)</f>
        <v>1</v>
      </c>
    </row>
    <row r="4184" spans="1:3" x14ac:dyDescent="0.25">
      <c r="A4184" s="15">
        <f>Sheet1!A4184</f>
        <v>0</v>
      </c>
      <c r="B4184">
        <f>Sheet1!B4184</f>
        <v>0</v>
      </c>
      <c r="C4184">
        <f>IF(Sheet1!B4184&gt;0,1,0)</f>
        <v>0</v>
      </c>
    </row>
    <row r="4185" spans="1:3" x14ac:dyDescent="0.25">
      <c r="A4185" s="15">
        <f>Sheet1!A4185</f>
        <v>0</v>
      </c>
      <c r="B4185">
        <f>Sheet1!B4185</f>
        <v>0</v>
      </c>
      <c r="C4185">
        <f>IF(Sheet1!B4185&gt;0,1,0)</f>
        <v>0</v>
      </c>
    </row>
    <row r="4186" spans="1:3" x14ac:dyDescent="0.25">
      <c r="A4186" s="15">
        <f>Sheet1!A4186</f>
        <v>0</v>
      </c>
      <c r="B4186">
        <f>Sheet1!B4186</f>
        <v>9.75</v>
      </c>
      <c r="C4186">
        <f>IF(Sheet1!B4186&gt;0,1,0)</f>
        <v>1</v>
      </c>
    </row>
    <row r="4187" spans="1:3" x14ac:dyDescent="0.25">
      <c r="A4187" s="15">
        <f>Sheet1!A4187</f>
        <v>0</v>
      </c>
      <c r="B4187">
        <f>Sheet1!B4187</f>
        <v>0</v>
      </c>
      <c r="C4187">
        <f>IF(Sheet1!B4187&gt;0,1,0)</f>
        <v>0</v>
      </c>
    </row>
    <row r="4188" spans="1:3" x14ac:dyDescent="0.25">
      <c r="A4188" s="15">
        <f>Sheet1!A4188</f>
        <v>0</v>
      </c>
      <c r="B4188">
        <f>Sheet1!B4188</f>
        <v>0</v>
      </c>
      <c r="C4188">
        <f>IF(Sheet1!B4188&gt;0,1,0)</f>
        <v>0</v>
      </c>
    </row>
    <row r="4189" spans="1:3" x14ac:dyDescent="0.25">
      <c r="A4189" s="15">
        <f>Sheet1!A4189</f>
        <v>0</v>
      </c>
      <c r="B4189">
        <f>Sheet1!B4189</f>
        <v>0</v>
      </c>
      <c r="C4189">
        <f>IF(Sheet1!B4189&gt;0,1,0)</f>
        <v>0</v>
      </c>
    </row>
    <row r="4190" spans="1:3" x14ac:dyDescent="0.25">
      <c r="A4190" s="15">
        <f>Sheet1!A4190</f>
        <v>0</v>
      </c>
      <c r="B4190">
        <f>Sheet1!B4190</f>
        <v>0</v>
      </c>
      <c r="C4190">
        <f>IF(Sheet1!B4190&gt;0,1,0)</f>
        <v>0</v>
      </c>
    </row>
    <row r="4191" spans="1:3" x14ac:dyDescent="0.25">
      <c r="A4191" s="15">
        <f>Sheet1!A4191</f>
        <v>0</v>
      </c>
      <c r="B4191">
        <f>Sheet1!B4191</f>
        <v>0</v>
      </c>
      <c r="C4191">
        <f>IF(Sheet1!B4191&gt;0,1,0)</f>
        <v>0</v>
      </c>
    </row>
    <row r="4192" spans="1:3" x14ac:dyDescent="0.25">
      <c r="A4192" s="15">
        <f>Sheet1!A4192</f>
        <v>0</v>
      </c>
      <c r="B4192">
        <f>Sheet1!B4192</f>
        <v>0</v>
      </c>
      <c r="C4192">
        <f>IF(Sheet1!B4192&gt;0,1,0)</f>
        <v>0</v>
      </c>
    </row>
    <row r="4193" spans="1:3" x14ac:dyDescent="0.25">
      <c r="A4193" s="15">
        <f>Sheet1!A4193</f>
        <v>0</v>
      </c>
      <c r="B4193">
        <f>Sheet1!B4193</f>
        <v>0</v>
      </c>
      <c r="C4193">
        <f>IF(Sheet1!B4193&gt;0,1,0)</f>
        <v>0</v>
      </c>
    </row>
    <row r="4194" spans="1:3" x14ac:dyDescent="0.25">
      <c r="A4194" s="15">
        <f>Sheet1!A4194</f>
        <v>0</v>
      </c>
      <c r="B4194">
        <f>Sheet1!B4194</f>
        <v>0</v>
      </c>
      <c r="C4194">
        <f>IF(Sheet1!B4194&gt;0,1,0)</f>
        <v>0</v>
      </c>
    </row>
    <row r="4195" spans="1:3" x14ac:dyDescent="0.25">
      <c r="A4195" s="15">
        <f>Sheet1!A4195</f>
        <v>0</v>
      </c>
      <c r="B4195">
        <f>Sheet1!B4195</f>
        <v>0</v>
      </c>
      <c r="C4195">
        <f>IF(Sheet1!B4195&gt;0,1,0)</f>
        <v>0</v>
      </c>
    </row>
    <row r="4196" spans="1:3" x14ac:dyDescent="0.25">
      <c r="A4196" s="15">
        <f>Sheet1!A4196</f>
        <v>0</v>
      </c>
      <c r="B4196">
        <f>Sheet1!B4196</f>
        <v>16.579999999999998</v>
      </c>
      <c r="C4196">
        <f>IF(Sheet1!B4196&gt;0,1,0)</f>
        <v>1</v>
      </c>
    </row>
    <row r="4197" spans="1:3" x14ac:dyDescent="0.25">
      <c r="A4197" s="15">
        <f>Sheet1!A4197</f>
        <v>0</v>
      </c>
      <c r="B4197">
        <f>Sheet1!B4197</f>
        <v>0</v>
      </c>
      <c r="C4197">
        <f>IF(Sheet1!B4197&gt;0,1,0)</f>
        <v>0</v>
      </c>
    </row>
    <row r="4198" spans="1:3" x14ac:dyDescent="0.25">
      <c r="A4198" s="15">
        <f>Sheet1!A4198</f>
        <v>0</v>
      </c>
      <c r="B4198">
        <f>Sheet1!B4198</f>
        <v>0</v>
      </c>
      <c r="C4198">
        <f>IF(Sheet1!B4198&gt;0,1,0)</f>
        <v>0</v>
      </c>
    </row>
    <row r="4199" spans="1:3" x14ac:dyDescent="0.25">
      <c r="A4199" s="15">
        <f>Sheet1!A4199</f>
        <v>0</v>
      </c>
      <c r="B4199">
        <f>Sheet1!B4199</f>
        <v>0</v>
      </c>
      <c r="C4199">
        <f>IF(Sheet1!B4199&gt;0,1,0)</f>
        <v>0</v>
      </c>
    </row>
    <row r="4200" spans="1:3" x14ac:dyDescent="0.25">
      <c r="A4200" s="15">
        <f>Sheet1!A4200</f>
        <v>0</v>
      </c>
      <c r="B4200">
        <f>Sheet1!B4200</f>
        <v>11.81</v>
      </c>
      <c r="C4200">
        <f>IF(Sheet1!B4200&gt;0,1,0)</f>
        <v>1</v>
      </c>
    </row>
    <row r="4201" spans="1:3" x14ac:dyDescent="0.25">
      <c r="A4201" s="15">
        <f>Sheet1!A4201</f>
        <v>0</v>
      </c>
      <c r="B4201">
        <f>Sheet1!B4201</f>
        <v>0</v>
      </c>
      <c r="C4201">
        <f>IF(Sheet1!B4201&gt;0,1,0)</f>
        <v>0</v>
      </c>
    </row>
    <row r="4202" spans="1:3" x14ac:dyDescent="0.25">
      <c r="A4202" s="15">
        <f>Sheet1!A4202</f>
        <v>0</v>
      </c>
      <c r="B4202">
        <f>Sheet1!B4202</f>
        <v>0</v>
      </c>
      <c r="C4202">
        <f>IF(Sheet1!B4202&gt;0,1,0)</f>
        <v>0</v>
      </c>
    </row>
    <row r="4203" spans="1:3" x14ac:dyDescent="0.25">
      <c r="A4203" s="15">
        <f>Sheet1!A4203</f>
        <v>0</v>
      </c>
      <c r="B4203">
        <f>Sheet1!B4203</f>
        <v>0</v>
      </c>
      <c r="C4203">
        <f>IF(Sheet1!B4203&gt;0,1,0)</f>
        <v>0</v>
      </c>
    </row>
    <row r="4204" spans="1:3" x14ac:dyDescent="0.25">
      <c r="A4204" s="15">
        <f>Sheet1!A4204</f>
        <v>0</v>
      </c>
      <c r="B4204">
        <f>Sheet1!B4204</f>
        <v>8.9</v>
      </c>
      <c r="C4204">
        <f>IF(Sheet1!B4204&gt;0,1,0)</f>
        <v>1</v>
      </c>
    </row>
    <row r="4205" spans="1:3" x14ac:dyDescent="0.25">
      <c r="A4205" s="15">
        <f>Sheet1!A4205</f>
        <v>0</v>
      </c>
      <c r="B4205">
        <f>Sheet1!B4205</f>
        <v>0</v>
      </c>
      <c r="C4205">
        <f>IF(Sheet1!B4205&gt;0,1,0)</f>
        <v>0</v>
      </c>
    </row>
    <row r="4206" spans="1:3" x14ac:dyDescent="0.25">
      <c r="A4206" s="15">
        <f>Sheet1!A4206</f>
        <v>0</v>
      </c>
      <c r="B4206">
        <f>Sheet1!B4206</f>
        <v>0</v>
      </c>
      <c r="C4206">
        <f>IF(Sheet1!B4206&gt;0,1,0)</f>
        <v>0</v>
      </c>
    </row>
    <row r="4207" spans="1:3" x14ac:dyDescent="0.25">
      <c r="A4207" s="15">
        <f>Sheet1!A4207</f>
        <v>0</v>
      </c>
      <c r="B4207">
        <f>Sheet1!B4207</f>
        <v>0</v>
      </c>
      <c r="C4207">
        <f>IF(Sheet1!B4207&gt;0,1,0)</f>
        <v>0</v>
      </c>
    </row>
    <row r="4208" spans="1:3" x14ac:dyDescent="0.25">
      <c r="A4208" s="15">
        <f>Sheet1!A4208</f>
        <v>0</v>
      </c>
      <c r="B4208">
        <f>Sheet1!B4208</f>
        <v>7.29</v>
      </c>
      <c r="C4208">
        <f>IF(Sheet1!B4208&gt;0,1,0)</f>
        <v>1</v>
      </c>
    </row>
    <row r="4209" spans="1:3" x14ac:dyDescent="0.25">
      <c r="A4209" s="15">
        <f>Sheet1!A4209</f>
        <v>0</v>
      </c>
      <c r="B4209">
        <f>Sheet1!B4209</f>
        <v>0</v>
      </c>
      <c r="C4209">
        <f>IF(Sheet1!B4209&gt;0,1,0)</f>
        <v>0</v>
      </c>
    </row>
    <row r="4210" spans="1:3" x14ac:dyDescent="0.25">
      <c r="A4210" s="15">
        <f>Sheet1!A4210</f>
        <v>0</v>
      </c>
      <c r="B4210">
        <f>Sheet1!B4210</f>
        <v>0</v>
      </c>
      <c r="C4210">
        <f>IF(Sheet1!B4210&gt;0,1,0)</f>
        <v>0</v>
      </c>
    </row>
    <row r="4211" spans="1:3" x14ac:dyDescent="0.25">
      <c r="A4211" s="15">
        <f>Sheet1!A4211</f>
        <v>0</v>
      </c>
      <c r="B4211">
        <f>Sheet1!B4211</f>
        <v>0</v>
      </c>
      <c r="C4211">
        <f>IF(Sheet1!B4211&gt;0,1,0)</f>
        <v>0</v>
      </c>
    </row>
    <row r="4212" spans="1:3" x14ac:dyDescent="0.25">
      <c r="A4212" s="15">
        <f>Sheet1!A4212</f>
        <v>0</v>
      </c>
      <c r="B4212">
        <f>Sheet1!B4212</f>
        <v>0</v>
      </c>
      <c r="C4212">
        <f>IF(Sheet1!B4212&gt;0,1,0)</f>
        <v>0</v>
      </c>
    </row>
    <row r="4213" spans="1:3" x14ac:dyDescent="0.25">
      <c r="A4213" s="15">
        <f>Sheet1!A4213</f>
        <v>0</v>
      </c>
      <c r="B4213">
        <f>Sheet1!B4213</f>
        <v>0</v>
      </c>
      <c r="C4213">
        <f>IF(Sheet1!B4213&gt;0,1,0)</f>
        <v>0</v>
      </c>
    </row>
    <row r="4214" spans="1:3" x14ac:dyDescent="0.25">
      <c r="A4214" s="15">
        <f>Sheet1!A4214</f>
        <v>0</v>
      </c>
      <c r="B4214">
        <f>Sheet1!B4214</f>
        <v>11.38</v>
      </c>
      <c r="C4214">
        <f>IF(Sheet1!B4214&gt;0,1,0)</f>
        <v>1</v>
      </c>
    </row>
    <row r="4215" spans="1:3" x14ac:dyDescent="0.25">
      <c r="A4215" s="15">
        <f>Sheet1!A4215</f>
        <v>0</v>
      </c>
      <c r="B4215">
        <f>Sheet1!B4215</f>
        <v>0</v>
      </c>
      <c r="C4215">
        <f>IF(Sheet1!B4215&gt;0,1,0)</f>
        <v>0</v>
      </c>
    </row>
    <row r="4216" spans="1:3" x14ac:dyDescent="0.25">
      <c r="A4216" s="15">
        <f>Sheet1!A4216</f>
        <v>0</v>
      </c>
      <c r="B4216">
        <f>Sheet1!B4216</f>
        <v>0</v>
      </c>
      <c r="C4216">
        <f>IF(Sheet1!B4216&gt;0,1,0)</f>
        <v>0</v>
      </c>
    </row>
    <row r="4217" spans="1:3" x14ac:dyDescent="0.25">
      <c r="A4217" s="15">
        <f>Sheet1!A4217</f>
        <v>0</v>
      </c>
      <c r="B4217">
        <f>Sheet1!B4217</f>
        <v>0</v>
      </c>
      <c r="C4217">
        <f>IF(Sheet1!B4217&gt;0,1,0)</f>
        <v>0</v>
      </c>
    </row>
    <row r="4218" spans="1:3" x14ac:dyDescent="0.25">
      <c r="A4218" s="15">
        <f>Sheet1!A4218</f>
        <v>0</v>
      </c>
      <c r="B4218">
        <f>Sheet1!B4218</f>
        <v>0</v>
      </c>
      <c r="C4218">
        <f>IF(Sheet1!B4218&gt;0,1,0)</f>
        <v>0</v>
      </c>
    </row>
    <row r="4219" spans="1:3" x14ac:dyDescent="0.25">
      <c r="A4219" s="15">
        <f>Sheet1!A4219</f>
        <v>0</v>
      </c>
      <c r="B4219">
        <f>Sheet1!B4219</f>
        <v>0</v>
      </c>
      <c r="C4219">
        <f>IF(Sheet1!B4219&gt;0,1,0)</f>
        <v>0</v>
      </c>
    </row>
    <row r="4220" spans="1:3" x14ac:dyDescent="0.25">
      <c r="A4220" s="15">
        <f>Sheet1!A4220</f>
        <v>0</v>
      </c>
      <c r="B4220">
        <f>Sheet1!B4220</f>
        <v>12.27</v>
      </c>
      <c r="C4220">
        <f>IF(Sheet1!B4220&gt;0,1,0)</f>
        <v>1</v>
      </c>
    </row>
    <row r="4221" spans="1:3" x14ac:dyDescent="0.25">
      <c r="A4221" s="15">
        <f>Sheet1!A4221</f>
        <v>0</v>
      </c>
      <c r="B4221">
        <f>Sheet1!B4221</f>
        <v>0</v>
      </c>
      <c r="C4221">
        <f>IF(Sheet1!B4221&gt;0,1,0)</f>
        <v>0</v>
      </c>
    </row>
    <row r="4222" spans="1:3" x14ac:dyDescent="0.25">
      <c r="A4222" s="15">
        <f>Sheet1!A4222</f>
        <v>0</v>
      </c>
      <c r="B4222">
        <f>Sheet1!B4222</f>
        <v>0</v>
      </c>
      <c r="C4222">
        <f>IF(Sheet1!B4222&gt;0,1,0)</f>
        <v>0</v>
      </c>
    </row>
    <row r="4223" spans="1:3" x14ac:dyDescent="0.25">
      <c r="A4223" s="15">
        <f>Sheet1!A4223</f>
        <v>0</v>
      </c>
      <c r="B4223">
        <f>Sheet1!B4223</f>
        <v>0</v>
      </c>
      <c r="C4223">
        <f>IF(Sheet1!B4223&gt;0,1,0)</f>
        <v>0</v>
      </c>
    </row>
    <row r="4224" spans="1:3" x14ac:dyDescent="0.25">
      <c r="A4224" s="15">
        <f>Sheet1!A4224</f>
        <v>0</v>
      </c>
      <c r="B4224">
        <f>Sheet1!B4224</f>
        <v>11.35</v>
      </c>
      <c r="C4224">
        <f>IF(Sheet1!B4224&gt;0,1,0)</f>
        <v>1</v>
      </c>
    </row>
    <row r="4225" spans="1:3" x14ac:dyDescent="0.25">
      <c r="A4225" s="15">
        <f>Sheet1!A4225</f>
        <v>0</v>
      </c>
      <c r="B4225">
        <f>Sheet1!B4225</f>
        <v>0</v>
      </c>
      <c r="C4225">
        <f>IF(Sheet1!B4225&gt;0,1,0)</f>
        <v>0</v>
      </c>
    </row>
    <row r="4226" spans="1:3" x14ac:dyDescent="0.25">
      <c r="A4226" s="15">
        <f>Sheet1!A4226</f>
        <v>0</v>
      </c>
      <c r="B4226">
        <f>Sheet1!B4226</f>
        <v>0</v>
      </c>
      <c r="C4226">
        <f>IF(Sheet1!B4226&gt;0,1,0)</f>
        <v>0</v>
      </c>
    </row>
    <row r="4227" spans="1:3" x14ac:dyDescent="0.25">
      <c r="A4227" s="15">
        <f>Sheet1!A4227</f>
        <v>0</v>
      </c>
      <c r="B4227">
        <f>Sheet1!B4227</f>
        <v>0</v>
      </c>
      <c r="C4227">
        <f>IF(Sheet1!B4227&gt;0,1,0)</f>
        <v>0</v>
      </c>
    </row>
    <row r="4228" spans="1:3" x14ac:dyDescent="0.25">
      <c r="A4228" s="15">
        <f>Sheet1!A4228</f>
        <v>0</v>
      </c>
      <c r="B4228">
        <f>Sheet1!B4228</f>
        <v>10.4</v>
      </c>
      <c r="C4228">
        <f>IF(Sheet1!B4228&gt;0,1,0)</f>
        <v>1</v>
      </c>
    </row>
    <row r="4229" spans="1:3" x14ac:dyDescent="0.25">
      <c r="A4229" s="15">
        <f>Sheet1!A4229</f>
        <v>0</v>
      </c>
      <c r="B4229">
        <f>Sheet1!B4229</f>
        <v>10.02</v>
      </c>
      <c r="C4229">
        <f>IF(Sheet1!B4229&gt;0,1,0)</f>
        <v>1</v>
      </c>
    </row>
    <row r="4230" spans="1:3" x14ac:dyDescent="0.25">
      <c r="A4230" s="15">
        <f>Sheet1!A4230</f>
        <v>0</v>
      </c>
      <c r="B4230">
        <f>Sheet1!B4230</f>
        <v>10.29</v>
      </c>
      <c r="C4230">
        <f>IF(Sheet1!B4230&gt;0,1,0)</f>
        <v>1</v>
      </c>
    </row>
    <row r="4231" spans="1:3" x14ac:dyDescent="0.25">
      <c r="A4231" s="15">
        <f>Sheet1!A4231</f>
        <v>0</v>
      </c>
      <c r="B4231">
        <f>Sheet1!B4231</f>
        <v>0</v>
      </c>
      <c r="C4231">
        <f>IF(Sheet1!B4231&gt;0,1,0)</f>
        <v>0</v>
      </c>
    </row>
    <row r="4232" spans="1:3" x14ac:dyDescent="0.25">
      <c r="A4232" s="15">
        <f>Sheet1!A4232</f>
        <v>0</v>
      </c>
      <c r="B4232">
        <f>Sheet1!B4232</f>
        <v>0</v>
      </c>
      <c r="C4232">
        <f>IF(Sheet1!B4232&gt;0,1,0)</f>
        <v>0</v>
      </c>
    </row>
    <row r="4233" spans="1:3" x14ac:dyDescent="0.25">
      <c r="A4233" s="15">
        <f>Sheet1!A4233</f>
        <v>0</v>
      </c>
      <c r="B4233">
        <f>Sheet1!B4233</f>
        <v>0</v>
      </c>
      <c r="C4233">
        <f>IF(Sheet1!B4233&gt;0,1,0)</f>
        <v>0</v>
      </c>
    </row>
    <row r="4234" spans="1:3" x14ac:dyDescent="0.25">
      <c r="A4234" s="15">
        <f>Sheet1!A4234</f>
        <v>0</v>
      </c>
      <c r="B4234">
        <f>Sheet1!B4234</f>
        <v>14.8</v>
      </c>
      <c r="C4234">
        <f>IF(Sheet1!B4234&gt;0,1,0)</f>
        <v>1</v>
      </c>
    </row>
    <row r="4235" spans="1:3" x14ac:dyDescent="0.25">
      <c r="A4235" s="15">
        <f>Sheet1!A4235</f>
        <v>0</v>
      </c>
      <c r="B4235">
        <f>Sheet1!B4235</f>
        <v>0</v>
      </c>
      <c r="C4235">
        <f>IF(Sheet1!B4235&gt;0,1,0)</f>
        <v>0</v>
      </c>
    </row>
    <row r="4236" spans="1:3" x14ac:dyDescent="0.25">
      <c r="A4236" s="15">
        <f>Sheet1!A4236</f>
        <v>0</v>
      </c>
      <c r="B4236">
        <f>Sheet1!B4236</f>
        <v>0</v>
      </c>
      <c r="C4236">
        <f>IF(Sheet1!B4236&gt;0,1,0)</f>
        <v>0</v>
      </c>
    </row>
    <row r="4237" spans="1:3" x14ac:dyDescent="0.25">
      <c r="A4237" s="15">
        <f>Sheet1!A4237</f>
        <v>0</v>
      </c>
      <c r="B4237">
        <f>Sheet1!B4237</f>
        <v>0</v>
      </c>
      <c r="C4237">
        <f>IF(Sheet1!B4237&gt;0,1,0)</f>
        <v>0</v>
      </c>
    </row>
    <row r="4238" spans="1:3" x14ac:dyDescent="0.25">
      <c r="A4238" s="15">
        <f>Sheet1!A4238</f>
        <v>0</v>
      </c>
      <c r="B4238">
        <f>Sheet1!B4238</f>
        <v>15.8</v>
      </c>
      <c r="C4238">
        <f>IF(Sheet1!B4238&gt;0,1,0)</f>
        <v>1</v>
      </c>
    </row>
    <row r="4239" spans="1:3" x14ac:dyDescent="0.25">
      <c r="A4239" s="15">
        <f>Sheet1!A4239</f>
        <v>0</v>
      </c>
      <c r="B4239">
        <f>Sheet1!B4239</f>
        <v>0</v>
      </c>
      <c r="C4239">
        <f>IF(Sheet1!B4239&gt;0,1,0)</f>
        <v>0</v>
      </c>
    </row>
    <row r="4240" spans="1:3" x14ac:dyDescent="0.25">
      <c r="A4240" s="15">
        <f>Sheet1!A4240</f>
        <v>0</v>
      </c>
      <c r="B4240">
        <f>Sheet1!B4240</f>
        <v>0</v>
      </c>
      <c r="C4240">
        <f>IF(Sheet1!B4240&gt;0,1,0)</f>
        <v>0</v>
      </c>
    </row>
    <row r="4241" spans="1:3" x14ac:dyDescent="0.25">
      <c r="A4241" s="15">
        <f>Sheet1!A4241</f>
        <v>0</v>
      </c>
      <c r="B4241">
        <f>Sheet1!B4241</f>
        <v>0</v>
      </c>
      <c r="C4241">
        <f>IF(Sheet1!B4241&gt;0,1,0)</f>
        <v>0</v>
      </c>
    </row>
    <row r="4242" spans="1:3" x14ac:dyDescent="0.25">
      <c r="A4242" s="15">
        <f>Sheet1!A4242</f>
        <v>0</v>
      </c>
      <c r="B4242">
        <f>Sheet1!B4242</f>
        <v>0</v>
      </c>
      <c r="C4242">
        <f>IF(Sheet1!B4242&gt;0,1,0)</f>
        <v>0</v>
      </c>
    </row>
    <row r="4243" spans="1:3" x14ac:dyDescent="0.25">
      <c r="A4243" s="15">
        <f>Sheet1!A4243</f>
        <v>0</v>
      </c>
      <c r="B4243">
        <f>Sheet1!B4243</f>
        <v>0</v>
      </c>
      <c r="C4243">
        <f>IF(Sheet1!B4243&gt;0,1,0)</f>
        <v>0</v>
      </c>
    </row>
    <row r="4244" spans="1:3" x14ac:dyDescent="0.25">
      <c r="A4244" s="15">
        <f>Sheet1!A4244</f>
        <v>0</v>
      </c>
      <c r="B4244">
        <f>Sheet1!B4244</f>
        <v>0</v>
      </c>
      <c r="C4244">
        <f>IF(Sheet1!B4244&gt;0,1,0)</f>
        <v>0</v>
      </c>
    </row>
    <row r="4245" spans="1:3" x14ac:dyDescent="0.25">
      <c r="A4245" s="15">
        <f>Sheet1!A4245</f>
        <v>0</v>
      </c>
      <c r="B4245">
        <f>Sheet1!B4245</f>
        <v>0</v>
      </c>
      <c r="C4245">
        <f>IF(Sheet1!B4245&gt;0,1,0)</f>
        <v>0</v>
      </c>
    </row>
    <row r="4246" spans="1:3" x14ac:dyDescent="0.25">
      <c r="A4246" s="15">
        <f>Sheet1!A4246</f>
        <v>0</v>
      </c>
      <c r="B4246">
        <f>Sheet1!B4246</f>
        <v>0</v>
      </c>
      <c r="C4246">
        <f>IF(Sheet1!B4246&gt;0,1,0)</f>
        <v>0</v>
      </c>
    </row>
    <row r="4247" spans="1:3" x14ac:dyDescent="0.25">
      <c r="A4247" s="15">
        <f>Sheet1!A4247</f>
        <v>0</v>
      </c>
      <c r="B4247">
        <f>Sheet1!B4247</f>
        <v>0</v>
      </c>
      <c r="C4247">
        <f>IF(Sheet1!B4247&gt;0,1,0)</f>
        <v>0</v>
      </c>
    </row>
    <row r="4248" spans="1:3" x14ac:dyDescent="0.25">
      <c r="A4248" s="15">
        <f>Sheet1!A4248</f>
        <v>0</v>
      </c>
      <c r="B4248">
        <f>Sheet1!B4248</f>
        <v>15.46</v>
      </c>
      <c r="C4248">
        <f>IF(Sheet1!B4248&gt;0,1,0)</f>
        <v>1</v>
      </c>
    </row>
    <row r="4249" spans="1:3" x14ac:dyDescent="0.25">
      <c r="A4249" s="15">
        <f>Sheet1!A4249</f>
        <v>0</v>
      </c>
      <c r="B4249">
        <f>Sheet1!B4249</f>
        <v>0</v>
      </c>
      <c r="C4249">
        <f>IF(Sheet1!B4249&gt;0,1,0)</f>
        <v>0</v>
      </c>
    </row>
    <row r="4250" spans="1:3" x14ac:dyDescent="0.25">
      <c r="A4250" s="15">
        <f>Sheet1!A4250</f>
        <v>0</v>
      </c>
      <c r="B4250">
        <f>Sheet1!B4250</f>
        <v>0</v>
      </c>
      <c r="C4250">
        <f>IF(Sheet1!B4250&gt;0,1,0)</f>
        <v>0</v>
      </c>
    </row>
    <row r="4251" spans="1:3" x14ac:dyDescent="0.25">
      <c r="A4251" s="15">
        <f>Sheet1!A4251</f>
        <v>0</v>
      </c>
      <c r="B4251">
        <f>Sheet1!B4251</f>
        <v>0</v>
      </c>
      <c r="C4251">
        <f>IF(Sheet1!B4251&gt;0,1,0)</f>
        <v>0</v>
      </c>
    </row>
    <row r="4252" spans="1:3" x14ac:dyDescent="0.25">
      <c r="A4252" s="15">
        <f>Sheet1!A4252</f>
        <v>0</v>
      </c>
      <c r="B4252">
        <f>Sheet1!B4252</f>
        <v>10.98</v>
      </c>
      <c r="C4252">
        <f>IF(Sheet1!B4252&gt;0,1,0)</f>
        <v>1</v>
      </c>
    </row>
    <row r="4253" spans="1:3" x14ac:dyDescent="0.25">
      <c r="A4253" s="15">
        <f>Sheet1!A4253</f>
        <v>0</v>
      </c>
      <c r="B4253">
        <f>Sheet1!B4253</f>
        <v>9.5500000000000007</v>
      </c>
      <c r="C4253">
        <f>IF(Sheet1!B4253&gt;0,1,0)</f>
        <v>1</v>
      </c>
    </row>
    <row r="4254" spans="1:3" x14ac:dyDescent="0.25">
      <c r="A4254" s="15">
        <f>Sheet1!A4254</f>
        <v>0</v>
      </c>
      <c r="B4254">
        <f>Sheet1!B4254</f>
        <v>10.44</v>
      </c>
      <c r="C4254">
        <f>IF(Sheet1!B4254&gt;0,1,0)</f>
        <v>1</v>
      </c>
    </row>
    <row r="4255" spans="1:3" x14ac:dyDescent="0.25">
      <c r="A4255" s="15">
        <f>Sheet1!A4255</f>
        <v>0</v>
      </c>
      <c r="B4255">
        <f>Sheet1!B4255</f>
        <v>2.15</v>
      </c>
      <c r="C4255">
        <f>IF(Sheet1!B4255&gt;0,1,0)</f>
        <v>1</v>
      </c>
    </row>
    <row r="4256" spans="1:3" x14ac:dyDescent="0.25">
      <c r="A4256" s="15">
        <f>Sheet1!A4256</f>
        <v>0</v>
      </c>
      <c r="B4256">
        <f>Sheet1!B4256</f>
        <v>0</v>
      </c>
      <c r="C4256">
        <f>IF(Sheet1!B4256&gt;0,1,0)</f>
        <v>0</v>
      </c>
    </row>
    <row r="4257" spans="1:3" x14ac:dyDescent="0.25">
      <c r="A4257" s="15">
        <f>Sheet1!A4257</f>
        <v>0</v>
      </c>
      <c r="B4257">
        <f>Sheet1!B4257</f>
        <v>0</v>
      </c>
      <c r="C4257">
        <f>IF(Sheet1!B4257&gt;0,1,0)</f>
        <v>0</v>
      </c>
    </row>
    <row r="4258" spans="1:3" x14ac:dyDescent="0.25">
      <c r="A4258" s="15">
        <f>Sheet1!A4258</f>
        <v>0</v>
      </c>
      <c r="B4258">
        <f>Sheet1!B4258</f>
        <v>8.9499999999999993</v>
      </c>
      <c r="C4258">
        <f>IF(Sheet1!B4258&gt;0,1,0)</f>
        <v>1</v>
      </c>
    </row>
    <row r="4259" spans="1:3" x14ac:dyDescent="0.25">
      <c r="A4259" s="15">
        <f>Sheet1!A4259</f>
        <v>0</v>
      </c>
      <c r="B4259">
        <f>Sheet1!B4259</f>
        <v>8.75</v>
      </c>
      <c r="C4259">
        <f>IF(Sheet1!B4259&gt;0,1,0)</f>
        <v>1</v>
      </c>
    </row>
    <row r="4260" spans="1:3" x14ac:dyDescent="0.25">
      <c r="A4260" s="15">
        <f>Sheet1!A4260</f>
        <v>0</v>
      </c>
      <c r="B4260">
        <f>Sheet1!B4260</f>
        <v>0</v>
      </c>
      <c r="C4260">
        <f>IF(Sheet1!B4260&gt;0,1,0)</f>
        <v>0</v>
      </c>
    </row>
    <row r="4261" spans="1:3" x14ac:dyDescent="0.25">
      <c r="A4261" s="15">
        <f>Sheet1!A4261</f>
        <v>0</v>
      </c>
      <c r="B4261">
        <f>Sheet1!B4261</f>
        <v>0</v>
      </c>
      <c r="C4261">
        <f>IF(Sheet1!B4261&gt;0,1,0)</f>
        <v>0</v>
      </c>
    </row>
    <row r="4262" spans="1:3" x14ac:dyDescent="0.25">
      <c r="A4262" s="15">
        <f>Sheet1!A4262</f>
        <v>0</v>
      </c>
      <c r="B4262">
        <f>Sheet1!B4262</f>
        <v>0</v>
      </c>
      <c r="C4262">
        <f>IF(Sheet1!B4262&gt;0,1,0)</f>
        <v>0</v>
      </c>
    </row>
    <row r="4263" spans="1:3" x14ac:dyDescent="0.25">
      <c r="A4263" s="15">
        <f>Sheet1!A4263</f>
        <v>0</v>
      </c>
      <c r="B4263">
        <f>Sheet1!B4263</f>
        <v>0</v>
      </c>
      <c r="C4263">
        <f>IF(Sheet1!B4263&gt;0,1,0)</f>
        <v>0</v>
      </c>
    </row>
    <row r="4264" spans="1:3" x14ac:dyDescent="0.25">
      <c r="A4264" s="15">
        <f>Sheet1!A4264</f>
        <v>0</v>
      </c>
      <c r="B4264">
        <f>Sheet1!B4264</f>
        <v>15.73</v>
      </c>
      <c r="C4264">
        <f>IF(Sheet1!B4264&gt;0,1,0)</f>
        <v>1</v>
      </c>
    </row>
    <row r="4265" spans="1:3" x14ac:dyDescent="0.25">
      <c r="A4265" s="15">
        <f>Sheet1!A4265</f>
        <v>0</v>
      </c>
      <c r="B4265">
        <f>Sheet1!B4265</f>
        <v>0</v>
      </c>
      <c r="C4265">
        <f>IF(Sheet1!B4265&gt;0,1,0)</f>
        <v>0</v>
      </c>
    </row>
    <row r="4266" spans="1:3" x14ac:dyDescent="0.25">
      <c r="A4266" s="15">
        <f>Sheet1!A4266</f>
        <v>0</v>
      </c>
      <c r="B4266">
        <f>Sheet1!B4266</f>
        <v>0</v>
      </c>
      <c r="C4266">
        <f>IF(Sheet1!B4266&gt;0,1,0)</f>
        <v>0</v>
      </c>
    </row>
    <row r="4267" spans="1:3" x14ac:dyDescent="0.25">
      <c r="A4267" s="15">
        <f>Sheet1!A4267</f>
        <v>0</v>
      </c>
      <c r="B4267">
        <f>Sheet1!B4267</f>
        <v>12.74</v>
      </c>
      <c r="C4267">
        <f>IF(Sheet1!B4267&gt;0,1,0)</f>
        <v>1</v>
      </c>
    </row>
    <row r="4268" spans="1:3" x14ac:dyDescent="0.25">
      <c r="A4268" s="15">
        <f>Sheet1!A4268</f>
        <v>0</v>
      </c>
      <c r="B4268">
        <f>Sheet1!B4268</f>
        <v>0</v>
      </c>
      <c r="C4268">
        <f>IF(Sheet1!B4268&gt;0,1,0)</f>
        <v>0</v>
      </c>
    </row>
    <row r="4269" spans="1:3" x14ac:dyDescent="0.25">
      <c r="A4269" s="15">
        <f>Sheet1!A4269</f>
        <v>0</v>
      </c>
      <c r="B4269">
        <f>Sheet1!B4269</f>
        <v>0</v>
      </c>
      <c r="C4269">
        <f>IF(Sheet1!B4269&gt;0,1,0)</f>
        <v>0</v>
      </c>
    </row>
    <row r="4270" spans="1:3" x14ac:dyDescent="0.25">
      <c r="A4270" s="15">
        <f>Sheet1!A4270</f>
        <v>0</v>
      </c>
      <c r="B4270">
        <f>Sheet1!B4270</f>
        <v>16.41</v>
      </c>
      <c r="C4270">
        <f>IF(Sheet1!B4270&gt;0,1,0)</f>
        <v>1</v>
      </c>
    </row>
    <row r="4271" spans="1:3" x14ac:dyDescent="0.25">
      <c r="A4271" s="15">
        <f>Sheet1!A4271</f>
        <v>0</v>
      </c>
      <c r="B4271">
        <f>Sheet1!B4271</f>
        <v>0</v>
      </c>
      <c r="C4271">
        <f>IF(Sheet1!B4271&gt;0,1,0)</f>
        <v>0</v>
      </c>
    </row>
    <row r="4272" spans="1:3" x14ac:dyDescent="0.25">
      <c r="A4272" s="15">
        <f>Sheet1!A4272</f>
        <v>0</v>
      </c>
      <c r="B4272">
        <f>Sheet1!B4272</f>
        <v>0</v>
      </c>
      <c r="C4272">
        <f>IF(Sheet1!B4272&gt;0,1,0)</f>
        <v>0</v>
      </c>
    </row>
    <row r="4273" spans="1:3" x14ac:dyDescent="0.25">
      <c r="A4273" s="15">
        <f>Sheet1!A4273</f>
        <v>0</v>
      </c>
      <c r="B4273">
        <f>Sheet1!B4273</f>
        <v>0</v>
      </c>
      <c r="C4273">
        <f>IF(Sheet1!B4273&gt;0,1,0)</f>
        <v>0</v>
      </c>
    </row>
    <row r="4274" spans="1:3" x14ac:dyDescent="0.25">
      <c r="A4274" s="15">
        <f>Sheet1!A4274</f>
        <v>0</v>
      </c>
      <c r="B4274">
        <f>Sheet1!B4274</f>
        <v>9.94</v>
      </c>
      <c r="C4274">
        <f>IF(Sheet1!B4274&gt;0,1,0)</f>
        <v>1</v>
      </c>
    </row>
    <row r="4275" spans="1:3" x14ac:dyDescent="0.25">
      <c r="A4275" s="15">
        <f>Sheet1!A4275</f>
        <v>0</v>
      </c>
      <c r="B4275">
        <f>Sheet1!B4275</f>
        <v>0</v>
      </c>
      <c r="C4275">
        <f>IF(Sheet1!B4275&gt;0,1,0)</f>
        <v>0</v>
      </c>
    </row>
    <row r="4276" spans="1:3" x14ac:dyDescent="0.25">
      <c r="A4276" s="15">
        <f>Sheet1!A4276</f>
        <v>0</v>
      </c>
      <c r="B4276">
        <f>Sheet1!B4276</f>
        <v>0</v>
      </c>
      <c r="C4276">
        <f>IF(Sheet1!B4276&gt;0,1,0)</f>
        <v>0</v>
      </c>
    </row>
    <row r="4277" spans="1:3" x14ac:dyDescent="0.25">
      <c r="A4277" s="15">
        <f>Sheet1!A4277</f>
        <v>0</v>
      </c>
      <c r="B4277">
        <f>Sheet1!B4277</f>
        <v>0</v>
      </c>
      <c r="C4277">
        <f>IF(Sheet1!B4277&gt;0,1,0)</f>
        <v>0</v>
      </c>
    </row>
    <row r="4278" spans="1:3" x14ac:dyDescent="0.25">
      <c r="A4278" s="15">
        <f>Sheet1!A4278</f>
        <v>0</v>
      </c>
      <c r="B4278">
        <f>Sheet1!B4278</f>
        <v>10.72</v>
      </c>
      <c r="C4278">
        <f>IF(Sheet1!B4278&gt;0,1,0)</f>
        <v>1</v>
      </c>
    </row>
    <row r="4279" spans="1:3" x14ac:dyDescent="0.25">
      <c r="A4279" s="15">
        <f>Sheet1!A4279</f>
        <v>0</v>
      </c>
      <c r="B4279">
        <f>Sheet1!B4279</f>
        <v>0</v>
      </c>
      <c r="C4279">
        <f>IF(Sheet1!B4279&gt;0,1,0)</f>
        <v>0</v>
      </c>
    </row>
    <row r="4280" spans="1:3" x14ac:dyDescent="0.25">
      <c r="A4280" s="15">
        <f>Sheet1!A4280</f>
        <v>0</v>
      </c>
      <c r="B4280">
        <f>Sheet1!B4280</f>
        <v>0</v>
      </c>
      <c r="C4280">
        <f>IF(Sheet1!B4280&gt;0,1,0)</f>
        <v>0</v>
      </c>
    </row>
    <row r="4281" spans="1:3" x14ac:dyDescent="0.25">
      <c r="A4281" s="15">
        <f>Sheet1!A4281</f>
        <v>0</v>
      </c>
      <c r="B4281">
        <f>Sheet1!B4281</f>
        <v>0</v>
      </c>
      <c r="C4281">
        <f>IF(Sheet1!B4281&gt;0,1,0)</f>
        <v>0</v>
      </c>
    </row>
    <row r="4282" spans="1:3" x14ac:dyDescent="0.25">
      <c r="A4282" s="15">
        <f>Sheet1!A4282</f>
        <v>0</v>
      </c>
      <c r="B4282">
        <f>Sheet1!B4282</f>
        <v>12.33</v>
      </c>
      <c r="C4282">
        <f>IF(Sheet1!B4282&gt;0,1,0)</f>
        <v>1</v>
      </c>
    </row>
    <row r="4283" spans="1:3" x14ac:dyDescent="0.25">
      <c r="A4283" s="15">
        <f>Sheet1!A4283</f>
        <v>0</v>
      </c>
      <c r="B4283">
        <f>Sheet1!B4283</f>
        <v>0</v>
      </c>
      <c r="C4283">
        <f>IF(Sheet1!B4283&gt;0,1,0)</f>
        <v>0</v>
      </c>
    </row>
    <row r="4284" spans="1:3" x14ac:dyDescent="0.25">
      <c r="A4284" s="15">
        <f>Sheet1!A4284</f>
        <v>0</v>
      </c>
      <c r="B4284">
        <f>Sheet1!B4284</f>
        <v>0</v>
      </c>
      <c r="C4284">
        <f>IF(Sheet1!B4284&gt;0,1,0)</f>
        <v>0</v>
      </c>
    </row>
    <row r="4285" spans="1:3" x14ac:dyDescent="0.25">
      <c r="A4285" s="15">
        <f>Sheet1!A4285</f>
        <v>0</v>
      </c>
      <c r="B4285">
        <f>Sheet1!B4285</f>
        <v>0</v>
      </c>
      <c r="C4285">
        <f>IF(Sheet1!B4285&gt;0,1,0)</f>
        <v>0</v>
      </c>
    </row>
    <row r="4286" spans="1:3" x14ac:dyDescent="0.25">
      <c r="A4286" s="15">
        <f>Sheet1!A4286</f>
        <v>0</v>
      </c>
      <c r="B4286">
        <f>Sheet1!B4286</f>
        <v>0</v>
      </c>
      <c r="C4286">
        <f>IF(Sheet1!B4286&gt;0,1,0)</f>
        <v>0</v>
      </c>
    </row>
    <row r="4287" spans="1:3" x14ac:dyDescent="0.25">
      <c r="A4287" s="15">
        <f>Sheet1!A4287</f>
        <v>0</v>
      </c>
      <c r="B4287">
        <f>Sheet1!B4287</f>
        <v>0</v>
      </c>
      <c r="C4287">
        <f>IF(Sheet1!B4287&gt;0,1,0)</f>
        <v>0</v>
      </c>
    </row>
    <row r="4288" spans="1:3" x14ac:dyDescent="0.25">
      <c r="A4288" s="15">
        <f>Sheet1!A4288</f>
        <v>0</v>
      </c>
      <c r="B4288">
        <f>Sheet1!B4288</f>
        <v>0</v>
      </c>
      <c r="C4288">
        <f>IF(Sheet1!B4288&gt;0,1,0)</f>
        <v>0</v>
      </c>
    </row>
    <row r="4289" spans="1:3" x14ac:dyDescent="0.25">
      <c r="A4289" s="15">
        <f>Sheet1!A4289</f>
        <v>0</v>
      </c>
      <c r="B4289">
        <f>Sheet1!B4289</f>
        <v>0</v>
      </c>
      <c r="C4289">
        <f>IF(Sheet1!B4289&gt;0,1,0)</f>
        <v>0</v>
      </c>
    </row>
    <row r="4290" spans="1:3" x14ac:dyDescent="0.25">
      <c r="A4290" s="15">
        <f>Sheet1!A4290</f>
        <v>0</v>
      </c>
      <c r="B4290">
        <f>Sheet1!B4290</f>
        <v>0</v>
      </c>
      <c r="C4290">
        <f>IF(Sheet1!B4290&gt;0,1,0)</f>
        <v>0</v>
      </c>
    </row>
    <row r="4291" spans="1:3" x14ac:dyDescent="0.25">
      <c r="A4291" s="15">
        <f>Sheet1!A4291</f>
        <v>0</v>
      </c>
      <c r="B4291">
        <f>Sheet1!B4291</f>
        <v>14.45</v>
      </c>
      <c r="C4291">
        <f>IF(Sheet1!B4291&gt;0,1,0)</f>
        <v>1</v>
      </c>
    </row>
    <row r="4292" spans="1:3" x14ac:dyDescent="0.25">
      <c r="A4292" s="15">
        <f>Sheet1!A4292</f>
        <v>0</v>
      </c>
      <c r="B4292">
        <f>Sheet1!B4292</f>
        <v>0</v>
      </c>
      <c r="C4292">
        <f>IF(Sheet1!B4292&gt;0,1,0)</f>
        <v>0</v>
      </c>
    </row>
    <row r="4293" spans="1:3" x14ac:dyDescent="0.25">
      <c r="A4293" s="15">
        <f>Sheet1!A4293</f>
        <v>0</v>
      </c>
      <c r="B4293">
        <f>Sheet1!B4293</f>
        <v>0</v>
      </c>
      <c r="C4293">
        <f>IF(Sheet1!B4293&gt;0,1,0)</f>
        <v>0</v>
      </c>
    </row>
    <row r="4294" spans="1:3" x14ac:dyDescent="0.25">
      <c r="A4294" s="15">
        <f>Sheet1!A4294</f>
        <v>0</v>
      </c>
      <c r="B4294">
        <f>Sheet1!B4294</f>
        <v>0</v>
      </c>
      <c r="C4294">
        <f>IF(Sheet1!B4294&gt;0,1,0)</f>
        <v>0</v>
      </c>
    </row>
    <row r="4295" spans="1:3" x14ac:dyDescent="0.25">
      <c r="A4295" s="15">
        <f>Sheet1!A4295</f>
        <v>0</v>
      </c>
      <c r="B4295">
        <f>Sheet1!B4295</f>
        <v>0</v>
      </c>
      <c r="C4295">
        <f>IF(Sheet1!B4295&gt;0,1,0)</f>
        <v>0</v>
      </c>
    </row>
    <row r="4296" spans="1:3" x14ac:dyDescent="0.25">
      <c r="A4296" s="15">
        <f>Sheet1!A4296</f>
        <v>0</v>
      </c>
      <c r="B4296">
        <f>Sheet1!B4296</f>
        <v>14.06</v>
      </c>
      <c r="C4296">
        <f>IF(Sheet1!B4296&gt;0,1,0)</f>
        <v>1</v>
      </c>
    </row>
    <row r="4297" spans="1:3" x14ac:dyDescent="0.25">
      <c r="A4297" s="15">
        <f>Sheet1!A4297</f>
        <v>0</v>
      </c>
      <c r="B4297">
        <f>Sheet1!B4297</f>
        <v>0</v>
      </c>
      <c r="C4297">
        <f>IF(Sheet1!B4297&gt;0,1,0)</f>
        <v>0</v>
      </c>
    </row>
    <row r="4298" spans="1:3" x14ac:dyDescent="0.25">
      <c r="A4298" s="15">
        <f>Sheet1!A4298</f>
        <v>0</v>
      </c>
      <c r="B4298">
        <f>Sheet1!B4298</f>
        <v>0</v>
      </c>
      <c r="C4298">
        <f>IF(Sheet1!B4298&gt;0,1,0)</f>
        <v>0</v>
      </c>
    </row>
    <row r="4299" spans="1:3" x14ac:dyDescent="0.25">
      <c r="A4299" s="15">
        <f>Sheet1!A4299</f>
        <v>0</v>
      </c>
      <c r="B4299">
        <f>Sheet1!B4299</f>
        <v>0</v>
      </c>
      <c r="C4299">
        <f>IF(Sheet1!B4299&gt;0,1,0)</f>
        <v>0</v>
      </c>
    </row>
    <row r="4300" spans="1:3" x14ac:dyDescent="0.25">
      <c r="A4300" s="15">
        <f>Sheet1!A4300</f>
        <v>0</v>
      </c>
      <c r="B4300">
        <f>Sheet1!B4300</f>
        <v>10.199999999999999</v>
      </c>
      <c r="C4300">
        <f>IF(Sheet1!B4300&gt;0,1,0)</f>
        <v>1</v>
      </c>
    </row>
    <row r="4301" spans="1:3" x14ac:dyDescent="0.25">
      <c r="A4301" s="15">
        <f>Sheet1!A4301</f>
        <v>0</v>
      </c>
      <c r="B4301">
        <f>Sheet1!B4301</f>
        <v>0</v>
      </c>
      <c r="C4301">
        <f>IF(Sheet1!B4301&gt;0,1,0)</f>
        <v>0</v>
      </c>
    </row>
    <row r="4302" spans="1:3" x14ac:dyDescent="0.25">
      <c r="A4302" s="15">
        <f>Sheet1!A4302</f>
        <v>0</v>
      </c>
      <c r="B4302">
        <f>Sheet1!B4302</f>
        <v>0</v>
      </c>
      <c r="C4302">
        <f>IF(Sheet1!B4302&gt;0,1,0)</f>
        <v>0</v>
      </c>
    </row>
    <row r="4303" spans="1:3" x14ac:dyDescent="0.25">
      <c r="A4303" s="15">
        <f>Sheet1!A4303</f>
        <v>0</v>
      </c>
      <c r="B4303">
        <f>Sheet1!B4303</f>
        <v>0</v>
      </c>
      <c r="C4303">
        <f>IF(Sheet1!B4303&gt;0,1,0)</f>
        <v>0</v>
      </c>
    </row>
    <row r="4304" spans="1:3" x14ac:dyDescent="0.25">
      <c r="A4304" s="15">
        <f>Sheet1!A4304</f>
        <v>0</v>
      </c>
      <c r="B4304">
        <f>Sheet1!B4304</f>
        <v>11.03</v>
      </c>
      <c r="C4304">
        <f>IF(Sheet1!B4304&gt;0,1,0)</f>
        <v>1</v>
      </c>
    </row>
    <row r="4305" spans="1:3" x14ac:dyDescent="0.25">
      <c r="A4305" s="15">
        <f>Sheet1!A4305</f>
        <v>0</v>
      </c>
      <c r="B4305">
        <f>Sheet1!B4305</f>
        <v>0</v>
      </c>
      <c r="C4305">
        <f>IF(Sheet1!B4305&gt;0,1,0)</f>
        <v>0</v>
      </c>
    </row>
    <row r="4306" spans="1:3" x14ac:dyDescent="0.25">
      <c r="A4306" s="15">
        <f>Sheet1!A4306</f>
        <v>0</v>
      </c>
      <c r="B4306">
        <f>Sheet1!B4306</f>
        <v>0</v>
      </c>
      <c r="C4306">
        <f>IF(Sheet1!B4306&gt;0,1,0)</f>
        <v>0</v>
      </c>
    </row>
    <row r="4307" spans="1:3" x14ac:dyDescent="0.25">
      <c r="A4307" s="15">
        <f>Sheet1!A4307</f>
        <v>0</v>
      </c>
      <c r="B4307">
        <f>Sheet1!B4307</f>
        <v>0</v>
      </c>
      <c r="C4307">
        <f>IF(Sheet1!B4307&gt;0,1,0)</f>
        <v>0</v>
      </c>
    </row>
    <row r="4308" spans="1:3" x14ac:dyDescent="0.25">
      <c r="A4308" s="15">
        <f>Sheet1!A4308</f>
        <v>0</v>
      </c>
      <c r="B4308">
        <f>Sheet1!B4308</f>
        <v>11.62</v>
      </c>
      <c r="C4308">
        <f>IF(Sheet1!B4308&gt;0,1,0)</f>
        <v>1</v>
      </c>
    </row>
    <row r="4309" spans="1:3" x14ac:dyDescent="0.25">
      <c r="A4309" s="15">
        <f>Sheet1!A4309</f>
        <v>0</v>
      </c>
      <c r="B4309">
        <f>Sheet1!B4309</f>
        <v>0</v>
      </c>
      <c r="C4309">
        <f>IF(Sheet1!B4309&gt;0,1,0)</f>
        <v>0</v>
      </c>
    </row>
    <row r="4310" spans="1:3" x14ac:dyDescent="0.25">
      <c r="A4310" s="15">
        <f>Sheet1!A4310</f>
        <v>0</v>
      </c>
      <c r="B4310">
        <f>Sheet1!B4310</f>
        <v>0</v>
      </c>
      <c r="C4310">
        <f>IF(Sheet1!B4310&gt;0,1,0)</f>
        <v>0</v>
      </c>
    </row>
    <row r="4311" spans="1:3" x14ac:dyDescent="0.25">
      <c r="A4311" s="15">
        <f>Sheet1!A4311</f>
        <v>0</v>
      </c>
      <c r="B4311">
        <f>Sheet1!B4311</f>
        <v>0</v>
      </c>
      <c r="C4311">
        <f>IF(Sheet1!B4311&gt;0,1,0)</f>
        <v>0</v>
      </c>
    </row>
    <row r="4312" spans="1:3" x14ac:dyDescent="0.25">
      <c r="A4312" s="15">
        <f>Sheet1!A4312</f>
        <v>0</v>
      </c>
      <c r="B4312">
        <f>Sheet1!B4312</f>
        <v>13.95</v>
      </c>
      <c r="C4312">
        <f>IF(Sheet1!B4312&gt;0,1,0)</f>
        <v>1</v>
      </c>
    </row>
    <row r="4313" spans="1:3" x14ac:dyDescent="0.25">
      <c r="A4313" s="15">
        <f>Sheet1!A4313</f>
        <v>0</v>
      </c>
      <c r="B4313">
        <f>Sheet1!B4313</f>
        <v>0</v>
      </c>
      <c r="C4313">
        <f>IF(Sheet1!B4313&gt;0,1,0)</f>
        <v>0</v>
      </c>
    </row>
    <row r="4314" spans="1:3" x14ac:dyDescent="0.25">
      <c r="A4314" s="15">
        <f>Sheet1!A4314</f>
        <v>0</v>
      </c>
      <c r="B4314">
        <f>Sheet1!B4314</f>
        <v>0</v>
      </c>
      <c r="C4314">
        <f>IF(Sheet1!B4314&gt;0,1,0)</f>
        <v>0</v>
      </c>
    </row>
    <row r="4315" spans="1:3" x14ac:dyDescent="0.25">
      <c r="A4315" s="15">
        <f>Sheet1!A4315</f>
        <v>0</v>
      </c>
      <c r="B4315">
        <f>Sheet1!B4315</f>
        <v>0</v>
      </c>
      <c r="C4315">
        <f>IF(Sheet1!B4315&gt;0,1,0)</f>
        <v>0</v>
      </c>
    </row>
    <row r="4316" spans="1:3" x14ac:dyDescent="0.25">
      <c r="A4316" s="15">
        <f>Sheet1!A4316</f>
        <v>0</v>
      </c>
      <c r="B4316">
        <f>Sheet1!B4316</f>
        <v>13.03</v>
      </c>
      <c r="C4316">
        <f>IF(Sheet1!B4316&gt;0,1,0)</f>
        <v>1</v>
      </c>
    </row>
    <row r="4317" spans="1:3" x14ac:dyDescent="0.25">
      <c r="A4317" s="15">
        <f>Sheet1!A4317</f>
        <v>0</v>
      </c>
      <c r="B4317">
        <f>Sheet1!B4317</f>
        <v>0</v>
      </c>
      <c r="C4317">
        <f>IF(Sheet1!B4317&gt;0,1,0)</f>
        <v>0</v>
      </c>
    </row>
    <row r="4318" spans="1:3" x14ac:dyDescent="0.25">
      <c r="A4318" s="15">
        <f>Sheet1!A4318</f>
        <v>0</v>
      </c>
      <c r="B4318">
        <f>Sheet1!B4318</f>
        <v>0</v>
      </c>
      <c r="C4318">
        <f>IF(Sheet1!B4318&gt;0,1,0)</f>
        <v>0</v>
      </c>
    </row>
    <row r="4319" spans="1:3" x14ac:dyDescent="0.25">
      <c r="A4319" s="15">
        <f>Sheet1!A4319</f>
        <v>0</v>
      </c>
      <c r="B4319">
        <f>Sheet1!B4319</f>
        <v>0</v>
      </c>
      <c r="C4319">
        <f>IF(Sheet1!B4319&gt;0,1,0)</f>
        <v>0</v>
      </c>
    </row>
    <row r="4320" spans="1:3" x14ac:dyDescent="0.25">
      <c r="A4320" s="15">
        <f>Sheet1!A4320</f>
        <v>0</v>
      </c>
      <c r="B4320">
        <f>Sheet1!B4320</f>
        <v>13.54</v>
      </c>
      <c r="C4320">
        <f>IF(Sheet1!B4320&gt;0,1,0)</f>
        <v>1</v>
      </c>
    </row>
    <row r="4321" spans="1:3" x14ac:dyDescent="0.25">
      <c r="A4321" s="15">
        <f>Sheet1!A4321</f>
        <v>0</v>
      </c>
      <c r="B4321">
        <f>Sheet1!B4321</f>
        <v>0</v>
      </c>
      <c r="C4321">
        <f>IF(Sheet1!B4321&gt;0,1,0)</f>
        <v>0</v>
      </c>
    </row>
    <row r="4322" spans="1:3" x14ac:dyDescent="0.25">
      <c r="A4322" s="15">
        <f>Sheet1!A4322</f>
        <v>0</v>
      </c>
      <c r="B4322">
        <f>Sheet1!B4322</f>
        <v>0</v>
      </c>
      <c r="C4322">
        <f>IF(Sheet1!B4322&gt;0,1,0)</f>
        <v>0</v>
      </c>
    </row>
    <row r="4323" spans="1:3" x14ac:dyDescent="0.25">
      <c r="A4323" s="15">
        <f>Sheet1!A4323</f>
        <v>0</v>
      </c>
      <c r="B4323">
        <f>Sheet1!B4323</f>
        <v>0</v>
      </c>
      <c r="C4323">
        <f>IF(Sheet1!B4323&gt;0,1,0)</f>
        <v>0</v>
      </c>
    </row>
    <row r="4324" spans="1:3" x14ac:dyDescent="0.25">
      <c r="A4324" s="15">
        <f>Sheet1!A4324</f>
        <v>0</v>
      </c>
      <c r="B4324">
        <f>Sheet1!B4324</f>
        <v>8.58</v>
      </c>
      <c r="C4324">
        <f>IF(Sheet1!B4324&gt;0,1,0)</f>
        <v>1</v>
      </c>
    </row>
    <row r="4325" spans="1:3" x14ac:dyDescent="0.25">
      <c r="A4325" s="15">
        <f>Sheet1!A4325</f>
        <v>0</v>
      </c>
      <c r="B4325">
        <f>Sheet1!B4325</f>
        <v>7.87</v>
      </c>
      <c r="C4325">
        <f>IF(Sheet1!B4325&gt;0,1,0)</f>
        <v>1</v>
      </c>
    </row>
    <row r="4326" spans="1:3" x14ac:dyDescent="0.25">
      <c r="A4326" s="15">
        <f>Sheet1!A4326</f>
        <v>0</v>
      </c>
      <c r="B4326">
        <f>Sheet1!B4326</f>
        <v>7.88</v>
      </c>
      <c r="C4326">
        <f>IF(Sheet1!B4326&gt;0,1,0)</f>
        <v>1</v>
      </c>
    </row>
    <row r="4327" spans="1:3" x14ac:dyDescent="0.25">
      <c r="A4327" s="15">
        <f>Sheet1!A4327</f>
        <v>0</v>
      </c>
      <c r="B4327">
        <f>Sheet1!B4327</f>
        <v>0</v>
      </c>
      <c r="C4327">
        <f>IF(Sheet1!B4327&gt;0,1,0)</f>
        <v>0</v>
      </c>
    </row>
    <row r="4328" spans="1:3" x14ac:dyDescent="0.25">
      <c r="A4328" s="15">
        <f>Sheet1!A4328</f>
        <v>0</v>
      </c>
      <c r="B4328">
        <f>Sheet1!B4328</f>
        <v>0</v>
      </c>
      <c r="C4328">
        <f>IF(Sheet1!B4328&gt;0,1,0)</f>
        <v>0</v>
      </c>
    </row>
    <row r="4329" spans="1:3" x14ac:dyDescent="0.25">
      <c r="A4329" s="15">
        <f>Sheet1!A4329</f>
        <v>0</v>
      </c>
      <c r="B4329">
        <f>Sheet1!B4329</f>
        <v>0</v>
      </c>
      <c r="C4329">
        <f>IF(Sheet1!B4329&gt;0,1,0)</f>
        <v>0</v>
      </c>
    </row>
    <row r="4330" spans="1:3" x14ac:dyDescent="0.25">
      <c r="A4330" s="15">
        <f>Sheet1!A4330</f>
        <v>0</v>
      </c>
      <c r="B4330">
        <f>Sheet1!B4330</f>
        <v>13.74</v>
      </c>
      <c r="C4330">
        <f>IF(Sheet1!B4330&gt;0,1,0)</f>
        <v>1</v>
      </c>
    </row>
    <row r="4331" spans="1:3" x14ac:dyDescent="0.25">
      <c r="A4331" s="15">
        <f>Sheet1!A4331</f>
        <v>0</v>
      </c>
      <c r="B4331">
        <f>Sheet1!B4331</f>
        <v>0</v>
      </c>
      <c r="C4331">
        <f>IF(Sheet1!B4331&gt;0,1,0)</f>
        <v>0</v>
      </c>
    </row>
    <row r="4332" spans="1:3" x14ac:dyDescent="0.25">
      <c r="A4332" s="15">
        <f>Sheet1!A4332</f>
        <v>0</v>
      </c>
      <c r="B4332">
        <f>Sheet1!B4332</f>
        <v>13.5</v>
      </c>
      <c r="C4332">
        <f>IF(Sheet1!B4332&gt;0,1,0)</f>
        <v>1</v>
      </c>
    </row>
    <row r="4333" spans="1:3" x14ac:dyDescent="0.25">
      <c r="A4333" s="15">
        <f>Sheet1!A4333</f>
        <v>0</v>
      </c>
      <c r="B4333">
        <f>Sheet1!B4333</f>
        <v>0</v>
      </c>
      <c r="C4333">
        <f>IF(Sheet1!B4333&gt;0,1,0)</f>
        <v>0</v>
      </c>
    </row>
    <row r="4334" spans="1:3" x14ac:dyDescent="0.25">
      <c r="A4334" s="15">
        <f>Sheet1!A4334</f>
        <v>0</v>
      </c>
      <c r="B4334">
        <f>Sheet1!B4334</f>
        <v>0</v>
      </c>
      <c r="C4334">
        <f>IF(Sheet1!B4334&gt;0,1,0)</f>
        <v>0</v>
      </c>
    </row>
    <row r="4335" spans="1:3" x14ac:dyDescent="0.25">
      <c r="A4335" s="15">
        <f>Sheet1!A4335</f>
        <v>0</v>
      </c>
      <c r="B4335">
        <f>Sheet1!B4335</f>
        <v>0</v>
      </c>
      <c r="C4335">
        <f>IF(Sheet1!B4335&gt;0,1,0)</f>
        <v>0</v>
      </c>
    </row>
    <row r="4336" spans="1:3" x14ac:dyDescent="0.25">
      <c r="A4336" s="15">
        <f>Sheet1!A4336</f>
        <v>0</v>
      </c>
      <c r="B4336">
        <f>Sheet1!B4336</f>
        <v>12.54</v>
      </c>
      <c r="C4336">
        <f>IF(Sheet1!B4336&gt;0,1,0)</f>
        <v>1</v>
      </c>
    </row>
    <row r="4337" spans="1:3" x14ac:dyDescent="0.25">
      <c r="A4337" s="15">
        <f>Sheet1!A4337</f>
        <v>0</v>
      </c>
      <c r="B4337">
        <f>Sheet1!B4337</f>
        <v>0</v>
      </c>
      <c r="C4337">
        <f>IF(Sheet1!B4337&gt;0,1,0)</f>
        <v>0</v>
      </c>
    </row>
    <row r="4338" spans="1:3" x14ac:dyDescent="0.25">
      <c r="A4338" s="15">
        <f>Sheet1!A4338</f>
        <v>0</v>
      </c>
      <c r="B4338">
        <f>Sheet1!B4338</f>
        <v>0</v>
      </c>
      <c r="C4338">
        <f>IF(Sheet1!B4338&gt;0,1,0)</f>
        <v>0</v>
      </c>
    </row>
    <row r="4339" spans="1:3" x14ac:dyDescent="0.25">
      <c r="A4339" s="15">
        <f>Sheet1!A4339</f>
        <v>0</v>
      </c>
      <c r="B4339">
        <f>Sheet1!B4339</f>
        <v>0</v>
      </c>
      <c r="C4339">
        <f>IF(Sheet1!B4339&gt;0,1,0)</f>
        <v>0</v>
      </c>
    </row>
    <row r="4340" spans="1:3" x14ac:dyDescent="0.25">
      <c r="A4340" s="15">
        <f>Sheet1!A4340</f>
        <v>0</v>
      </c>
      <c r="B4340">
        <f>Sheet1!B4340</f>
        <v>0</v>
      </c>
      <c r="C4340">
        <f>IF(Sheet1!B4340&gt;0,1,0)</f>
        <v>0</v>
      </c>
    </row>
    <row r="4341" spans="1:3" x14ac:dyDescent="0.25">
      <c r="A4341" s="15">
        <f>Sheet1!A4341</f>
        <v>0</v>
      </c>
      <c r="B4341">
        <f>Sheet1!B4341</f>
        <v>0</v>
      </c>
      <c r="C4341">
        <f>IF(Sheet1!B4341&gt;0,1,0)</f>
        <v>0</v>
      </c>
    </row>
    <row r="4342" spans="1:3" x14ac:dyDescent="0.25">
      <c r="A4342" s="15">
        <f>Sheet1!A4342</f>
        <v>0</v>
      </c>
      <c r="B4342">
        <f>Sheet1!B4342</f>
        <v>11.95</v>
      </c>
      <c r="C4342">
        <f>IF(Sheet1!B4342&gt;0,1,0)</f>
        <v>1</v>
      </c>
    </row>
    <row r="4343" spans="1:3" x14ac:dyDescent="0.25">
      <c r="A4343" s="15">
        <f>Sheet1!A4343</f>
        <v>0</v>
      </c>
      <c r="B4343">
        <f>Sheet1!B4343</f>
        <v>10.02</v>
      </c>
      <c r="C4343">
        <f>IF(Sheet1!B4343&gt;0,1,0)</f>
        <v>1</v>
      </c>
    </row>
    <row r="4344" spans="1:3" x14ac:dyDescent="0.25">
      <c r="A4344" s="15">
        <f>Sheet1!A4344</f>
        <v>0</v>
      </c>
      <c r="B4344">
        <f>Sheet1!B4344</f>
        <v>10.29</v>
      </c>
      <c r="C4344">
        <f>IF(Sheet1!B4344&gt;0,1,0)</f>
        <v>1</v>
      </c>
    </row>
    <row r="4345" spans="1:3" x14ac:dyDescent="0.25">
      <c r="A4345" s="15">
        <f>Sheet1!A4345</f>
        <v>0</v>
      </c>
      <c r="B4345">
        <f>Sheet1!B4345</f>
        <v>0</v>
      </c>
      <c r="C4345">
        <f>IF(Sheet1!B4345&gt;0,1,0)</f>
        <v>0</v>
      </c>
    </row>
    <row r="4346" spans="1:3" x14ac:dyDescent="0.25">
      <c r="A4346" s="15">
        <f>Sheet1!A4346</f>
        <v>0</v>
      </c>
      <c r="B4346">
        <f>Sheet1!B4346</f>
        <v>0</v>
      </c>
      <c r="C4346">
        <f>IF(Sheet1!B4346&gt;0,1,0)</f>
        <v>0</v>
      </c>
    </row>
    <row r="4347" spans="1:3" x14ac:dyDescent="0.25">
      <c r="A4347" s="15">
        <f>Sheet1!A4347</f>
        <v>0</v>
      </c>
      <c r="B4347">
        <f>Sheet1!B4347</f>
        <v>9.2200000000000006</v>
      </c>
      <c r="C4347">
        <f>IF(Sheet1!B4347&gt;0,1,0)</f>
        <v>1</v>
      </c>
    </row>
    <row r="4348" spans="1:3" x14ac:dyDescent="0.25">
      <c r="A4348" s="15">
        <f>Sheet1!A4348</f>
        <v>0</v>
      </c>
      <c r="B4348">
        <f>Sheet1!B4348</f>
        <v>8.82</v>
      </c>
      <c r="C4348">
        <f>IF(Sheet1!B4348&gt;0,1,0)</f>
        <v>1</v>
      </c>
    </row>
    <row r="4349" spans="1:3" x14ac:dyDescent="0.25">
      <c r="A4349" s="15">
        <f>Sheet1!A4349</f>
        <v>0</v>
      </c>
      <c r="B4349">
        <f>Sheet1!B4349</f>
        <v>0</v>
      </c>
      <c r="C4349">
        <f>IF(Sheet1!B4349&gt;0,1,0)</f>
        <v>0</v>
      </c>
    </row>
    <row r="4350" spans="1:3" x14ac:dyDescent="0.25">
      <c r="A4350" s="15">
        <f>Sheet1!A4350</f>
        <v>0</v>
      </c>
      <c r="B4350">
        <f>Sheet1!B4350</f>
        <v>0</v>
      </c>
      <c r="C4350">
        <f>IF(Sheet1!B4350&gt;0,1,0)</f>
        <v>0</v>
      </c>
    </row>
    <row r="4351" spans="1:3" x14ac:dyDescent="0.25">
      <c r="A4351" s="15">
        <f>Sheet1!A4351</f>
        <v>0</v>
      </c>
      <c r="B4351">
        <f>Sheet1!B4351</f>
        <v>0</v>
      </c>
      <c r="C4351">
        <f>IF(Sheet1!B4351&gt;0,1,0)</f>
        <v>0</v>
      </c>
    </row>
    <row r="4352" spans="1:3" x14ac:dyDescent="0.25">
      <c r="A4352" s="15">
        <f>Sheet1!A4352</f>
        <v>0</v>
      </c>
      <c r="B4352">
        <f>Sheet1!B4352</f>
        <v>0</v>
      </c>
      <c r="C4352">
        <f>IF(Sheet1!B4352&gt;0,1,0)</f>
        <v>0</v>
      </c>
    </row>
    <row r="4353" spans="1:3" x14ac:dyDescent="0.25">
      <c r="A4353" s="15">
        <f>Sheet1!A4353</f>
        <v>0</v>
      </c>
      <c r="B4353">
        <f>Sheet1!B4353</f>
        <v>0</v>
      </c>
      <c r="C4353">
        <f>IF(Sheet1!B4353&gt;0,1,0)</f>
        <v>0</v>
      </c>
    </row>
    <row r="4354" spans="1:3" x14ac:dyDescent="0.25">
      <c r="A4354" s="15">
        <f>Sheet1!A4354</f>
        <v>0</v>
      </c>
      <c r="B4354">
        <f>Sheet1!B4354</f>
        <v>7.85</v>
      </c>
      <c r="C4354">
        <f>IF(Sheet1!B4354&gt;0,1,0)</f>
        <v>1</v>
      </c>
    </row>
    <row r="4355" spans="1:3" x14ac:dyDescent="0.25">
      <c r="A4355" s="15">
        <f>Sheet1!A4355</f>
        <v>0</v>
      </c>
      <c r="B4355">
        <f>Sheet1!B4355</f>
        <v>0</v>
      </c>
      <c r="C4355">
        <f>IF(Sheet1!B4355&gt;0,1,0)</f>
        <v>0</v>
      </c>
    </row>
    <row r="4356" spans="1:3" x14ac:dyDescent="0.25">
      <c r="A4356" s="15">
        <f>Sheet1!A4356</f>
        <v>0</v>
      </c>
      <c r="B4356">
        <f>Sheet1!B4356</f>
        <v>0</v>
      </c>
      <c r="C4356">
        <f>IF(Sheet1!B4356&gt;0,1,0)</f>
        <v>0</v>
      </c>
    </row>
    <row r="4357" spans="1:3" x14ac:dyDescent="0.25">
      <c r="A4357" s="15">
        <f>Sheet1!A4357</f>
        <v>0</v>
      </c>
      <c r="B4357">
        <f>Sheet1!B4357</f>
        <v>0</v>
      </c>
      <c r="C4357">
        <f>IF(Sheet1!B4357&gt;0,1,0)</f>
        <v>0</v>
      </c>
    </row>
    <row r="4358" spans="1:3" x14ac:dyDescent="0.25">
      <c r="A4358" s="15">
        <f>Sheet1!A4358</f>
        <v>0</v>
      </c>
      <c r="B4358">
        <f>Sheet1!B4358</f>
        <v>0</v>
      </c>
      <c r="C4358">
        <f>IF(Sheet1!B4358&gt;0,1,0)</f>
        <v>0</v>
      </c>
    </row>
    <row r="4359" spans="1:3" x14ac:dyDescent="0.25">
      <c r="A4359" s="15">
        <f>Sheet1!A4359</f>
        <v>0</v>
      </c>
      <c r="B4359">
        <f>Sheet1!B4359</f>
        <v>0</v>
      </c>
      <c r="C4359">
        <f>IF(Sheet1!B4359&gt;0,1,0)</f>
        <v>0</v>
      </c>
    </row>
    <row r="4360" spans="1:3" x14ac:dyDescent="0.25">
      <c r="A4360" s="15">
        <f>Sheet1!A4360</f>
        <v>0</v>
      </c>
      <c r="B4360">
        <f>Sheet1!B4360</f>
        <v>0</v>
      </c>
      <c r="C4360">
        <f>IF(Sheet1!B4360&gt;0,1,0)</f>
        <v>0</v>
      </c>
    </row>
    <row r="4361" spans="1:3" x14ac:dyDescent="0.25">
      <c r="A4361" s="15">
        <f>Sheet1!A4361</f>
        <v>0</v>
      </c>
      <c r="B4361">
        <f>Sheet1!B4361</f>
        <v>0</v>
      </c>
      <c r="C4361">
        <f>IF(Sheet1!B4361&gt;0,1,0)</f>
        <v>0</v>
      </c>
    </row>
    <row r="4362" spans="1:3" x14ac:dyDescent="0.25">
      <c r="A4362" s="15">
        <f>Sheet1!A4362</f>
        <v>0</v>
      </c>
      <c r="B4362">
        <f>Sheet1!B4362</f>
        <v>0</v>
      </c>
      <c r="C4362">
        <f>IF(Sheet1!B4362&gt;0,1,0)</f>
        <v>0</v>
      </c>
    </row>
    <row r="4363" spans="1:3" x14ac:dyDescent="0.25">
      <c r="A4363" s="15">
        <f>Sheet1!A4363</f>
        <v>0</v>
      </c>
      <c r="B4363">
        <f>Sheet1!B4363</f>
        <v>0</v>
      </c>
      <c r="C4363">
        <f>IF(Sheet1!B4363&gt;0,1,0)</f>
        <v>0</v>
      </c>
    </row>
    <row r="4364" spans="1:3" x14ac:dyDescent="0.25">
      <c r="A4364" s="15">
        <f>Sheet1!A4364</f>
        <v>0</v>
      </c>
      <c r="B4364">
        <f>Sheet1!B4364</f>
        <v>18.54</v>
      </c>
      <c r="C4364">
        <f>IF(Sheet1!B4364&gt;0,1,0)</f>
        <v>1</v>
      </c>
    </row>
    <row r="4365" spans="1:3" x14ac:dyDescent="0.25">
      <c r="A4365" s="15">
        <f>Sheet1!A4365</f>
        <v>0</v>
      </c>
      <c r="B4365">
        <f>Sheet1!B4365</f>
        <v>0</v>
      </c>
      <c r="C4365">
        <f>IF(Sheet1!B4365&gt;0,1,0)</f>
        <v>0</v>
      </c>
    </row>
    <row r="4366" spans="1:3" x14ac:dyDescent="0.25">
      <c r="A4366" s="15">
        <f>Sheet1!A4366</f>
        <v>0</v>
      </c>
      <c r="B4366">
        <f>Sheet1!B4366</f>
        <v>0</v>
      </c>
      <c r="C4366">
        <f>IF(Sheet1!B4366&gt;0,1,0)</f>
        <v>0</v>
      </c>
    </row>
    <row r="4367" spans="1:3" x14ac:dyDescent="0.25">
      <c r="A4367" s="15">
        <f>Sheet1!A4367</f>
        <v>0</v>
      </c>
      <c r="B4367">
        <f>Sheet1!B4367</f>
        <v>0</v>
      </c>
      <c r="C4367">
        <f>IF(Sheet1!B4367&gt;0,1,0)</f>
        <v>0</v>
      </c>
    </row>
    <row r="4368" spans="1:3" x14ac:dyDescent="0.25">
      <c r="A4368" s="15">
        <f>Sheet1!A4368</f>
        <v>0</v>
      </c>
      <c r="B4368">
        <f>Sheet1!B4368</f>
        <v>0</v>
      </c>
      <c r="C4368">
        <f>IF(Sheet1!B4368&gt;0,1,0)</f>
        <v>0</v>
      </c>
    </row>
    <row r="4369" spans="1:3" x14ac:dyDescent="0.25">
      <c r="A4369" s="15">
        <f>Sheet1!A4369</f>
        <v>0</v>
      </c>
      <c r="B4369">
        <f>Sheet1!B4369</f>
        <v>0</v>
      </c>
      <c r="C4369">
        <f>IF(Sheet1!B4369&gt;0,1,0)</f>
        <v>0</v>
      </c>
    </row>
    <row r="4370" spans="1:3" x14ac:dyDescent="0.25">
      <c r="A4370" s="15">
        <f>Sheet1!A4370</f>
        <v>0</v>
      </c>
      <c r="B4370">
        <f>Sheet1!B4370</f>
        <v>13.19</v>
      </c>
      <c r="C4370">
        <f>IF(Sheet1!B4370&gt;0,1,0)</f>
        <v>1</v>
      </c>
    </row>
    <row r="4371" spans="1:3" x14ac:dyDescent="0.25">
      <c r="A4371" s="15">
        <f>Sheet1!A4371</f>
        <v>0</v>
      </c>
      <c r="B4371">
        <f>Sheet1!B4371</f>
        <v>0</v>
      </c>
      <c r="C4371">
        <f>IF(Sheet1!B4371&gt;0,1,0)</f>
        <v>0</v>
      </c>
    </row>
    <row r="4372" spans="1:3" x14ac:dyDescent="0.25">
      <c r="A4372" s="15">
        <f>Sheet1!A4372</f>
        <v>0</v>
      </c>
      <c r="B4372">
        <f>Sheet1!B4372</f>
        <v>0</v>
      </c>
      <c r="C4372">
        <f>IF(Sheet1!B4372&gt;0,1,0)</f>
        <v>0</v>
      </c>
    </row>
    <row r="4373" spans="1:3" x14ac:dyDescent="0.25">
      <c r="A4373" s="15">
        <f>Sheet1!A4373</f>
        <v>0</v>
      </c>
      <c r="B4373">
        <f>Sheet1!B4373</f>
        <v>0</v>
      </c>
      <c r="C4373">
        <f>IF(Sheet1!B4373&gt;0,1,0)</f>
        <v>0</v>
      </c>
    </row>
    <row r="4374" spans="1:3" x14ac:dyDescent="0.25">
      <c r="A4374" s="15">
        <f>Sheet1!A4374</f>
        <v>0</v>
      </c>
      <c r="B4374">
        <f>Sheet1!B4374</f>
        <v>9.81</v>
      </c>
      <c r="C4374">
        <f>IF(Sheet1!B4374&gt;0,1,0)</f>
        <v>1</v>
      </c>
    </row>
    <row r="4375" spans="1:3" x14ac:dyDescent="0.25">
      <c r="A4375" s="15">
        <f>Sheet1!A4375</f>
        <v>0</v>
      </c>
      <c r="B4375">
        <f>Sheet1!B4375</f>
        <v>0</v>
      </c>
      <c r="C4375">
        <f>IF(Sheet1!B4375&gt;0,1,0)</f>
        <v>0</v>
      </c>
    </row>
    <row r="4376" spans="1:3" x14ac:dyDescent="0.25">
      <c r="A4376" s="15">
        <f>Sheet1!A4376</f>
        <v>0</v>
      </c>
      <c r="B4376">
        <f>Sheet1!B4376</f>
        <v>0</v>
      </c>
      <c r="C4376">
        <f>IF(Sheet1!B4376&gt;0,1,0)</f>
        <v>0</v>
      </c>
    </row>
    <row r="4377" spans="1:3" x14ac:dyDescent="0.25">
      <c r="A4377" s="15">
        <f>Sheet1!A4377</f>
        <v>0</v>
      </c>
      <c r="B4377">
        <f>Sheet1!B4377</f>
        <v>0</v>
      </c>
      <c r="C4377">
        <f>IF(Sheet1!B4377&gt;0,1,0)</f>
        <v>0</v>
      </c>
    </row>
    <row r="4378" spans="1:3" x14ac:dyDescent="0.25">
      <c r="A4378" s="15">
        <f>Sheet1!A4378</f>
        <v>0</v>
      </c>
      <c r="B4378">
        <f>Sheet1!B4378</f>
        <v>9.84</v>
      </c>
      <c r="C4378">
        <f>IF(Sheet1!B4378&gt;0,1,0)</f>
        <v>1</v>
      </c>
    </row>
    <row r="4379" spans="1:3" x14ac:dyDescent="0.25">
      <c r="A4379" s="15">
        <f>Sheet1!A4379</f>
        <v>0</v>
      </c>
      <c r="B4379">
        <f>Sheet1!B4379</f>
        <v>0</v>
      </c>
      <c r="C4379">
        <f>IF(Sheet1!B4379&gt;0,1,0)</f>
        <v>0</v>
      </c>
    </row>
    <row r="4380" spans="1:3" x14ac:dyDescent="0.25">
      <c r="A4380" s="15">
        <f>Sheet1!A4380</f>
        <v>0</v>
      </c>
      <c r="B4380">
        <f>Sheet1!B4380</f>
        <v>0</v>
      </c>
      <c r="C4380">
        <f>IF(Sheet1!B4380&gt;0,1,0)</f>
        <v>0</v>
      </c>
    </row>
    <row r="4381" spans="1:3" x14ac:dyDescent="0.25">
      <c r="A4381" s="15">
        <f>Sheet1!A4381</f>
        <v>0</v>
      </c>
      <c r="B4381">
        <f>Sheet1!B4381</f>
        <v>0</v>
      </c>
      <c r="C4381">
        <f>IF(Sheet1!B4381&gt;0,1,0)</f>
        <v>0</v>
      </c>
    </row>
    <row r="4382" spans="1:3" x14ac:dyDescent="0.25">
      <c r="A4382" s="15">
        <f>Sheet1!A4382</f>
        <v>0</v>
      </c>
      <c r="B4382">
        <f>Sheet1!B4382</f>
        <v>12.47</v>
      </c>
      <c r="C4382">
        <f>IF(Sheet1!B4382&gt;0,1,0)</f>
        <v>1</v>
      </c>
    </row>
    <row r="4383" spans="1:3" x14ac:dyDescent="0.25">
      <c r="A4383" s="15">
        <f>Sheet1!A4383</f>
        <v>0</v>
      </c>
      <c r="B4383">
        <f>Sheet1!B4383</f>
        <v>0</v>
      </c>
      <c r="C4383">
        <f>IF(Sheet1!B4383&gt;0,1,0)</f>
        <v>0</v>
      </c>
    </row>
    <row r="4384" spans="1:3" x14ac:dyDescent="0.25">
      <c r="A4384" s="15">
        <f>Sheet1!A4384</f>
        <v>0</v>
      </c>
      <c r="B4384">
        <f>Sheet1!B4384</f>
        <v>0</v>
      </c>
      <c r="C4384">
        <f>IF(Sheet1!B4384&gt;0,1,0)</f>
        <v>0</v>
      </c>
    </row>
    <row r="4385" spans="1:3" x14ac:dyDescent="0.25">
      <c r="A4385" s="15">
        <f>Sheet1!A4385</f>
        <v>0</v>
      </c>
      <c r="B4385">
        <f>Sheet1!B4385</f>
        <v>0</v>
      </c>
      <c r="C4385">
        <f>IF(Sheet1!B4385&gt;0,1,0)</f>
        <v>0</v>
      </c>
    </row>
    <row r="4386" spans="1:3" x14ac:dyDescent="0.25">
      <c r="A4386" s="15">
        <f>Sheet1!A4386</f>
        <v>0</v>
      </c>
      <c r="B4386">
        <f>Sheet1!B4386</f>
        <v>0</v>
      </c>
      <c r="C4386">
        <f>IF(Sheet1!B4386&gt;0,1,0)</f>
        <v>0</v>
      </c>
    </row>
    <row r="4387" spans="1:3" x14ac:dyDescent="0.25">
      <c r="A4387" s="15">
        <f>Sheet1!A4387</f>
        <v>0</v>
      </c>
      <c r="B4387">
        <f>Sheet1!B4387</f>
        <v>0</v>
      </c>
      <c r="C4387">
        <f>IF(Sheet1!B4387&gt;0,1,0)</f>
        <v>0</v>
      </c>
    </row>
    <row r="4388" spans="1:3" x14ac:dyDescent="0.25">
      <c r="A4388" s="15">
        <f>Sheet1!A4388</f>
        <v>0</v>
      </c>
      <c r="B4388">
        <f>Sheet1!B4388</f>
        <v>0</v>
      </c>
      <c r="C4388">
        <f>IF(Sheet1!B4388&gt;0,1,0)</f>
        <v>0</v>
      </c>
    </row>
    <row r="4389" spans="1:3" x14ac:dyDescent="0.25">
      <c r="A4389" s="15">
        <f>Sheet1!A4389</f>
        <v>0</v>
      </c>
      <c r="B4389">
        <f>Sheet1!B4389</f>
        <v>0</v>
      </c>
      <c r="C4389">
        <f>IF(Sheet1!B4389&gt;0,1,0)</f>
        <v>0</v>
      </c>
    </row>
    <row r="4390" spans="1:3" x14ac:dyDescent="0.25">
      <c r="A4390" s="15">
        <f>Sheet1!A4390</f>
        <v>0</v>
      </c>
      <c r="B4390">
        <f>Sheet1!B4390</f>
        <v>0</v>
      </c>
      <c r="C4390">
        <f>IF(Sheet1!B4390&gt;0,1,0)</f>
        <v>0</v>
      </c>
    </row>
    <row r="4391" spans="1:3" x14ac:dyDescent="0.25">
      <c r="A4391" s="15">
        <f>Sheet1!A4391</f>
        <v>0</v>
      </c>
      <c r="B4391">
        <f>Sheet1!B4391</f>
        <v>0</v>
      </c>
      <c r="C4391">
        <f>IF(Sheet1!B4391&gt;0,1,0)</f>
        <v>0</v>
      </c>
    </row>
    <row r="4392" spans="1:3" x14ac:dyDescent="0.25">
      <c r="A4392" s="15">
        <f>Sheet1!A4392</f>
        <v>0</v>
      </c>
      <c r="B4392">
        <f>Sheet1!B4392</f>
        <v>0</v>
      </c>
      <c r="C4392">
        <f>IF(Sheet1!B4392&gt;0,1,0)</f>
        <v>0</v>
      </c>
    </row>
    <row r="4393" spans="1:3" x14ac:dyDescent="0.25">
      <c r="A4393" s="15">
        <f>Sheet1!A4393</f>
        <v>0</v>
      </c>
      <c r="B4393">
        <f>Sheet1!B4393</f>
        <v>0</v>
      </c>
      <c r="C4393">
        <f>IF(Sheet1!B4393&gt;0,1,0)</f>
        <v>0</v>
      </c>
    </row>
    <row r="4394" spans="1:3" x14ac:dyDescent="0.25">
      <c r="A4394" s="15">
        <f>Sheet1!A4394</f>
        <v>0</v>
      </c>
      <c r="B4394">
        <f>Sheet1!B4394</f>
        <v>10.82</v>
      </c>
      <c r="C4394">
        <f>IF(Sheet1!B4394&gt;0,1,0)</f>
        <v>1</v>
      </c>
    </row>
    <row r="4395" spans="1:3" x14ac:dyDescent="0.25">
      <c r="A4395" s="15">
        <f>Sheet1!A4395</f>
        <v>0</v>
      </c>
      <c r="B4395">
        <f>Sheet1!B4395</f>
        <v>11.65</v>
      </c>
      <c r="C4395">
        <f>IF(Sheet1!B4395&gt;0,1,0)</f>
        <v>1</v>
      </c>
    </row>
    <row r="4396" spans="1:3" x14ac:dyDescent="0.25">
      <c r="A4396" s="15">
        <f>Sheet1!A4396</f>
        <v>0</v>
      </c>
      <c r="B4396">
        <f>Sheet1!B4396</f>
        <v>0</v>
      </c>
      <c r="C4396">
        <f>IF(Sheet1!B4396&gt;0,1,0)</f>
        <v>0</v>
      </c>
    </row>
    <row r="4397" spans="1:3" x14ac:dyDescent="0.25">
      <c r="A4397" s="15">
        <f>Sheet1!A4397</f>
        <v>0</v>
      </c>
      <c r="B4397">
        <f>Sheet1!B4397</f>
        <v>0</v>
      </c>
      <c r="C4397">
        <f>IF(Sheet1!B4397&gt;0,1,0)</f>
        <v>0</v>
      </c>
    </row>
    <row r="4398" spans="1:3" x14ac:dyDescent="0.25">
      <c r="A4398" s="15">
        <f>Sheet1!A4398</f>
        <v>0</v>
      </c>
      <c r="B4398">
        <f>Sheet1!B4398</f>
        <v>1.9</v>
      </c>
      <c r="C4398">
        <f>IF(Sheet1!B4398&gt;0,1,0)</f>
        <v>1</v>
      </c>
    </row>
    <row r="4399" spans="1:3" x14ac:dyDescent="0.25">
      <c r="A4399" s="15">
        <f>Sheet1!A4399</f>
        <v>0</v>
      </c>
      <c r="B4399">
        <f>Sheet1!B4399</f>
        <v>0</v>
      </c>
      <c r="C4399">
        <f>IF(Sheet1!B4399&gt;0,1,0)</f>
        <v>0</v>
      </c>
    </row>
    <row r="4400" spans="1:3" x14ac:dyDescent="0.25">
      <c r="A4400" s="15">
        <f>Sheet1!A4400</f>
        <v>0</v>
      </c>
      <c r="B4400">
        <f>Sheet1!B4400</f>
        <v>0</v>
      </c>
      <c r="C4400">
        <f>IF(Sheet1!B4400&gt;0,1,0)</f>
        <v>0</v>
      </c>
    </row>
    <row r="4401" spans="1:3" x14ac:dyDescent="0.25">
      <c r="A4401" s="15">
        <f>Sheet1!A4401</f>
        <v>0</v>
      </c>
      <c r="B4401">
        <f>Sheet1!B4401</f>
        <v>0</v>
      </c>
      <c r="C4401">
        <f>IF(Sheet1!B4401&gt;0,1,0)</f>
        <v>0</v>
      </c>
    </row>
    <row r="4402" spans="1:3" x14ac:dyDescent="0.25">
      <c r="A4402" s="15">
        <f>Sheet1!A4402</f>
        <v>0</v>
      </c>
      <c r="B4402">
        <f>Sheet1!B4402</f>
        <v>0</v>
      </c>
      <c r="C4402">
        <f>IF(Sheet1!B4402&gt;0,1,0)</f>
        <v>0</v>
      </c>
    </row>
    <row r="4403" spans="1:3" x14ac:dyDescent="0.25">
      <c r="A4403" s="15">
        <f>Sheet1!A4403</f>
        <v>0</v>
      </c>
      <c r="B4403">
        <f>Sheet1!B4403</f>
        <v>0</v>
      </c>
      <c r="C4403">
        <f>IF(Sheet1!B4403&gt;0,1,0)</f>
        <v>0</v>
      </c>
    </row>
    <row r="4404" spans="1:3" x14ac:dyDescent="0.25">
      <c r="A4404" s="15">
        <f>Sheet1!A4404</f>
        <v>0</v>
      </c>
      <c r="B4404">
        <f>Sheet1!B4404</f>
        <v>0</v>
      </c>
      <c r="C4404">
        <f>IF(Sheet1!B4404&gt;0,1,0)</f>
        <v>0</v>
      </c>
    </row>
    <row r="4405" spans="1:3" x14ac:dyDescent="0.25">
      <c r="A4405" s="15">
        <f>Sheet1!A4405</f>
        <v>0</v>
      </c>
      <c r="B4405">
        <f>Sheet1!B4405</f>
        <v>0</v>
      </c>
      <c r="C4405">
        <f>IF(Sheet1!B4405&gt;0,1,0)</f>
        <v>0</v>
      </c>
    </row>
    <row r="4406" spans="1:3" x14ac:dyDescent="0.25">
      <c r="A4406" s="15">
        <f>Sheet1!A4406</f>
        <v>0</v>
      </c>
      <c r="B4406">
        <f>Sheet1!B4406</f>
        <v>0</v>
      </c>
      <c r="C4406">
        <f>IF(Sheet1!B4406&gt;0,1,0)</f>
        <v>0</v>
      </c>
    </row>
    <row r="4407" spans="1:3" x14ac:dyDescent="0.25">
      <c r="A4407" s="15">
        <f>Sheet1!A4407</f>
        <v>0</v>
      </c>
      <c r="B4407">
        <f>Sheet1!B4407</f>
        <v>0</v>
      </c>
      <c r="C4407">
        <f>IF(Sheet1!B4407&gt;0,1,0)</f>
        <v>0</v>
      </c>
    </row>
    <row r="4408" spans="1:3" x14ac:dyDescent="0.25">
      <c r="A4408" s="15">
        <f>Sheet1!A4408</f>
        <v>0</v>
      </c>
      <c r="B4408">
        <f>Sheet1!B4408</f>
        <v>0</v>
      </c>
      <c r="C4408">
        <f>IF(Sheet1!B4408&gt;0,1,0)</f>
        <v>0</v>
      </c>
    </row>
    <row r="4409" spans="1:3" x14ac:dyDescent="0.25">
      <c r="A4409" s="15">
        <f>Sheet1!A4409</f>
        <v>0</v>
      </c>
      <c r="B4409">
        <f>Sheet1!B4409</f>
        <v>0</v>
      </c>
      <c r="C4409">
        <f>IF(Sheet1!B4409&gt;0,1,0)</f>
        <v>0</v>
      </c>
    </row>
    <row r="4410" spans="1:3" x14ac:dyDescent="0.25">
      <c r="A4410" s="15">
        <f>Sheet1!A4410</f>
        <v>0</v>
      </c>
      <c r="B4410">
        <f>Sheet1!B4410</f>
        <v>0</v>
      </c>
      <c r="C4410">
        <f>IF(Sheet1!B4410&gt;0,1,0)</f>
        <v>0</v>
      </c>
    </row>
    <row r="4411" spans="1:3" x14ac:dyDescent="0.25">
      <c r="A4411" s="15">
        <f>Sheet1!A4411</f>
        <v>0</v>
      </c>
      <c r="B4411">
        <f>Sheet1!B4411</f>
        <v>0</v>
      </c>
      <c r="C4411">
        <f>IF(Sheet1!B4411&gt;0,1,0)</f>
        <v>0</v>
      </c>
    </row>
    <row r="4412" spans="1:3" x14ac:dyDescent="0.25">
      <c r="A4412" s="15">
        <f>Sheet1!A4412</f>
        <v>0</v>
      </c>
      <c r="B4412">
        <f>Sheet1!B4412</f>
        <v>0</v>
      </c>
      <c r="C4412">
        <f>IF(Sheet1!B4412&gt;0,1,0)</f>
        <v>0</v>
      </c>
    </row>
    <row r="4413" spans="1:3" x14ac:dyDescent="0.25">
      <c r="A4413" s="15">
        <f>Sheet1!A4413</f>
        <v>0</v>
      </c>
      <c r="B4413">
        <f>Sheet1!B4413</f>
        <v>0</v>
      </c>
      <c r="C4413">
        <f>IF(Sheet1!B4413&gt;0,1,0)</f>
        <v>0</v>
      </c>
    </row>
    <row r="4414" spans="1:3" x14ac:dyDescent="0.25">
      <c r="A4414" s="15">
        <f>Sheet1!A4414</f>
        <v>0</v>
      </c>
      <c r="B4414">
        <f>Sheet1!B4414</f>
        <v>0</v>
      </c>
      <c r="C4414">
        <f>IF(Sheet1!B4414&gt;0,1,0)</f>
        <v>0</v>
      </c>
    </row>
    <row r="4415" spans="1:3" x14ac:dyDescent="0.25">
      <c r="A4415" s="15">
        <f>Sheet1!A4415</f>
        <v>0</v>
      </c>
      <c r="B4415">
        <f>Sheet1!B4415</f>
        <v>0</v>
      </c>
      <c r="C4415">
        <f>IF(Sheet1!B4415&gt;0,1,0)</f>
        <v>0</v>
      </c>
    </row>
    <row r="4416" spans="1:3" x14ac:dyDescent="0.25">
      <c r="A4416" s="15">
        <f>Sheet1!A4416</f>
        <v>0</v>
      </c>
      <c r="B4416">
        <f>Sheet1!B4416</f>
        <v>0</v>
      </c>
      <c r="C4416">
        <f>IF(Sheet1!B4416&gt;0,1,0)</f>
        <v>0</v>
      </c>
    </row>
    <row r="4417" spans="1:3" x14ac:dyDescent="0.25">
      <c r="A4417" s="15">
        <f>Sheet1!A4417</f>
        <v>0</v>
      </c>
      <c r="B4417">
        <f>Sheet1!B4417</f>
        <v>0</v>
      </c>
      <c r="C4417">
        <f>IF(Sheet1!B4417&gt;0,1,0)</f>
        <v>0</v>
      </c>
    </row>
    <row r="4418" spans="1:3" x14ac:dyDescent="0.25">
      <c r="A4418" s="15">
        <f>Sheet1!A4418</f>
        <v>0</v>
      </c>
      <c r="B4418">
        <f>Sheet1!B4418</f>
        <v>15.37</v>
      </c>
      <c r="C4418">
        <f>IF(Sheet1!B4418&gt;0,1,0)</f>
        <v>1</v>
      </c>
    </row>
    <row r="4419" spans="1:3" x14ac:dyDescent="0.25">
      <c r="A4419" s="15">
        <f>Sheet1!A4419</f>
        <v>0</v>
      </c>
      <c r="B4419">
        <f>Sheet1!B4419</f>
        <v>11.65</v>
      </c>
      <c r="C4419">
        <f>IF(Sheet1!B4419&gt;0,1,0)</f>
        <v>1</v>
      </c>
    </row>
    <row r="4420" spans="1:3" x14ac:dyDescent="0.25">
      <c r="A4420" s="15">
        <f>Sheet1!A4420</f>
        <v>0</v>
      </c>
      <c r="B4420">
        <f>Sheet1!B4420</f>
        <v>0</v>
      </c>
      <c r="C4420">
        <f>IF(Sheet1!B4420&gt;0,1,0)</f>
        <v>0</v>
      </c>
    </row>
    <row r="4421" spans="1:3" x14ac:dyDescent="0.25">
      <c r="A4421" s="15">
        <f>Sheet1!A4421</f>
        <v>0</v>
      </c>
      <c r="B4421">
        <f>Sheet1!B4421</f>
        <v>0</v>
      </c>
      <c r="C4421">
        <f>IF(Sheet1!B4421&gt;0,1,0)</f>
        <v>0</v>
      </c>
    </row>
    <row r="4422" spans="1:3" x14ac:dyDescent="0.25">
      <c r="A4422" s="15">
        <f>Sheet1!A4422</f>
        <v>0</v>
      </c>
      <c r="B4422">
        <f>Sheet1!B4422</f>
        <v>11</v>
      </c>
      <c r="C4422">
        <f>IF(Sheet1!B4422&gt;0,1,0)</f>
        <v>1</v>
      </c>
    </row>
    <row r="4423" spans="1:3" x14ac:dyDescent="0.25">
      <c r="A4423" s="15">
        <f>Sheet1!A4423</f>
        <v>0</v>
      </c>
      <c r="B4423">
        <f>Sheet1!B4423</f>
        <v>9.1999999999999993</v>
      </c>
      <c r="C4423">
        <f>IF(Sheet1!B4423&gt;0,1,0)</f>
        <v>1</v>
      </c>
    </row>
    <row r="4424" spans="1:3" x14ac:dyDescent="0.25">
      <c r="A4424" s="15">
        <f>Sheet1!A4424</f>
        <v>0</v>
      </c>
      <c r="B4424">
        <f>Sheet1!B4424</f>
        <v>9.2799999999999994</v>
      </c>
      <c r="C4424">
        <f>IF(Sheet1!B4424&gt;0,1,0)</f>
        <v>1</v>
      </c>
    </row>
    <row r="4425" spans="1:3" x14ac:dyDescent="0.25">
      <c r="A4425" s="15">
        <f>Sheet1!A4425</f>
        <v>0</v>
      </c>
      <c r="B4425">
        <f>Sheet1!B4425</f>
        <v>0</v>
      </c>
      <c r="C4425">
        <f>IF(Sheet1!B4425&gt;0,1,0)</f>
        <v>0</v>
      </c>
    </row>
    <row r="4426" spans="1:3" x14ac:dyDescent="0.25">
      <c r="A4426" s="15">
        <f>Sheet1!A4426</f>
        <v>0</v>
      </c>
      <c r="B4426">
        <f>Sheet1!B4426</f>
        <v>0</v>
      </c>
      <c r="C4426">
        <f>IF(Sheet1!B4426&gt;0,1,0)</f>
        <v>0</v>
      </c>
    </row>
    <row r="4427" spans="1:3" x14ac:dyDescent="0.25">
      <c r="A4427" s="15">
        <f>Sheet1!A4427</f>
        <v>0</v>
      </c>
      <c r="B4427">
        <f>Sheet1!B4427</f>
        <v>0</v>
      </c>
      <c r="C4427">
        <f>IF(Sheet1!B4427&gt;0,1,0)</f>
        <v>0</v>
      </c>
    </row>
    <row r="4428" spans="1:3" x14ac:dyDescent="0.25">
      <c r="A4428" s="15">
        <f>Sheet1!A4428</f>
        <v>0</v>
      </c>
      <c r="B4428">
        <f>Sheet1!B4428</f>
        <v>0</v>
      </c>
      <c r="C4428">
        <f>IF(Sheet1!B4428&gt;0,1,0)</f>
        <v>0</v>
      </c>
    </row>
    <row r="4429" spans="1:3" x14ac:dyDescent="0.25">
      <c r="A4429" s="15">
        <f>Sheet1!A4429</f>
        <v>0</v>
      </c>
      <c r="B4429">
        <f>Sheet1!B4429</f>
        <v>0</v>
      </c>
      <c r="C4429">
        <f>IF(Sheet1!B4429&gt;0,1,0)</f>
        <v>0</v>
      </c>
    </row>
    <row r="4430" spans="1:3" x14ac:dyDescent="0.25">
      <c r="A4430" s="15">
        <f>Sheet1!A4430</f>
        <v>0</v>
      </c>
      <c r="B4430">
        <f>Sheet1!B4430</f>
        <v>0</v>
      </c>
      <c r="C4430">
        <f>IF(Sheet1!B4430&gt;0,1,0)</f>
        <v>0</v>
      </c>
    </row>
    <row r="4431" spans="1:3" x14ac:dyDescent="0.25">
      <c r="A4431" s="15">
        <f>Sheet1!A4431</f>
        <v>0</v>
      </c>
      <c r="B4431">
        <f>Sheet1!B4431</f>
        <v>0</v>
      </c>
      <c r="C4431">
        <f>IF(Sheet1!B4431&gt;0,1,0)</f>
        <v>0</v>
      </c>
    </row>
    <row r="4432" spans="1:3" x14ac:dyDescent="0.25">
      <c r="A4432" s="15">
        <f>Sheet1!A4432</f>
        <v>0</v>
      </c>
      <c r="B4432">
        <f>Sheet1!B4432</f>
        <v>0</v>
      </c>
      <c r="C4432">
        <f>IF(Sheet1!B4432&gt;0,1,0)</f>
        <v>0</v>
      </c>
    </row>
    <row r="4433" spans="1:3" x14ac:dyDescent="0.25">
      <c r="A4433" s="15">
        <f>Sheet1!A4433</f>
        <v>0</v>
      </c>
      <c r="B4433">
        <f>Sheet1!B4433</f>
        <v>0</v>
      </c>
      <c r="C4433">
        <f>IF(Sheet1!B4433&gt;0,1,0)</f>
        <v>0</v>
      </c>
    </row>
    <row r="4434" spans="1:3" x14ac:dyDescent="0.25">
      <c r="A4434" s="15">
        <f>Sheet1!A4434</f>
        <v>0</v>
      </c>
      <c r="B4434">
        <f>Sheet1!B4434</f>
        <v>0</v>
      </c>
      <c r="C4434">
        <f>IF(Sheet1!B4434&gt;0,1,0)</f>
        <v>0</v>
      </c>
    </row>
    <row r="4435" spans="1:3" x14ac:dyDescent="0.25">
      <c r="A4435" s="15">
        <f>Sheet1!A4435</f>
        <v>0</v>
      </c>
      <c r="B4435">
        <f>Sheet1!B4435</f>
        <v>0</v>
      </c>
      <c r="C4435">
        <f>IF(Sheet1!B4435&gt;0,1,0)</f>
        <v>0</v>
      </c>
    </row>
    <row r="4436" spans="1:3" x14ac:dyDescent="0.25">
      <c r="A4436" s="15">
        <f>Sheet1!A4436</f>
        <v>0</v>
      </c>
      <c r="B4436">
        <f>Sheet1!B4436</f>
        <v>0</v>
      </c>
      <c r="C4436">
        <f>IF(Sheet1!B4436&gt;0,1,0)</f>
        <v>0</v>
      </c>
    </row>
    <row r="4437" spans="1:3" x14ac:dyDescent="0.25">
      <c r="A4437" s="15">
        <f>Sheet1!A4437</f>
        <v>0</v>
      </c>
      <c r="B4437">
        <f>Sheet1!B4437</f>
        <v>0</v>
      </c>
      <c r="C4437">
        <f>IF(Sheet1!B4437&gt;0,1,0)</f>
        <v>0</v>
      </c>
    </row>
    <row r="4438" spans="1:3" x14ac:dyDescent="0.25">
      <c r="A4438" s="15">
        <f>Sheet1!A4438</f>
        <v>0</v>
      </c>
      <c r="B4438">
        <f>Sheet1!B4438</f>
        <v>18.899999999999999</v>
      </c>
      <c r="C4438">
        <f>IF(Sheet1!B4438&gt;0,1,0)</f>
        <v>1</v>
      </c>
    </row>
    <row r="4439" spans="1:3" x14ac:dyDescent="0.25">
      <c r="A4439" s="15">
        <f>Sheet1!A4439</f>
        <v>0</v>
      </c>
      <c r="B4439">
        <f>Sheet1!B4439</f>
        <v>0</v>
      </c>
      <c r="C4439">
        <f>IF(Sheet1!B4439&gt;0,1,0)</f>
        <v>0</v>
      </c>
    </row>
    <row r="4440" spans="1:3" x14ac:dyDescent="0.25">
      <c r="A4440" s="15">
        <f>Sheet1!A4440</f>
        <v>0</v>
      </c>
      <c r="B4440">
        <f>Sheet1!B4440</f>
        <v>0</v>
      </c>
      <c r="C4440">
        <f>IF(Sheet1!B4440&gt;0,1,0)</f>
        <v>0</v>
      </c>
    </row>
    <row r="4441" spans="1:3" x14ac:dyDescent="0.25">
      <c r="A4441" s="15">
        <f>Sheet1!A4441</f>
        <v>0</v>
      </c>
      <c r="B4441">
        <f>Sheet1!B4441</f>
        <v>0</v>
      </c>
      <c r="C4441">
        <f>IF(Sheet1!B4441&gt;0,1,0)</f>
        <v>0</v>
      </c>
    </row>
    <row r="4442" spans="1:3" x14ac:dyDescent="0.25">
      <c r="A4442" s="15">
        <f>Sheet1!A4442</f>
        <v>0</v>
      </c>
      <c r="B4442">
        <f>Sheet1!B4442</f>
        <v>0</v>
      </c>
      <c r="C4442">
        <f>IF(Sheet1!B4442&gt;0,1,0)</f>
        <v>0</v>
      </c>
    </row>
    <row r="4443" spans="1:3" x14ac:dyDescent="0.25">
      <c r="A4443" s="15">
        <f>Sheet1!A4443</f>
        <v>0</v>
      </c>
      <c r="B4443">
        <f>Sheet1!B4443</f>
        <v>0</v>
      </c>
      <c r="C4443">
        <f>IF(Sheet1!B4443&gt;0,1,0)</f>
        <v>0</v>
      </c>
    </row>
    <row r="4444" spans="1:3" x14ac:dyDescent="0.25">
      <c r="A4444" s="15">
        <f>Sheet1!A4444</f>
        <v>0</v>
      </c>
      <c r="B4444">
        <f>Sheet1!B4444</f>
        <v>11.91</v>
      </c>
      <c r="C4444">
        <f>IF(Sheet1!B4444&gt;0,1,0)</f>
        <v>1</v>
      </c>
    </row>
    <row r="4445" spans="1:3" x14ac:dyDescent="0.25">
      <c r="A4445" s="15">
        <f>Sheet1!A4445</f>
        <v>0</v>
      </c>
      <c r="B4445">
        <f>Sheet1!B4445</f>
        <v>0</v>
      </c>
      <c r="C4445">
        <f>IF(Sheet1!B4445&gt;0,1,0)</f>
        <v>0</v>
      </c>
    </row>
    <row r="4446" spans="1:3" x14ac:dyDescent="0.25">
      <c r="A4446" s="15">
        <f>Sheet1!A4446</f>
        <v>0</v>
      </c>
      <c r="B4446">
        <f>Sheet1!B4446</f>
        <v>0</v>
      </c>
      <c r="C4446">
        <f>IF(Sheet1!B4446&gt;0,1,0)</f>
        <v>0</v>
      </c>
    </row>
    <row r="4447" spans="1:3" x14ac:dyDescent="0.25">
      <c r="A4447" s="15">
        <f>Sheet1!A4447</f>
        <v>0</v>
      </c>
      <c r="B4447">
        <f>Sheet1!B4447</f>
        <v>0</v>
      </c>
      <c r="C4447">
        <f>IF(Sheet1!B4447&gt;0,1,0)</f>
        <v>0</v>
      </c>
    </row>
    <row r="4448" spans="1:3" x14ac:dyDescent="0.25">
      <c r="A4448" s="15">
        <f>Sheet1!A4448</f>
        <v>0</v>
      </c>
      <c r="B4448">
        <f>Sheet1!B4448</f>
        <v>0</v>
      </c>
      <c r="C4448">
        <f>IF(Sheet1!B4448&gt;0,1,0)</f>
        <v>0</v>
      </c>
    </row>
    <row r="4449" spans="1:3" x14ac:dyDescent="0.25">
      <c r="A4449" s="15">
        <f>Sheet1!A4449</f>
        <v>0</v>
      </c>
      <c r="B4449">
        <f>Sheet1!B4449</f>
        <v>0</v>
      </c>
      <c r="C4449">
        <f>IF(Sheet1!B4449&gt;0,1,0)</f>
        <v>0</v>
      </c>
    </row>
    <row r="4450" spans="1:3" x14ac:dyDescent="0.25">
      <c r="A4450" s="15">
        <f>Sheet1!A4450</f>
        <v>0</v>
      </c>
      <c r="B4450">
        <f>Sheet1!B4450</f>
        <v>17.86</v>
      </c>
      <c r="C4450">
        <f>IF(Sheet1!B4450&gt;0,1,0)</f>
        <v>1</v>
      </c>
    </row>
    <row r="4451" spans="1:3" x14ac:dyDescent="0.25">
      <c r="A4451" s="15">
        <f>Sheet1!A4451</f>
        <v>0</v>
      </c>
      <c r="B4451">
        <f>Sheet1!B4451</f>
        <v>0</v>
      </c>
      <c r="C4451">
        <f>IF(Sheet1!B4451&gt;0,1,0)</f>
        <v>0</v>
      </c>
    </row>
    <row r="4452" spans="1:3" x14ac:dyDescent="0.25">
      <c r="A4452" s="15">
        <f>Sheet1!A4452</f>
        <v>0</v>
      </c>
      <c r="B4452">
        <f>Sheet1!B4452</f>
        <v>0</v>
      </c>
      <c r="C4452">
        <f>IF(Sheet1!B4452&gt;0,1,0)</f>
        <v>0</v>
      </c>
    </row>
    <row r="4453" spans="1:3" x14ac:dyDescent="0.25">
      <c r="A4453" s="15">
        <f>Sheet1!A4453</f>
        <v>0</v>
      </c>
      <c r="B4453">
        <f>Sheet1!B4453</f>
        <v>0</v>
      </c>
      <c r="C4453">
        <f>IF(Sheet1!B4453&gt;0,1,0)</f>
        <v>0</v>
      </c>
    </row>
    <row r="4454" spans="1:3" x14ac:dyDescent="0.25">
      <c r="A4454" s="15">
        <f>Sheet1!A4454</f>
        <v>0</v>
      </c>
      <c r="B4454">
        <f>Sheet1!B4454</f>
        <v>0</v>
      </c>
      <c r="C4454">
        <f>IF(Sheet1!B4454&gt;0,1,0)</f>
        <v>0</v>
      </c>
    </row>
    <row r="4455" spans="1:3" x14ac:dyDescent="0.25">
      <c r="A4455" s="15">
        <f>Sheet1!A4455</f>
        <v>0</v>
      </c>
      <c r="B4455">
        <f>Sheet1!B4455</f>
        <v>0</v>
      </c>
      <c r="C4455">
        <f>IF(Sheet1!B4455&gt;0,1,0)</f>
        <v>0</v>
      </c>
    </row>
    <row r="4456" spans="1:3" x14ac:dyDescent="0.25">
      <c r="A4456" s="15">
        <f>Sheet1!A4456</f>
        <v>0</v>
      </c>
      <c r="B4456">
        <f>Sheet1!B4456</f>
        <v>0</v>
      </c>
      <c r="C4456">
        <f>IF(Sheet1!B4456&gt;0,1,0)</f>
        <v>0</v>
      </c>
    </row>
    <row r="4457" spans="1:3" x14ac:dyDescent="0.25">
      <c r="A4457" s="15">
        <f>Sheet1!A4457</f>
        <v>0</v>
      </c>
      <c r="B4457">
        <f>Sheet1!B4457</f>
        <v>0</v>
      </c>
      <c r="C4457">
        <f>IF(Sheet1!B4457&gt;0,1,0)</f>
        <v>0</v>
      </c>
    </row>
    <row r="4458" spans="1:3" x14ac:dyDescent="0.25">
      <c r="A4458" s="15">
        <f>Sheet1!A4458</f>
        <v>0</v>
      </c>
      <c r="B4458">
        <f>Sheet1!B4458</f>
        <v>0</v>
      </c>
      <c r="C4458">
        <f>IF(Sheet1!B4458&gt;0,1,0)</f>
        <v>0</v>
      </c>
    </row>
    <row r="4459" spans="1:3" x14ac:dyDescent="0.25">
      <c r="A4459" s="15">
        <f>Sheet1!A4459</f>
        <v>0</v>
      </c>
      <c r="B4459">
        <f>Sheet1!B4459</f>
        <v>0</v>
      </c>
      <c r="C4459">
        <f>IF(Sheet1!B4459&gt;0,1,0)</f>
        <v>0</v>
      </c>
    </row>
    <row r="4460" spans="1:3" x14ac:dyDescent="0.25">
      <c r="A4460" s="15">
        <f>Sheet1!A4460</f>
        <v>0</v>
      </c>
      <c r="B4460">
        <f>Sheet1!B4460</f>
        <v>0</v>
      </c>
      <c r="C4460">
        <f>IF(Sheet1!B4460&gt;0,1,0)</f>
        <v>0</v>
      </c>
    </row>
    <row r="4461" spans="1:3" x14ac:dyDescent="0.25">
      <c r="A4461" s="15">
        <f>Sheet1!A4461</f>
        <v>0</v>
      </c>
      <c r="B4461">
        <f>Sheet1!B4461</f>
        <v>0</v>
      </c>
      <c r="C4461">
        <f>IF(Sheet1!B4461&gt;0,1,0)</f>
        <v>0</v>
      </c>
    </row>
    <row r="4462" spans="1:3" x14ac:dyDescent="0.25">
      <c r="A4462" s="15">
        <f>Sheet1!A4462</f>
        <v>0</v>
      </c>
      <c r="B4462">
        <f>Sheet1!B4462</f>
        <v>18.61</v>
      </c>
      <c r="C4462">
        <f>IF(Sheet1!B4462&gt;0,1,0)</f>
        <v>1</v>
      </c>
    </row>
    <row r="4463" spans="1:3" x14ac:dyDescent="0.25">
      <c r="A4463" s="15">
        <f>Sheet1!A4463</f>
        <v>0</v>
      </c>
      <c r="B4463">
        <f>Sheet1!B4463</f>
        <v>0</v>
      </c>
      <c r="C4463">
        <f>IF(Sheet1!B4463&gt;0,1,0)</f>
        <v>0</v>
      </c>
    </row>
    <row r="4464" spans="1:3" x14ac:dyDescent="0.25">
      <c r="A4464" s="15">
        <f>Sheet1!A4464</f>
        <v>0</v>
      </c>
      <c r="B4464">
        <f>Sheet1!B4464</f>
        <v>0</v>
      </c>
      <c r="C4464">
        <f>IF(Sheet1!B4464&gt;0,1,0)</f>
        <v>0</v>
      </c>
    </row>
    <row r="4465" spans="1:3" x14ac:dyDescent="0.25">
      <c r="A4465" s="15">
        <f>Sheet1!A4465</f>
        <v>0</v>
      </c>
      <c r="B4465">
        <f>Sheet1!B4465</f>
        <v>0</v>
      </c>
      <c r="C4465">
        <f>IF(Sheet1!B4465&gt;0,1,0)</f>
        <v>0</v>
      </c>
    </row>
    <row r="4466" spans="1:3" x14ac:dyDescent="0.25">
      <c r="A4466" s="15">
        <f>Sheet1!A4466</f>
        <v>0</v>
      </c>
      <c r="B4466">
        <f>Sheet1!B4466</f>
        <v>0</v>
      </c>
      <c r="C4466">
        <f>IF(Sheet1!B4466&gt;0,1,0)</f>
        <v>0</v>
      </c>
    </row>
    <row r="4467" spans="1:3" x14ac:dyDescent="0.25">
      <c r="A4467" s="15">
        <f>Sheet1!A4467</f>
        <v>0</v>
      </c>
      <c r="B4467">
        <f>Sheet1!B4467</f>
        <v>0</v>
      </c>
      <c r="C4467">
        <f>IF(Sheet1!B4467&gt;0,1,0)</f>
        <v>0</v>
      </c>
    </row>
    <row r="4468" spans="1:3" x14ac:dyDescent="0.25">
      <c r="A4468" s="15">
        <f>Sheet1!A4468</f>
        <v>0</v>
      </c>
      <c r="B4468">
        <f>Sheet1!B4468</f>
        <v>0</v>
      </c>
      <c r="C4468">
        <f>IF(Sheet1!B4468&gt;0,1,0)</f>
        <v>0</v>
      </c>
    </row>
    <row r="4469" spans="1:3" x14ac:dyDescent="0.25">
      <c r="A4469" s="15">
        <f>Sheet1!A4469</f>
        <v>0</v>
      </c>
      <c r="B4469">
        <f>Sheet1!B4469</f>
        <v>0</v>
      </c>
      <c r="C4469">
        <f>IF(Sheet1!B4469&gt;0,1,0)</f>
        <v>0</v>
      </c>
    </row>
    <row r="4470" spans="1:3" x14ac:dyDescent="0.25">
      <c r="A4470" s="15">
        <f>Sheet1!A4470</f>
        <v>0</v>
      </c>
      <c r="B4470">
        <f>Sheet1!B4470</f>
        <v>0</v>
      </c>
      <c r="C4470">
        <f>IF(Sheet1!B4470&gt;0,1,0)</f>
        <v>0</v>
      </c>
    </row>
    <row r="4471" spans="1:3" x14ac:dyDescent="0.25">
      <c r="A4471" s="15">
        <f>Sheet1!A4471</f>
        <v>0</v>
      </c>
      <c r="B4471">
        <f>Sheet1!B4471</f>
        <v>0</v>
      </c>
      <c r="C4471">
        <f>IF(Sheet1!B4471&gt;0,1,0)</f>
        <v>0</v>
      </c>
    </row>
    <row r="4472" spans="1:3" x14ac:dyDescent="0.25">
      <c r="A4472" s="15">
        <f>Sheet1!A4472</f>
        <v>0</v>
      </c>
      <c r="B4472">
        <f>Sheet1!B4472</f>
        <v>0</v>
      </c>
      <c r="C4472">
        <f>IF(Sheet1!B4472&gt;0,1,0)</f>
        <v>0</v>
      </c>
    </row>
    <row r="4473" spans="1:3" x14ac:dyDescent="0.25">
      <c r="A4473" s="15">
        <f>Sheet1!A4473</f>
        <v>0</v>
      </c>
      <c r="B4473">
        <f>Sheet1!B4473</f>
        <v>0</v>
      </c>
      <c r="C4473">
        <f>IF(Sheet1!B4473&gt;0,1,0)</f>
        <v>0</v>
      </c>
    </row>
    <row r="4474" spans="1:3" x14ac:dyDescent="0.25">
      <c r="A4474" s="15">
        <f>Sheet1!A4474</f>
        <v>0</v>
      </c>
      <c r="B4474">
        <f>Sheet1!B4474</f>
        <v>0</v>
      </c>
      <c r="C4474">
        <f>IF(Sheet1!B4474&gt;0,1,0)</f>
        <v>0</v>
      </c>
    </row>
    <row r="4475" spans="1:3" x14ac:dyDescent="0.25">
      <c r="A4475" s="15">
        <f>Sheet1!A4475</f>
        <v>0</v>
      </c>
      <c r="B4475">
        <f>Sheet1!B4475</f>
        <v>0</v>
      </c>
      <c r="C4475">
        <f>IF(Sheet1!B4475&gt;0,1,0)</f>
        <v>0</v>
      </c>
    </row>
    <row r="4476" spans="1:3" x14ac:dyDescent="0.25">
      <c r="A4476" s="15">
        <f>Sheet1!A4476</f>
        <v>0</v>
      </c>
      <c r="B4476">
        <f>Sheet1!B4476</f>
        <v>0</v>
      </c>
      <c r="C4476">
        <f>IF(Sheet1!B4476&gt;0,1,0)</f>
        <v>0</v>
      </c>
    </row>
    <row r="4477" spans="1:3" x14ac:dyDescent="0.25">
      <c r="A4477" s="15">
        <f>Sheet1!A4477</f>
        <v>0</v>
      </c>
      <c r="B4477">
        <f>Sheet1!B4477</f>
        <v>0</v>
      </c>
      <c r="C4477">
        <f>IF(Sheet1!B4477&gt;0,1,0)</f>
        <v>0</v>
      </c>
    </row>
    <row r="4478" spans="1:3" x14ac:dyDescent="0.25">
      <c r="A4478" s="15">
        <f>Sheet1!A4478</f>
        <v>0</v>
      </c>
      <c r="B4478">
        <f>Sheet1!B4478</f>
        <v>0</v>
      </c>
      <c r="C4478">
        <f>IF(Sheet1!B4478&gt;0,1,0)</f>
        <v>0</v>
      </c>
    </row>
    <row r="4479" spans="1:3" x14ac:dyDescent="0.25">
      <c r="A4479" s="15">
        <f>Sheet1!A4479</f>
        <v>0</v>
      </c>
      <c r="B4479">
        <f>Sheet1!B4479</f>
        <v>0</v>
      </c>
      <c r="C4479">
        <f>IF(Sheet1!B4479&gt;0,1,0)</f>
        <v>0</v>
      </c>
    </row>
    <row r="4480" spans="1:3" x14ac:dyDescent="0.25">
      <c r="A4480" s="15">
        <f>Sheet1!A4480</f>
        <v>0</v>
      </c>
      <c r="B4480">
        <f>Sheet1!B4480</f>
        <v>0</v>
      </c>
      <c r="C4480">
        <f>IF(Sheet1!B4480&gt;0,1,0)</f>
        <v>0</v>
      </c>
    </row>
    <row r="4481" spans="1:3" x14ac:dyDescent="0.25">
      <c r="A4481" s="15">
        <f>Sheet1!A4481</f>
        <v>0</v>
      </c>
      <c r="B4481">
        <f>Sheet1!B4481</f>
        <v>0</v>
      </c>
      <c r="C4481">
        <f>IF(Sheet1!B4481&gt;0,1,0)</f>
        <v>0</v>
      </c>
    </row>
    <row r="4482" spans="1:3" x14ac:dyDescent="0.25">
      <c r="A4482" s="15">
        <f>Sheet1!A4482</f>
        <v>0</v>
      </c>
      <c r="B4482">
        <f>Sheet1!B4482</f>
        <v>0</v>
      </c>
      <c r="C4482">
        <f>IF(Sheet1!B4482&gt;0,1,0)</f>
        <v>0</v>
      </c>
    </row>
    <row r="4483" spans="1:3" x14ac:dyDescent="0.25">
      <c r="A4483" s="15">
        <f>Sheet1!A4483</f>
        <v>0</v>
      </c>
      <c r="B4483">
        <f>Sheet1!B4483</f>
        <v>0</v>
      </c>
      <c r="C4483">
        <f>IF(Sheet1!B4483&gt;0,1,0)</f>
        <v>0</v>
      </c>
    </row>
    <row r="4484" spans="1:3" x14ac:dyDescent="0.25">
      <c r="A4484" s="15">
        <f>Sheet1!A4484</f>
        <v>0</v>
      </c>
      <c r="B4484">
        <f>Sheet1!B4484</f>
        <v>0</v>
      </c>
      <c r="C4484">
        <f>IF(Sheet1!B4484&gt;0,1,0)</f>
        <v>0</v>
      </c>
    </row>
    <row r="4485" spans="1:3" x14ac:dyDescent="0.25">
      <c r="A4485" s="15">
        <f>Sheet1!A4485</f>
        <v>0</v>
      </c>
      <c r="B4485">
        <f>Sheet1!B4485</f>
        <v>0</v>
      </c>
      <c r="C4485">
        <f>IF(Sheet1!B4485&gt;0,1,0)</f>
        <v>0</v>
      </c>
    </row>
    <row r="4486" spans="1:3" x14ac:dyDescent="0.25">
      <c r="A4486" s="15">
        <f>Sheet1!A4486</f>
        <v>0</v>
      </c>
      <c r="B4486">
        <f>Sheet1!B4486</f>
        <v>0</v>
      </c>
      <c r="C4486">
        <f>IF(Sheet1!B4486&gt;0,1,0)</f>
        <v>0</v>
      </c>
    </row>
    <row r="4487" spans="1:3" x14ac:dyDescent="0.25">
      <c r="A4487" s="15">
        <f>Sheet1!A4487</f>
        <v>0</v>
      </c>
      <c r="B4487">
        <f>Sheet1!B4487</f>
        <v>0</v>
      </c>
      <c r="C4487">
        <f>IF(Sheet1!B4487&gt;0,1,0)</f>
        <v>0</v>
      </c>
    </row>
    <row r="4488" spans="1:3" x14ac:dyDescent="0.25">
      <c r="A4488" s="15">
        <f>Sheet1!A4488</f>
        <v>0</v>
      </c>
      <c r="B4488">
        <f>Sheet1!B4488</f>
        <v>21.82</v>
      </c>
      <c r="C4488">
        <f>IF(Sheet1!B4488&gt;0,1,0)</f>
        <v>1</v>
      </c>
    </row>
    <row r="4489" spans="1:3" x14ac:dyDescent="0.25">
      <c r="A4489" s="15">
        <f>Sheet1!A4489</f>
        <v>0</v>
      </c>
      <c r="B4489">
        <f>Sheet1!B4489</f>
        <v>0</v>
      </c>
      <c r="C4489">
        <f>IF(Sheet1!B4489&gt;0,1,0)</f>
        <v>0</v>
      </c>
    </row>
    <row r="4490" spans="1:3" x14ac:dyDescent="0.25">
      <c r="A4490" s="15">
        <f>Sheet1!A4490</f>
        <v>0</v>
      </c>
      <c r="B4490">
        <f>Sheet1!B4490</f>
        <v>0</v>
      </c>
      <c r="C4490">
        <f>IF(Sheet1!B4490&gt;0,1,0)</f>
        <v>0</v>
      </c>
    </row>
    <row r="4491" spans="1:3" x14ac:dyDescent="0.25">
      <c r="A4491" s="15">
        <f>Sheet1!A4491</f>
        <v>0</v>
      </c>
      <c r="B4491">
        <f>Sheet1!B4491</f>
        <v>0</v>
      </c>
      <c r="C4491">
        <f>IF(Sheet1!B4491&gt;0,1,0)</f>
        <v>0</v>
      </c>
    </row>
    <row r="4492" spans="1:3" x14ac:dyDescent="0.25">
      <c r="A4492" s="15">
        <f>Sheet1!A4492</f>
        <v>0</v>
      </c>
      <c r="B4492">
        <f>Sheet1!B4492</f>
        <v>12.18</v>
      </c>
      <c r="C4492">
        <f>IF(Sheet1!B4492&gt;0,1,0)</f>
        <v>1</v>
      </c>
    </row>
    <row r="4493" spans="1:3" x14ac:dyDescent="0.25">
      <c r="A4493" s="15">
        <f>Sheet1!A4493</f>
        <v>0</v>
      </c>
      <c r="B4493">
        <f>Sheet1!B4493</f>
        <v>0</v>
      </c>
      <c r="C4493">
        <f>IF(Sheet1!B4493&gt;0,1,0)</f>
        <v>0</v>
      </c>
    </row>
    <row r="4494" spans="1:3" x14ac:dyDescent="0.25">
      <c r="A4494" s="15">
        <f>Sheet1!A4494</f>
        <v>0</v>
      </c>
      <c r="B4494">
        <f>Sheet1!B4494</f>
        <v>0</v>
      </c>
      <c r="C4494">
        <f>IF(Sheet1!B4494&gt;0,1,0)</f>
        <v>0</v>
      </c>
    </row>
    <row r="4495" spans="1:3" x14ac:dyDescent="0.25">
      <c r="A4495" s="15">
        <f>Sheet1!A4495</f>
        <v>0</v>
      </c>
      <c r="B4495">
        <f>Sheet1!B4495</f>
        <v>0</v>
      </c>
      <c r="C4495">
        <f>IF(Sheet1!B4495&gt;0,1,0)</f>
        <v>0</v>
      </c>
    </row>
    <row r="4496" spans="1:3" x14ac:dyDescent="0.25">
      <c r="A4496" s="15">
        <f>Sheet1!A4496</f>
        <v>0</v>
      </c>
      <c r="B4496">
        <f>Sheet1!B4496</f>
        <v>0</v>
      </c>
      <c r="C4496">
        <f>IF(Sheet1!B4496&gt;0,1,0)</f>
        <v>0</v>
      </c>
    </row>
    <row r="4497" spans="1:3" x14ac:dyDescent="0.25">
      <c r="A4497" s="15">
        <f>Sheet1!A4497</f>
        <v>0</v>
      </c>
      <c r="B4497">
        <f>Sheet1!B4497</f>
        <v>0</v>
      </c>
      <c r="C4497">
        <f>IF(Sheet1!B4497&gt;0,1,0)</f>
        <v>0</v>
      </c>
    </row>
    <row r="4498" spans="1:3" x14ac:dyDescent="0.25">
      <c r="A4498" s="15">
        <f>Sheet1!A4498</f>
        <v>0</v>
      </c>
      <c r="B4498">
        <f>Sheet1!B4498</f>
        <v>0</v>
      </c>
      <c r="C4498">
        <f>IF(Sheet1!B4498&gt;0,1,0)</f>
        <v>0</v>
      </c>
    </row>
    <row r="4499" spans="1:3" x14ac:dyDescent="0.25">
      <c r="A4499" s="15">
        <f>Sheet1!A4499</f>
        <v>0</v>
      </c>
      <c r="B4499">
        <f>Sheet1!B4499</f>
        <v>0</v>
      </c>
      <c r="C4499">
        <f>IF(Sheet1!B4499&gt;0,1,0)</f>
        <v>0</v>
      </c>
    </row>
    <row r="4500" spans="1:3" x14ac:dyDescent="0.25">
      <c r="A4500" s="15">
        <f>Sheet1!A4500</f>
        <v>0</v>
      </c>
      <c r="B4500">
        <f>Sheet1!B4500</f>
        <v>0</v>
      </c>
      <c r="C4500">
        <f>IF(Sheet1!B4500&gt;0,1,0)</f>
        <v>0</v>
      </c>
    </row>
    <row r="4501" spans="1:3" x14ac:dyDescent="0.25">
      <c r="A4501" s="15">
        <f>Sheet1!A4501</f>
        <v>0</v>
      </c>
      <c r="B4501">
        <f>Sheet1!B4501</f>
        <v>0</v>
      </c>
      <c r="C4501">
        <f>IF(Sheet1!B4501&gt;0,1,0)</f>
        <v>0</v>
      </c>
    </row>
    <row r="4502" spans="1:3" x14ac:dyDescent="0.25">
      <c r="A4502" s="15">
        <f>Sheet1!A4502</f>
        <v>0</v>
      </c>
      <c r="B4502">
        <f>Sheet1!B4502</f>
        <v>20.41</v>
      </c>
      <c r="C4502">
        <f>IF(Sheet1!B4502&gt;0,1,0)</f>
        <v>1</v>
      </c>
    </row>
    <row r="4503" spans="1:3" x14ac:dyDescent="0.25">
      <c r="A4503" s="15">
        <f>Sheet1!A4503</f>
        <v>0</v>
      </c>
      <c r="B4503">
        <f>Sheet1!B4503</f>
        <v>0</v>
      </c>
      <c r="C4503">
        <f>IF(Sheet1!B4503&gt;0,1,0)</f>
        <v>0</v>
      </c>
    </row>
    <row r="4504" spans="1:3" x14ac:dyDescent="0.25">
      <c r="A4504" s="15">
        <f>Sheet1!A4504</f>
        <v>0</v>
      </c>
      <c r="B4504">
        <f>Sheet1!B4504</f>
        <v>0</v>
      </c>
      <c r="C4504">
        <f>IF(Sheet1!B4504&gt;0,1,0)</f>
        <v>0</v>
      </c>
    </row>
    <row r="4505" spans="1:3" x14ac:dyDescent="0.25">
      <c r="A4505" s="15">
        <f>Sheet1!A4505</f>
        <v>0</v>
      </c>
      <c r="B4505">
        <f>Sheet1!B4505</f>
        <v>0</v>
      </c>
      <c r="C4505">
        <f>IF(Sheet1!B4505&gt;0,1,0)</f>
        <v>0</v>
      </c>
    </row>
    <row r="4506" spans="1:3" x14ac:dyDescent="0.25">
      <c r="A4506" s="15">
        <f>Sheet1!A4506</f>
        <v>0</v>
      </c>
      <c r="B4506">
        <f>Sheet1!B4506</f>
        <v>0</v>
      </c>
      <c r="C4506">
        <f>IF(Sheet1!B4506&gt;0,1,0)</f>
        <v>0</v>
      </c>
    </row>
    <row r="4507" spans="1:3" x14ac:dyDescent="0.25">
      <c r="A4507" s="15">
        <f>Sheet1!A4507</f>
        <v>0</v>
      </c>
      <c r="B4507">
        <f>Sheet1!B4507</f>
        <v>0</v>
      </c>
      <c r="C4507">
        <f>IF(Sheet1!B4507&gt;0,1,0)</f>
        <v>0</v>
      </c>
    </row>
    <row r="4508" spans="1:3" x14ac:dyDescent="0.25">
      <c r="A4508" s="15">
        <f>Sheet1!A4508</f>
        <v>0</v>
      </c>
      <c r="B4508">
        <f>Sheet1!B4508</f>
        <v>0</v>
      </c>
      <c r="C4508">
        <f>IF(Sheet1!B4508&gt;0,1,0)</f>
        <v>0</v>
      </c>
    </row>
    <row r="4509" spans="1:3" x14ac:dyDescent="0.25">
      <c r="A4509" s="15">
        <f>Sheet1!A4509</f>
        <v>0</v>
      </c>
      <c r="B4509">
        <f>Sheet1!B4509</f>
        <v>0</v>
      </c>
      <c r="C4509">
        <f>IF(Sheet1!B4509&gt;0,1,0)</f>
        <v>0</v>
      </c>
    </row>
    <row r="4510" spans="1:3" x14ac:dyDescent="0.25">
      <c r="A4510" s="15">
        <f>Sheet1!A4510</f>
        <v>0</v>
      </c>
      <c r="B4510">
        <f>Sheet1!B4510</f>
        <v>0</v>
      </c>
      <c r="C4510">
        <f>IF(Sheet1!B4510&gt;0,1,0)</f>
        <v>0</v>
      </c>
    </row>
    <row r="4511" spans="1:3" x14ac:dyDescent="0.25">
      <c r="A4511" s="15">
        <f>Sheet1!A4511</f>
        <v>0</v>
      </c>
      <c r="B4511">
        <f>Sheet1!B4511</f>
        <v>0</v>
      </c>
      <c r="C4511">
        <f>IF(Sheet1!B4511&gt;0,1,0)</f>
        <v>0</v>
      </c>
    </row>
    <row r="4512" spans="1:3" x14ac:dyDescent="0.25">
      <c r="A4512" s="15">
        <f>Sheet1!A4512</f>
        <v>0</v>
      </c>
      <c r="B4512">
        <f>Sheet1!B4512</f>
        <v>0</v>
      </c>
      <c r="C4512">
        <f>IF(Sheet1!B4512&gt;0,1,0)</f>
        <v>0</v>
      </c>
    </row>
    <row r="4513" spans="1:3" x14ac:dyDescent="0.25">
      <c r="A4513" s="15">
        <f>Sheet1!A4513</f>
        <v>0</v>
      </c>
      <c r="B4513">
        <f>Sheet1!B4513</f>
        <v>0</v>
      </c>
      <c r="C4513">
        <f>IF(Sheet1!B4513&gt;0,1,0)</f>
        <v>0</v>
      </c>
    </row>
    <row r="4514" spans="1:3" x14ac:dyDescent="0.25">
      <c r="A4514" s="15">
        <f>Sheet1!A4514</f>
        <v>0</v>
      </c>
      <c r="B4514">
        <f>Sheet1!B4514</f>
        <v>0</v>
      </c>
      <c r="C4514">
        <f>IF(Sheet1!B4514&gt;0,1,0)</f>
        <v>0</v>
      </c>
    </row>
    <row r="4515" spans="1:3" x14ac:dyDescent="0.25">
      <c r="A4515" s="15">
        <f>Sheet1!A4515</f>
        <v>0</v>
      </c>
      <c r="B4515">
        <f>Sheet1!B4515</f>
        <v>0</v>
      </c>
      <c r="C4515">
        <f>IF(Sheet1!B4515&gt;0,1,0)</f>
        <v>0</v>
      </c>
    </row>
    <row r="4516" spans="1:3" x14ac:dyDescent="0.25">
      <c r="A4516" s="15">
        <f>Sheet1!A4516</f>
        <v>0</v>
      </c>
      <c r="B4516">
        <f>Sheet1!B4516</f>
        <v>0</v>
      </c>
      <c r="C4516">
        <f>IF(Sheet1!B4516&gt;0,1,0)</f>
        <v>0</v>
      </c>
    </row>
    <row r="4517" spans="1:3" x14ac:dyDescent="0.25">
      <c r="A4517" s="15">
        <f>Sheet1!A4517</f>
        <v>0</v>
      </c>
      <c r="B4517">
        <f>Sheet1!B4517</f>
        <v>0</v>
      </c>
      <c r="C4517">
        <f>IF(Sheet1!B4517&gt;0,1,0)</f>
        <v>0</v>
      </c>
    </row>
    <row r="4518" spans="1:3" x14ac:dyDescent="0.25">
      <c r="A4518" s="15">
        <f>Sheet1!A4518</f>
        <v>0</v>
      </c>
      <c r="B4518">
        <f>Sheet1!B4518</f>
        <v>0</v>
      </c>
      <c r="C4518">
        <f>IF(Sheet1!B4518&gt;0,1,0)</f>
        <v>0</v>
      </c>
    </row>
    <row r="4519" spans="1:3" x14ac:dyDescent="0.25">
      <c r="A4519" s="15">
        <f>Sheet1!A4519</f>
        <v>0</v>
      </c>
      <c r="B4519">
        <f>Sheet1!B4519</f>
        <v>0</v>
      </c>
      <c r="C4519">
        <f>IF(Sheet1!B4519&gt;0,1,0)</f>
        <v>0</v>
      </c>
    </row>
    <row r="4520" spans="1:3" x14ac:dyDescent="0.25">
      <c r="A4520" s="15">
        <f>Sheet1!A4520</f>
        <v>0</v>
      </c>
      <c r="B4520">
        <f>Sheet1!B4520</f>
        <v>0</v>
      </c>
      <c r="C4520">
        <f>IF(Sheet1!B4520&gt;0,1,0)</f>
        <v>0</v>
      </c>
    </row>
    <row r="4521" spans="1:3" x14ac:dyDescent="0.25">
      <c r="A4521" s="15">
        <f>Sheet1!A4521</f>
        <v>0</v>
      </c>
      <c r="B4521">
        <f>Sheet1!B4521</f>
        <v>0</v>
      </c>
      <c r="C4521">
        <f>IF(Sheet1!B4521&gt;0,1,0)</f>
        <v>0</v>
      </c>
    </row>
    <row r="4522" spans="1:3" x14ac:dyDescent="0.25">
      <c r="A4522" s="15">
        <f>Sheet1!A4522</f>
        <v>0</v>
      </c>
      <c r="B4522">
        <f>Sheet1!B4522</f>
        <v>0</v>
      </c>
      <c r="C4522">
        <f>IF(Sheet1!B4522&gt;0,1,0)</f>
        <v>0</v>
      </c>
    </row>
    <row r="4523" spans="1:3" x14ac:dyDescent="0.25">
      <c r="A4523" s="15">
        <f>Sheet1!A4523</f>
        <v>0</v>
      </c>
      <c r="B4523">
        <f>Sheet1!B4523</f>
        <v>0</v>
      </c>
      <c r="C4523">
        <f>IF(Sheet1!B4523&gt;0,1,0)</f>
        <v>0</v>
      </c>
    </row>
    <row r="4524" spans="1:3" x14ac:dyDescent="0.25">
      <c r="A4524" s="15">
        <f>Sheet1!A4524</f>
        <v>0</v>
      </c>
      <c r="B4524">
        <f>Sheet1!B4524</f>
        <v>0</v>
      </c>
      <c r="C4524">
        <f>IF(Sheet1!B4524&gt;0,1,0)</f>
        <v>0</v>
      </c>
    </row>
    <row r="4525" spans="1:3" x14ac:dyDescent="0.25">
      <c r="A4525" s="15">
        <f>Sheet1!A4525</f>
        <v>0</v>
      </c>
      <c r="B4525">
        <f>Sheet1!B4525</f>
        <v>0</v>
      </c>
      <c r="C4525">
        <f>IF(Sheet1!B4525&gt;0,1,0)</f>
        <v>0</v>
      </c>
    </row>
    <row r="4526" spans="1:3" x14ac:dyDescent="0.25">
      <c r="A4526" s="15">
        <f>Sheet1!A4526</f>
        <v>0</v>
      </c>
      <c r="B4526">
        <f>Sheet1!B4526</f>
        <v>0</v>
      </c>
      <c r="C4526">
        <f>IF(Sheet1!B4526&gt;0,1,0)</f>
        <v>0</v>
      </c>
    </row>
    <row r="4527" spans="1:3" x14ac:dyDescent="0.25">
      <c r="A4527" s="15">
        <f>Sheet1!A4527</f>
        <v>0</v>
      </c>
      <c r="B4527">
        <f>Sheet1!B4527</f>
        <v>0</v>
      </c>
      <c r="C4527">
        <f>IF(Sheet1!B4527&gt;0,1,0)</f>
        <v>0</v>
      </c>
    </row>
    <row r="4528" spans="1:3" x14ac:dyDescent="0.25">
      <c r="A4528" s="15">
        <f>Sheet1!A4528</f>
        <v>0</v>
      </c>
      <c r="B4528">
        <f>Sheet1!B4528</f>
        <v>0</v>
      </c>
      <c r="C4528">
        <f>IF(Sheet1!B4528&gt;0,1,0)</f>
        <v>0</v>
      </c>
    </row>
    <row r="4529" spans="1:3" x14ac:dyDescent="0.25">
      <c r="A4529" s="15">
        <f>Sheet1!A4529</f>
        <v>0</v>
      </c>
      <c r="B4529">
        <f>Sheet1!B4529</f>
        <v>0</v>
      </c>
      <c r="C4529">
        <f>IF(Sheet1!B4529&gt;0,1,0)</f>
        <v>0</v>
      </c>
    </row>
    <row r="4530" spans="1:3" x14ac:dyDescent="0.25">
      <c r="A4530" s="15">
        <f>Sheet1!A4530</f>
        <v>0</v>
      </c>
      <c r="B4530">
        <f>Sheet1!B4530</f>
        <v>0</v>
      </c>
      <c r="C4530">
        <f>IF(Sheet1!B4530&gt;0,1,0)</f>
        <v>0</v>
      </c>
    </row>
    <row r="4531" spans="1:3" x14ac:dyDescent="0.25">
      <c r="A4531" s="15">
        <f>Sheet1!A4531</f>
        <v>0</v>
      </c>
      <c r="B4531">
        <f>Sheet1!B4531</f>
        <v>0</v>
      </c>
      <c r="C4531">
        <f>IF(Sheet1!B4531&gt;0,1,0)</f>
        <v>0</v>
      </c>
    </row>
    <row r="4532" spans="1:3" x14ac:dyDescent="0.25">
      <c r="A4532" s="15">
        <f>Sheet1!A4532</f>
        <v>0</v>
      </c>
      <c r="B4532">
        <f>Sheet1!B4532</f>
        <v>0</v>
      </c>
      <c r="C4532">
        <f>IF(Sheet1!B4532&gt;0,1,0)</f>
        <v>0</v>
      </c>
    </row>
    <row r="4533" spans="1:3" x14ac:dyDescent="0.25">
      <c r="A4533" s="15">
        <f>Sheet1!A4533</f>
        <v>0</v>
      </c>
      <c r="B4533">
        <f>Sheet1!B4533</f>
        <v>0</v>
      </c>
      <c r="C4533">
        <f>IF(Sheet1!B4533&gt;0,1,0)</f>
        <v>0</v>
      </c>
    </row>
    <row r="4534" spans="1:3" x14ac:dyDescent="0.25">
      <c r="A4534" s="15">
        <f>Sheet1!A4534</f>
        <v>0</v>
      </c>
      <c r="B4534">
        <f>Sheet1!B4534</f>
        <v>19.28</v>
      </c>
      <c r="C4534">
        <f>IF(Sheet1!B4534&gt;0,1,0)</f>
        <v>1</v>
      </c>
    </row>
    <row r="4535" spans="1:3" x14ac:dyDescent="0.25">
      <c r="A4535" s="15">
        <f>Sheet1!A4535</f>
        <v>0</v>
      </c>
      <c r="B4535">
        <f>Sheet1!B4535</f>
        <v>0</v>
      </c>
      <c r="C4535">
        <f>IF(Sheet1!B4535&gt;0,1,0)</f>
        <v>0</v>
      </c>
    </row>
    <row r="4536" spans="1:3" x14ac:dyDescent="0.25">
      <c r="A4536" s="15">
        <f>Sheet1!A4536</f>
        <v>0</v>
      </c>
      <c r="B4536">
        <f>Sheet1!B4536</f>
        <v>0</v>
      </c>
      <c r="C4536">
        <f>IF(Sheet1!B4536&gt;0,1,0)</f>
        <v>0</v>
      </c>
    </row>
    <row r="4537" spans="1:3" x14ac:dyDescent="0.25">
      <c r="A4537" s="15">
        <f>Sheet1!A4537</f>
        <v>0</v>
      </c>
      <c r="B4537">
        <f>Sheet1!B4537</f>
        <v>0</v>
      </c>
      <c r="C4537">
        <f>IF(Sheet1!B4537&gt;0,1,0)</f>
        <v>0</v>
      </c>
    </row>
    <row r="4538" spans="1:3" x14ac:dyDescent="0.25">
      <c r="A4538" s="15">
        <f>Sheet1!A4538</f>
        <v>0</v>
      </c>
      <c r="B4538">
        <f>Sheet1!B4538</f>
        <v>16.27</v>
      </c>
      <c r="C4538">
        <f>IF(Sheet1!B4538&gt;0,1,0)</f>
        <v>1</v>
      </c>
    </row>
    <row r="4539" spans="1:3" x14ac:dyDescent="0.25">
      <c r="A4539" s="15">
        <f>Sheet1!A4539</f>
        <v>0</v>
      </c>
      <c r="B4539">
        <f>Sheet1!B4539</f>
        <v>0</v>
      </c>
      <c r="C4539">
        <f>IF(Sheet1!B4539&gt;0,1,0)</f>
        <v>0</v>
      </c>
    </row>
    <row r="4540" spans="1:3" x14ac:dyDescent="0.25">
      <c r="A4540" s="15">
        <f>Sheet1!A4540</f>
        <v>0</v>
      </c>
      <c r="B4540">
        <f>Sheet1!B4540</f>
        <v>0</v>
      </c>
      <c r="C4540">
        <f>IF(Sheet1!B4540&gt;0,1,0)</f>
        <v>0</v>
      </c>
    </row>
    <row r="4541" spans="1:3" x14ac:dyDescent="0.25">
      <c r="A4541" s="15">
        <f>Sheet1!A4541</f>
        <v>0</v>
      </c>
      <c r="B4541">
        <f>Sheet1!B4541</f>
        <v>0</v>
      </c>
      <c r="C4541">
        <f>IF(Sheet1!B4541&gt;0,1,0)</f>
        <v>0</v>
      </c>
    </row>
    <row r="4542" spans="1:3" x14ac:dyDescent="0.25">
      <c r="A4542" s="15">
        <f>Sheet1!A4542</f>
        <v>0</v>
      </c>
      <c r="B4542">
        <f>Sheet1!B4542</f>
        <v>17.13</v>
      </c>
      <c r="C4542">
        <f>IF(Sheet1!B4542&gt;0,1,0)</f>
        <v>1</v>
      </c>
    </row>
    <row r="4543" spans="1:3" x14ac:dyDescent="0.25">
      <c r="A4543" s="15">
        <f>Sheet1!A4543</f>
        <v>0</v>
      </c>
      <c r="B4543">
        <f>Sheet1!B4543</f>
        <v>15.37</v>
      </c>
      <c r="C4543">
        <f>IF(Sheet1!B4543&gt;0,1,0)</f>
        <v>1</v>
      </c>
    </row>
    <row r="4544" spans="1:3" x14ac:dyDescent="0.25">
      <c r="A4544" s="15">
        <f>Sheet1!A4544</f>
        <v>0</v>
      </c>
      <c r="B4544">
        <f>Sheet1!B4544</f>
        <v>16.43</v>
      </c>
      <c r="C4544">
        <f>IF(Sheet1!B4544&gt;0,1,0)</f>
        <v>1</v>
      </c>
    </row>
    <row r="4545" spans="1:3" x14ac:dyDescent="0.25">
      <c r="A4545" s="15">
        <f>Sheet1!A4545</f>
        <v>0</v>
      </c>
      <c r="B4545">
        <f>Sheet1!B4545</f>
        <v>0</v>
      </c>
      <c r="C4545">
        <f>IF(Sheet1!B4545&gt;0,1,0)</f>
        <v>0</v>
      </c>
    </row>
    <row r="4546" spans="1:3" x14ac:dyDescent="0.25">
      <c r="A4546" s="15">
        <f>Sheet1!A4546</f>
        <v>0</v>
      </c>
      <c r="B4546">
        <f>Sheet1!B4546</f>
        <v>0</v>
      </c>
      <c r="C4546">
        <f>IF(Sheet1!B4546&gt;0,1,0)</f>
        <v>0</v>
      </c>
    </row>
    <row r="4547" spans="1:3" x14ac:dyDescent="0.25">
      <c r="A4547" s="15">
        <f>Sheet1!A4547</f>
        <v>0</v>
      </c>
      <c r="B4547">
        <f>Sheet1!B4547</f>
        <v>0</v>
      </c>
      <c r="C4547">
        <f>IF(Sheet1!B4547&gt;0,1,0)</f>
        <v>0</v>
      </c>
    </row>
    <row r="4548" spans="1:3" x14ac:dyDescent="0.25">
      <c r="A4548" s="15">
        <f>Sheet1!A4548</f>
        <v>0</v>
      </c>
      <c r="B4548">
        <f>Sheet1!B4548</f>
        <v>16.670000000000002</v>
      </c>
      <c r="C4548">
        <f>IF(Sheet1!B4548&gt;0,1,0)</f>
        <v>1</v>
      </c>
    </row>
    <row r="4549" spans="1:3" x14ac:dyDescent="0.25">
      <c r="A4549" s="15">
        <f>Sheet1!A4549</f>
        <v>0</v>
      </c>
      <c r="B4549">
        <f>Sheet1!B4549</f>
        <v>0</v>
      </c>
      <c r="C4549">
        <f>IF(Sheet1!B4549&gt;0,1,0)</f>
        <v>0</v>
      </c>
    </row>
    <row r="4550" spans="1:3" x14ac:dyDescent="0.25">
      <c r="A4550" s="15">
        <f>Sheet1!A4550</f>
        <v>0</v>
      </c>
      <c r="B4550">
        <f>Sheet1!B4550</f>
        <v>0</v>
      </c>
      <c r="C4550">
        <f>IF(Sheet1!B4550&gt;0,1,0)</f>
        <v>0</v>
      </c>
    </row>
    <row r="4551" spans="1:3" x14ac:dyDescent="0.25">
      <c r="A4551" s="15">
        <f>Sheet1!A4551</f>
        <v>0</v>
      </c>
      <c r="B4551">
        <f>Sheet1!B4551</f>
        <v>0</v>
      </c>
      <c r="C4551">
        <f>IF(Sheet1!B4551&gt;0,1,0)</f>
        <v>0</v>
      </c>
    </row>
    <row r="4552" spans="1:3" x14ac:dyDescent="0.25">
      <c r="A4552" s="15">
        <f>Sheet1!A4552</f>
        <v>0</v>
      </c>
      <c r="B4552">
        <f>Sheet1!B4552</f>
        <v>0</v>
      </c>
      <c r="C4552">
        <f>IF(Sheet1!B4552&gt;0,1,0)</f>
        <v>0</v>
      </c>
    </row>
    <row r="4553" spans="1:3" x14ac:dyDescent="0.25">
      <c r="A4553" s="15">
        <f>Sheet1!A4553</f>
        <v>0</v>
      </c>
      <c r="B4553">
        <f>Sheet1!B4553</f>
        <v>0</v>
      </c>
      <c r="C4553">
        <f>IF(Sheet1!B4553&gt;0,1,0)</f>
        <v>0</v>
      </c>
    </row>
    <row r="4554" spans="1:3" x14ac:dyDescent="0.25">
      <c r="A4554" s="15">
        <f>Sheet1!A4554</f>
        <v>0</v>
      </c>
      <c r="B4554">
        <f>Sheet1!B4554</f>
        <v>20.329999999999998</v>
      </c>
      <c r="C4554">
        <f>IF(Sheet1!B4554&gt;0,1,0)</f>
        <v>1</v>
      </c>
    </row>
    <row r="4555" spans="1:3" x14ac:dyDescent="0.25">
      <c r="A4555" s="15">
        <f>Sheet1!A4555</f>
        <v>0</v>
      </c>
      <c r="B4555">
        <f>Sheet1!B4555</f>
        <v>0</v>
      </c>
      <c r="C4555">
        <f>IF(Sheet1!B4555&gt;0,1,0)</f>
        <v>0</v>
      </c>
    </row>
    <row r="4556" spans="1:3" x14ac:dyDescent="0.25">
      <c r="A4556" s="15">
        <f>Sheet1!A4556</f>
        <v>0</v>
      </c>
      <c r="B4556">
        <f>Sheet1!B4556</f>
        <v>0</v>
      </c>
      <c r="C4556">
        <f>IF(Sheet1!B4556&gt;0,1,0)</f>
        <v>0</v>
      </c>
    </row>
    <row r="4557" spans="1:3" x14ac:dyDescent="0.25">
      <c r="A4557" s="15">
        <f>Sheet1!A4557</f>
        <v>0</v>
      </c>
      <c r="B4557">
        <f>Sheet1!B4557</f>
        <v>0</v>
      </c>
      <c r="C4557">
        <f>IF(Sheet1!B4557&gt;0,1,0)</f>
        <v>0</v>
      </c>
    </row>
    <row r="4558" spans="1:3" x14ac:dyDescent="0.25">
      <c r="A4558" s="15">
        <f>Sheet1!A4558</f>
        <v>0</v>
      </c>
      <c r="B4558">
        <f>Sheet1!B4558</f>
        <v>0</v>
      </c>
      <c r="C4558">
        <f>IF(Sheet1!B4558&gt;0,1,0)</f>
        <v>0</v>
      </c>
    </row>
    <row r="4559" spans="1:3" x14ac:dyDescent="0.25">
      <c r="A4559" s="15">
        <f>Sheet1!A4559</f>
        <v>0</v>
      </c>
      <c r="B4559">
        <f>Sheet1!B4559</f>
        <v>0</v>
      </c>
      <c r="C4559">
        <f>IF(Sheet1!B4559&gt;0,1,0)</f>
        <v>0</v>
      </c>
    </row>
    <row r="4560" spans="1:3" x14ac:dyDescent="0.25">
      <c r="A4560" s="15">
        <f>Sheet1!A4560</f>
        <v>0</v>
      </c>
      <c r="B4560">
        <f>Sheet1!B4560</f>
        <v>11.01</v>
      </c>
      <c r="C4560">
        <f>IF(Sheet1!B4560&gt;0,1,0)</f>
        <v>1</v>
      </c>
    </row>
    <row r="4561" spans="1:3" x14ac:dyDescent="0.25">
      <c r="A4561" s="15">
        <f>Sheet1!A4561</f>
        <v>0</v>
      </c>
      <c r="B4561">
        <f>Sheet1!B4561</f>
        <v>0</v>
      </c>
      <c r="C4561">
        <f>IF(Sheet1!B4561&gt;0,1,0)</f>
        <v>0</v>
      </c>
    </row>
    <row r="4562" spans="1:3" x14ac:dyDescent="0.25">
      <c r="A4562" s="15">
        <f>Sheet1!A4562</f>
        <v>0</v>
      </c>
      <c r="B4562">
        <f>Sheet1!B4562</f>
        <v>0</v>
      </c>
      <c r="C4562">
        <f>IF(Sheet1!B4562&gt;0,1,0)</f>
        <v>0</v>
      </c>
    </row>
    <row r="4563" spans="1:3" x14ac:dyDescent="0.25">
      <c r="A4563" s="15">
        <f>Sheet1!A4563</f>
        <v>0</v>
      </c>
      <c r="B4563">
        <f>Sheet1!B4563</f>
        <v>0</v>
      </c>
      <c r="C4563">
        <f>IF(Sheet1!B4563&gt;0,1,0)</f>
        <v>0</v>
      </c>
    </row>
    <row r="4564" spans="1:3" x14ac:dyDescent="0.25">
      <c r="A4564" s="15">
        <f>Sheet1!A4564</f>
        <v>0</v>
      </c>
      <c r="B4564">
        <f>Sheet1!B4564</f>
        <v>0</v>
      </c>
      <c r="C4564">
        <f>IF(Sheet1!B4564&gt;0,1,0)</f>
        <v>0</v>
      </c>
    </row>
    <row r="4565" spans="1:3" x14ac:dyDescent="0.25">
      <c r="A4565" s="15">
        <f>Sheet1!A4565</f>
        <v>0</v>
      </c>
      <c r="B4565">
        <f>Sheet1!B4565</f>
        <v>0</v>
      </c>
      <c r="C4565">
        <f>IF(Sheet1!B4565&gt;0,1,0)</f>
        <v>0</v>
      </c>
    </row>
    <row r="4566" spans="1:3" x14ac:dyDescent="0.25">
      <c r="A4566" s="15">
        <f>Sheet1!A4566</f>
        <v>0</v>
      </c>
      <c r="B4566">
        <f>Sheet1!B4566</f>
        <v>17.100000000000001</v>
      </c>
      <c r="C4566">
        <f>IF(Sheet1!B4566&gt;0,1,0)</f>
        <v>1</v>
      </c>
    </row>
    <row r="4567" spans="1:3" x14ac:dyDescent="0.25">
      <c r="A4567" s="15">
        <f>Sheet1!A4567</f>
        <v>0</v>
      </c>
      <c r="B4567">
        <f>Sheet1!B4567</f>
        <v>0</v>
      </c>
      <c r="C4567">
        <f>IF(Sheet1!B4567&gt;0,1,0)</f>
        <v>0</v>
      </c>
    </row>
    <row r="4568" spans="1:3" x14ac:dyDescent="0.25">
      <c r="A4568" s="15">
        <f>Sheet1!A4568</f>
        <v>0</v>
      </c>
      <c r="B4568">
        <f>Sheet1!B4568</f>
        <v>0</v>
      </c>
      <c r="C4568">
        <f>IF(Sheet1!B4568&gt;0,1,0)</f>
        <v>0</v>
      </c>
    </row>
    <row r="4569" spans="1:3" x14ac:dyDescent="0.25">
      <c r="A4569" s="15">
        <f>Sheet1!A4569</f>
        <v>0</v>
      </c>
      <c r="B4569">
        <f>Sheet1!B4569</f>
        <v>0</v>
      </c>
      <c r="C4569">
        <f>IF(Sheet1!B4569&gt;0,1,0)</f>
        <v>0</v>
      </c>
    </row>
    <row r="4570" spans="1:3" x14ac:dyDescent="0.25">
      <c r="A4570" s="15">
        <f>Sheet1!A4570</f>
        <v>0</v>
      </c>
      <c r="B4570">
        <f>Sheet1!B4570</f>
        <v>0</v>
      </c>
      <c r="C4570">
        <f>IF(Sheet1!B4570&gt;0,1,0)</f>
        <v>0</v>
      </c>
    </row>
    <row r="4571" spans="1:3" x14ac:dyDescent="0.25">
      <c r="A4571" s="15">
        <f>Sheet1!A4571</f>
        <v>0</v>
      </c>
      <c r="B4571">
        <f>Sheet1!B4571</f>
        <v>0</v>
      </c>
      <c r="C4571">
        <f>IF(Sheet1!B4571&gt;0,1,0)</f>
        <v>0</v>
      </c>
    </row>
    <row r="4572" spans="1:3" x14ac:dyDescent="0.25">
      <c r="A4572" s="15">
        <f>Sheet1!A4572</f>
        <v>0</v>
      </c>
      <c r="B4572">
        <f>Sheet1!B4572</f>
        <v>0</v>
      </c>
      <c r="C4572">
        <f>IF(Sheet1!B4572&gt;0,1,0)</f>
        <v>0</v>
      </c>
    </row>
    <row r="4573" spans="1:3" x14ac:dyDescent="0.25">
      <c r="A4573" s="15">
        <f>Sheet1!A4573</f>
        <v>0</v>
      </c>
      <c r="B4573">
        <f>Sheet1!B4573</f>
        <v>0</v>
      </c>
      <c r="C4573">
        <f>IF(Sheet1!B4573&gt;0,1,0)</f>
        <v>0</v>
      </c>
    </row>
    <row r="4574" spans="1:3" x14ac:dyDescent="0.25">
      <c r="A4574" s="15">
        <f>Sheet1!A4574</f>
        <v>0</v>
      </c>
      <c r="B4574">
        <f>Sheet1!B4574</f>
        <v>0</v>
      </c>
      <c r="C4574">
        <f>IF(Sheet1!B4574&gt;0,1,0)</f>
        <v>0</v>
      </c>
    </row>
    <row r="4575" spans="1:3" x14ac:dyDescent="0.25">
      <c r="A4575" s="15">
        <f>Sheet1!A4575</f>
        <v>0</v>
      </c>
      <c r="B4575">
        <f>Sheet1!B4575</f>
        <v>0</v>
      </c>
      <c r="C4575">
        <f>IF(Sheet1!B4575&gt;0,1,0)</f>
        <v>0</v>
      </c>
    </row>
    <row r="4576" spans="1:3" x14ac:dyDescent="0.25">
      <c r="A4576" s="15">
        <f>Sheet1!A4576</f>
        <v>0</v>
      </c>
      <c r="B4576">
        <f>Sheet1!B4576</f>
        <v>19.12</v>
      </c>
      <c r="C4576">
        <f>IF(Sheet1!B4576&gt;0,1,0)</f>
        <v>1</v>
      </c>
    </row>
    <row r="4577" spans="1:3" x14ac:dyDescent="0.25">
      <c r="A4577" s="15">
        <f>Sheet1!A4577</f>
        <v>0</v>
      </c>
      <c r="B4577">
        <f>Sheet1!B4577</f>
        <v>0</v>
      </c>
      <c r="C4577">
        <f>IF(Sheet1!B4577&gt;0,1,0)</f>
        <v>0</v>
      </c>
    </row>
    <row r="4578" spans="1:3" x14ac:dyDescent="0.25">
      <c r="A4578" s="15">
        <f>Sheet1!A4578</f>
        <v>0</v>
      </c>
      <c r="B4578">
        <f>Sheet1!B4578</f>
        <v>0</v>
      </c>
      <c r="C4578">
        <f>IF(Sheet1!B4578&gt;0,1,0)</f>
        <v>0</v>
      </c>
    </row>
    <row r="4579" spans="1:3" x14ac:dyDescent="0.25">
      <c r="A4579" s="15">
        <f>Sheet1!A4579</f>
        <v>0</v>
      </c>
      <c r="B4579">
        <f>Sheet1!B4579</f>
        <v>0</v>
      </c>
      <c r="C4579">
        <f>IF(Sheet1!B4579&gt;0,1,0)</f>
        <v>0</v>
      </c>
    </row>
    <row r="4580" spans="1:3" x14ac:dyDescent="0.25">
      <c r="A4580" s="15">
        <f>Sheet1!A4580</f>
        <v>0</v>
      </c>
      <c r="B4580">
        <f>Sheet1!B4580</f>
        <v>0</v>
      </c>
      <c r="C4580">
        <f>IF(Sheet1!B4580&gt;0,1,0)</f>
        <v>0</v>
      </c>
    </row>
    <row r="4581" spans="1:3" x14ac:dyDescent="0.25">
      <c r="A4581" s="15">
        <f>Sheet1!A4581</f>
        <v>0</v>
      </c>
      <c r="B4581">
        <f>Sheet1!B4581</f>
        <v>0</v>
      </c>
      <c r="C4581">
        <f>IF(Sheet1!B4581&gt;0,1,0)</f>
        <v>0</v>
      </c>
    </row>
    <row r="4582" spans="1:3" x14ac:dyDescent="0.25">
      <c r="A4582" s="15">
        <f>Sheet1!A4582</f>
        <v>0</v>
      </c>
      <c r="B4582">
        <f>Sheet1!B4582</f>
        <v>19.16</v>
      </c>
      <c r="C4582">
        <f>IF(Sheet1!B4582&gt;0,1,0)</f>
        <v>1</v>
      </c>
    </row>
    <row r="4583" spans="1:3" x14ac:dyDescent="0.25">
      <c r="A4583" s="15">
        <f>Sheet1!A4583</f>
        <v>0</v>
      </c>
      <c r="B4583">
        <f>Sheet1!B4583</f>
        <v>0</v>
      </c>
      <c r="C4583">
        <f>IF(Sheet1!B4583&gt;0,1,0)</f>
        <v>0</v>
      </c>
    </row>
    <row r="4584" spans="1:3" x14ac:dyDescent="0.25">
      <c r="A4584" s="15">
        <f>Sheet1!A4584</f>
        <v>0</v>
      </c>
      <c r="B4584">
        <f>Sheet1!B4584</f>
        <v>0</v>
      </c>
      <c r="C4584">
        <f>IF(Sheet1!B4584&gt;0,1,0)</f>
        <v>0</v>
      </c>
    </row>
    <row r="4585" spans="1:3" x14ac:dyDescent="0.25">
      <c r="A4585" s="15">
        <f>Sheet1!A4585</f>
        <v>0</v>
      </c>
      <c r="B4585">
        <f>Sheet1!B4585</f>
        <v>0</v>
      </c>
      <c r="C4585">
        <f>IF(Sheet1!B4585&gt;0,1,0)</f>
        <v>0</v>
      </c>
    </row>
    <row r="4586" spans="1:3" x14ac:dyDescent="0.25">
      <c r="A4586" s="15">
        <f>Sheet1!A4586</f>
        <v>0</v>
      </c>
      <c r="B4586">
        <f>Sheet1!B4586</f>
        <v>0</v>
      </c>
      <c r="C4586">
        <f>IF(Sheet1!B4586&gt;0,1,0)</f>
        <v>0</v>
      </c>
    </row>
    <row r="4587" spans="1:3" x14ac:dyDescent="0.25">
      <c r="A4587" s="15">
        <f>Sheet1!A4587</f>
        <v>0</v>
      </c>
      <c r="B4587">
        <f>Sheet1!B4587</f>
        <v>0</v>
      </c>
      <c r="C4587">
        <f>IF(Sheet1!B4587&gt;0,1,0)</f>
        <v>0</v>
      </c>
    </row>
    <row r="4588" spans="1:3" x14ac:dyDescent="0.25">
      <c r="A4588" s="15">
        <f>Sheet1!A4588</f>
        <v>0</v>
      </c>
      <c r="B4588">
        <f>Sheet1!B4588</f>
        <v>14.19</v>
      </c>
      <c r="C4588">
        <f>IF(Sheet1!B4588&gt;0,1,0)</f>
        <v>1</v>
      </c>
    </row>
    <row r="4589" spans="1:3" x14ac:dyDescent="0.25">
      <c r="A4589" s="15">
        <f>Sheet1!A4589</f>
        <v>0</v>
      </c>
      <c r="B4589">
        <f>Sheet1!B4589</f>
        <v>0</v>
      </c>
      <c r="C4589">
        <f>IF(Sheet1!B4589&gt;0,1,0)</f>
        <v>0</v>
      </c>
    </row>
    <row r="4590" spans="1:3" x14ac:dyDescent="0.25">
      <c r="A4590" s="15">
        <f>Sheet1!A4590</f>
        <v>0</v>
      </c>
      <c r="B4590">
        <f>Sheet1!B4590</f>
        <v>0</v>
      </c>
      <c r="C4590">
        <f>IF(Sheet1!B4590&gt;0,1,0)</f>
        <v>0</v>
      </c>
    </row>
    <row r="4591" spans="1:3" x14ac:dyDescent="0.25">
      <c r="A4591" s="15">
        <f>Sheet1!A4591</f>
        <v>0</v>
      </c>
      <c r="B4591">
        <f>Sheet1!B4591</f>
        <v>0</v>
      </c>
      <c r="C4591">
        <f>IF(Sheet1!B4591&gt;0,1,0)</f>
        <v>0</v>
      </c>
    </row>
    <row r="4592" spans="1:3" x14ac:dyDescent="0.25">
      <c r="A4592" s="15">
        <f>Sheet1!A4592</f>
        <v>0</v>
      </c>
      <c r="B4592">
        <f>Sheet1!B4592</f>
        <v>0</v>
      </c>
      <c r="C4592">
        <f>IF(Sheet1!B4592&gt;0,1,0)</f>
        <v>0</v>
      </c>
    </row>
    <row r="4593" spans="1:3" x14ac:dyDescent="0.25">
      <c r="A4593" s="15">
        <f>Sheet1!A4593</f>
        <v>0</v>
      </c>
      <c r="B4593">
        <f>Sheet1!B4593</f>
        <v>0</v>
      </c>
      <c r="C4593">
        <f>IF(Sheet1!B4593&gt;0,1,0)</f>
        <v>0</v>
      </c>
    </row>
    <row r="4594" spans="1:3" x14ac:dyDescent="0.25">
      <c r="A4594" s="15">
        <f>Sheet1!A4594</f>
        <v>0</v>
      </c>
      <c r="B4594">
        <f>Sheet1!B4594</f>
        <v>0</v>
      </c>
      <c r="C4594">
        <f>IF(Sheet1!B4594&gt;0,1,0)</f>
        <v>0</v>
      </c>
    </row>
    <row r="4595" spans="1:3" x14ac:dyDescent="0.25">
      <c r="A4595" s="15">
        <f>Sheet1!A4595</f>
        <v>0</v>
      </c>
      <c r="B4595">
        <f>Sheet1!B4595</f>
        <v>0</v>
      </c>
      <c r="C4595">
        <f>IF(Sheet1!B4595&gt;0,1,0)</f>
        <v>0</v>
      </c>
    </row>
    <row r="4596" spans="1:3" x14ac:dyDescent="0.25">
      <c r="A4596" s="15">
        <f>Sheet1!A4596</f>
        <v>0</v>
      </c>
      <c r="B4596">
        <f>Sheet1!B4596</f>
        <v>0</v>
      </c>
      <c r="C4596">
        <f>IF(Sheet1!B4596&gt;0,1,0)</f>
        <v>0</v>
      </c>
    </row>
    <row r="4597" spans="1:3" x14ac:dyDescent="0.25">
      <c r="A4597" s="15">
        <f>Sheet1!A4597</f>
        <v>0</v>
      </c>
      <c r="B4597">
        <f>Sheet1!B4597</f>
        <v>0</v>
      </c>
      <c r="C4597">
        <f>IF(Sheet1!B4597&gt;0,1,0)</f>
        <v>0</v>
      </c>
    </row>
    <row r="4598" spans="1:3" x14ac:dyDescent="0.25">
      <c r="A4598" s="15">
        <f>Sheet1!A4598</f>
        <v>0</v>
      </c>
      <c r="B4598">
        <f>Sheet1!B4598</f>
        <v>0</v>
      </c>
      <c r="C4598">
        <f>IF(Sheet1!B4598&gt;0,1,0)</f>
        <v>0</v>
      </c>
    </row>
    <row r="4599" spans="1:3" x14ac:dyDescent="0.25">
      <c r="A4599" s="15">
        <f>Sheet1!A4599</f>
        <v>0</v>
      </c>
      <c r="B4599">
        <f>Sheet1!B4599</f>
        <v>0</v>
      </c>
      <c r="C4599">
        <f>IF(Sheet1!B4599&gt;0,1,0)</f>
        <v>0</v>
      </c>
    </row>
    <row r="4600" spans="1:3" x14ac:dyDescent="0.25">
      <c r="A4600" s="15">
        <f>Sheet1!A4600</f>
        <v>0</v>
      </c>
      <c r="B4600">
        <f>Sheet1!B4600</f>
        <v>11.33</v>
      </c>
      <c r="C4600">
        <f>IF(Sheet1!B4600&gt;0,1,0)</f>
        <v>1</v>
      </c>
    </row>
    <row r="4601" spans="1:3" x14ac:dyDescent="0.25">
      <c r="A4601" s="15">
        <f>Sheet1!A4601</f>
        <v>0</v>
      </c>
      <c r="B4601">
        <f>Sheet1!B4601</f>
        <v>0</v>
      </c>
      <c r="C4601">
        <f>IF(Sheet1!B4601&gt;0,1,0)</f>
        <v>0</v>
      </c>
    </row>
    <row r="4602" spans="1:3" x14ac:dyDescent="0.25">
      <c r="A4602" s="15">
        <f>Sheet1!A4602</f>
        <v>0</v>
      </c>
      <c r="B4602">
        <f>Sheet1!B4602</f>
        <v>0</v>
      </c>
      <c r="C4602">
        <f>IF(Sheet1!B4602&gt;0,1,0)</f>
        <v>0</v>
      </c>
    </row>
    <row r="4603" spans="1:3" x14ac:dyDescent="0.25">
      <c r="A4603" s="15">
        <f>Sheet1!A4603</f>
        <v>0</v>
      </c>
      <c r="B4603">
        <f>Sheet1!B4603</f>
        <v>0</v>
      </c>
      <c r="C4603">
        <f>IF(Sheet1!B4603&gt;0,1,0)</f>
        <v>0</v>
      </c>
    </row>
    <row r="4604" spans="1:3" x14ac:dyDescent="0.25">
      <c r="A4604" s="15">
        <f>Sheet1!A4604</f>
        <v>0</v>
      </c>
      <c r="B4604">
        <f>Sheet1!B4604</f>
        <v>0</v>
      </c>
      <c r="C4604">
        <f>IF(Sheet1!B4604&gt;0,1,0)</f>
        <v>0</v>
      </c>
    </row>
    <row r="4605" spans="1:3" x14ac:dyDescent="0.25">
      <c r="A4605" s="15">
        <f>Sheet1!A4605</f>
        <v>0</v>
      </c>
      <c r="B4605">
        <f>Sheet1!B4605</f>
        <v>0</v>
      </c>
      <c r="C4605">
        <f>IF(Sheet1!B4605&gt;0,1,0)</f>
        <v>0</v>
      </c>
    </row>
    <row r="4606" spans="1:3" x14ac:dyDescent="0.25">
      <c r="A4606" s="15">
        <f>Sheet1!A4606</f>
        <v>0</v>
      </c>
      <c r="B4606">
        <f>Sheet1!B4606</f>
        <v>19.77</v>
      </c>
      <c r="C4606">
        <f>IF(Sheet1!B4606&gt;0,1,0)</f>
        <v>1</v>
      </c>
    </row>
    <row r="4607" spans="1:3" x14ac:dyDescent="0.25">
      <c r="A4607" s="15">
        <f>Sheet1!A4607</f>
        <v>0</v>
      </c>
      <c r="B4607">
        <f>Sheet1!B4607</f>
        <v>0</v>
      </c>
      <c r="C4607">
        <f>IF(Sheet1!B4607&gt;0,1,0)</f>
        <v>0</v>
      </c>
    </row>
    <row r="4608" spans="1:3" x14ac:dyDescent="0.25">
      <c r="A4608" s="15">
        <f>Sheet1!A4608</f>
        <v>0</v>
      </c>
      <c r="B4608">
        <f>Sheet1!B4608</f>
        <v>0</v>
      </c>
      <c r="C4608">
        <f>IF(Sheet1!B4608&gt;0,1,0)</f>
        <v>0</v>
      </c>
    </row>
    <row r="4609" spans="1:3" x14ac:dyDescent="0.25">
      <c r="A4609" s="15">
        <f>Sheet1!A4609</f>
        <v>0</v>
      </c>
      <c r="B4609">
        <f>Sheet1!B4609</f>
        <v>0</v>
      </c>
      <c r="C4609">
        <f>IF(Sheet1!B4609&gt;0,1,0)</f>
        <v>0</v>
      </c>
    </row>
    <row r="4610" spans="1:3" x14ac:dyDescent="0.25">
      <c r="A4610" s="15">
        <f>Sheet1!A4610</f>
        <v>0</v>
      </c>
      <c r="B4610">
        <f>Sheet1!B4610</f>
        <v>14.99</v>
      </c>
      <c r="C4610">
        <f>IF(Sheet1!B4610&gt;0,1,0)</f>
        <v>1</v>
      </c>
    </row>
    <row r="4611" spans="1:3" x14ac:dyDescent="0.25">
      <c r="A4611" s="15">
        <f>Sheet1!A4611</f>
        <v>0</v>
      </c>
      <c r="B4611">
        <f>Sheet1!B4611</f>
        <v>0</v>
      </c>
      <c r="C4611">
        <f>IF(Sheet1!B4611&gt;0,1,0)</f>
        <v>0</v>
      </c>
    </row>
    <row r="4612" spans="1:3" x14ac:dyDescent="0.25">
      <c r="A4612" s="15">
        <f>Sheet1!A4612</f>
        <v>0</v>
      </c>
      <c r="B4612">
        <f>Sheet1!B4612</f>
        <v>0</v>
      </c>
      <c r="C4612">
        <f>IF(Sheet1!B4612&gt;0,1,0)</f>
        <v>0</v>
      </c>
    </row>
    <row r="4613" spans="1:3" x14ac:dyDescent="0.25">
      <c r="A4613" s="15">
        <f>Sheet1!A4613</f>
        <v>0</v>
      </c>
      <c r="B4613">
        <f>Sheet1!B4613</f>
        <v>0</v>
      </c>
      <c r="C4613">
        <f>IF(Sheet1!B4613&gt;0,1,0)</f>
        <v>0</v>
      </c>
    </row>
    <row r="4614" spans="1:3" x14ac:dyDescent="0.25">
      <c r="A4614" s="15">
        <f>Sheet1!A4614</f>
        <v>0</v>
      </c>
      <c r="B4614">
        <f>Sheet1!B4614</f>
        <v>13.53</v>
      </c>
      <c r="C4614">
        <f>IF(Sheet1!B4614&gt;0,1,0)</f>
        <v>1</v>
      </c>
    </row>
    <row r="4615" spans="1:3" x14ac:dyDescent="0.25">
      <c r="A4615" s="15">
        <f>Sheet1!A4615</f>
        <v>0</v>
      </c>
      <c r="B4615">
        <f>Sheet1!B4615</f>
        <v>0</v>
      </c>
      <c r="C4615">
        <f>IF(Sheet1!B4615&gt;0,1,0)</f>
        <v>0</v>
      </c>
    </row>
    <row r="4616" spans="1:3" x14ac:dyDescent="0.25">
      <c r="A4616" s="15">
        <f>Sheet1!A4616</f>
        <v>0</v>
      </c>
      <c r="B4616">
        <f>Sheet1!B4616</f>
        <v>0</v>
      </c>
      <c r="C4616">
        <f>IF(Sheet1!B4616&gt;0,1,0)</f>
        <v>0</v>
      </c>
    </row>
    <row r="4617" spans="1:3" x14ac:dyDescent="0.25">
      <c r="A4617" s="15">
        <f>Sheet1!A4617</f>
        <v>0</v>
      </c>
      <c r="B4617">
        <f>Sheet1!B4617</f>
        <v>0</v>
      </c>
      <c r="C4617">
        <f>IF(Sheet1!B4617&gt;0,1,0)</f>
        <v>0</v>
      </c>
    </row>
    <row r="4618" spans="1:3" x14ac:dyDescent="0.25">
      <c r="A4618" s="15">
        <f>Sheet1!A4618</f>
        <v>0</v>
      </c>
      <c r="B4618">
        <f>Sheet1!B4618</f>
        <v>0</v>
      </c>
      <c r="C4618">
        <f>IF(Sheet1!B4618&gt;0,1,0)</f>
        <v>0</v>
      </c>
    </row>
    <row r="4619" spans="1:3" x14ac:dyDescent="0.25">
      <c r="A4619" s="15">
        <f>Sheet1!A4619</f>
        <v>0</v>
      </c>
      <c r="B4619">
        <f>Sheet1!B4619</f>
        <v>0</v>
      </c>
      <c r="C4619">
        <f>IF(Sheet1!B4619&gt;0,1,0)</f>
        <v>0</v>
      </c>
    </row>
    <row r="4620" spans="1:3" x14ac:dyDescent="0.25">
      <c r="A4620" s="15">
        <f>Sheet1!A4620</f>
        <v>0</v>
      </c>
      <c r="B4620">
        <f>Sheet1!B4620</f>
        <v>19.22</v>
      </c>
      <c r="C4620">
        <f>IF(Sheet1!B4620&gt;0,1,0)</f>
        <v>1</v>
      </c>
    </row>
    <row r="4621" spans="1:3" x14ac:dyDescent="0.25">
      <c r="A4621" s="15">
        <f>Sheet1!A4621</f>
        <v>0</v>
      </c>
      <c r="B4621">
        <f>Sheet1!B4621</f>
        <v>0</v>
      </c>
      <c r="C4621">
        <f>IF(Sheet1!B4621&gt;0,1,0)</f>
        <v>0</v>
      </c>
    </row>
    <row r="4622" spans="1:3" x14ac:dyDescent="0.25">
      <c r="A4622" s="15">
        <f>Sheet1!A4622</f>
        <v>0</v>
      </c>
      <c r="B4622">
        <f>Sheet1!B4622</f>
        <v>0</v>
      </c>
      <c r="C4622">
        <f>IF(Sheet1!B4622&gt;0,1,0)</f>
        <v>0</v>
      </c>
    </row>
    <row r="4623" spans="1:3" x14ac:dyDescent="0.25">
      <c r="A4623" s="15">
        <f>Sheet1!A4623</f>
        <v>0</v>
      </c>
      <c r="B4623">
        <f>Sheet1!B4623</f>
        <v>0</v>
      </c>
      <c r="C4623">
        <f>IF(Sheet1!B4623&gt;0,1,0)</f>
        <v>0</v>
      </c>
    </row>
    <row r="4624" spans="1:3" x14ac:dyDescent="0.25">
      <c r="A4624" s="15">
        <f>Sheet1!A4624</f>
        <v>0</v>
      </c>
      <c r="B4624">
        <f>Sheet1!B4624</f>
        <v>0</v>
      </c>
      <c r="C4624">
        <f>IF(Sheet1!B4624&gt;0,1,0)</f>
        <v>0</v>
      </c>
    </row>
    <row r="4625" spans="1:3" x14ac:dyDescent="0.25">
      <c r="A4625" s="15">
        <f>Sheet1!A4625</f>
        <v>0</v>
      </c>
      <c r="B4625">
        <f>Sheet1!B4625</f>
        <v>20.11</v>
      </c>
      <c r="C4625">
        <f>IF(Sheet1!B4625&gt;0,1,0)</f>
        <v>1</v>
      </c>
    </row>
    <row r="4626" spans="1:3" x14ac:dyDescent="0.25">
      <c r="A4626" s="15">
        <f>Sheet1!A4626</f>
        <v>0</v>
      </c>
      <c r="B4626">
        <f>Sheet1!B4626</f>
        <v>15.47</v>
      </c>
      <c r="C4626">
        <f>IF(Sheet1!B4626&gt;0,1,0)</f>
        <v>1</v>
      </c>
    </row>
    <row r="4627" spans="1:3" x14ac:dyDescent="0.25">
      <c r="A4627" s="15">
        <f>Sheet1!A4627</f>
        <v>0</v>
      </c>
      <c r="B4627">
        <f>Sheet1!B4627</f>
        <v>0</v>
      </c>
      <c r="C4627">
        <f>IF(Sheet1!B4627&gt;0,1,0)</f>
        <v>0</v>
      </c>
    </row>
    <row r="4628" spans="1:3" x14ac:dyDescent="0.25">
      <c r="A4628" s="15">
        <f>Sheet1!A4628</f>
        <v>0</v>
      </c>
      <c r="B4628">
        <f>Sheet1!B4628</f>
        <v>0</v>
      </c>
      <c r="C4628">
        <f>IF(Sheet1!B4628&gt;0,1,0)</f>
        <v>0</v>
      </c>
    </row>
    <row r="4629" spans="1:3" x14ac:dyDescent="0.25">
      <c r="A4629" s="15">
        <f>Sheet1!A4629</f>
        <v>0</v>
      </c>
      <c r="B4629">
        <f>Sheet1!B4629</f>
        <v>0</v>
      </c>
      <c r="C4629">
        <f>IF(Sheet1!B4629&gt;0,1,0)</f>
        <v>0</v>
      </c>
    </row>
    <row r="4630" spans="1:3" x14ac:dyDescent="0.25">
      <c r="A4630" s="15">
        <f>Sheet1!A4630</f>
        <v>0</v>
      </c>
      <c r="B4630">
        <f>Sheet1!B4630</f>
        <v>0</v>
      </c>
      <c r="C4630">
        <f>IF(Sheet1!B4630&gt;0,1,0)</f>
        <v>0</v>
      </c>
    </row>
    <row r="4631" spans="1:3" x14ac:dyDescent="0.25">
      <c r="A4631" s="15">
        <f>Sheet1!A4631</f>
        <v>0</v>
      </c>
      <c r="B4631">
        <f>Sheet1!B4631</f>
        <v>0</v>
      </c>
      <c r="C4631">
        <f>IF(Sheet1!B4631&gt;0,1,0)</f>
        <v>0</v>
      </c>
    </row>
    <row r="4632" spans="1:3" x14ac:dyDescent="0.25">
      <c r="A4632" s="15">
        <f>Sheet1!A4632</f>
        <v>0</v>
      </c>
      <c r="B4632">
        <f>Sheet1!B4632</f>
        <v>0</v>
      </c>
      <c r="C4632">
        <f>IF(Sheet1!B4632&gt;0,1,0)</f>
        <v>0</v>
      </c>
    </row>
    <row r="4633" spans="1:3" x14ac:dyDescent="0.25">
      <c r="A4633" s="15">
        <f>Sheet1!A4633</f>
        <v>0</v>
      </c>
      <c r="B4633">
        <f>Sheet1!B4633</f>
        <v>0</v>
      </c>
      <c r="C4633">
        <f>IF(Sheet1!B4633&gt;0,1,0)</f>
        <v>0</v>
      </c>
    </row>
    <row r="4634" spans="1:3" x14ac:dyDescent="0.25">
      <c r="A4634" s="15">
        <f>Sheet1!A4634</f>
        <v>0</v>
      </c>
      <c r="B4634">
        <f>Sheet1!B4634</f>
        <v>14.7</v>
      </c>
      <c r="C4634">
        <f>IF(Sheet1!B4634&gt;0,1,0)</f>
        <v>1</v>
      </c>
    </row>
    <row r="4635" spans="1:3" x14ac:dyDescent="0.25">
      <c r="A4635" s="15">
        <f>Sheet1!A4635</f>
        <v>0</v>
      </c>
      <c r="B4635">
        <f>Sheet1!B4635</f>
        <v>0</v>
      </c>
      <c r="C4635">
        <f>IF(Sheet1!B4635&gt;0,1,0)</f>
        <v>0</v>
      </c>
    </row>
    <row r="4636" spans="1:3" x14ac:dyDescent="0.25">
      <c r="A4636" s="15">
        <f>Sheet1!A4636</f>
        <v>0</v>
      </c>
      <c r="B4636">
        <f>Sheet1!B4636</f>
        <v>0</v>
      </c>
      <c r="C4636">
        <f>IF(Sheet1!B4636&gt;0,1,0)</f>
        <v>0</v>
      </c>
    </row>
    <row r="4637" spans="1:3" x14ac:dyDescent="0.25">
      <c r="A4637" s="15">
        <f>Sheet1!A4637</f>
        <v>0</v>
      </c>
      <c r="B4637">
        <f>Sheet1!B4637</f>
        <v>0</v>
      </c>
      <c r="C4637">
        <f>IF(Sheet1!B4637&gt;0,1,0)</f>
        <v>0</v>
      </c>
    </row>
    <row r="4638" spans="1:3" x14ac:dyDescent="0.25">
      <c r="A4638" s="15">
        <f>Sheet1!A4638</f>
        <v>0</v>
      </c>
      <c r="B4638">
        <f>Sheet1!B4638</f>
        <v>14.14</v>
      </c>
      <c r="C4638">
        <f>IF(Sheet1!B4638&gt;0,1,0)</f>
        <v>1</v>
      </c>
    </row>
    <row r="4639" spans="1:3" x14ac:dyDescent="0.25">
      <c r="A4639" s="15">
        <f>Sheet1!A4639</f>
        <v>0</v>
      </c>
      <c r="B4639">
        <f>Sheet1!B4639</f>
        <v>13.73</v>
      </c>
      <c r="C4639">
        <f>IF(Sheet1!B4639&gt;0,1,0)</f>
        <v>1</v>
      </c>
    </row>
    <row r="4640" spans="1:3" x14ac:dyDescent="0.25">
      <c r="A4640" s="15">
        <f>Sheet1!A4640</f>
        <v>0</v>
      </c>
      <c r="B4640">
        <f>Sheet1!B4640</f>
        <v>13.65</v>
      </c>
      <c r="C4640">
        <f>IF(Sheet1!B4640&gt;0,1,0)</f>
        <v>1</v>
      </c>
    </row>
    <row r="4641" spans="1:3" x14ac:dyDescent="0.25">
      <c r="A4641" s="15">
        <f>Sheet1!A4641</f>
        <v>0</v>
      </c>
      <c r="B4641">
        <f>Sheet1!B4641</f>
        <v>11.99</v>
      </c>
      <c r="C4641">
        <f>IF(Sheet1!B4641&gt;0,1,0)</f>
        <v>1</v>
      </c>
    </row>
    <row r="4642" spans="1:3" x14ac:dyDescent="0.25">
      <c r="A4642" s="15">
        <f>Sheet1!A4642</f>
        <v>0</v>
      </c>
      <c r="B4642">
        <f>Sheet1!B4642</f>
        <v>0</v>
      </c>
      <c r="C4642">
        <f>IF(Sheet1!B4642&gt;0,1,0)</f>
        <v>0</v>
      </c>
    </row>
    <row r="4643" spans="1:3" x14ac:dyDescent="0.25">
      <c r="A4643" s="15">
        <f>Sheet1!A4643</f>
        <v>0</v>
      </c>
      <c r="B4643">
        <f>Sheet1!B4643</f>
        <v>0</v>
      </c>
      <c r="C4643">
        <f>IF(Sheet1!B4643&gt;0,1,0)</f>
        <v>0</v>
      </c>
    </row>
    <row r="4644" spans="1:3" x14ac:dyDescent="0.25">
      <c r="A4644" s="15">
        <f>Sheet1!A4644</f>
        <v>0</v>
      </c>
      <c r="B4644">
        <f>Sheet1!B4644</f>
        <v>0</v>
      </c>
      <c r="C4644">
        <f>IF(Sheet1!B4644&gt;0,1,0)</f>
        <v>0</v>
      </c>
    </row>
    <row r="4645" spans="1:3" x14ac:dyDescent="0.25">
      <c r="A4645" s="15">
        <f>Sheet1!A4645</f>
        <v>0</v>
      </c>
      <c r="B4645">
        <f>Sheet1!B4645</f>
        <v>0</v>
      </c>
      <c r="C4645">
        <f>IF(Sheet1!B4645&gt;0,1,0)</f>
        <v>0</v>
      </c>
    </row>
    <row r="4646" spans="1:3" x14ac:dyDescent="0.25">
      <c r="A4646" s="15">
        <f>Sheet1!A4646</f>
        <v>0</v>
      </c>
      <c r="B4646">
        <f>Sheet1!B4646</f>
        <v>17.809999999999999</v>
      </c>
      <c r="C4646">
        <f>IF(Sheet1!B4646&gt;0,1,0)</f>
        <v>1</v>
      </c>
    </row>
    <row r="4647" spans="1:3" x14ac:dyDescent="0.25">
      <c r="A4647" s="15">
        <f>Sheet1!A4647</f>
        <v>0</v>
      </c>
      <c r="B4647">
        <f>Sheet1!B4647</f>
        <v>0</v>
      </c>
      <c r="C4647">
        <f>IF(Sheet1!B4647&gt;0,1,0)</f>
        <v>0</v>
      </c>
    </row>
    <row r="4648" spans="1:3" x14ac:dyDescent="0.25">
      <c r="A4648" s="15">
        <f>Sheet1!A4648</f>
        <v>0</v>
      </c>
      <c r="B4648">
        <f>Sheet1!B4648</f>
        <v>0</v>
      </c>
      <c r="C4648">
        <f>IF(Sheet1!B4648&gt;0,1,0)</f>
        <v>0</v>
      </c>
    </row>
    <row r="4649" spans="1:3" x14ac:dyDescent="0.25">
      <c r="A4649" s="15">
        <f>Sheet1!A4649</f>
        <v>0</v>
      </c>
      <c r="B4649">
        <f>Sheet1!B4649</f>
        <v>0</v>
      </c>
      <c r="C4649">
        <f>IF(Sheet1!B4649&gt;0,1,0)</f>
        <v>0</v>
      </c>
    </row>
    <row r="4650" spans="1:3" x14ac:dyDescent="0.25">
      <c r="A4650" s="15">
        <f>Sheet1!A4650</f>
        <v>0</v>
      </c>
      <c r="B4650">
        <f>Sheet1!B4650</f>
        <v>16.489999999999998</v>
      </c>
      <c r="C4650">
        <f>IF(Sheet1!B4650&gt;0,1,0)</f>
        <v>1</v>
      </c>
    </row>
    <row r="4651" spans="1:3" x14ac:dyDescent="0.25">
      <c r="A4651" s="15">
        <f>Sheet1!A4651</f>
        <v>0</v>
      </c>
      <c r="B4651">
        <f>Sheet1!B4651</f>
        <v>0</v>
      </c>
      <c r="C4651">
        <f>IF(Sheet1!B4651&gt;0,1,0)</f>
        <v>0</v>
      </c>
    </row>
    <row r="4652" spans="1:3" x14ac:dyDescent="0.25">
      <c r="A4652" s="15">
        <f>Sheet1!A4652</f>
        <v>0</v>
      </c>
      <c r="B4652">
        <f>Sheet1!B4652</f>
        <v>0</v>
      </c>
      <c r="C4652">
        <f>IF(Sheet1!B4652&gt;0,1,0)</f>
        <v>0</v>
      </c>
    </row>
    <row r="4653" spans="1:3" x14ac:dyDescent="0.25">
      <c r="A4653" s="15">
        <f>Sheet1!A4653</f>
        <v>0</v>
      </c>
      <c r="B4653">
        <f>Sheet1!B4653</f>
        <v>0</v>
      </c>
      <c r="C4653">
        <f>IF(Sheet1!B4653&gt;0,1,0)</f>
        <v>0</v>
      </c>
    </row>
    <row r="4654" spans="1:3" x14ac:dyDescent="0.25">
      <c r="A4654" s="15">
        <f>Sheet1!A4654</f>
        <v>0</v>
      </c>
      <c r="B4654">
        <f>Sheet1!B4654</f>
        <v>15.79</v>
      </c>
      <c r="C4654">
        <f>IF(Sheet1!B4654&gt;0,1,0)</f>
        <v>1</v>
      </c>
    </row>
    <row r="4655" spans="1:3" x14ac:dyDescent="0.25">
      <c r="A4655" s="15">
        <f>Sheet1!A4655</f>
        <v>0</v>
      </c>
      <c r="B4655">
        <f>Sheet1!B4655</f>
        <v>0</v>
      </c>
      <c r="C4655">
        <f>IF(Sheet1!B4655&gt;0,1,0)</f>
        <v>0</v>
      </c>
    </row>
    <row r="4656" spans="1:3" x14ac:dyDescent="0.25">
      <c r="A4656" s="15">
        <f>Sheet1!A4656</f>
        <v>0</v>
      </c>
      <c r="B4656">
        <f>Sheet1!B4656</f>
        <v>0</v>
      </c>
      <c r="C4656">
        <f>IF(Sheet1!B4656&gt;0,1,0)</f>
        <v>0</v>
      </c>
    </row>
    <row r="4657" spans="1:3" x14ac:dyDescent="0.25">
      <c r="A4657" s="15">
        <f>Sheet1!A4657</f>
        <v>0</v>
      </c>
      <c r="B4657">
        <f>Sheet1!B4657</f>
        <v>0</v>
      </c>
      <c r="C4657">
        <f>IF(Sheet1!B4657&gt;0,1,0)</f>
        <v>0</v>
      </c>
    </row>
    <row r="4658" spans="1:3" x14ac:dyDescent="0.25">
      <c r="A4658" s="15">
        <f>Sheet1!A4658</f>
        <v>0</v>
      </c>
      <c r="B4658">
        <f>Sheet1!B4658</f>
        <v>14.5</v>
      </c>
      <c r="C4658">
        <f>IF(Sheet1!B4658&gt;0,1,0)</f>
        <v>1</v>
      </c>
    </row>
    <row r="4659" spans="1:3" x14ac:dyDescent="0.25">
      <c r="A4659" s="15">
        <f>Sheet1!A4659</f>
        <v>0</v>
      </c>
      <c r="B4659">
        <f>Sheet1!B4659</f>
        <v>0</v>
      </c>
      <c r="C4659">
        <f>IF(Sheet1!B4659&gt;0,1,0)</f>
        <v>0</v>
      </c>
    </row>
    <row r="4660" spans="1:3" x14ac:dyDescent="0.25">
      <c r="A4660" s="15">
        <f>Sheet1!A4660</f>
        <v>0</v>
      </c>
      <c r="B4660">
        <f>Sheet1!B4660</f>
        <v>0</v>
      </c>
      <c r="C4660">
        <f>IF(Sheet1!B4660&gt;0,1,0)</f>
        <v>0</v>
      </c>
    </row>
    <row r="4661" spans="1:3" x14ac:dyDescent="0.25">
      <c r="A4661" s="15">
        <f>Sheet1!A4661</f>
        <v>0</v>
      </c>
      <c r="B4661">
        <f>Sheet1!B4661</f>
        <v>0</v>
      </c>
      <c r="C4661">
        <f>IF(Sheet1!B4661&gt;0,1,0)</f>
        <v>0</v>
      </c>
    </row>
    <row r="4662" spans="1:3" x14ac:dyDescent="0.25">
      <c r="A4662" s="15">
        <f>Sheet1!A4662</f>
        <v>0</v>
      </c>
      <c r="B4662">
        <f>Sheet1!B4662</f>
        <v>8.86</v>
      </c>
      <c r="C4662">
        <f>IF(Sheet1!B4662&gt;0,1,0)</f>
        <v>1</v>
      </c>
    </row>
    <row r="4663" spans="1:3" x14ac:dyDescent="0.25">
      <c r="A4663" s="15">
        <f>Sheet1!A4663</f>
        <v>0</v>
      </c>
      <c r="B4663">
        <f>Sheet1!B4663</f>
        <v>0</v>
      </c>
      <c r="C4663">
        <f>IF(Sheet1!B4663&gt;0,1,0)</f>
        <v>0</v>
      </c>
    </row>
    <row r="4664" spans="1:3" x14ac:dyDescent="0.25">
      <c r="A4664" s="15">
        <f>Sheet1!A4664</f>
        <v>0</v>
      </c>
      <c r="B4664">
        <f>Sheet1!B4664</f>
        <v>0</v>
      </c>
      <c r="C4664">
        <f>IF(Sheet1!B4664&gt;0,1,0)</f>
        <v>0</v>
      </c>
    </row>
    <row r="4665" spans="1:3" x14ac:dyDescent="0.25">
      <c r="A4665" s="15">
        <f>Sheet1!A4665</f>
        <v>0</v>
      </c>
      <c r="B4665">
        <f>Sheet1!B4665</f>
        <v>0</v>
      </c>
      <c r="C4665">
        <f>IF(Sheet1!B4665&gt;0,1,0)</f>
        <v>0</v>
      </c>
    </row>
    <row r="4666" spans="1:3" x14ac:dyDescent="0.25">
      <c r="A4666" s="15">
        <f>Sheet1!A4666</f>
        <v>0</v>
      </c>
      <c r="B4666">
        <f>Sheet1!B4666</f>
        <v>11.96</v>
      </c>
      <c r="C4666">
        <f>IF(Sheet1!B4666&gt;0,1,0)</f>
        <v>1</v>
      </c>
    </row>
    <row r="4667" spans="1:3" x14ac:dyDescent="0.25">
      <c r="A4667" s="15">
        <f>Sheet1!A4667</f>
        <v>0</v>
      </c>
      <c r="B4667">
        <f>Sheet1!B4667</f>
        <v>0</v>
      </c>
      <c r="C4667">
        <f>IF(Sheet1!B4667&gt;0,1,0)</f>
        <v>0</v>
      </c>
    </row>
    <row r="4668" spans="1:3" x14ac:dyDescent="0.25">
      <c r="A4668" s="15">
        <f>Sheet1!A4668</f>
        <v>0</v>
      </c>
      <c r="B4668">
        <f>Sheet1!B4668</f>
        <v>0</v>
      </c>
      <c r="C4668">
        <f>IF(Sheet1!B4668&gt;0,1,0)</f>
        <v>0</v>
      </c>
    </row>
    <row r="4669" spans="1:3" x14ac:dyDescent="0.25">
      <c r="A4669" s="15">
        <f>Sheet1!A4669</f>
        <v>0</v>
      </c>
      <c r="B4669">
        <f>Sheet1!B4669</f>
        <v>0</v>
      </c>
      <c r="C4669">
        <f>IF(Sheet1!B4669&gt;0,1,0)</f>
        <v>0</v>
      </c>
    </row>
    <row r="4670" spans="1:3" x14ac:dyDescent="0.25">
      <c r="A4670" s="15">
        <f>Sheet1!A4670</f>
        <v>0</v>
      </c>
      <c r="B4670">
        <f>Sheet1!B4670</f>
        <v>0</v>
      </c>
      <c r="C4670">
        <f>IF(Sheet1!B4670&gt;0,1,0)</f>
        <v>0</v>
      </c>
    </row>
    <row r="4671" spans="1:3" x14ac:dyDescent="0.25">
      <c r="A4671" s="15">
        <f>Sheet1!A4671</f>
        <v>0</v>
      </c>
      <c r="B4671">
        <f>Sheet1!B4671</f>
        <v>0</v>
      </c>
      <c r="C4671">
        <f>IF(Sheet1!B4671&gt;0,1,0)</f>
        <v>0</v>
      </c>
    </row>
    <row r="4672" spans="1:3" x14ac:dyDescent="0.25">
      <c r="A4672" s="15">
        <f>Sheet1!A4672</f>
        <v>0</v>
      </c>
      <c r="B4672">
        <f>Sheet1!B4672</f>
        <v>0</v>
      </c>
      <c r="C4672">
        <f>IF(Sheet1!B4672&gt;0,1,0)</f>
        <v>0</v>
      </c>
    </row>
    <row r="4673" spans="1:3" x14ac:dyDescent="0.25">
      <c r="A4673" s="15">
        <f>Sheet1!A4673</f>
        <v>0</v>
      </c>
      <c r="B4673">
        <f>Sheet1!B4673</f>
        <v>0</v>
      </c>
      <c r="C4673">
        <f>IF(Sheet1!B4673&gt;0,1,0)</f>
        <v>0</v>
      </c>
    </row>
    <row r="4674" spans="1:3" x14ac:dyDescent="0.25">
      <c r="A4674" s="15">
        <f>Sheet1!A4674</f>
        <v>0</v>
      </c>
      <c r="B4674">
        <f>Sheet1!B4674</f>
        <v>0</v>
      </c>
      <c r="C4674">
        <f>IF(Sheet1!B4674&gt;0,1,0)</f>
        <v>0</v>
      </c>
    </row>
    <row r="4675" spans="1:3" x14ac:dyDescent="0.25">
      <c r="A4675" s="15">
        <f>Sheet1!A4675</f>
        <v>0</v>
      </c>
      <c r="B4675">
        <f>Sheet1!B4675</f>
        <v>0</v>
      </c>
      <c r="C4675">
        <f>IF(Sheet1!B4675&gt;0,1,0)</f>
        <v>0</v>
      </c>
    </row>
    <row r="4676" spans="1:3" x14ac:dyDescent="0.25">
      <c r="A4676" s="15">
        <f>Sheet1!A4676</f>
        <v>0</v>
      </c>
      <c r="B4676">
        <f>Sheet1!B4676</f>
        <v>0</v>
      </c>
      <c r="C4676">
        <f>IF(Sheet1!B4676&gt;0,1,0)</f>
        <v>0</v>
      </c>
    </row>
    <row r="4677" spans="1:3" x14ac:dyDescent="0.25">
      <c r="A4677" s="15">
        <f>Sheet1!A4677</f>
        <v>0</v>
      </c>
      <c r="B4677">
        <f>Sheet1!B4677</f>
        <v>0</v>
      </c>
      <c r="C4677">
        <f>IF(Sheet1!B4677&gt;0,1,0)</f>
        <v>0</v>
      </c>
    </row>
    <row r="4678" spans="1:3" x14ac:dyDescent="0.25">
      <c r="A4678" s="15">
        <f>Sheet1!A4678</f>
        <v>0</v>
      </c>
      <c r="B4678">
        <f>Sheet1!B4678</f>
        <v>0</v>
      </c>
      <c r="C4678">
        <f>IF(Sheet1!B4678&gt;0,1,0)</f>
        <v>0</v>
      </c>
    </row>
    <row r="4679" spans="1:3" x14ac:dyDescent="0.25">
      <c r="A4679" s="15">
        <f>Sheet1!A4679</f>
        <v>0</v>
      </c>
      <c r="B4679">
        <f>Sheet1!B4679</f>
        <v>0</v>
      </c>
      <c r="C4679">
        <f>IF(Sheet1!B4679&gt;0,1,0)</f>
        <v>0</v>
      </c>
    </row>
    <row r="4680" spans="1:3" x14ac:dyDescent="0.25">
      <c r="A4680" s="15">
        <f>Sheet1!A4680</f>
        <v>0</v>
      </c>
      <c r="B4680">
        <f>Sheet1!B4680</f>
        <v>17.62</v>
      </c>
      <c r="C4680">
        <f>IF(Sheet1!B4680&gt;0,1,0)</f>
        <v>1</v>
      </c>
    </row>
    <row r="4681" spans="1:3" x14ac:dyDescent="0.25">
      <c r="A4681" s="15">
        <f>Sheet1!A4681</f>
        <v>0</v>
      </c>
      <c r="B4681">
        <f>Sheet1!B4681</f>
        <v>0</v>
      </c>
      <c r="C4681">
        <f>IF(Sheet1!B4681&gt;0,1,0)</f>
        <v>0</v>
      </c>
    </row>
    <row r="4682" spans="1:3" x14ac:dyDescent="0.25">
      <c r="A4682" s="15">
        <f>Sheet1!A4682</f>
        <v>0</v>
      </c>
      <c r="B4682">
        <f>Sheet1!B4682</f>
        <v>0</v>
      </c>
      <c r="C4682">
        <f>IF(Sheet1!B4682&gt;0,1,0)</f>
        <v>0</v>
      </c>
    </row>
    <row r="4683" spans="1:3" x14ac:dyDescent="0.25">
      <c r="A4683" s="15">
        <f>Sheet1!A4683</f>
        <v>0</v>
      </c>
      <c r="B4683">
        <f>Sheet1!B4683</f>
        <v>0</v>
      </c>
      <c r="C4683">
        <f>IF(Sheet1!B4683&gt;0,1,0)</f>
        <v>0</v>
      </c>
    </row>
    <row r="4684" spans="1:3" x14ac:dyDescent="0.25">
      <c r="A4684" s="15">
        <f>Sheet1!A4684</f>
        <v>0</v>
      </c>
      <c r="B4684">
        <f>Sheet1!B4684</f>
        <v>11.24</v>
      </c>
      <c r="C4684">
        <f>IF(Sheet1!B4684&gt;0,1,0)</f>
        <v>1</v>
      </c>
    </row>
    <row r="4685" spans="1:3" x14ac:dyDescent="0.25">
      <c r="A4685" s="15">
        <f>Sheet1!A4685</f>
        <v>0</v>
      </c>
      <c r="B4685">
        <f>Sheet1!B4685</f>
        <v>0</v>
      </c>
      <c r="C4685">
        <f>IF(Sheet1!B4685&gt;0,1,0)</f>
        <v>0</v>
      </c>
    </row>
    <row r="4686" spans="1:3" x14ac:dyDescent="0.25">
      <c r="A4686" s="15">
        <f>Sheet1!A4686</f>
        <v>0</v>
      </c>
      <c r="B4686">
        <f>Sheet1!B4686</f>
        <v>0</v>
      </c>
      <c r="C4686">
        <f>IF(Sheet1!B4686&gt;0,1,0)</f>
        <v>0</v>
      </c>
    </row>
    <row r="4687" spans="1:3" x14ac:dyDescent="0.25">
      <c r="A4687" s="15">
        <f>Sheet1!A4687</f>
        <v>0</v>
      </c>
      <c r="B4687">
        <f>Sheet1!B4687</f>
        <v>0</v>
      </c>
      <c r="C4687">
        <f>IF(Sheet1!B4687&gt;0,1,0)</f>
        <v>0</v>
      </c>
    </row>
    <row r="4688" spans="1:3" x14ac:dyDescent="0.25">
      <c r="A4688" s="15">
        <f>Sheet1!A4688</f>
        <v>0</v>
      </c>
      <c r="B4688">
        <f>Sheet1!B4688</f>
        <v>0</v>
      </c>
      <c r="C4688">
        <f>IF(Sheet1!B4688&gt;0,1,0)</f>
        <v>0</v>
      </c>
    </row>
    <row r="4689" spans="1:3" x14ac:dyDescent="0.25">
      <c r="A4689" s="15">
        <f>Sheet1!A4689</f>
        <v>0</v>
      </c>
      <c r="B4689">
        <f>Sheet1!B4689</f>
        <v>0</v>
      </c>
      <c r="C4689">
        <f>IF(Sheet1!B4689&gt;0,1,0)</f>
        <v>0</v>
      </c>
    </row>
    <row r="4690" spans="1:3" x14ac:dyDescent="0.25">
      <c r="A4690" s="15">
        <f>Sheet1!A4690</f>
        <v>0</v>
      </c>
      <c r="B4690">
        <f>Sheet1!B4690</f>
        <v>0</v>
      </c>
      <c r="C4690">
        <f>IF(Sheet1!B4690&gt;0,1,0)</f>
        <v>0</v>
      </c>
    </row>
    <row r="4691" spans="1:3" x14ac:dyDescent="0.25">
      <c r="A4691" s="15">
        <f>Sheet1!A4691</f>
        <v>0</v>
      </c>
      <c r="B4691">
        <f>Sheet1!B4691</f>
        <v>0</v>
      </c>
      <c r="C4691">
        <f>IF(Sheet1!B4691&gt;0,1,0)</f>
        <v>0</v>
      </c>
    </row>
    <row r="4692" spans="1:3" x14ac:dyDescent="0.25">
      <c r="A4692" s="15">
        <f>Sheet1!A4692</f>
        <v>0</v>
      </c>
      <c r="B4692">
        <f>Sheet1!B4692</f>
        <v>0</v>
      </c>
      <c r="C4692">
        <f>IF(Sheet1!B4692&gt;0,1,0)</f>
        <v>0</v>
      </c>
    </row>
    <row r="4693" spans="1:3" x14ac:dyDescent="0.25">
      <c r="A4693" s="15">
        <f>Sheet1!A4693</f>
        <v>0</v>
      </c>
      <c r="B4693">
        <f>Sheet1!B4693</f>
        <v>0</v>
      </c>
      <c r="C4693">
        <f>IF(Sheet1!B4693&gt;0,1,0)</f>
        <v>0</v>
      </c>
    </row>
    <row r="4694" spans="1:3" x14ac:dyDescent="0.25">
      <c r="A4694" s="15">
        <f>Sheet1!A4694</f>
        <v>0</v>
      </c>
      <c r="B4694">
        <f>Sheet1!B4694</f>
        <v>15.3</v>
      </c>
      <c r="C4694">
        <f>IF(Sheet1!B4694&gt;0,1,0)</f>
        <v>1</v>
      </c>
    </row>
    <row r="4695" spans="1:3" x14ac:dyDescent="0.25">
      <c r="A4695" s="15">
        <f>Sheet1!A4695</f>
        <v>0</v>
      </c>
      <c r="B4695">
        <f>Sheet1!B4695</f>
        <v>0</v>
      </c>
      <c r="C4695">
        <f>IF(Sheet1!B4695&gt;0,1,0)</f>
        <v>0</v>
      </c>
    </row>
    <row r="4696" spans="1:3" x14ac:dyDescent="0.25">
      <c r="A4696" s="15">
        <f>Sheet1!A4696</f>
        <v>0</v>
      </c>
      <c r="B4696">
        <f>Sheet1!B4696</f>
        <v>0</v>
      </c>
      <c r="C4696">
        <f>IF(Sheet1!B4696&gt;0,1,0)</f>
        <v>0</v>
      </c>
    </row>
    <row r="4697" spans="1:3" x14ac:dyDescent="0.25">
      <c r="A4697" s="15">
        <f>Sheet1!A4697</f>
        <v>0</v>
      </c>
      <c r="B4697">
        <f>Sheet1!B4697</f>
        <v>0</v>
      </c>
      <c r="C4697">
        <f>IF(Sheet1!B4697&gt;0,1,0)</f>
        <v>0</v>
      </c>
    </row>
    <row r="4698" spans="1:3" x14ac:dyDescent="0.25">
      <c r="A4698" s="15">
        <f>Sheet1!A4698</f>
        <v>0</v>
      </c>
      <c r="B4698">
        <f>Sheet1!B4698</f>
        <v>0</v>
      </c>
      <c r="C4698">
        <f>IF(Sheet1!B4698&gt;0,1,0)</f>
        <v>0</v>
      </c>
    </row>
    <row r="4699" spans="1:3" x14ac:dyDescent="0.25">
      <c r="A4699" s="15">
        <f>Sheet1!A4699</f>
        <v>0</v>
      </c>
      <c r="B4699">
        <f>Sheet1!B4699</f>
        <v>0</v>
      </c>
      <c r="C4699">
        <f>IF(Sheet1!B4699&gt;0,1,0)</f>
        <v>0</v>
      </c>
    </row>
    <row r="4700" spans="1:3" x14ac:dyDescent="0.25">
      <c r="A4700" s="15">
        <f>Sheet1!A4700</f>
        <v>0</v>
      </c>
      <c r="B4700">
        <f>Sheet1!B4700</f>
        <v>0</v>
      </c>
      <c r="C4700">
        <f>IF(Sheet1!B4700&gt;0,1,0)</f>
        <v>0</v>
      </c>
    </row>
    <row r="4701" spans="1:3" x14ac:dyDescent="0.25">
      <c r="A4701" s="15">
        <f>Sheet1!A4701</f>
        <v>0</v>
      </c>
      <c r="B4701">
        <f>Sheet1!B4701</f>
        <v>0</v>
      </c>
      <c r="C4701">
        <f>IF(Sheet1!B4701&gt;0,1,0)</f>
        <v>0</v>
      </c>
    </row>
    <row r="4702" spans="1:3" x14ac:dyDescent="0.25">
      <c r="A4702" s="15">
        <f>Sheet1!A4702</f>
        <v>0</v>
      </c>
      <c r="B4702">
        <f>Sheet1!B4702</f>
        <v>0</v>
      </c>
      <c r="C4702">
        <f>IF(Sheet1!B4702&gt;0,1,0)</f>
        <v>0</v>
      </c>
    </row>
    <row r="4703" spans="1:3" x14ac:dyDescent="0.25">
      <c r="A4703" s="15">
        <f>Sheet1!A4703</f>
        <v>0</v>
      </c>
      <c r="B4703">
        <f>Sheet1!B4703</f>
        <v>0</v>
      </c>
      <c r="C4703">
        <f>IF(Sheet1!B4703&gt;0,1,0)</f>
        <v>0</v>
      </c>
    </row>
    <row r="4704" spans="1:3" x14ac:dyDescent="0.25">
      <c r="A4704" s="15">
        <f>Sheet1!A4704</f>
        <v>0</v>
      </c>
      <c r="B4704">
        <f>Sheet1!B4704</f>
        <v>0</v>
      </c>
      <c r="C4704">
        <f>IF(Sheet1!B4704&gt;0,1,0)</f>
        <v>0</v>
      </c>
    </row>
    <row r="4705" spans="1:3" x14ac:dyDescent="0.25">
      <c r="A4705" s="15">
        <f>Sheet1!A4705</f>
        <v>0</v>
      </c>
      <c r="B4705">
        <f>Sheet1!B4705</f>
        <v>0</v>
      </c>
      <c r="C4705">
        <f>IF(Sheet1!B4705&gt;0,1,0)</f>
        <v>0</v>
      </c>
    </row>
    <row r="4706" spans="1:3" x14ac:dyDescent="0.25">
      <c r="A4706" s="15">
        <f>Sheet1!A4706</f>
        <v>0</v>
      </c>
      <c r="B4706">
        <f>Sheet1!B4706</f>
        <v>0</v>
      </c>
      <c r="C4706">
        <f>IF(Sheet1!B4706&gt;0,1,0)</f>
        <v>0</v>
      </c>
    </row>
    <row r="4707" spans="1:3" x14ac:dyDescent="0.25">
      <c r="A4707" s="15">
        <f>Sheet1!A4707</f>
        <v>0</v>
      </c>
      <c r="B4707">
        <f>Sheet1!B4707</f>
        <v>0</v>
      </c>
      <c r="C4707">
        <f>IF(Sheet1!B4707&gt;0,1,0)</f>
        <v>0</v>
      </c>
    </row>
    <row r="4708" spans="1:3" x14ac:dyDescent="0.25">
      <c r="A4708" s="15">
        <f>Sheet1!A4708</f>
        <v>0</v>
      </c>
      <c r="B4708">
        <f>Sheet1!B4708</f>
        <v>0</v>
      </c>
      <c r="C4708">
        <f>IF(Sheet1!B4708&gt;0,1,0)</f>
        <v>0</v>
      </c>
    </row>
    <row r="4709" spans="1:3" x14ac:dyDescent="0.25">
      <c r="A4709" s="15">
        <f>Sheet1!A4709</f>
        <v>0</v>
      </c>
      <c r="B4709">
        <f>Sheet1!B4709</f>
        <v>0</v>
      </c>
      <c r="C4709">
        <f>IF(Sheet1!B4709&gt;0,1,0)</f>
        <v>0</v>
      </c>
    </row>
    <row r="4710" spans="1:3" x14ac:dyDescent="0.25">
      <c r="A4710" s="15">
        <f>Sheet1!A4710</f>
        <v>0</v>
      </c>
      <c r="B4710">
        <f>Sheet1!B4710</f>
        <v>14.21</v>
      </c>
      <c r="C4710">
        <f>IF(Sheet1!B4710&gt;0,1,0)</f>
        <v>1</v>
      </c>
    </row>
    <row r="4711" spans="1:3" x14ac:dyDescent="0.25">
      <c r="A4711" s="15">
        <f>Sheet1!A4711</f>
        <v>0</v>
      </c>
      <c r="B4711">
        <f>Sheet1!B4711</f>
        <v>14.3</v>
      </c>
      <c r="C4711">
        <f>IF(Sheet1!B4711&gt;0,1,0)</f>
        <v>1</v>
      </c>
    </row>
    <row r="4712" spans="1:3" x14ac:dyDescent="0.25">
      <c r="A4712" s="15">
        <f>Sheet1!A4712</f>
        <v>0</v>
      </c>
      <c r="B4712">
        <f>Sheet1!B4712</f>
        <v>11.38</v>
      </c>
      <c r="C4712">
        <f>IF(Sheet1!B4712&gt;0,1,0)</f>
        <v>1</v>
      </c>
    </row>
    <row r="4713" spans="1:3" x14ac:dyDescent="0.25">
      <c r="A4713" s="15">
        <f>Sheet1!A4713</f>
        <v>0</v>
      </c>
      <c r="B4713">
        <f>Sheet1!B4713</f>
        <v>0</v>
      </c>
      <c r="C4713">
        <f>IF(Sheet1!B4713&gt;0,1,0)</f>
        <v>0</v>
      </c>
    </row>
    <row r="4714" spans="1:3" x14ac:dyDescent="0.25">
      <c r="A4714" s="15">
        <f>Sheet1!A4714</f>
        <v>0</v>
      </c>
      <c r="B4714">
        <f>Sheet1!B4714</f>
        <v>0</v>
      </c>
      <c r="C4714">
        <f>IF(Sheet1!B4714&gt;0,1,0)</f>
        <v>0</v>
      </c>
    </row>
    <row r="4715" spans="1:3" x14ac:dyDescent="0.25">
      <c r="A4715" s="15">
        <f>Sheet1!A4715</f>
        <v>0</v>
      </c>
      <c r="B4715">
        <f>Sheet1!B4715</f>
        <v>0</v>
      </c>
      <c r="C4715">
        <f>IF(Sheet1!B4715&gt;0,1,0)</f>
        <v>0</v>
      </c>
    </row>
    <row r="4716" spans="1:3" x14ac:dyDescent="0.25">
      <c r="A4716" s="15">
        <f>Sheet1!A4716</f>
        <v>0</v>
      </c>
      <c r="B4716">
        <f>Sheet1!B4716</f>
        <v>0</v>
      </c>
      <c r="C4716">
        <f>IF(Sheet1!B4716&gt;0,1,0)</f>
        <v>0</v>
      </c>
    </row>
    <row r="4717" spans="1:3" x14ac:dyDescent="0.25">
      <c r="A4717" s="15">
        <f>Sheet1!A4717</f>
        <v>0</v>
      </c>
      <c r="B4717">
        <f>Sheet1!B4717</f>
        <v>0</v>
      </c>
      <c r="C4717">
        <f>IF(Sheet1!B4717&gt;0,1,0)</f>
        <v>0</v>
      </c>
    </row>
    <row r="4718" spans="1:3" x14ac:dyDescent="0.25">
      <c r="A4718" s="15">
        <f>Sheet1!A4718</f>
        <v>0</v>
      </c>
      <c r="B4718">
        <f>Sheet1!B4718</f>
        <v>17.53</v>
      </c>
      <c r="C4718">
        <f>IF(Sheet1!B4718&gt;0,1,0)</f>
        <v>1</v>
      </c>
    </row>
    <row r="4719" spans="1:3" x14ac:dyDescent="0.25">
      <c r="A4719" s="15">
        <f>Sheet1!A4719</f>
        <v>0</v>
      </c>
      <c r="B4719">
        <f>Sheet1!B4719</f>
        <v>0</v>
      </c>
      <c r="C4719">
        <f>IF(Sheet1!B4719&gt;0,1,0)</f>
        <v>0</v>
      </c>
    </row>
    <row r="4720" spans="1:3" x14ac:dyDescent="0.25">
      <c r="A4720" s="15">
        <f>Sheet1!A4720</f>
        <v>0</v>
      </c>
      <c r="B4720">
        <f>Sheet1!B4720</f>
        <v>0</v>
      </c>
      <c r="C4720">
        <f>IF(Sheet1!B4720&gt;0,1,0)</f>
        <v>0</v>
      </c>
    </row>
    <row r="4721" spans="1:3" x14ac:dyDescent="0.25">
      <c r="A4721" s="15">
        <f>Sheet1!A4721</f>
        <v>0</v>
      </c>
      <c r="B4721">
        <f>Sheet1!B4721</f>
        <v>0</v>
      </c>
      <c r="C4721">
        <f>IF(Sheet1!B4721&gt;0,1,0)</f>
        <v>0</v>
      </c>
    </row>
    <row r="4722" spans="1:3" x14ac:dyDescent="0.25">
      <c r="A4722" s="15">
        <f>Sheet1!A4722</f>
        <v>0</v>
      </c>
      <c r="B4722">
        <f>Sheet1!B4722</f>
        <v>0</v>
      </c>
      <c r="C4722">
        <f>IF(Sheet1!B4722&gt;0,1,0)</f>
        <v>0</v>
      </c>
    </row>
    <row r="4723" spans="1:3" x14ac:dyDescent="0.25">
      <c r="A4723" s="15">
        <f>Sheet1!A4723</f>
        <v>0</v>
      </c>
      <c r="B4723">
        <f>Sheet1!B4723</f>
        <v>0</v>
      </c>
      <c r="C4723">
        <f>IF(Sheet1!B4723&gt;0,1,0)</f>
        <v>0</v>
      </c>
    </row>
    <row r="4724" spans="1:3" x14ac:dyDescent="0.25">
      <c r="A4724" s="15">
        <f>Sheet1!A4724</f>
        <v>0</v>
      </c>
      <c r="B4724">
        <f>Sheet1!B4724</f>
        <v>0</v>
      </c>
      <c r="C4724">
        <f>IF(Sheet1!B4724&gt;0,1,0)</f>
        <v>0</v>
      </c>
    </row>
    <row r="4725" spans="1:3" x14ac:dyDescent="0.25">
      <c r="A4725" s="15">
        <f>Sheet1!A4725</f>
        <v>0</v>
      </c>
      <c r="B4725">
        <f>Sheet1!B4725</f>
        <v>0</v>
      </c>
      <c r="C4725">
        <f>IF(Sheet1!B4725&gt;0,1,0)</f>
        <v>0</v>
      </c>
    </row>
    <row r="4726" spans="1:3" x14ac:dyDescent="0.25">
      <c r="A4726" s="15">
        <f>Sheet1!A4726</f>
        <v>0</v>
      </c>
      <c r="B4726">
        <f>Sheet1!B4726</f>
        <v>0</v>
      </c>
      <c r="C4726">
        <f>IF(Sheet1!B4726&gt;0,1,0)</f>
        <v>0</v>
      </c>
    </row>
    <row r="4727" spans="1:3" x14ac:dyDescent="0.25">
      <c r="A4727" s="15">
        <f>Sheet1!A4727</f>
        <v>0</v>
      </c>
      <c r="B4727">
        <f>Sheet1!B4727</f>
        <v>0</v>
      </c>
      <c r="C4727">
        <f>IF(Sheet1!B4727&gt;0,1,0)</f>
        <v>0</v>
      </c>
    </row>
    <row r="4728" spans="1:3" x14ac:dyDescent="0.25">
      <c r="A4728" s="15">
        <f>Sheet1!A4728</f>
        <v>0</v>
      </c>
      <c r="B4728">
        <f>Sheet1!B4728</f>
        <v>17.62</v>
      </c>
      <c r="C4728">
        <f>IF(Sheet1!B4728&gt;0,1,0)</f>
        <v>1</v>
      </c>
    </row>
    <row r="4729" spans="1:3" x14ac:dyDescent="0.25">
      <c r="A4729" s="15">
        <f>Sheet1!A4729</f>
        <v>0</v>
      </c>
      <c r="B4729">
        <f>Sheet1!B4729</f>
        <v>0</v>
      </c>
      <c r="C4729">
        <f>IF(Sheet1!B4729&gt;0,1,0)</f>
        <v>0</v>
      </c>
    </row>
    <row r="4730" spans="1:3" x14ac:dyDescent="0.25">
      <c r="A4730" s="15">
        <f>Sheet1!A4730</f>
        <v>0</v>
      </c>
      <c r="B4730">
        <f>Sheet1!B4730</f>
        <v>0</v>
      </c>
      <c r="C4730">
        <f>IF(Sheet1!B4730&gt;0,1,0)</f>
        <v>0</v>
      </c>
    </row>
    <row r="4731" spans="1:3" x14ac:dyDescent="0.25">
      <c r="A4731" s="15">
        <f>Sheet1!A4731</f>
        <v>0</v>
      </c>
      <c r="B4731">
        <f>Sheet1!B4731</f>
        <v>0</v>
      </c>
      <c r="C4731">
        <f>IF(Sheet1!B4731&gt;0,1,0)</f>
        <v>0</v>
      </c>
    </row>
    <row r="4732" spans="1:3" x14ac:dyDescent="0.25">
      <c r="A4732" s="15">
        <f>Sheet1!A4732</f>
        <v>0</v>
      </c>
      <c r="B4732">
        <f>Sheet1!B4732</f>
        <v>11.24</v>
      </c>
      <c r="C4732">
        <f>IF(Sheet1!B4732&gt;0,1,0)</f>
        <v>1</v>
      </c>
    </row>
    <row r="4733" spans="1:3" x14ac:dyDescent="0.25">
      <c r="A4733" s="15">
        <f>Sheet1!A4733</f>
        <v>0</v>
      </c>
      <c r="B4733">
        <f>Sheet1!B4733</f>
        <v>0</v>
      </c>
      <c r="C4733">
        <f>IF(Sheet1!B4733&gt;0,1,0)</f>
        <v>0</v>
      </c>
    </row>
    <row r="4734" spans="1:3" x14ac:dyDescent="0.25">
      <c r="A4734" s="15">
        <f>Sheet1!A4734</f>
        <v>0</v>
      </c>
      <c r="B4734">
        <f>Sheet1!B4734</f>
        <v>0</v>
      </c>
      <c r="C4734">
        <f>IF(Sheet1!B4734&gt;0,1,0)</f>
        <v>0</v>
      </c>
    </row>
    <row r="4735" spans="1:3" x14ac:dyDescent="0.25">
      <c r="A4735" s="15">
        <f>Sheet1!A4735</f>
        <v>0</v>
      </c>
      <c r="B4735">
        <f>Sheet1!B4735</f>
        <v>0</v>
      </c>
      <c r="C4735">
        <f>IF(Sheet1!B4735&gt;0,1,0)</f>
        <v>0</v>
      </c>
    </row>
    <row r="4736" spans="1:3" x14ac:dyDescent="0.25">
      <c r="A4736" s="15">
        <f>Sheet1!A4736</f>
        <v>0</v>
      </c>
      <c r="B4736">
        <f>Sheet1!B4736</f>
        <v>0</v>
      </c>
      <c r="C4736">
        <f>IF(Sheet1!B4736&gt;0,1,0)</f>
        <v>0</v>
      </c>
    </row>
    <row r="4737" spans="1:3" x14ac:dyDescent="0.25">
      <c r="A4737" s="15">
        <f>Sheet1!A4737</f>
        <v>0</v>
      </c>
      <c r="B4737">
        <f>Sheet1!B4737</f>
        <v>0</v>
      </c>
      <c r="C4737">
        <f>IF(Sheet1!B4737&gt;0,1,0)</f>
        <v>0</v>
      </c>
    </row>
    <row r="4738" spans="1:3" x14ac:dyDescent="0.25">
      <c r="A4738" s="15">
        <f>Sheet1!A4738</f>
        <v>0</v>
      </c>
      <c r="B4738">
        <f>Sheet1!B4738</f>
        <v>0</v>
      </c>
      <c r="C4738">
        <f>IF(Sheet1!B4738&gt;0,1,0)</f>
        <v>0</v>
      </c>
    </row>
    <row r="4739" spans="1:3" x14ac:dyDescent="0.25">
      <c r="A4739" s="15">
        <f>Sheet1!A4739</f>
        <v>0</v>
      </c>
      <c r="B4739">
        <f>Sheet1!B4739</f>
        <v>0</v>
      </c>
      <c r="C4739">
        <f>IF(Sheet1!B4739&gt;0,1,0)</f>
        <v>0</v>
      </c>
    </row>
    <row r="4740" spans="1:3" x14ac:dyDescent="0.25">
      <c r="A4740" s="15">
        <f>Sheet1!A4740</f>
        <v>0</v>
      </c>
      <c r="B4740">
        <f>Sheet1!B4740</f>
        <v>0</v>
      </c>
      <c r="C4740">
        <f>IF(Sheet1!B4740&gt;0,1,0)</f>
        <v>0</v>
      </c>
    </row>
    <row r="4741" spans="1:3" x14ac:dyDescent="0.25">
      <c r="A4741" s="15">
        <f>Sheet1!A4741</f>
        <v>0</v>
      </c>
      <c r="B4741">
        <f>Sheet1!B4741</f>
        <v>0</v>
      </c>
      <c r="C4741">
        <f>IF(Sheet1!B4741&gt;0,1,0)</f>
        <v>0</v>
      </c>
    </row>
    <row r="4742" spans="1:3" x14ac:dyDescent="0.25">
      <c r="A4742" s="15">
        <f>Sheet1!A4742</f>
        <v>0</v>
      </c>
      <c r="B4742">
        <f>Sheet1!B4742</f>
        <v>15.3</v>
      </c>
      <c r="C4742">
        <f>IF(Sheet1!B4742&gt;0,1,0)</f>
        <v>1</v>
      </c>
    </row>
    <row r="4743" spans="1:3" x14ac:dyDescent="0.25">
      <c r="A4743" s="15">
        <f>Sheet1!A4743</f>
        <v>0</v>
      </c>
      <c r="B4743">
        <f>Sheet1!B4743</f>
        <v>0</v>
      </c>
      <c r="C4743">
        <f>IF(Sheet1!B4743&gt;0,1,0)</f>
        <v>0</v>
      </c>
    </row>
    <row r="4744" spans="1:3" x14ac:dyDescent="0.25">
      <c r="A4744" s="15">
        <f>Sheet1!A4744</f>
        <v>0</v>
      </c>
      <c r="B4744">
        <f>Sheet1!B4744</f>
        <v>0</v>
      </c>
      <c r="C4744">
        <f>IF(Sheet1!B4744&gt;0,1,0)</f>
        <v>0</v>
      </c>
    </row>
    <row r="4745" spans="1:3" x14ac:dyDescent="0.25">
      <c r="A4745" s="15">
        <f>Sheet1!A4745</f>
        <v>0</v>
      </c>
      <c r="B4745">
        <f>Sheet1!B4745</f>
        <v>0</v>
      </c>
      <c r="C4745">
        <f>IF(Sheet1!B4745&gt;0,1,0)</f>
        <v>0</v>
      </c>
    </row>
    <row r="4746" spans="1:3" x14ac:dyDescent="0.25">
      <c r="A4746" s="15">
        <f>Sheet1!A4746</f>
        <v>0</v>
      </c>
      <c r="B4746">
        <f>Sheet1!B4746</f>
        <v>0</v>
      </c>
      <c r="C4746">
        <f>IF(Sheet1!B4746&gt;0,1,0)</f>
        <v>0</v>
      </c>
    </row>
    <row r="4747" spans="1:3" x14ac:dyDescent="0.25">
      <c r="A4747" s="15">
        <f>Sheet1!A4747</f>
        <v>0</v>
      </c>
      <c r="B4747">
        <f>Sheet1!B4747</f>
        <v>0</v>
      </c>
      <c r="C4747">
        <f>IF(Sheet1!B4747&gt;0,1,0)</f>
        <v>0</v>
      </c>
    </row>
    <row r="4748" spans="1:3" x14ac:dyDescent="0.25">
      <c r="A4748" s="15">
        <f>Sheet1!A4748</f>
        <v>0</v>
      </c>
      <c r="B4748">
        <f>Sheet1!B4748</f>
        <v>0</v>
      </c>
      <c r="C4748">
        <f>IF(Sheet1!B4748&gt;0,1,0)</f>
        <v>0</v>
      </c>
    </row>
    <row r="4749" spans="1:3" x14ac:dyDescent="0.25">
      <c r="A4749" s="15">
        <f>Sheet1!A4749</f>
        <v>0</v>
      </c>
      <c r="B4749">
        <f>Sheet1!B4749</f>
        <v>0</v>
      </c>
      <c r="C4749">
        <f>IF(Sheet1!B4749&gt;0,1,0)</f>
        <v>0</v>
      </c>
    </row>
    <row r="4750" spans="1:3" x14ac:dyDescent="0.25">
      <c r="A4750" s="15">
        <f>Sheet1!A4750</f>
        <v>0</v>
      </c>
      <c r="B4750">
        <f>Sheet1!B4750</f>
        <v>0</v>
      </c>
      <c r="C4750">
        <f>IF(Sheet1!B4750&gt;0,1,0)</f>
        <v>0</v>
      </c>
    </row>
    <row r="4751" spans="1:3" x14ac:dyDescent="0.25">
      <c r="A4751" s="15">
        <f>Sheet1!A4751</f>
        <v>0</v>
      </c>
      <c r="B4751">
        <f>Sheet1!B4751</f>
        <v>0</v>
      </c>
      <c r="C4751">
        <f>IF(Sheet1!B4751&gt;0,1,0)</f>
        <v>0</v>
      </c>
    </row>
    <row r="4752" spans="1:3" x14ac:dyDescent="0.25">
      <c r="A4752" s="15">
        <f>Sheet1!A4752</f>
        <v>0</v>
      </c>
      <c r="B4752">
        <f>Sheet1!B4752</f>
        <v>15.05</v>
      </c>
      <c r="C4752">
        <f>IF(Sheet1!B4752&gt;0,1,0)</f>
        <v>1</v>
      </c>
    </row>
    <row r="4753" spans="1:3" x14ac:dyDescent="0.25">
      <c r="A4753" s="15">
        <f>Sheet1!A4753</f>
        <v>0</v>
      </c>
      <c r="B4753">
        <f>Sheet1!B4753</f>
        <v>0</v>
      </c>
      <c r="C4753">
        <f>IF(Sheet1!B4753&gt;0,1,0)</f>
        <v>0</v>
      </c>
    </row>
    <row r="4754" spans="1:3" x14ac:dyDescent="0.25">
      <c r="A4754" s="15">
        <f>Sheet1!A4754</f>
        <v>0</v>
      </c>
      <c r="B4754">
        <f>Sheet1!B4754</f>
        <v>0</v>
      </c>
      <c r="C4754">
        <f>IF(Sheet1!B4754&gt;0,1,0)</f>
        <v>0</v>
      </c>
    </row>
    <row r="4755" spans="1:3" x14ac:dyDescent="0.25">
      <c r="A4755" s="15">
        <f>Sheet1!A4755</f>
        <v>0</v>
      </c>
      <c r="B4755">
        <f>Sheet1!B4755</f>
        <v>0</v>
      </c>
      <c r="C4755">
        <f>IF(Sheet1!B4755&gt;0,1,0)</f>
        <v>0</v>
      </c>
    </row>
    <row r="4756" spans="1:3" x14ac:dyDescent="0.25">
      <c r="A4756" s="15">
        <f>Sheet1!A4756</f>
        <v>0</v>
      </c>
      <c r="B4756">
        <f>Sheet1!B4756</f>
        <v>12.83</v>
      </c>
      <c r="C4756">
        <f>IF(Sheet1!B4756&gt;0,1,0)</f>
        <v>1</v>
      </c>
    </row>
    <row r="4757" spans="1:3" x14ac:dyDescent="0.25">
      <c r="A4757" s="15">
        <f>Sheet1!A4757</f>
        <v>0</v>
      </c>
      <c r="B4757">
        <f>Sheet1!B4757</f>
        <v>9.7899999999999991</v>
      </c>
      <c r="C4757">
        <f>IF(Sheet1!B4757&gt;0,1,0)</f>
        <v>1</v>
      </c>
    </row>
    <row r="4758" spans="1:3" x14ac:dyDescent="0.25">
      <c r="A4758" s="15">
        <f>Sheet1!A4758</f>
        <v>0</v>
      </c>
      <c r="B4758">
        <f>Sheet1!B4758</f>
        <v>12.32</v>
      </c>
      <c r="C4758">
        <f>IF(Sheet1!B4758&gt;0,1,0)</f>
        <v>1</v>
      </c>
    </row>
    <row r="4759" spans="1:3" x14ac:dyDescent="0.25">
      <c r="A4759" s="15">
        <f>Sheet1!A4759</f>
        <v>0</v>
      </c>
      <c r="B4759">
        <f>Sheet1!B4759</f>
        <v>12.75</v>
      </c>
      <c r="C4759">
        <f>IF(Sheet1!B4759&gt;0,1,0)</f>
        <v>1</v>
      </c>
    </row>
    <row r="4760" spans="1:3" x14ac:dyDescent="0.25">
      <c r="A4760" s="15">
        <f>Sheet1!A4760</f>
        <v>0</v>
      </c>
      <c r="B4760">
        <f>Sheet1!B4760</f>
        <v>7.51</v>
      </c>
      <c r="C4760">
        <f>IF(Sheet1!B4760&gt;0,1,0)</f>
        <v>1</v>
      </c>
    </row>
    <row r="4761" spans="1:3" x14ac:dyDescent="0.25">
      <c r="A4761" s="15">
        <f>Sheet1!A4761</f>
        <v>0</v>
      </c>
      <c r="B4761">
        <f>Sheet1!B4761</f>
        <v>0</v>
      </c>
      <c r="C4761">
        <f>IF(Sheet1!B4761&gt;0,1,0)</f>
        <v>0</v>
      </c>
    </row>
    <row r="4762" spans="1:3" x14ac:dyDescent="0.25">
      <c r="A4762" s="15">
        <f>Sheet1!A4762</f>
        <v>0</v>
      </c>
      <c r="B4762">
        <f>Sheet1!B4762</f>
        <v>0</v>
      </c>
      <c r="C4762">
        <f>IF(Sheet1!B4762&gt;0,1,0)</f>
        <v>0</v>
      </c>
    </row>
    <row r="4763" spans="1:3" x14ac:dyDescent="0.25">
      <c r="A4763" s="15">
        <f>Sheet1!A4763</f>
        <v>0</v>
      </c>
      <c r="B4763">
        <f>Sheet1!B4763</f>
        <v>0</v>
      </c>
      <c r="C4763">
        <f>IF(Sheet1!B4763&gt;0,1,0)</f>
        <v>0</v>
      </c>
    </row>
    <row r="4764" spans="1:3" x14ac:dyDescent="0.25">
      <c r="A4764" s="15">
        <f>Sheet1!A4764</f>
        <v>0</v>
      </c>
      <c r="B4764">
        <f>Sheet1!B4764</f>
        <v>0</v>
      </c>
      <c r="C4764">
        <f>IF(Sheet1!B4764&gt;0,1,0)</f>
        <v>0</v>
      </c>
    </row>
    <row r="4765" spans="1:3" x14ac:dyDescent="0.25">
      <c r="A4765" s="15">
        <f>Sheet1!A4765</f>
        <v>0</v>
      </c>
      <c r="B4765">
        <f>Sheet1!B4765</f>
        <v>0</v>
      </c>
      <c r="C4765">
        <f>IF(Sheet1!B4765&gt;0,1,0)</f>
        <v>0</v>
      </c>
    </row>
    <row r="4766" spans="1:3" x14ac:dyDescent="0.25">
      <c r="A4766" s="15">
        <f>Sheet1!A4766</f>
        <v>0</v>
      </c>
      <c r="B4766">
        <f>Sheet1!B4766</f>
        <v>0</v>
      </c>
      <c r="C4766">
        <f>IF(Sheet1!B4766&gt;0,1,0)</f>
        <v>0</v>
      </c>
    </row>
    <row r="4767" spans="1:3" x14ac:dyDescent="0.25">
      <c r="A4767" s="15">
        <f>Sheet1!A4767</f>
        <v>0</v>
      </c>
      <c r="B4767">
        <f>Sheet1!B4767</f>
        <v>0</v>
      </c>
      <c r="C4767">
        <f>IF(Sheet1!B4767&gt;0,1,0)</f>
        <v>0</v>
      </c>
    </row>
    <row r="4768" spans="1:3" x14ac:dyDescent="0.25">
      <c r="A4768" s="15">
        <f>Sheet1!A4768</f>
        <v>0</v>
      </c>
      <c r="B4768">
        <f>Sheet1!B4768</f>
        <v>0</v>
      </c>
      <c r="C4768">
        <f>IF(Sheet1!B4768&gt;0,1,0)</f>
        <v>0</v>
      </c>
    </row>
    <row r="4769" spans="1:3" x14ac:dyDescent="0.25">
      <c r="A4769" s="15">
        <f>Sheet1!A4769</f>
        <v>0</v>
      </c>
      <c r="B4769">
        <f>Sheet1!B4769</f>
        <v>0</v>
      </c>
      <c r="C4769">
        <f>IF(Sheet1!B4769&gt;0,1,0)</f>
        <v>0</v>
      </c>
    </row>
    <row r="4770" spans="1:3" x14ac:dyDescent="0.25">
      <c r="A4770" s="15">
        <f>Sheet1!A4770</f>
        <v>0</v>
      </c>
      <c r="B4770">
        <f>Sheet1!B4770</f>
        <v>0</v>
      </c>
      <c r="C4770">
        <f>IF(Sheet1!B4770&gt;0,1,0)</f>
        <v>0</v>
      </c>
    </row>
    <row r="4771" spans="1:3" x14ac:dyDescent="0.25">
      <c r="A4771" s="15">
        <f>Sheet1!A4771</f>
        <v>0</v>
      </c>
      <c r="B4771">
        <f>Sheet1!B4771</f>
        <v>0</v>
      </c>
      <c r="C4771">
        <f>IF(Sheet1!B4771&gt;0,1,0)</f>
        <v>0</v>
      </c>
    </row>
    <row r="4772" spans="1:3" x14ac:dyDescent="0.25">
      <c r="A4772" s="15">
        <f>Sheet1!A4772</f>
        <v>0</v>
      </c>
      <c r="B4772">
        <f>Sheet1!B4772</f>
        <v>0</v>
      </c>
      <c r="C4772">
        <f>IF(Sheet1!B4772&gt;0,1,0)</f>
        <v>0</v>
      </c>
    </row>
    <row r="4773" spans="1:3" x14ac:dyDescent="0.25">
      <c r="A4773" s="15">
        <f>Sheet1!A4773</f>
        <v>0</v>
      </c>
      <c r="B4773">
        <f>Sheet1!B4773</f>
        <v>0</v>
      </c>
      <c r="C4773">
        <f>IF(Sheet1!B4773&gt;0,1,0)</f>
        <v>0</v>
      </c>
    </row>
    <row r="4774" spans="1:3" x14ac:dyDescent="0.25">
      <c r="A4774" s="15">
        <f>Sheet1!A4774</f>
        <v>0</v>
      </c>
      <c r="B4774">
        <f>Sheet1!B4774</f>
        <v>0</v>
      </c>
      <c r="C4774">
        <f>IF(Sheet1!B4774&gt;0,1,0)</f>
        <v>0</v>
      </c>
    </row>
    <row r="4775" spans="1:3" x14ac:dyDescent="0.25">
      <c r="A4775" s="15">
        <f>Sheet1!A4775</f>
        <v>0</v>
      </c>
      <c r="B4775">
        <f>Sheet1!B4775</f>
        <v>0</v>
      </c>
      <c r="C4775">
        <f>IF(Sheet1!B4775&gt;0,1,0)</f>
        <v>0</v>
      </c>
    </row>
    <row r="4776" spans="1:3" x14ac:dyDescent="0.25">
      <c r="A4776" s="15">
        <f>Sheet1!A4776</f>
        <v>0</v>
      </c>
      <c r="B4776">
        <f>Sheet1!B4776</f>
        <v>0</v>
      </c>
      <c r="C4776">
        <f>IF(Sheet1!B4776&gt;0,1,0)</f>
        <v>0</v>
      </c>
    </row>
    <row r="4777" spans="1:3" x14ac:dyDescent="0.25">
      <c r="A4777" s="15">
        <f>Sheet1!A4777</f>
        <v>0</v>
      </c>
      <c r="B4777">
        <f>Sheet1!B4777</f>
        <v>0</v>
      </c>
      <c r="C4777">
        <f>IF(Sheet1!B4777&gt;0,1,0)</f>
        <v>0</v>
      </c>
    </row>
    <row r="4778" spans="1:3" x14ac:dyDescent="0.25">
      <c r="A4778" s="15">
        <f>Sheet1!A4778</f>
        <v>0</v>
      </c>
      <c r="B4778">
        <f>Sheet1!B4778</f>
        <v>18.47</v>
      </c>
      <c r="C4778">
        <f>IF(Sheet1!B4778&gt;0,1,0)</f>
        <v>1</v>
      </c>
    </row>
    <row r="4779" spans="1:3" x14ac:dyDescent="0.25">
      <c r="A4779" s="15">
        <f>Sheet1!A4779</f>
        <v>0</v>
      </c>
      <c r="B4779">
        <f>Sheet1!B4779</f>
        <v>0</v>
      </c>
      <c r="C4779">
        <f>IF(Sheet1!B4779&gt;0,1,0)</f>
        <v>0</v>
      </c>
    </row>
    <row r="4780" spans="1:3" x14ac:dyDescent="0.25">
      <c r="A4780" s="15">
        <f>Sheet1!A4780</f>
        <v>0</v>
      </c>
      <c r="B4780">
        <f>Sheet1!B4780</f>
        <v>0</v>
      </c>
      <c r="C4780">
        <f>IF(Sheet1!B4780&gt;0,1,0)</f>
        <v>0</v>
      </c>
    </row>
    <row r="4781" spans="1:3" x14ac:dyDescent="0.25">
      <c r="A4781" s="15">
        <f>Sheet1!A4781</f>
        <v>0</v>
      </c>
      <c r="B4781">
        <f>Sheet1!B4781</f>
        <v>0</v>
      </c>
      <c r="C4781">
        <f>IF(Sheet1!B4781&gt;0,1,0)</f>
        <v>0</v>
      </c>
    </row>
    <row r="4782" spans="1:3" x14ac:dyDescent="0.25">
      <c r="A4782" s="15">
        <f>Sheet1!A4782</f>
        <v>0</v>
      </c>
      <c r="B4782">
        <f>Sheet1!B4782</f>
        <v>14.21</v>
      </c>
      <c r="C4782">
        <f>IF(Sheet1!B4782&gt;0,1,0)</f>
        <v>1</v>
      </c>
    </row>
    <row r="4783" spans="1:3" x14ac:dyDescent="0.25">
      <c r="A4783" s="15">
        <f>Sheet1!A4783</f>
        <v>0</v>
      </c>
      <c r="B4783">
        <f>Sheet1!B4783</f>
        <v>14.3</v>
      </c>
      <c r="C4783">
        <f>IF(Sheet1!B4783&gt;0,1,0)</f>
        <v>1</v>
      </c>
    </row>
    <row r="4784" spans="1:3" x14ac:dyDescent="0.25">
      <c r="A4784" s="15">
        <f>Sheet1!A4784</f>
        <v>0</v>
      </c>
      <c r="B4784">
        <f>Sheet1!B4784</f>
        <v>0</v>
      </c>
      <c r="C4784">
        <f>IF(Sheet1!B4784&gt;0,1,0)</f>
        <v>0</v>
      </c>
    </row>
    <row r="4785" spans="1:3" x14ac:dyDescent="0.25">
      <c r="A4785" s="15">
        <f>Sheet1!A4785</f>
        <v>0</v>
      </c>
      <c r="B4785">
        <f>Sheet1!B4785</f>
        <v>0</v>
      </c>
      <c r="C4785">
        <f>IF(Sheet1!B4785&gt;0,1,0)</f>
        <v>0</v>
      </c>
    </row>
    <row r="4786" spans="1:3" x14ac:dyDescent="0.25">
      <c r="A4786" s="15">
        <f>Sheet1!A4786</f>
        <v>0</v>
      </c>
      <c r="B4786">
        <f>Sheet1!B4786</f>
        <v>0</v>
      </c>
      <c r="C4786">
        <f>IF(Sheet1!B4786&gt;0,1,0)</f>
        <v>0</v>
      </c>
    </row>
    <row r="4787" spans="1:3" x14ac:dyDescent="0.25">
      <c r="A4787" s="15">
        <f>Sheet1!A4787</f>
        <v>0</v>
      </c>
      <c r="B4787">
        <f>Sheet1!B4787</f>
        <v>0</v>
      </c>
      <c r="C4787">
        <f>IF(Sheet1!B4787&gt;0,1,0)</f>
        <v>0</v>
      </c>
    </row>
    <row r="4788" spans="1:3" x14ac:dyDescent="0.25">
      <c r="A4788" s="15">
        <f>Sheet1!A4788</f>
        <v>0</v>
      </c>
      <c r="B4788">
        <f>Sheet1!B4788</f>
        <v>17.510000000000002</v>
      </c>
      <c r="C4788">
        <f>IF(Sheet1!B4788&gt;0,1,0)</f>
        <v>1</v>
      </c>
    </row>
    <row r="4789" spans="1:3" x14ac:dyDescent="0.25">
      <c r="A4789" s="15">
        <f>Sheet1!A4789</f>
        <v>0</v>
      </c>
      <c r="B4789">
        <f>Sheet1!B4789</f>
        <v>0</v>
      </c>
      <c r="C4789">
        <f>IF(Sheet1!B4789&gt;0,1,0)</f>
        <v>0</v>
      </c>
    </row>
    <row r="4790" spans="1:3" x14ac:dyDescent="0.25">
      <c r="A4790" s="15">
        <f>Sheet1!A4790</f>
        <v>0</v>
      </c>
      <c r="B4790">
        <f>Sheet1!B4790</f>
        <v>0</v>
      </c>
      <c r="C4790">
        <f>IF(Sheet1!B4790&gt;0,1,0)</f>
        <v>0</v>
      </c>
    </row>
    <row r="4791" spans="1:3" x14ac:dyDescent="0.25">
      <c r="A4791" s="15">
        <f>Sheet1!A4791</f>
        <v>0</v>
      </c>
      <c r="B4791">
        <f>Sheet1!B4791</f>
        <v>0</v>
      </c>
      <c r="C4791">
        <f>IF(Sheet1!B4791&gt;0,1,0)</f>
        <v>0</v>
      </c>
    </row>
    <row r="4792" spans="1:3" x14ac:dyDescent="0.25">
      <c r="A4792" s="15">
        <f>Sheet1!A4792</f>
        <v>0</v>
      </c>
      <c r="B4792">
        <f>Sheet1!B4792</f>
        <v>7.59</v>
      </c>
      <c r="C4792">
        <f>IF(Sheet1!B4792&gt;0,1,0)</f>
        <v>1</v>
      </c>
    </row>
    <row r="4793" spans="1:3" x14ac:dyDescent="0.25">
      <c r="A4793" s="15">
        <f>Sheet1!A4793</f>
        <v>0</v>
      </c>
      <c r="B4793">
        <f>Sheet1!B4793</f>
        <v>0</v>
      </c>
      <c r="C4793">
        <f>IF(Sheet1!B4793&gt;0,1,0)</f>
        <v>0</v>
      </c>
    </row>
    <row r="4794" spans="1:3" x14ac:dyDescent="0.25">
      <c r="A4794" s="15">
        <f>Sheet1!A4794</f>
        <v>0</v>
      </c>
      <c r="B4794">
        <f>Sheet1!B4794</f>
        <v>0</v>
      </c>
      <c r="C4794">
        <f>IF(Sheet1!B4794&gt;0,1,0)</f>
        <v>0</v>
      </c>
    </row>
    <row r="4795" spans="1:3" x14ac:dyDescent="0.25">
      <c r="A4795" s="15">
        <f>Sheet1!A4795</f>
        <v>0</v>
      </c>
      <c r="B4795">
        <f>Sheet1!B4795</f>
        <v>0</v>
      </c>
      <c r="C4795">
        <f>IF(Sheet1!B4795&gt;0,1,0)</f>
        <v>0</v>
      </c>
    </row>
    <row r="4796" spans="1:3" x14ac:dyDescent="0.25">
      <c r="A4796" s="15">
        <f>Sheet1!A4796</f>
        <v>0</v>
      </c>
      <c r="B4796">
        <f>Sheet1!B4796</f>
        <v>0</v>
      </c>
      <c r="C4796">
        <f>IF(Sheet1!B4796&gt;0,1,0)</f>
        <v>0</v>
      </c>
    </row>
    <row r="4797" spans="1:3" x14ac:dyDescent="0.25">
      <c r="A4797" s="15">
        <f>Sheet1!A4797</f>
        <v>0</v>
      </c>
      <c r="B4797">
        <f>Sheet1!B4797</f>
        <v>0</v>
      </c>
      <c r="C4797">
        <f>IF(Sheet1!B4797&gt;0,1,0)</f>
        <v>0</v>
      </c>
    </row>
    <row r="4798" spans="1:3" x14ac:dyDescent="0.25">
      <c r="A4798" s="15">
        <f>Sheet1!A4798</f>
        <v>0</v>
      </c>
      <c r="B4798">
        <f>Sheet1!B4798</f>
        <v>18.850000000000001</v>
      </c>
      <c r="C4798">
        <f>IF(Sheet1!B4798&gt;0,1,0)</f>
        <v>1</v>
      </c>
    </row>
    <row r="4799" spans="1:3" x14ac:dyDescent="0.25">
      <c r="A4799" s="15">
        <f>Sheet1!A4799</f>
        <v>0</v>
      </c>
      <c r="B4799">
        <f>Sheet1!B4799</f>
        <v>13.74</v>
      </c>
      <c r="C4799">
        <f>IF(Sheet1!B4799&gt;0,1,0)</f>
        <v>1</v>
      </c>
    </row>
    <row r="4800" spans="1:3" x14ac:dyDescent="0.25">
      <c r="A4800" s="15">
        <f>Sheet1!A4800</f>
        <v>0</v>
      </c>
      <c r="B4800">
        <f>Sheet1!B4800</f>
        <v>17.11</v>
      </c>
      <c r="C4800">
        <f>IF(Sheet1!B4800&gt;0,1,0)</f>
        <v>1</v>
      </c>
    </row>
    <row r="4801" spans="1:3" x14ac:dyDescent="0.25">
      <c r="A4801" s="15">
        <f>Sheet1!A4801</f>
        <v>0</v>
      </c>
      <c r="B4801">
        <f>Sheet1!B4801</f>
        <v>0</v>
      </c>
      <c r="C4801">
        <f>IF(Sheet1!B4801&gt;0,1,0)</f>
        <v>0</v>
      </c>
    </row>
    <row r="4802" spans="1:3" x14ac:dyDescent="0.25">
      <c r="A4802" s="15">
        <f>Sheet1!A4802</f>
        <v>0</v>
      </c>
      <c r="B4802">
        <f>Sheet1!B4802</f>
        <v>0</v>
      </c>
      <c r="C4802">
        <f>IF(Sheet1!B4802&gt;0,1,0)</f>
        <v>0</v>
      </c>
    </row>
    <row r="4803" spans="1:3" x14ac:dyDescent="0.25">
      <c r="A4803" s="15">
        <f>Sheet1!A4803</f>
        <v>0</v>
      </c>
      <c r="B4803">
        <f>Sheet1!B4803</f>
        <v>0</v>
      </c>
      <c r="C4803">
        <f>IF(Sheet1!B4803&gt;0,1,0)</f>
        <v>0</v>
      </c>
    </row>
    <row r="4804" spans="1:3" x14ac:dyDescent="0.25">
      <c r="A4804" s="15">
        <f>Sheet1!A4804</f>
        <v>0</v>
      </c>
      <c r="B4804">
        <f>Sheet1!B4804</f>
        <v>13.58</v>
      </c>
      <c r="C4804">
        <f>IF(Sheet1!B4804&gt;0,1,0)</f>
        <v>1</v>
      </c>
    </row>
    <row r="4805" spans="1:3" x14ac:dyDescent="0.25">
      <c r="A4805" s="15">
        <f>Sheet1!A4805</f>
        <v>0</v>
      </c>
      <c r="B4805">
        <f>Sheet1!B4805</f>
        <v>12.27</v>
      </c>
      <c r="C4805">
        <f>IF(Sheet1!B4805&gt;0,1,0)</f>
        <v>1</v>
      </c>
    </row>
    <row r="4806" spans="1:3" x14ac:dyDescent="0.25">
      <c r="A4806" s="15">
        <f>Sheet1!A4806</f>
        <v>0</v>
      </c>
      <c r="B4806">
        <f>Sheet1!B4806</f>
        <v>12.38</v>
      </c>
      <c r="C4806">
        <f>IF(Sheet1!B4806&gt;0,1,0)</f>
        <v>1</v>
      </c>
    </row>
    <row r="4807" spans="1:3" x14ac:dyDescent="0.25">
      <c r="A4807" s="15">
        <f>Sheet1!A4807</f>
        <v>0</v>
      </c>
      <c r="B4807">
        <f>Sheet1!B4807</f>
        <v>0</v>
      </c>
      <c r="C4807">
        <f>IF(Sheet1!B4807&gt;0,1,0)</f>
        <v>0</v>
      </c>
    </row>
    <row r="4808" spans="1:3" x14ac:dyDescent="0.25">
      <c r="A4808" s="15">
        <f>Sheet1!A4808</f>
        <v>0</v>
      </c>
      <c r="B4808">
        <f>Sheet1!B4808</f>
        <v>0</v>
      </c>
      <c r="C4808">
        <f>IF(Sheet1!B4808&gt;0,1,0)</f>
        <v>0</v>
      </c>
    </row>
    <row r="4809" spans="1:3" x14ac:dyDescent="0.25">
      <c r="A4809" s="15">
        <f>Sheet1!A4809</f>
        <v>0</v>
      </c>
      <c r="B4809">
        <f>Sheet1!B4809</f>
        <v>0</v>
      </c>
      <c r="C4809">
        <f>IF(Sheet1!B4809&gt;0,1,0)</f>
        <v>0</v>
      </c>
    </row>
    <row r="4810" spans="1:3" x14ac:dyDescent="0.25">
      <c r="A4810" s="15">
        <f>Sheet1!A4810</f>
        <v>0</v>
      </c>
      <c r="B4810">
        <f>Sheet1!B4810</f>
        <v>14.59</v>
      </c>
      <c r="C4810">
        <f>IF(Sheet1!B4810&gt;0,1,0)</f>
        <v>1</v>
      </c>
    </row>
    <row r="4811" spans="1:3" x14ac:dyDescent="0.25">
      <c r="A4811" s="15">
        <f>Sheet1!A4811</f>
        <v>0</v>
      </c>
      <c r="B4811">
        <f>Sheet1!B4811</f>
        <v>0</v>
      </c>
      <c r="C4811">
        <f>IF(Sheet1!B4811&gt;0,1,0)</f>
        <v>0</v>
      </c>
    </row>
    <row r="4812" spans="1:3" x14ac:dyDescent="0.25">
      <c r="A4812" s="15">
        <f>Sheet1!A4812</f>
        <v>0</v>
      </c>
      <c r="B4812">
        <f>Sheet1!B4812</f>
        <v>0</v>
      </c>
      <c r="C4812">
        <f>IF(Sheet1!B4812&gt;0,1,0)</f>
        <v>0</v>
      </c>
    </row>
    <row r="4813" spans="1:3" x14ac:dyDescent="0.25">
      <c r="A4813" s="15">
        <f>Sheet1!A4813</f>
        <v>0</v>
      </c>
      <c r="B4813">
        <f>Sheet1!B4813</f>
        <v>0</v>
      </c>
      <c r="C4813">
        <f>IF(Sheet1!B4813&gt;0,1,0)</f>
        <v>0</v>
      </c>
    </row>
    <row r="4814" spans="1:3" x14ac:dyDescent="0.25">
      <c r="A4814" s="15">
        <f>Sheet1!A4814</f>
        <v>0</v>
      </c>
      <c r="B4814">
        <f>Sheet1!B4814</f>
        <v>0</v>
      </c>
      <c r="C4814">
        <f>IF(Sheet1!B4814&gt;0,1,0)</f>
        <v>0</v>
      </c>
    </row>
    <row r="4815" spans="1:3" x14ac:dyDescent="0.25">
      <c r="A4815" s="15">
        <f>Sheet1!A4815</f>
        <v>0</v>
      </c>
      <c r="B4815">
        <f>Sheet1!B4815</f>
        <v>0</v>
      </c>
      <c r="C4815">
        <f>IF(Sheet1!B4815&gt;0,1,0)</f>
        <v>0</v>
      </c>
    </row>
    <row r="4816" spans="1:3" x14ac:dyDescent="0.25">
      <c r="A4816" s="15">
        <f>Sheet1!A4816</f>
        <v>0</v>
      </c>
      <c r="B4816">
        <f>Sheet1!B4816</f>
        <v>0</v>
      </c>
      <c r="C4816">
        <f>IF(Sheet1!B4816&gt;0,1,0)</f>
        <v>0</v>
      </c>
    </row>
    <row r="4817" spans="1:3" x14ac:dyDescent="0.25">
      <c r="A4817" s="15">
        <f>Sheet1!A4817</f>
        <v>0</v>
      </c>
      <c r="B4817">
        <f>Sheet1!B4817</f>
        <v>0</v>
      </c>
      <c r="C4817">
        <f>IF(Sheet1!B4817&gt;0,1,0)</f>
        <v>0</v>
      </c>
    </row>
    <row r="4818" spans="1:3" x14ac:dyDescent="0.25">
      <c r="A4818" s="15">
        <f>Sheet1!A4818</f>
        <v>0</v>
      </c>
      <c r="B4818">
        <f>Sheet1!B4818</f>
        <v>0</v>
      </c>
      <c r="C4818">
        <f>IF(Sheet1!B4818&gt;0,1,0)</f>
        <v>0</v>
      </c>
    </row>
    <row r="4819" spans="1:3" x14ac:dyDescent="0.25">
      <c r="A4819" s="15">
        <f>Sheet1!A4819</f>
        <v>0</v>
      </c>
      <c r="B4819">
        <f>Sheet1!B4819</f>
        <v>0</v>
      </c>
      <c r="C4819">
        <f>IF(Sheet1!B4819&gt;0,1,0)</f>
        <v>0</v>
      </c>
    </row>
    <row r="4820" spans="1:3" x14ac:dyDescent="0.25">
      <c r="A4820" s="15">
        <f>Sheet1!A4820</f>
        <v>0</v>
      </c>
      <c r="B4820">
        <f>Sheet1!B4820</f>
        <v>0</v>
      </c>
      <c r="C4820">
        <f>IF(Sheet1!B4820&gt;0,1,0)</f>
        <v>0</v>
      </c>
    </row>
    <row r="4821" spans="1:3" x14ac:dyDescent="0.25">
      <c r="A4821" s="15">
        <f>Sheet1!A4821</f>
        <v>0</v>
      </c>
      <c r="B4821">
        <f>Sheet1!B4821</f>
        <v>0</v>
      </c>
      <c r="C4821">
        <f>IF(Sheet1!B4821&gt;0,1,0)</f>
        <v>0</v>
      </c>
    </row>
    <row r="4822" spans="1:3" x14ac:dyDescent="0.25">
      <c r="A4822" s="15">
        <f>Sheet1!A4822</f>
        <v>0</v>
      </c>
      <c r="B4822">
        <f>Sheet1!B4822</f>
        <v>0</v>
      </c>
      <c r="C4822">
        <f>IF(Sheet1!B4822&gt;0,1,0)</f>
        <v>0</v>
      </c>
    </row>
    <row r="4823" spans="1:3" x14ac:dyDescent="0.25">
      <c r="A4823" s="15">
        <f>Sheet1!A4823</f>
        <v>0</v>
      </c>
      <c r="B4823">
        <f>Sheet1!B4823</f>
        <v>0</v>
      </c>
      <c r="C4823">
        <f>IF(Sheet1!B4823&gt;0,1,0)</f>
        <v>0</v>
      </c>
    </row>
    <row r="4824" spans="1:3" x14ac:dyDescent="0.25">
      <c r="A4824" s="15">
        <f>Sheet1!A4824</f>
        <v>0</v>
      </c>
      <c r="B4824">
        <f>Sheet1!B4824</f>
        <v>0</v>
      </c>
      <c r="C4824">
        <f>IF(Sheet1!B4824&gt;0,1,0)</f>
        <v>0</v>
      </c>
    </row>
    <row r="4825" spans="1:3" x14ac:dyDescent="0.25">
      <c r="A4825" s="15">
        <f>Sheet1!A4825</f>
        <v>0</v>
      </c>
      <c r="B4825">
        <f>Sheet1!B4825</f>
        <v>0</v>
      </c>
      <c r="C4825">
        <f>IF(Sheet1!B4825&gt;0,1,0)</f>
        <v>0</v>
      </c>
    </row>
    <row r="4826" spans="1:3" x14ac:dyDescent="0.25">
      <c r="A4826" s="15">
        <f>Sheet1!A4826</f>
        <v>0</v>
      </c>
      <c r="B4826">
        <f>Sheet1!B4826</f>
        <v>0</v>
      </c>
      <c r="C4826">
        <f>IF(Sheet1!B4826&gt;0,1,0)</f>
        <v>0</v>
      </c>
    </row>
    <row r="4827" spans="1:3" x14ac:dyDescent="0.25">
      <c r="A4827" s="15">
        <f>Sheet1!A4827</f>
        <v>0</v>
      </c>
      <c r="B4827">
        <f>Sheet1!B4827</f>
        <v>0</v>
      </c>
      <c r="C4827">
        <f>IF(Sheet1!B4827&gt;0,1,0)</f>
        <v>0</v>
      </c>
    </row>
    <row r="4828" spans="1:3" x14ac:dyDescent="0.25">
      <c r="A4828" s="15">
        <f>Sheet1!A4828</f>
        <v>0</v>
      </c>
      <c r="B4828">
        <f>Sheet1!B4828</f>
        <v>0</v>
      </c>
      <c r="C4828">
        <f>IF(Sheet1!B4828&gt;0,1,0)</f>
        <v>0</v>
      </c>
    </row>
    <row r="4829" spans="1:3" x14ac:dyDescent="0.25">
      <c r="A4829" s="15">
        <f>Sheet1!A4829</f>
        <v>0</v>
      </c>
      <c r="B4829">
        <f>Sheet1!B4829</f>
        <v>0</v>
      </c>
      <c r="C4829">
        <f>IF(Sheet1!B4829&gt;0,1,0)</f>
        <v>0</v>
      </c>
    </row>
    <row r="4830" spans="1:3" x14ac:dyDescent="0.25">
      <c r="A4830" s="15">
        <f>Sheet1!A4830</f>
        <v>0</v>
      </c>
      <c r="B4830">
        <f>Sheet1!B4830</f>
        <v>0</v>
      </c>
      <c r="C4830">
        <f>IF(Sheet1!B4830&gt;0,1,0)</f>
        <v>0</v>
      </c>
    </row>
    <row r="4831" spans="1:3" x14ac:dyDescent="0.25">
      <c r="A4831" s="15">
        <f>Sheet1!A4831</f>
        <v>0</v>
      </c>
      <c r="B4831">
        <f>Sheet1!B4831</f>
        <v>0</v>
      </c>
      <c r="C4831">
        <f>IF(Sheet1!B4831&gt;0,1,0)</f>
        <v>0</v>
      </c>
    </row>
    <row r="4832" spans="1:3" x14ac:dyDescent="0.25">
      <c r="A4832" s="15">
        <f>Sheet1!A4832</f>
        <v>0</v>
      </c>
      <c r="B4832">
        <f>Sheet1!B4832</f>
        <v>0</v>
      </c>
      <c r="C4832">
        <f>IF(Sheet1!B4832&gt;0,1,0)</f>
        <v>0</v>
      </c>
    </row>
    <row r="4833" spans="1:3" x14ac:dyDescent="0.25">
      <c r="A4833" s="15">
        <f>Sheet1!A4833</f>
        <v>0</v>
      </c>
      <c r="B4833">
        <f>Sheet1!B4833</f>
        <v>0</v>
      </c>
      <c r="C4833">
        <f>IF(Sheet1!B4833&gt;0,1,0)</f>
        <v>0</v>
      </c>
    </row>
    <row r="4834" spans="1:3" x14ac:dyDescent="0.25">
      <c r="A4834" s="15">
        <f>Sheet1!A4834</f>
        <v>0</v>
      </c>
      <c r="B4834">
        <f>Sheet1!B4834</f>
        <v>0</v>
      </c>
      <c r="C4834">
        <f>IF(Sheet1!B4834&gt;0,1,0)</f>
        <v>0</v>
      </c>
    </row>
    <row r="4835" spans="1:3" x14ac:dyDescent="0.25">
      <c r="A4835" s="15">
        <f>Sheet1!A4835</f>
        <v>0</v>
      </c>
      <c r="B4835">
        <f>Sheet1!B4835</f>
        <v>0</v>
      </c>
      <c r="C4835">
        <f>IF(Sheet1!B4835&gt;0,1,0)</f>
        <v>0</v>
      </c>
    </row>
    <row r="4836" spans="1:3" x14ac:dyDescent="0.25">
      <c r="A4836" s="15">
        <f>Sheet1!A4836</f>
        <v>0</v>
      </c>
      <c r="B4836">
        <f>Sheet1!B4836</f>
        <v>0</v>
      </c>
      <c r="C4836">
        <f>IF(Sheet1!B4836&gt;0,1,0)</f>
        <v>0</v>
      </c>
    </row>
    <row r="4837" spans="1:3" x14ac:dyDescent="0.25">
      <c r="A4837" s="15">
        <f>Sheet1!A4837</f>
        <v>0</v>
      </c>
      <c r="B4837">
        <f>Sheet1!B4837</f>
        <v>0</v>
      </c>
      <c r="C4837">
        <f>IF(Sheet1!B4837&gt;0,1,0)</f>
        <v>0</v>
      </c>
    </row>
    <row r="4838" spans="1:3" x14ac:dyDescent="0.25">
      <c r="A4838" s="15">
        <f>Sheet1!A4838</f>
        <v>0</v>
      </c>
      <c r="B4838">
        <f>Sheet1!B4838</f>
        <v>0</v>
      </c>
      <c r="C4838">
        <f>IF(Sheet1!B4838&gt;0,1,0)</f>
        <v>0</v>
      </c>
    </row>
    <row r="4839" spans="1:3" x14ac:dyDescent="0.25">
      <c r="A4839" s="15">
        <f>Sheet1!A4839</f>
        <v>0</v>
      </c>
      <c r="B4839">
        <f>Sheet1!B4839</f>
        <v>0</v>
      </c>
      <c r="C4839">
        <f>IF(Sheet1!B4839&gt;0,1,0)</f>
        <v>0</v>
      </c>
    </row>
    <row r="4840" spans="1:3" x14ac:dyDescent="0.25">
      <c r="A4840" s="15">
        <f>Sheet1!A4840</f>
        <v>0</v>
      </c>
      <c r="B4840">
        <f>Sheet1!B4840</f>
        <v>0</v>
      </c>
      <c r="C4840">
        <f>IF(Sheet1!B4840&gt;0,1,0)</f>
        <v>0</v>
      </c>
    </row>
    <row r="4841" spans="1:3" x14ac:dyDescent="0.25">
      <c r="A4841" s="15">
        <f>Sheet1!A4841</f>
        <v>0</v>
      </c>
      <c r="B4841">
        <f>Sheet1!B4841</f>
        <v>0</v>
      </c>
      <c r="C4841">
        <f>IF(Sheet1!B4841&gt;0,1,0)</f>
        <v>0</v>
      </c>
    </row>
    <row r="4842" spans="1:3" x14ac:dyDescent="0.25">
      <c r="A4842" s="15">
        <f>Sheet1!A4842</f>
        <v>0</v>
      </c>
      <c r="B4842">
        <f>Sheet1!B4842</f>
        <v>0</v>
      </c>
      <c r="C4842">
        <f>IF(Sheet1!B4842&gt;0,1,0)</f>
        <v>0</v>
      </c>
    </row>
    <row r="4843" spans="1:3" x14ac:dyDescent="0.25">
      <c r="A4843" s="15">
        <f>Sheet1!A4843</f>
        <v>0</v>
      </c>
      <c r="B4843">
        <f>Sheet1!B4843</f>
        <v>0</v>
      </c>
      <c r="C4843">
        <f>IF(Sheet1!B4843&gt;0,1,0)</f>
        <v>0</v>
      </c>
    </row>
    <row r="4844" spans="1:3" x14ac:dyDescent="0.25">
      <c r="A4844" s="15">
        <f>Sheet1!A4844</f>
        <v>0</v>
      </c>
      <c r="B4844">
        <f>Sheet1!B4844</f>
        <v>21.72</v>
      </c>
      <c r="C4844">
        <f>IF(Sheet1!B4844&gt;0,1,0)</f>
        <v>1</v>
      </c>
    </row>
    <row r="4845" spans="1:3" x14ac:dyDescent="0.25">
      <c r="A4845" s="15">
        <f>Sheet1!A4845</f>
        <v>0</v>
      </c>
      <c r="B4845">
        <f>Sheet1!B4845</f>
        <v>7.27</v>
      </c>
      <c r="C4845">
        <f>IF(Sheet1!B4845&gt;0,1,0)</f>
        <v>1</v>
      </c>
    </row>
    <row r="4846" spans="1:3" x14ac:dyDescent="0.25">
      <c r="A4846" s="15">
        <f>Sheet1!A4846</f>
        <v>0</v>
      </c>
      <c r="B4846">
        <f>Sheet1!B4846</f>
        <v>0</v>
      </c>
      <c r="C4846">
        <f>IF(Sheet1!B4846&gt;0,1,0)</f>
        <v>0</v>
      </c>
    </row>
    <row r="4847" spans="1:3" x14ac:dyDescent="0.25">
      <c r="A4847" s="15">
        <f>Sheet1!A4847</f>
        <v>0</v>
      </c>
      <c r="B4847">
        <f>Sheet1!B4847</f>
        <v>0</v>
      </c>
      <c r="C4847">
        <f>IF(Sheet1!B4847&gt;0,1,0)</f>
        <v>0</v>
      </c>
    </row>
    <row r="4848" spans="1:3" x14ac:dyDescent="0.25">
      <c r="A4848" s="15">
        <f>Sheet1!A4848</f>
        <v>0</v>
      </c>
      <c r="B4848">
        <f>Sheet1!B4848</f>
        <v>1.76</v>
      </c>
      <c r="C4848">
        <f>IF(Sheet1!B4848&gt;0,1,0)</f>
        <v>1</v>
      </c>
    </row>
    <row r="4849" spans="1:3" x14ac:dyDescent="0.25">
      <c r="A4849" s="15">
        <f>Sheet1!A4849</f>
        <v>0</v>
      </c>
      <c r="B4849">
        <f>Sheet1!B4849</f>
        <v>17.95</v>
      </c>
      <c r="C4849">
        <f>IF(Sheet1!B4849&gt;0,1,0)</f>
        <v>1</v>
      </c>
    </row>
    <row r="4850" spans="1:3" x14ac:dyDescent="0.25">
      <c r="A4850" s="15">
        <f>Sheet1!A4850</f>
        <v>0</v>
      </c>
      <c r="B4850">
        <f>Sheet1!B4850</f>
        <v>15.33</v>
      </c>
      <c r="C4850">
        <f>IF(Sheet1!B4850&gt;0,1,0)</f>
        <v>1</v>
      </c>
    </row>
    <row r="4851" spans="1:3" x14ac:dyDescent="0.25">
      <c r="A4851" s="15">
        <f>Sheet1!A4851</f>
        <v>0</v>
      </c>
      <c r="B4851">
        <f>Sheet1!B4851</f>
        <v>5.75</v>
      </c>
      <c r="C4851">
        <f>IF(Sheet1!B4851&gt;0,1,0)</f>
        <v>1</v>
      </c>
    </row>
    <row r="4852" spans="1:3" x14ac:dyDescent="0.25">
      <c r="A4852" s="15">
        <f>Sheet1!A4852</f>
        <v>0</v>
      </c>
      <c r="B4852">
        <f>Sheet1!B4852</f>
        <v>11.88</v>
      </c>
      <c r="C4852">
        <f>IF(Sheet1!B4852&gt;0,1,0)</f>
        <v>1</v>
      </c>
    </row>
    <row r="4853" spans="1:3" x14ac:dyDescent="0.25">
      <c r="A4853" s="15">
        <f>Sheet1!A4853</f>
        <v>0</v>
      </c>
      <c r="B4853">
        <f>Sheet1!B4853</f>
        <v>10.09</v>
      </c>
      <c r="C4853">
        <f>IF(Sheet1!B4853&gt;0,1,0)</f>
        <v>1</v>
      </c>
    </row>
    <row r="4854" spans="1:3" x14ac:dyDescent="0.25">
      <c r="A4854" s="15">
        <f>Sheet1!A4854</f>
        <v>0</v>
      </c>
      <c r="B4854">
        <f>Sheet1!B4854</f>
        <v>10.71</v>
      </c>
      <c r="C4854">
        <f>IF(Sheet1!B4854&gt;0,1,0)</f>
        <v>1</v>
      </c>
    </row>
    <row r="4855" spans="1:3" x14ac:dyDescent="0.25">
      <c r="A4855" s="15">
        <f>Sheet1!A4855</f>
        <v>0</v>
      </c>
      <c r="B4855">
        <f>Sheet1!B4855</f>
        <v>2.68</v>
      </c>
      <c r="C4855">
        <f>IF(Sheet1!B4855&gt;0,1,0)</f>
        <v>1</v>
      </c>
    </row>
    <row r="4856" spans="1:3" x14ac:dyDescent="0.25">
      <c r="A4856" s="15">
        <f>Sheet1!A4856</f>
        <v>0</v>
      </c>
      <c r="B4856">
        <f>Sheet1!B4856</f>
        <v>0</v>
      </c>
      <c r="C4856">
        <f>IF(Sheet1!B4856&gt;0,1,0)</f>
        <v>0</v>
      </c>
    </row>
    <row r="4857" spans="1:3" x14ac:dyDescent="0.25">
      <c r="A4857" s="15">
        <f>Sheet1!A4857</f>
        <v>0</v>
      </c>
      <c r="B4857">
        <f>Sheet1!B4857</f>
        <v>8.8000000000000007</v>
      </c>
      <c r="C4857">
        <f>IF(Sheet1!B4857&gt;0,1,0)</f>
        <v>1</v>
      </c>
    </row>
    <row r="4858" spans="1:3" x14ac:dyDescent="0.25">
      <c r="A4858" s="15">
        <f>Sheet1!A4858</f>
        <v>0</v>
      </c>
      <c r="B4858">
        <f>Sheet1!B4858</f>
        <v>11.01</v>
      </c>
      <c r="C4858">
        <f>IF(Sheet1!B4858&gt;0,1,0)</f>
        <v>1</v>
      </c>
    </row>
    <row r="4859" spans="1:3" x14ac:dyDescent="0.25">
      <c r="A4859" s="15">
        <f>Sheet1!A4859</f>
        <v>0</v>
      </c>
      <c r="B4859">
        <f>Sheet1!B4859</f>
        <v>4.0199999999999996</v>
      </c>
      <c r="C4859">
        <f>IF(Sheet1!B4859&gt;0,1,0)</f>
        <v>1</v>
      </c>
    </row>
    <row r="4860" spans="1:3" x14ac:dyDescent="0.25">
      <c r="A4860" s="15">
        <f>Sheet1!A4860</f>
        <v>0</v>
      </c>
      <c r="B4860">
        <f>Sheet1!B4860</f>
        <v>0</v>
      </c>
      <c r="C4860">
        <f>IF(Sheet1!B4860&gt;0,1,0)</f>
        <v>0</v>
      </c>
    </row>
    <row r="4861" spans="1:3" x14ac:dyDescent="0.25">
      <c r="A4861" s="15">
        <f>Sheet1!A4861</f>
        <v>0</v>
      </c>
      <c r="B4861">
        <f>Sheet1!B4861</f>
        <v>8.19</v>
      </c>
      <c r="C4861">
        <f>IF(Sheet1!B4861&gt;0,1,0)</f>
        <v>1</v>
      </c>
    </row>
    <row r="4862" spans="1:3" x14ac:dyDescent="0.25">
      <c r="A4862" s="15">
        <f>Sheet1!A4862</f>
        <v>0</v>
      </c>
      <c r="B4862">
        <f>Sheet1!B4862</f>
        <v>5.77</v>
      </c>
      <c r="C4862">
        <f>IF(Sheet1!B4862&gt;0,1,0)</f>
        <v>1</v>
      </c>
    </row>
    <row r="4863" spans="1:3" x14ac:dyDescent="0.25">
      <c r="A4863" s="15">
        <f>Sheet1!A4863</f>
        <v>0</v>
      </c>
      <c r="B4863">
        <f>Sheet1!B4863</f>
        <v>2.87</v>
      </c>
      <c r="C4863">
        <f>IF(Sheet1!B4863&gt;0,1,0)</f>
        <v>1</v>
      </c>
    </row>
    <row r="4864" spans="1:3" x14ac:dyDescent="0.25">
      <c r="A4864" s="15">
        <f>Sheet1!A4864</f>
        <v>0</v>
      </c>
      <c r="B4864">
        <f>Sheet1!B4864</f>
        <v>0</v>
      </c>
      <c r="C4864">
        <f>IF(Sheet1!B4864&gt;0,1,0)</f>
        <v>0</v>
      </c>
    </row>
    <row r="4865" spans="1:3" x14ac:dyDescent="0.25">
      <c r="A4865" s="15">
        <f>Sheet1!A4865</f>
        <v>0</v>
      </c>
      <c r="B4865">
        <f>Sheet1!B4865</f>
        <v>0</v>
      </c>
      <c r="C4865">
        <f>IF(Sheet1!B4865&gt;0,1,0)</f>
        <v>0</v>
      </c>
    </row>
    <row r="4866" spans="1:3" x14ac:dyDescent="0.25">
      <c r="A4866" s="15">
        <f>Sheet1!A4866</f>
        <v>0</v>
      </c>
      <c r="B4866">
        <f>Sheet1!B4866</f>
        <v>0</v>
      </c>
      <c r="C4866">
        <f>IF(Sheet1!B4866&gt;0,1,0)</f>
        <v>0</v>
      </c>
    </row>
    <row r="4867" spans="1:3" x14ac:dyDescent="0.25">
      <c r="A4867" s="15">
        <f>Sheet1!A4867</f>
        <v>0</v>
      </c>
      <c r="B4867">
        <f>Sheet1!B4867</f>
        <v>0</v>
      </c>
      <c r="C4867">
        <f>IF(Sheet1!B4867&gt;0,1,0)</f>
        <v>0</v>
      </c>
    </row>
    <row r="4868" spans="1:3" x14ac:dyDescent="0.25">
      <c r="A4868" s="15">
        <f>Sheet1!A4868</f>
        <v>0</v>
      </c>
      <c r="B4868">
        <f>Sheet1!B4868</f>
        <v>0</v>
      </c>
      <c r="C4868">
        <f>IF(Sheet1!B4868&gt;0,1,0)</f>
        <v>0</v>
      </c>
    </row>
    <row r="4869" spans="1:3" x14ac:dyDescent="0.25">
      <c r="A4869" s="15">
        <f>Sheet1!A4869</f>
        <v>0</v>
      </c>
      <c r="B4869">
        <f>Sheet1!B4869</f>
        <v>0</v>
      </c>
      <c r="C4869">
        <f>IF(Sheet1!B4869&gt;0,1,0)</f>
        <v>0</v>
      </c>
    </row>
    <row r="4870" spans="1:3" x14ac:dyDescent="0.25">
      <c r="A4870" s="15">
        <f>Sheet1!A4870</f>
        <v>0</v>
      </c>
      <c r="B4870">
        <f>Sheet1!B4870</f>
        <v>17.77</v>
      </c>
      <c r="C4870">
        <f>IF(Sheet1!B4870&gt;0,1,0)</f>
        <v>1</v>
      </c>
    </row>
    <row r="4871" spans="1:3" x14ac:dyDescent="0.25">
      <c r="A4871" s="15">
        <f>Sheet1!A4871</f>
        <v>0</v>
      </c>
      <c r="B4871">
        <f>Sheet1!B4871</f>
        <v>0</v>
      </c>
      <c r="C4871">
        <f>IF(Sheet1!B4871&gt;0,1,0)</f>
        <v>0</v>
      </c>
    </row>
    <row r="4872" spans="1:3" x14ac:dyDescent="0.25">
      <c r="A4872" s="15">
        <f>Sheet1!A4872</f>
        <v>0</v>
      </c>
      <c r="B4872">
        <f>Sheet1!B4872</f>
        <v>0</v>
      </c>
      <c r="C4872">
        <f>IF(Sheet1!B4872&gt;0,1,0)</f>
        <v>0</v>
      </c>
    </row>
    <row r="4873" spans="1:3" x14ac:dyDescent="0.25">
      <c r="A4873" s="15">
        <f>Sheet1!A4873</f>
        <v>0</v>
      </c>
      <c r="B4873">
        <f>Sheet1!B4873</f>
        <v>0</v>
      </c>
      <c r="C4873">
        <f>IF(Sheet1!B4873&gt;0,1,0)</f>
        <v>0</v>
      </c>
    </row>
    <row r="4874" spans="1:3" x14ac:dyDescent="0.25">
      <c r="A4874" s="15">
        <f>Sheet1!A4874</f>
        <v>0</v>
      </c>
      <c r="B4874">
        <f>Sheet1!B4874</f>
        <v>16.04</v>
      </c>
      <c r="C4874">
        <f>IF(Sheet1!B4874&gt;0,1,0)</f>
        <v>1</v>
      </c>
    </row>
    <row r="4875" spans="1:3" x14ac:dyDescent="0.25">
      <c r="A4875" s="15">
        <f>Sheet1!A4875</f>
        <v>0</v>
      </c>
      <c r="B4875">
        <f>Sheet1!B4875</f>
        <v>0</v>
      </c>
      <c r="C4875">
        <f>IF(Sheet1!B4875&gt;0,1,0)</f>
        <v>0</v>
      </c>
    </row>
    <row r="4876" spans="1:3" x14ac:dyDescent="0.25">
      <c r="A4876" s="15">
        <f>Sheet1!A4876</f>
        <v>0</v>
      </c>
      <c r="B4876">
        <f>Sheet1!B4876</f>
        <v>0</v>
      </c>
      <c r="C4876">
        <f>IF(Sheet1!B4876&gt;0,1,0)</f>
        <v>0</v>
      </c>
    </row>
    <row r="4877" spans="1:3" x14ac:dyDescent="0.25">
      <c r="A4877" s="15">
        <f>Sheet1!A4877</f>
        <v>0</v>
      </c>
      <c r="B4877">
        <f>Sheet1!B4877</f>
        <v>0</v>
      </c>
      <c r="C4877">
        <f>IF(Sheet1!B4877&gt;0,1,0)</f>
        <v>0</v>
      </c>
    </row>
    <row r="4878" spans="1:3" x14ac:dyDescent="0.25">
      <c r="A4878" s="15">
        <f>Sheet1!A4878</f>
        <v>0</v>
      </c>
      <c r="B4878">
        <f>Sheet1!B4878</f>
        <v>11.32</v>
      </c>
      <c r="C4878">
        <f>IF(Sheet1!B4878&gt;0,1,0)</f>
        <v>1</v>
      </c>
    </row>
    <row r="4879" spans="1:3" x14ac:dyDescent="0.25">
      <c r="A4879" s="15">
        <f>Sheet1!A4879</f>
        <v>0</v>
      </c>
      <c r="B4879">
        <f>Sheet1!B4879</f>
        <v>11.45</v>
      </c>
      <c r="C4879">
        <f>IF(Sheet1!B4879&gt;0,1,0)</f>
        <v>1</v>
      </c>
    </row>
    <row r="4880" spans="1:3" x14ac:dyDescent="0.25">
      <c r="A4880" s="15">
        <f>Sheet1!A4880</f>
        <v>0</v>
      </c>
      <c r="B4880">
        <f>Sheet1!B4880</f>
        <v>11.8</v>
      </c>
      <c r="C4880">
        <f>IF(Sheet1!B4880&gt;0,1,0)</f>
        <v>1</v>
      </c>
    </row>
    <row r="4881" spans="1:3" x14ac:dyDescent="0.25">
      <c r="A4881" s="15">
        <f>Sheet1!A4881</f>
        <v>0</v>
      </c>
      <c r="B4881">
        <f>Sheet1!B4881</f>
        <v>0</v>
      </c>
      <c r="C4881">
        <f>IF(Sheet1!B4881&gt;0,1,0)</f>
        <v>0</v>
      </c>
    </row>
    <row r="4882" spans="1:3" x14ac:dyDescent="0.25">
      <c r="A4882" s="15">
        <f>Sheet1!A4882</f>
        <v>0</v>
      </c>
      <c r="B4882">
        <f>Sheet1!B4882</f>
        <v>0</v>
      </c>
      <c r="C4882">
        <f>IF(Sheet1!B4882&gt;0,1,0)</f>
        <v>0</v>
      </c>
    </row>
    <row r="4883" spans="1:3" x14ac:dyDescent="0.25">
      <c r="A4883" s="15">
        <f>Sheet1!A4883</f>
        <v>0</v>
      </c>
      <c r="B4883">
        <f>Sheet1!B4883</f>
        <v>0</v>
      </c>
      <c r="C4883">
        <f>IF(Sheet1!B4883&gt;0,1,0)</f>
        <v>0</v>
      </c>
    </row>
    <row r="4884" spans="1:3" x14ac:dyDescent="0.25">
      <c r="A4884" s="15">
        <f>Sheet1!A4884</f>
        <v>0</v>
      </c>
      <c r="B4884">
        <f>Sheet1!B4884</f>
        <v>0</v>
      </c>
      <c r="C4884">
        <f>IF(Sheet1!B4884&gt;0,1,0)</f>
        <v>0</v>
      </c>
    </row>
    <row r="4885" spans="1:3" x14ac:dyDescent="0.25">
      <c r="A4885" s="15">
        <f>Sheet1!A4885</f>
        <v>0</v>
      </c>
      <c r="B4885">
        <f>Sheet1!B4885</f>
        <v>0</v>
      </c>
      <c r="C4885">
        <f>IF(Sheet1!B4885&gt;0,1,0)</f>
        <v>0</v>
      </c>
    </row>
    <row r="4886" spans="1:3" x14ac:dyDescent="0.25">
      <c r="A4886" s="15">
        <f>Sheet1!A4886</f>
        <v>0</v>
      </c>
      <c r="B4886">
        <f>Sheet1!B4886</f>
        <v>0</v>
      </c>
      <c r="C4886">
        <f>IF(Sheet1!B4886&gt;0,1,0)</f>
        <v>0</v>
      </c>
    </row>
    <row r="4887" spans="1:3" x14ac:dyDescent="0.25">
      <c r="A4887" s="15">
        <f>Sheet1!A4887</f>
        <v>0</v>
      </c>
      <c r="B4887">
        <f>Sheet1!B4887</f>
        <v>0</v>
      </c>
      <c r="C4887">
        <f>IF(Sheet1!B4887&gt;0,1,0)</f>
        <v>0</v>
      </c>
    </row>
    <row r="4888" spans="1:3" x14ac:dyDescent="0.25">
      <c r="A4888" s="15">
        <f>Sheet1!A4888</f>
        <v>0</v>
      </c>
      <c r="B4888">
        <f>Sheet1!B4888</f>
        <v>20.010000000000002</v>
      </c>
      <c r="C4888">
        <f>IF(Sheet1!B4888&gt;0,1,0)</f>
        <v>1</v>
      </c>
    </row>
    <row r="4889" spans="1:3" x14ac:dyDescent="0.25">
      <c r="A4889" s="15">
        <f>Sheet1!A4889</f>
        <v>0</v>
      </c>
      <c r="B4889">
        <f>Sheet1!B4889</f>
        <v>0</v>
      </c>
      <c r="C4889">
        <f>IF(Sheet1!B4889&gt;0,1,0)</f>
        <v>0</v>
      </c>
    </row>
    <row r="4890" spans="1:3" x14ac:dyDescent="0.25">
      <c r="A4890" s="15">
        <f>Sheet1!A4890</f>
        <v>0</v>
      </c>
      <c r="B4890">
        <f>Sheet1!B4890</f>
        <v>0</v>
      </c>
      <c r="C4890">
        <f>IF(Sheet1!B4890&gt;0,1,0)</f>
        <v>0</v>
      </c>
    </row>
    <row r="4891" spans="1:3" x14ac:dyDescent="0.25">
      <c r="A4891" s="15">
        <f>Sheet1!A4891</f>
        <v>0</v>
      </c>
      <c r="B4891">
        <f>Sheet1!B4891</f>
        <v>0</v>
      </c>
      <c r="C4891">
        <f>IF(Sheet1!B4891&gt;0,1,0)</f>
        <v>0</v>
      </c>
    </row>
    <row r="4892" spans="1:3" x14ac:dyDescent="0.25">
      <c r="A4892" s="15">
        <f>Sheet1!A4892</f>
        <v>0</v>
      </c>
      <c r="B4892">
        <f>Sheet1!B4892</f>
        <v>0</v>
      </c>
      <c r="C4892">
        <f>IF(Sheet1!B4892&gt;0,1,0)</f>
        <v>0</v>
      </c>
    </row>
    <row r="4893" spans="1:3" x14ac:dyDescent="0.25">
      <c r="A4893" s="15">
        <f>Sheet1!A4893</f>
        <v>0</v>
      </c>
      <c r="B4893">
        <f>Sheet1!B4893</f>
        <v>0</v>
      </c>
      <c r="C4893">
        <f>IF(Sheet1!B4893&gt;0,1,0)</f>
        <v>0</v>
      </c>
    </row>
    <row r="4894" spans="1:3" x14ac:dyDescent="0.25">
      <c r="A4894" s="15">
        <f>Sheet1!A4894</f>
        <v>0</v>
      </c>
      <c r="B4894">
        <f>Sheet1!B4894</f>
        <v>0</v>
      </c>
      <c r="C4894">
        <f>IF(Sheet1!B4894&gt;0,1,0)</f>
        <v>0</v>
      </c>
    </row>
    <row r="4895" spans="1:3" x14ac:dyDescent="0.25">
      <c r="A4895" s="15">
        <f>Sheet1!A4895</f>
        <v>0</v>
      </c>
      <c r="B4895">
        <f>Sheet1!B4895</f>
        <v>0</v>
      </c>
      <c r="C4895">
        <f>IF(Sheet1!B4895&gt;0,1,0)</f>
        <v>0</v>
      </c>
    </row>
    <row r="4896" spans="1:3" x14ac:dyDescent="0.25">
      <c r="A4896" s="15">
        <f>Sheet1!A4896</f>
        <v>0</v>
      </c>
      <c r="B4896">
        <f>Sheet1!B4896</f>
        <v>0</v>
      </c>
      <c r="C4896">
        <f>IF(Sheet1!B4896&gt;0,1,0)</f>
        <v>0</v>
      </c>
    </row>
    <row r="4897" spans="1:3" x14ac:dyDescent="0.25">
      <c r="A4897" s="15">
        <f>Sheet1!A4897</f>
        <v>0</v>
      </c>
      <c r="B4897">
        <f>Sheet1!B4897</f>
        <v>0</v>
      </c>
      <c r="C4897">
        <f>IF(Sheet1!B4897&gt;0,1,0)</f>
        <v>0</v>
      </c>
    </row>
    <row r="4898" spans="1:3" x14ac:dyDescent="0.25">
      <c r="A4898" s="15">
        <f>Sheet1!A4898</f>
        <v>0</v>
      </c>
      <c r="B4898">
        <f>Sheet1!B4898</f>
        <v>8.92</v>
      </c>
      <c r="C4898">
        <f>IF(Sheet1!B4898&gt;0,1,0)</f>
        <v>1</v>
      </c>
    </row>
    <row r="4899" spans="1:3" x14ac:dyDescent="0.25">
      <c r="A4899" s="15">
        <f>Sheet1!A4899</f>
        <v>0</v>
      </c>
      <c r="B4899">
        <f>Sheet1!B4899</f>
        <v>0</v>
      </c>
      <c r="C4899">
        <f>IF(Sheet1!B4899&gt;0,1,0)</f>
        <v>0</v>
      </c>
    </row>
    <row r="4900" spans="1:3" x14ac:dyDescent="0.25">
      <c r="A4900" s="15">
        <f>Sheet1!A4900</f>
        <v>0</v>
      </c>
      <c r="B4900">
        <f>Sheet1!B4900</f>
        <v>0</v>
      </c>
      <c r="C4900">
        <f>IF(Sheet1!B4900&gt;0,1,0)</f>
        <v>0</v>
      </c>
    </row>
    <row r="4901" spans="1:3" x14ac:dyDescent="0.25">
      <c r="A4901" s="15">
        <f>Sheet1!A4901</f>
        <v>0</v>
      </c>
      <c r="B4901">
        <f>Sheet1!B4901</f>
        <v>0</v>
      </c>
      <c r="C4901">
        <f>IF(Sheet1!B4901&gt;0,1,0)</f>
        <v>0</v>
      </c>
    </row>
    <row r="4902" spans="1:3" x14ac:dyDescent="0.25">
      <c r="A4902" s="15">
        <f>Sheet1!A4902</f>
        <v>0</v>
      </c>
      <c r="B4902">
        <f>Sheet1!B4902</f>
        <v>10.3</v>
      </c>
      <c r="C4902">
        <f>IF(Sheet1!B4902&gt;0,1,0)</f>
        <v>1</v>
      </c>
    </row>
    <row r="4903" spans="1:3" x14ac:dyDescent="0.25">
      <c r="A4903" s="15">
        <f>Sheet1!A4903</f>
        <v>0</v>
      </c>
      <c r="B4903">
        <f>Sheet1!B4903</f>
        <v>0</v>
      </c>
      <c r="C4903">
        <f>IF(Sheet1!B4903&gt;0,1,0)</f>
        <v>0</v>
      </c>
    </row>
    <row r="4904" spans="1:3" x14ac:dyDescent="0.25">
      <c r="A4904" s="15">
        <f>Sheet1!A4904</f>
        <v>0</v>
      </c>
      <c r="B4904">
        <f>Sheet1!B4904</f>
        <v>0</v>
      </c>
      <c r="C4904">
        <f>IF(Sheet1!B4904&gt;0,1,0)</f>
        <v>0</v>
      </c>
    </row>
    <row r="4905" spans="1:3" x14ac:dyDescent="0.25">
      <c r="A4905" s="15">
        <f>Sheet1!A4905</f>
        <v>0</v>
      </c>
      <c r="B4905">
        <f>Sheet1!B4905</f>
        <v>0</v>
      </c>
      <c r="C4905">
        <f>IF(Sheet1!B4905&gt;0,1,0)</f>
        <v>0</v>
      </c>
    </row>
    <row r="4906" spans="1:3" x14ac:dyDescent="0.25">
      <c r="A4906" s="15">
        <f>Sheet1!A4906</f>
        <v>0</v>
      </c>
      <c r="B4906">
        <f>Sheet1!B4906</f>
        <v>0</v>
      </c>
      <c r="C4906">
        <f>IF(Sheet1!B4906&gt;0,1,0)</f>
        <v>0</v>
      </c>
    </row>
    <row r="4907" spans="1:3" x14ac:dyDescent="0.25">
      <c r="A4907" s="15">
        <f>Sheet1!A4907</f>
        <v>0</v>
      </c>
      <c r="B4907">
        <f>Sheet1!B4907</f>
        <v>0</v>
      </c>
      <c r="C4907">
        <f>IF(Sheet1!B4907&gt;0,1,0)</f>
        <v>0</v>
      </c>
    </row>
    <row r="4908" spans="1:3" x14ac:dyDescent="0.25">
      <c r="A4908" s="15">
        <f>Sheet1!A4908</f>
        <v>0</v>
      </c>
      <c r="B4908">
        <f>Sheet1!B4908</f>
        <v>0</v>
      </c>
      <c r="C4908">
        <f>IF(Sheet1!B4908&gt;0,1,0)</f>
        <v>0</v>
      </c>
    </row>
    <row r="4909" spans="1:3" x14ac:dyDescent="0.25">
      <c r="A4909" s="15">
        <f>Sheet1!A4909</f>
        <v>0</v>
      </c>
      <c r="B4909">
        <f>Sheet1!B4909</f>
        <v>0</v>
      </c>
      <c r="C4909">
        <f>IF(Sheet1!B4909&gt;0,1,0)</f>
        <v>0</v>
      </c>
    </row>
    <row r="4910" spans="1:3" x14ac:dyDescent="0.25">
      <c r="A4910" s="15">
        <f>Sheet1!A4910</f>
        <v>0</v>
      </c>
      <c r="B4910">
        <f>Sheet1!B4910</f>
        <v>9.43</v>
      </c>
      <c r="C4910">
        <f>IF(Sheet1!B4910&gt;0,1,0)</f>
        <v>1</v>
      </c>
    </row>
    <row r="4911" spans="1:3" x14ac:dyDescent="0.25">
      <c r="A4911" s="15">
        <f>Sheet1!A4911</f>
        <v>0</v>
      </c>
      <c r="B4911">
        <f>Sheet1!B4911</f>
        <v>0</v>
      </c>
      <c r="C4911">
        <f>IF(Sheet1!B4911&gt;0,1,0)</f>
        <v>0</v>
      </c>
    </row>
    <row r="4912" spans="1:3" x14ac:dyDescent="0.25">
      <c r="A4912" s="15">
        <f>Sheet1!A4912</f>
        <v>0</v>
      </c>
      <c r="B4912">
        <f>Sheet1!B4912</f>
        <v>0</v>
      </c>
      <c r="C4912">
        <f>IF(Sheet1!B4912&gt;0,1,0)</f>
        <v>0</v>
      </c>
    </row>
    <row r="4913" spans="1:3" x14ac:dyDescent="0.25">
      <c r="A4913" s="15">
        <f>Sheet1!A4913</f>
        <v>0</v>
      </c>
      <c r="B4913">
        <f>Sheet1!B4913</f>
        <v>0</v>
      </c>
      <c r="C4913">
        <f>IF(Sheet1!B4913&gt;0,1,0)</f>
        <v>0</v>
      </c>
    </row>
    <row r="4914" spans="1:3" x14ac:dyDescent="0.25">
      <c r="A4914" s="15">
        <f>Sheet1!A4914</f>
        <v>0</v>
      </c>
      <c r="B4914">
        <f>Sheet1!B4914</f>
        <v>0</v>
      </c>
      <c r="C4914">
        <f>IF(Sheet1!B4914&gt;0,1,0)</f>
        <v>0</v>
      </c>
    </row>
    <row r="4915" spans="1:3" x14ac:dyDescent="0.25">
      <c r="A4915" s="15">
        <f>Sheet1!A4915</f>
        <v>0</v>
      </c>
      <c r="B4915">
        <f>Sheet1!B4915</f>
        <v>0</v>
      </c>
      <c r="C4915">
        <f>IF(Sheet1!B4915&gt;0,1,0)</f>
        <v>0</v>
      </c>
    </row>
    <row r="4916" spans="1:3" x14ac:dyDescent="0.25">
      <c r="A4916" s="15">
        <f>Sheet1!A4916</f>
        <v>0</v>
      </c>
      <c r="B4916">
        <f>Sheet1!B4916</f>
        <v>15.6</v>
      </c>
      <c r="C4916">
        <f>IF(Sheet1!B4916&gt;0,1,0)</f>
        <v>1</v>
      </c>
    </row>
    <row r="4917" spans="1:3" x14ac:dyDescent="0.25">
      <c r="A4917" s="15">
        <f>Sheet1!A4917</f>
        <v>0</v>
      </c>
      <c r="B4917">
        <f>Sheet1!B4917</f>
        <v>13.22</v>
      </c>
      <c r="C4917">
        <f>IF(Sheet1!B4917&gt;0,1,0)</f>
        <v>1</v>
      </c>
    </row>
    <row r="4918" spans="1:3" x14ac:dyDescent="0.25">
      <c r="A4918" s="15">
        <f>Sheet1!A4918</f>
        <v>0</v>
      </c>
      <c r="B4918">
        <f>Sheet1!B4918</f>
        <v>0</v>
      </c>
      <c r="C4918">
        <f>IF(Sheet1!B4918&gt;0,1,0)</f>
        <v>0</v>
      </c>
    </row>
    <row r="4919" spans="1:3" x14ac:dyDescent="0.25">
      <c r="A4919" s="15">
        <f>Sheet1!A4919</f>
        <v>0</v>
      </c>
      <c r="B4919">
        <f>Sheet1!B4919</f>
        <v>0</v>
      </c>
      <c r="C4919">
        <f>IF(Sheet1!B4919&gt;0,1,0)</f>
        <v>0</v>
      </c>
    </row>
    <row r="4920" spans="1:3" x14ac:dyDescent="0.25">
      <c r="A4920" s="15">
        <f>Sheet1!A4920</f>
        <v>0</v>
      </c>
      <c r="B4920">
        <f>Sheet1!B4920</f>
        <v>0</v>
      </c>
      <c r="C4920">
        <f>IF(Sheet1!B4920&gt;0,1,0)</f>
        <v>0</v>
      </c>
    </row>
    <row r="4921" spans="1:3" x14ac:dyDescent="0.25">
      <c r="A4921" s="15">
        <f>Sheet1!A4921</f>
        <v>0</v>
      </c>
      <c r="B4921">
        <f>Sheet1!B4921</f>
        <v>0</v>
      </c>
      <c r="C4921">
        <f>IF(Sheet1!B4921&gt;0,1,0)</f>
        <v>0</v>
      </c>
    </row>
    <row r="4922" spans="1:3" x14ac:dyDescent="0.25">
      <c r="A4922" s="15">
        <f>Sheet1!A4922</f>
        <v>0</v>
      </c>
      <c r="B4922">
        <f>Sheet1!B4922</f>
        <v>0</v>
      </c>
      <c r="C4922">
        <f>IF(Sheet1!B4922&gt;0,1,0)</f>
        <v>0</v>
      </c>
    </row>
    <row r="4923" spans="1:3" x14ac:dyDescent="0.25">
      <c r="A4923" s="15">
        <f>Sheet1!A4923</f>
        <v>0</v>
      </c>
      <c r="B4923">
        <f>Sheet1!B4923</f>
        <v>0</v>
      </c>
      <c r="C4923">
        <f>IF(Sheet1!B4923&gt;0,1,0)</f>
        <v>0</v>
      </c>
    </row>
    <row r="4924" spans="1:3" x14ac:dyDescent="0.25">
      <c r="A4924" s="15">
        <f>Sheet1!A4924</f>
        <v>0</v>
      </c>
      <c r="B4924">
        <f>Sheet1!B4924</f>
        <v>0</v>
      </c>
      <c r="C4924">
        <f>IF(Sheet1!B4924&gt;0,1,0)</f>
        <v>0</v>
      </c>
    </row>
    <row r="4925" spans="1:3" x14ac:dyDescent="0.25">
      <c r="A4925" s="15">
        <f>Sheet1!A4925</f>
        <v>0</v>
      </c>
      <c r="B4925">
        <f>Sheet1!B4925</f>
        <v>0</v>
      </c>
      <c r="C4925">
        <f>IF(Sheet1!B4925&gt;0,1,0)</f>
        <v>0</v>
      </c>
    </row>
    <row r="4926" spans="1:3" x14ac:dyDescent="0.25">
      <c r="A4926" s="15">
        <f>Sheet1!A4926</f>
        <v>0</v>
      </c>
      <c r="B4926">
        <f>Sheet1!B4926</f>
        <v>0</v>
      </c>
      <c r="C4926">
        <f>IF(Sheet1!B4926&gt;0,1,0)</f>
        <v>0</v>
      </c>
    </row>
    <row r="4927" spans="1:3" x14ac:dyDescent="0.25">
      <c r="A4927" s="15">
        <f>Sheet1!A4927</f>
        <v>0</v>
      </c>
      <c r="B4927">
        <f>Sheet1!B4927</f>
        <v>0</v>
      </c>
      <c r="C4927">
        <f>IF(Sheet1!B4927&gt;0,1,0)</f>
        <v>0</v>
      </c>
    </row>
    <row r="4928" spans="1:3" x14ac:dyDescent="0.25">
      <c r="A4928" s="15">
        <f>Sheet1!A4928</f>
        <v>0</v>
      </c>
      <c r="B4928">
        <f>Sheet1!B4928</f>
        <v>0</v>
      </c>
      <c r="C4928">
        <f>IF(Sheet1!B4928&gt;0,1,0)</f>
        <v>0</v>
      </c>
    </row>
    <row r="4929" spans="1:3" x14ac:dyDescent="0.25">
      <c r="A4929" s="15">
        <f>Sheet1!A4929</f>
        <v>0</v>
      </c>
      <c r="B4929">
        <f>Sheet1!B4929</f>
        <v>0</v>
      </c>
      <c r="C4929">
        <f>IF(Sheet1!B4929&gt;0,1,0)</f>
        <v>0</v>
      </c>
    </row>
    <row r="4930" spans="1:3" x14ac:dyDescent="0.25">
      <c r="A4930" s="15">
        <f>Sheet1!A4930</f>
        <v>0</v>
      </c>
      <c r="B4930">
        <f>Sheet1!B4930</f>
        <v>0</v>
      </c>
      <c r="C4930">
        <f>IF(Sheet1!B4930&gt;0,1,0)</f>
        <v>0</v>
      </c>
    </row>
    <row r="4931" spans="1:3" x14ac:dyDescent="0.25">
      <c r="A4931" s="15">
        <f>Sheet1!A4931</f>
        <v>0</v>
      </c>
      <c r="B4931">
        <f>Sheet1!B4931</f>
        <v>0</v>
      </c>
      <c r="C4931">
        <f>IF(Sheet1!B4931&gt;0,1,0)</f>
        <v>0</v>
      </c>
    </row>
    <row r="4932" spans="1:3" x14ac:dyDescent="0.25">
      <c r="A4932" s="15">
        <f>Sheet1!A4932</f>
        <v>0</v>
      </c>
      <c r="B4932">
        <f>Sheet1!B4932</f>
        <v>14.63</v>
      </c>
      <c r="C4932">
        <f>IF(Sheet1!B4932&gt;0,1,0)</f>
        <v>1</v>
      </c>
    </row>
    <row r="4933" spans="1:3" x14ac:dyDescent="0.25">
      <c r="A4933" s="15">
        <f>Sheet1!A4933</f>
        <v>0</v>
      </c>
      <c r="B4933">
        <f>Sheet1!B4933</f>
        <v>0</v>
      </c>
      <c r="C4933">
        <f>IF(Sheet1!B4933&gt;0,1,0)</f>
        <v>0</v>
      </c>
    </row>
    <row r="4934" spans="1:3" x14ac:dyDescent="0.25">
      <c r="A4934" s="15">
        <f>Sheet1!A4934</f>
        <v>0</v>
      </c>
      <c r="B4934">
        <f>Sheet1!B4934</f>
        <v>0</v>
      </c>
      <c r="C4934">
        <f>IF(Sheet1!B4934&gt;0,1,0)</f>
        <v>0</v>
      </c>
    </row>
    <row r="4935" spans="1:3" x14ac:dyDescent="0.25">
      <c r="A4935" s="15">
        <f>Sheet1!A4935</f>
        <v>0</v>
      </c>
      <c r="B4935">
        <f>Sheet1!B4935</f>
        <v>0</v>
      </c>
      <c r="C4935">
        <f>IF(Sheet1!B4935&gt;0,1,0)</f>
        <v>0</v>
      </c>
    </row>
    <row r="4936" spans="1:3" x14ac:dyDescent="0.25">
      <c r="A4936" s="15">
        <f>Sheet1!A4936</f>
        <v>0</v>
      </c>
      <c r="B4936">
        <f>Sheet1!B4936</f>
        <v>0</v>
      </c>
      <c r="C4936">
        <f>IF(Sheet1!B4936&gt;0,1,0)</f>
        <v>0</v>
      </c>
    </row>
    <row r="4937" spans="1:3" x14ac:dyDescent="0.25">
      <c r="A4937" s="15">
        <f>Sheet1!A4937</f>
        <v>0</v>
      </c>
      <c r="B4937">
        <f>Sheet1!B4937</f>
        <v>0</v>
      </c>
      <c r="C4937">
        <f>IF(Sheet1!B4937&gt;0,1,0)</f>
        <v>0</v>
      </c>
    </row>
    <row r="4938" spans="1:3" x14ac:dyDescent="0.25">
      <c r="A4938" s="15">
        <f>Sheet1!A4938</f>
        <v>0</v>
      </c>
      <c r="B4938">
        <f>Sheet1!B4938</f>
        <v>0</v>
      </c>
      <c r="C4938">
        <f>IF(Sheet1!B4938&gt;0,1,0)</f>
        <v>0</v>
      </c>
    </row>
    <row r="4939" spans="1:3" x14ac:dyDescent="0.25">
      <c r="A4939" s="15">
        <f>Sheet1!A4939</f>
        <v>0</v>
      </c>
      <c r="B4939">
        <f>Sheet1!B4939</f>
        <v>0</v>
      </c>
      <c r="C4939">
        <f>IF(Sheet1!B4939&gt;0,1,0)</f>
        <v>0</v>
      </c>
    </row>
    <row r="4940" spans="1:3" x14ac:dyDescent="0.25">
      <c r="A4940" s="15">
        <f>Sheet1!A4940</f>
        <v>0</v>
      </c>
      <c r="B4940">
        <f>Sheet1!B4940</f>
        <v>0</v>
      </c>
      <c r="C4940">
        <f>IF(Sheet1!B4940&gt;0,1,0)</f>
        <v>0</v>
      </c>
    </row>
    <row r="4941" spans="1:3" x14ac:dyDescent="0.25">
      <c r="A4941" s="15">
        <f>Sheet1!A4941</f>
        <v>0</v>
      </c>
      <c r="B4941">
        <f>Sheet1!B4941</f>
        <v>0</v>
      </c>
      <c r="C4941">
        <f>IF(Sheet1!B4941&gt;0,1,0)</f>
        <v>0</v>
      </c>
    </row>
    <row r="4942" spans="1:3" x14ac:dyDescent="0.25">
      <c r="A4942" s="15">
        <f>Sheet1!A4942</f>
        <v>0</v>
      </c>
      <c r="B4942">
        <f>Sheet1!B4942</f>
        <v>15.86</v>
      </c>
      <c r="C4942">
        <f>IF(Sheet1!B4942&gt;0,1,0)</f>
        <v>1</v>
      </c>
    </row>
    <row r="4943" spans="1:3" x14ac:dyDescent="0.25">
      <c r="A4943" s="15">
        <f>Sheet1!A4943</f>
        <v>0</v>
      </c>
      <c r="B4943">
        <f>Sheet1!B4943</f>
        <v>0</v>
      </c>
      <c r="C4943">
        <f>IF(Sheet1!B4943&gt;0,1,0)</f>
        <v>0</v>
      </c>
    </row>
    <row r="4944" spans="1:3" x14ac:dyDescent="0.25">
      <c r="A4944" s="15">
        <f>Sheet1!A4944</f>
        <v>0</v>
      </c>
      <c r="B4944">
        <f>Sheet1!B4944</f>
        <v>0</v>
      </c>
      <c r="C4944">
        <f>IF(Sheet1!B4944&gt;0,1,0)</f>
        <v>0</v>
      </c>
    </row>
    <row r="4945" spans="1:3" x14ac:dyDescent="0.25">
      <c r="A4945" s="15">
        <f>Sheet1!A4945</f>
        <v>0</v>
      </c>
      <c r="B4945">
        <f>Sheet1!B4945</f>
        <v>0</v>
      </c>
      <c r="C4945">
        <f>IF(Sheet1!B4945&gt;0,1,0)</f>
        <v>0</v>
      </c>
    </row>
    <row r="4946" spans="1:3" x14ac:dyDescent="0.25">
      <c r="A4946" s="15">
        <f>Sheet1!A4946</f>
        <v>0</v>
      </c>
      <c r="B4946">
        <f>Sheet1!B4946</f>
        <v>0</v>
      </c>
      <c r="C4946">
        <f>IF(Sheet1!B4946&gt;0,1,0)</f>
        <v>0</v>
      </c>
    </row>
    <row r="4947" spans="1:3" x14ac:dyDescent="0.25">
      <c r="A4947" s="15">
        <f>Sheet1!A4947</f>
        <v>0</v>
      </c>
      <c r="B4947">
        <f>Sheet1!B4947</f>
        <v>0</v>
      </c>
      <c r="C4947">
        <f>IF(Sheet1!B4947&gt;0,1,0)</f>
        <v>0</v>
      </c>
    </row>
    <row r="4948" spans="1:3" x14ac:dyDescent="0.25">
      <c r="A4948" s="15">
        <f>Sheet1!A4948</f>
        <v>0</v>
      </c>
      <c r="B4948">
        <f>Sheet1!B4948</f>
        <v>13.12</v>
      </c>
      <c r="C4948">
        <f>IF(Sheet1!B4948&gt;0,1,0)</f>
        <v>1</v>
      </c>
    </row>
    <row r="4949" spans="1:3" x14ac:dyDescent="0.25">
      <c r="A4949" s="15">
        <f>Sheet1!A4949</f>
        <v>0</v>
      </c>
      <c r="B4949">
        <f>Sheet1!B4949</f>
        <v>11.67</v>
      </c>
      <c r="C4949">
        <f>IF(Sheet1!B4949&gt;0,1,0)</f>
        <v>1</v>
      </c>
    </row>
    <row r="4950" spans="1:3" x14ac:dyDescent="0.25">
      <c r="A4950" s="15">
        <f>Sheet1!A4950</f>
        <v>0</v>
      </c>
      <c r="B4950">
        <f>Sheet1!B4950</f>
        <v>11.29</v>
      </c>
      <c r="C4950">
        <f>IF(Sheet1!B4950&gt;0,1,0)</f>
        <v>1</v>
      </c>
    </row>
    <row r="4951" spans="1:3" x14ac:dyDescent="0.25">
      <c r="A4951" s="15">
        <f>Sheet1!A4951</f>
        <v>0</v>
      </c>
      <c r="B4951">
        <f>Sheet1!B4951</f>
        <v>12.38</v>
      </c>
      <c r="C4951">
        <f>IF(Sheet1!B4951&gt;0,1,0)</f>
        <v>1</v>
      </c>
    </row>
    <row r="4952" spans="1:3" x14ac:dyDescent="0.25">
      <c r="A4952" s="15">
        <f>Sheet1!A4952</f>
        <v>0</v>
      </c>
      <c r="B4952">
        <f>Sheet1!B4952</f>
        <v>14.06</v>
      </c>
      <c r="C4952">
        <f>IF(Sheet1!B4952&gt;0,1,0)</f>
        <v>1</v>
      </c>
    </row>
    <row r="4953" spans="1:3" x14ac:dyDescent="0.25">
      <c r="A4953" s="15">
        <f>Sheet1!A4953</f>
        <v>0</v>
      </c>
      <c r="B4953">
        <f>Sheet1!B4953</f>
        <v>0</v>
      </c>
      <c r="C4953">
        <f>IF(Sheet1!B4953&gt;0,1,0)</f>
        <v>0</v>
      </c>
    </row>
    <row r="4954" spans="1:3" x14ac:dyDescent="0.25">
      <c r="A4954" s="15">
        <f>Sheet1!A4954</f>
        <v>0</v>
      </c>
      <c r="B4954">
        <f>Sheet1!B4954</f>
        <v>0</v>
      </c>
      <c r="C4954">
        <f>IF(Sheet1!B4954&gt;0,1,0)</f>
        <v>0</v>
      </c>
    </row>
    <row r="4955" spans="1:3" x14ac:dyDescent="0.25">
      <c r="A4955" s="15">
        <f>Sheet1!A4955</f>
        <v>0</v>
      </c>
      <c r="B4955">
        <f>Sheet1!B4955</f>
        <v>0</v>
      </c>
      <c r="C4955">
        <f>IF(Sheet1!B4955&gt;0,1,0)</f>
        <v>0</v>
      </c>
    </row>
    <row r="4956" spans="1:3" x14ac:dyDescent="0.25">
      <c r="A4956" s="15">
        <f>Sheet1!A4956</f>
        <v>0</v>
      </c>
      <c r="B4956">
        <f>Sheet1!B4956</f>
        <v>0</v>
      </c>
      <c r="C4956">
        <f>IF(Sheet1!B4956&gt;0,1,0)</f>
        <v>0</v>
      </c>
    </row>
    <row r="4957" spans="1:3" x14ac:dyDescent="0.25">
      <c r="A4957" s="15">
        <f>Sheet1!A4957</f>
        <v>0</v>
      </c>
      <c r="B4957">
        <f>Sheet1!B4957</f>
        <v>0</v>
      </c>
      <c r="C4957">
        <f>IF(Sheet1!B4957&gt;0,1,0)</f>
        <v>0</v>
      </c>
    </row>
    <row r="4958" spans="1:3" x14ac:dyDescent="0.25">
      <c r="A4958" s="15">
        <f>Sheet1!A4958</f>
        <v>0</v>
      </c>
      <c r="B4958">
        <f>Sheet1!B4958</f>
        <v>4.8</v>
      </c>
      <c r="C4958">
        <f>IF(Sheet1!B4958&gt;0,1,0)</f>
        <v>1</v>
      </c>
    </row>
    <row r="4959" spans="1:3" x14ac:dyDescent="0.25">
      <c r="A4959" s="15">
        <f>Sheet1!A4959</f>
        <v>0</v>
      </c>
      <c r="B4959">
        <f>Sheet1!B4959</f>
        <v>0</v>
      </c>
      <c r="C4959">
        <f>IF(Sheet1!B4959&gt;0,1,0)</f>
        <v>0</v>
      </c>
    </row>
    <row r="4960" spans="1:3" x14ac:dyDescent="0.25">
      <c r="A4960" s="15">
        <f>Sheet1!A4960</f>
        <v>0</v>
      </c>
      <c r="B4960">
        <f>Sheet1!B4960</f>
        <v>16.350000000000001</v>
      </c>
      <c r="C4960">
        <f>IF(Sheet1!B4960&gt;0,1,0)</f>
        <v>1</v>
      </c>
    </row>
    <row r="4961" spans="1:3" x14ac:dyDescent="0.25">
      <c r="A4961" s="15">
        <f>Sheet1!A4961</f>
        <v>0</v>
      </c>
      <c r="B4961">
        <f>Sheet1!B4961</f>
        <v>0</v>
      </c>
      <c r="C4961">
        <f>IF(Sheet1!B4961&gt;0,1,0)</f>
        <v>0</v>
      </c>
    </row>
    <row r="4962" spans="1:3" x14ac:dyDescent="0.25">
      <c r="A4962" s="15">
        <f>Sheet1!A4962</f>
        <v>0</v>
      </c>
      <c r="B4962">
        <f>Sheet1!B4962</f>
        <v>0</v>
      </c>
      <c r="C4962">
        <f>IF(Sheet1!B4962&gt;0,1,0)</f>
        <v>0</v>
      </c>
    </row>
    <row r="4963" spans="1:3" x14ac:dyDescent="0.25">
      <c r="A4963" s="15">
        <f>Sheet1!A4963</f>
        <v>0</v>
      </c>
      <c r="B4963">
        <f>Sheet1!B4963</f>
        <v>0</v>
      </c>
      <c r="C4963">
        <f>IF(Sheet1!B4963&gt;0,1,0)</f>
        <v>0</v>
      </c>
    </row>
    <row r="4964" spans="1:3" x14ac:dyDescent="0.25">
      <c r="A4964" s="15">
        <f>Sheet1!A4964</f>
        <v>0</v>
      </c>
      <c r="B4964">
        <f>Sheet1!B4964</f>
        <v>0</v>
      </c>
      <c r="C4964">
        <f>IF(Sheet1!B4964&gt;0,1,0)</f>
        <v>0</v>
      </c>
    </row>
    <row r="4965" spans="1:3" x14ac:dyDescent="0.25">
      <c r="A4965" s="15">
        <f>Sheet1!A4965</f>
        <v>0</v>
      </c>
      <c r="B4965">
        <f>Sheet1!B4965</f>
        <v>0</v>
      </c>
      <c r="C4965">
        <f>IF(Sheet1!B4965&gt;0,1,0)</f>
        <v>0</v>
      </c>
    </row>
    <row r="4966" spans="1:3" x14ac:dyDescent="0.25">
      <c r="A4966" s="15">
        <f>Sheet1!A4966</f>
        <v>0</v>
      </c>
      <c r="B4966">
        <f>Sheet1!B4966</f>
        <v>15.16</v>
      </c>
      <c r="C4966">
        <f>IF(Sheet1!B4966&gt;0,1,0)</f>
        <v>1</v>
      </c>
    </row>
    <row r="4967" spans="1:3" x14ac:dyDescent="0.25">
      <c r="A4967" s="15">
        <f>Sheet1!A4967</f>
        <v>0</v>
      </c>
      <c r="B4967">
        <f>Sheet1!B4967</f>
        <v>0</v>
      </c>
      <c r="C4967">
        <f>IF(Sheet1!B4967&gt;0,1,0)</f>
        <v>0</v>
      </c>
    </row>
    <row r="4968" spans="1:3" x14ac:dyDescent="0.25">
      <c r="A4968" s="15">
        <f>Sheet1!A4968</f>
        <v>0</v>
      </c>
      <c r="B4968">
        <f>Sheet1!B4968</f>
        <v>0</v>
      </c>
      <c r="C4968">
        <f>IF(Sheet1!B4968&gt;0,1,0)</f>
        <v>0</v>
      </c>
    </row>
    <row r="4969" spans="1:3" x14ac:dyDescent="0.25">
      <c r="A4969" s="15">
        <f>Sheet1!A4969</f>
        <v>0</v>
      </c>
      <c r="B4969">
        <f>Sheet1!B4969</f>
        <v>0</v>
      </c>
      <c r="C4969">
        <f>IF(Sheet1!B4969&gt;0,1,0)</f>
        <v>0</v>
      </c>
    </row>
    <row r="4970" spans="1:3" x14ac:dyDescent="0.25">
      <c r="A4970" s="15">
        <f>Sheet1!A4970</f>
        <v>0</v>
      </c>
      <c r="B4970">
        <f>Sheet1!B4970</f>
        <v>13.13</v>
      </c>
      <c r="C4970">
        <f>IF(Sheet1!B4970&gt;0,1,0)</f>
        <v>1</v>
      </c>
    </row>
    <row r="4971" spans="1:3" x14ac:dyDescent="0.25">
      <c r="A4971" s="15">
        <f>Sheet1!A4971</f>
        <v>0</v>
      </c>
      <c r="B4971">
        <f>Sheet1!B4971</f>
        <v>0</v>
      </c>
      <c r="C4971">
        <f>IF(Sheet1!B4971&gt;0,1,0)</f>
        <v>0</v>
      </c>
    </row>
    <row r="4972" spans="1:3" x14ac:dyDescent="0.25">
      <c r="A4972" s="15">
        <f>Sheet1!A4972</f>
        <v>0</v>
      </c>
      <c r="B4972">
        <f>Sheet1!B4972</f>
        <v>0</v>
      </c>
      <c r="C4972">
        <f>IF(Sheet1!B4972&gt;0,1,0)</f>
        <v>0</v>
      </c>
    </row>
    <row r="4973" spans="1:3" x14ac:dyDescent="0.25">
      <c r="A4973" s="15">
        <f>Sheet1!A4973</f>
        <v>0</v>
      </c>
      <c r="B4973">
        <f>Sheet1!B4973</f>
        <v>0</v>
      </c>
      <c r="C4973">
        <f>IF(Sheet1!B4973&gt;0,1,0)</f>
        <v>0</v>
      </c>
    </row>
    <row r="4974" spans="1:3" x14ac:dyDescent="0.25">
      <c r="A4974" s="15">
        <f>Sheet1!A4974</f>
        <v>0</v>
      </c>
      <c r="B4974">
        <f>Sheet1!B4974</f>
        <v>9.89</v>
      </c>
      <c r="C4974">
        <f>IF(Sheet1!B4974&gt;0,1,0)</f>
        <v>1</v>
      </c>
    </row>
    <row r="4975" spans="1:3" x14ac:dyDescent="0.25">
      <c r="A4975" s="15">
        <f>Sheet1!A4975</f>
        <v>0</v>
      </c>
      <c r="B4975">
        <f>Sheet1!B4975</f>
        <v>0</v>
      </c>
      <c r="C4975">
        <f>IF(Sheet1!B4975&gt;0,1,0)</f>
        <v>0</v>
      </c>
    </row>
    <row r="4976" spans="1:3" x14ac:dyDescent="0.25">
      <c r="A4976" s="15">
        <f>Sheet1!A4976</f>
        <v>0</v>
      </c>
      <c r="B4976">
        <f>Sheet1!B4976</f>
        <v>0</v>
      </c>
      <c r="C4976">
        <f>IF(Sheet1!B4976&gt;0,1,0)</f>
        <v>0</v>
      </c>
    </row>
    <row r="4977" spans="1:3" x14ac:dyDescent="0.25">
      <c r="A4977" s="15">
        <f>Sheet1!A4977</f>
        <v>0</v>
      </c>
      <c r="B4977">
        <f>Sheet1!B4977</f>
        <v>0</v>
      </c>
      <c r="C4977">
        <f>IF(Sheet1!B4977&gt;0,1,0)</f>
        <v>0</v>
      </c>
    </row>
    <row r="4978" spans="1:3" x14ac:dyDescent="0.25">
      <c r="A4978" s="15">
        <f>Sheet1!A4978</f>
        <v>0</v>
      </c>
      <c r="B4978">
        <f>Sheet1!B4978</f>
        <v>13.94</v>
      </c>
      <c r="C4978">
        <f>IF(Sheet1!B4978&gt;0,1,0)</f>
        <v>1</v>
      </c>
    </row>
    <row r="4979" spans="1:3" x14ac:dyDescent="0.25">
      <c r="A4979" s="15">
        <f>Sheet1!A4979</f>
        <v>0</v>
      </c>
      <c r="B4979">
        <f>Sheet1!B4979</f>
        <v>0</v>
      </c>
      <c r="C4979">
        <f>IF(Sheet1!B4979&gt;0,1,0)</f>
        <v>0</v>
      </c>
    </row>
    <row r="4980" spans="1:3" x14ac:dyDescent="0.25">
      <c r="A4980" s="15">
        <f>Sheet1!A4980</f>
        <v>0</v>
      </c>
      <c r="B4980">
        <f>Sheet1!B4980</f>
        <v>0</v>
      </c>
      <c r="C4980">
        <f>IF(Sheet1!B4980&gt;0,1,0)</f>
        <v>0</v>
      </c>
    </row>
    <row r="4981" spans="1:3" x14ac:dyDescent="0.25">
      <c r="A4981" s="15">
        <f>Sheet1!A4981</f>
        <v>0</v>
      </c>
      <c r="B4981">
        <f>Sheet1!B4981</f>
        <v>0</v>
      </c>
      <c r="C4981">
        <f>IF(Sheet1!B4981&gt;0,1,0)</f>
        <v>0</v>
      </c>
    </row>
    <row r="4982" spans="1:3" x14ac:dyDescent="0.25">
      <c r="A4982" s="15">
        <f>Sheet1!A4982</f>
        <v>0</v>
      </c>
      <c r="B4982">
        <f>Sheet1!B4982</f>
        <v>0</v>
      </c>
      <c r="C4982">
        <f>IF(Sheet1!B4982&gt;0,1,0)</f>
        <v>0</v>
      </c>
    </row>
    <row r="4983" spans="1:3" x14ac:dyDescent="0.25">
      <c r="A4983" s="15">
        <f>Sheet1!A4983</f>
        <v>0</v>
      </c>
      <c r="B4983">
        <f>Sheet1!B4983</f>
        <v>0</v>
      </c>
      <c r="C4983">
        <f>IF(Sheet1!B4983&gt;0,1,0)</f>
        <v>0</v>
      </c>
    </row>
    <row r="4984" spans="1:3" x14ac:dyDescent="0.25">
      <c r="A4984" s="15">
        <f>Sheet1!A4984</f>
        <v>0</v>
      </c>
      <c r="B4984">
        <f>Sheet1!B4984</f>
        <v>0</v>
      </c>
      <c r="C4984">
        <f>IF(Sheet1!B4984&gt;0,1,0)</f>
        <v>0</v>
      </c>
    </row>
    <row r="4985" spans="1:3" x14ac:dyDescent="0.25">
      <c r="A4985" s="15">
        <f>Sheet1!A4985</f>
        <v>0</v>
      </c>
      <c r="B4985">
        <f>Sheet1!B4985</f>
        <v>0</v>
      </c>
      <c r="C4985">
        <f>IF(Sheet1!B4985&gt;0,1,0)</f>
        <v>0</v>
      </c>
    </row>
    <row r="4986" spans="1:3" x14ac:dyDescent="0.25">
      <c r="A4986" s="15">
        <f>Sheet1!A4986</f>
        <v>0</v>
      </c>
      <c r="B4986">
        <f>Sheet1!B4986</f>
        <v>16.440000000000001</v>
      </c>
      <c r="C4986">
        <f>IF(Sheet1!B4986&gt;0,1,0)</f>
        <v>1</v>
      </c>
    </row>
    <row r="4987" spans="1:3" x14ac:dyDescent="0.25">
      <c r="A4987" s="15">
        <f>Sheet1!A4987</f>
        <v>0</v>
      </c>
      <c r="B4987">
        <f>Sheet1!B4987</f>
        <v>0</v>
      </c>
      <c r="C4987">
        <f>IF(Sheet1!B4987&gt;0,1,0)</f>
        <v>0</v>
      </c>
    </row>
    <row r="4988" spans="1:3" x14ac:dyDescent="0.25">
      <c r="A4988" s="15">
        <f>Sheet1!A4988</f>
        <v>0</v>
      </c>
      <c r="B4988">
        <f>Sheet1!B4988</f>
        <v>0</v>
      </c>
      <c r="C4988">
        <f>IF(Sheet1!B4988&gt;0,1,0)</f>
        <v>0</v>
      </c>
    </row>
    <row r="4989" spans="1:3" x14ac:dyDescent="0.25">
      <c r="A4989" s="15">
        <f>Sheet1!A4989</f>
        <v>0</v>
      </c>
      <c r="B4989">
        <f>Sheet1!B4989</f>
        <v>0</v>
      </c>
      <c r="C4989">
        <f>IF(Sheet1!B4989&gt;0,1,0)</f>
        <v>0</v>
      </c>
    </row>
    <row r="4990" spans="1:3" x14ac:dyDescent="0.25">
      <c r="A4990" s="15">
        <f>Sheet1!A4990</f>
        <v>0</v>
      </c>
      <c r="B4990">
        <f>Sheet1!B4990</f>
        <v>13.89</v>
      </c>
      <c r="C4990">
        <f>IF(Sheet1!B4990&gt;0,1,0)</f>
        <v>1</v>
      </c>
    </row>
    <row r="4991" spans="1:3" x14ac:dyDescent="0.25">
      <c r="A4991" s="15">
        <f>Sheet1!A4991</f>
        <v>0</v>
      </c>
      <c r="B4991">
        <f>Sheet1!B4991</f>
        <v>0</v>
      </c>
      <c r="C4991">
        <f>IF(Sheet1!B4991&gt;0,1,0)</f>
        <v>0</v>
      </c>
    </row>
    <row r="4992" spans="1:3" x14ac:dyDescent="0.25">
      <c r="A4992" s="15">
        <f>Sheet1!A4992</f>
        <v>0</v>
      </c>
      <c r="B4992">
        <f>Sheet1!B4992</f>
        <v>0</v>
      </c>
      <c r="C4992">
        <f>IF(Sheet1!B4992&gt;0,1,0)</f>
        <v>0</v>
      </c>
    </row>
    <row r="4993" spans="1:3" x14ac:dyDescent="0.25">
      <c r="A4993" s="15">
        <f>Sheet1!A4993</f>
        <v>0</v>
      </c>
      <c r="B4993">
        <f>Sheet1!B4993</f>
        <v>0</v>
      </c>
      <c r="C4993">
        <f>IF(Sheet1!B4993&gt;0,1,0)</f>
        <v>0</v>
      </c>
    </row>
    <row r="4994" spans="1:3" x14ac:dyDescent="0.25">
      <c r="A4994" s="15">
        <f>Sheet1!A4994</f>
        <v>0</v>
      </c>
      <c r="B4994">
        <f>Sheet1!B4994</f>
        <v>0</v>
      </c>
      <c r="C4994">
        <f>IF(Sheet1!B4994&gt;0,1,0)</f>
        <v>0</v>
      </c>
    </row>
    <row r="4995" spans="1:3" x14ac:dyDescent="0.25">
      <c r="A4995" s="15">
        <f>Sheet1!A4995</f>
        <v>0</v>
      </c>
      <c r="B4995">
        <f>Sheet1!B4995</f>
        <v>0</v>
      </c>
      <c r="C4995">
        <f>IF(Sheet1!B4995&gt;0,1,0)</f>
        <v>0</v>
      </c>
    </row>
    <row r="4996" spans="1:3" x14ac:dyDescent="0.25">
      <c r="A4996" s="15">
        <f>Sheet1!A4996</f>
        <v>0</v>
      </c>
      <c r="B4996">
        <f>Sheet1!B4996</f>
        <v>10.61</v>
      </c>
      <c r="C4996">
        <f>IF(Sheet1!B4996&gt;0,1,0)</f>
        <v>1</v>
      </c>
    </row>
    <row r="4997" spans="1:3" x14ac:dyDescent="0.25">
      <c r="A4997" s="15">
        <f>Sheet1!A4997</f>
        <v>0</v>
      </c>
      <c r="B4997">
        <f>Sheet1!B4997</f>
        <v>0</v>
      </c>
      <c r="C4997">
        <f>IF(Sheet1!B4997&gt;0,1,0)</f>
        <v>0</v>
      </c>
    </row>
    <row r="4998" spans="1:3" x14ac:dyDescent="0.25">
      <c r="A4998" s="15">
        <f>Sheet1!A4998</f>
        <v>0</v>
      </c>
      <c r="B4998">
        <f>Sheet1!B4998</f>
        <v>0</v>
      </c>
      <c r="C4998">
        <f>IF(Sheet1!B4998&gt;0,1,0)</f>
        <v>0</v>
      </c>
    </row>
    <row r="4999" spans="1:3" x14ac:dyDescent="0.25">
      <c r="A4999" s="15">
        <f>Sheet1!A4999</f>
        <v>0</v>
      </c>
      <c r="B4999">
        <f>Sheet1!B4999</f>
        <v>0</v>
      </c>
      <c r="C4999">
        <f>IF(Sheet1!B4999&gt;0,1,0)</f>
        <v>0</v>
      </c>
    </row>
    <row r="5000" spans="1:3" x14ac:dyDescent="0.25">
      <c r="A5000" s="15">
        <f>Sheet1!A5000</f>
        <v>0</v>
      </c>
      <c r="B5000">
        <f>Sheet1!B5000</f>
        <v>12</v>
      </c>
      <c r="C5000">
        <f>IF(Sheet1!B5000&gt;0,1,0)</f>
        <v>1</v>
      </c>
    </row>
    <row r="5001" spans="1:3" x14ac:dyDescent="0.25">
      <c r="A5001" s="15">
        <f>Sheet1!A5001</f>
        <v>0</v>
      </c>
      <c r="B5001">
        <f>Sheet1!B5001</f>
        <v>0</v>
      </c>
      <c r="C5001">
        <f>IF(Sheet1!B5001&gt;0,1,0)</f>
        <v>0</v>
      </c>
    </row>
    <row r="5002" spans="1:3" x14ac:dyDescent="0.25">
      <c r="A5002" s="15">
        <f>Sheet1!A5002</f>
        <v>0</v>
      </c>
      <c r="B5002">
        <f>Sheet1!B5002</f>
        <v>0</v>
      </c>
      <c r="C5002">
        <f>IF(Sheet1!B5002&gt;0,1,0)</f>
        <v>0</v>
      </c>
    </row>
    <row r="5003" spans="1:3" x14ac:dyDescent="0.25">
      <c r="A5003" s="15">
        <f>Sheet1!A5003</f>
        <v>0</v>
      </c>
      <c r="B5003">
        <f>Sheet1!B5003</f>
        <v>0</v>
      </c>
      <c r="C5003">
        <f>IF(Sheet1!B5003&gt;0,1,0)</f>
        <v>0</v>
      </c>
    </row>
    <row r="5004" spans="1:3" x14ac:dyDescent="0.25">
      <c r="A5004" s="15">
        <f>Sheet1!A5004</f>
        <v>0</v>
      </c>
      <c r="B5004">
        <f>Sheet1!B5004</f>
        <v>13.98</v>
      </c>
      <c r="C5004">
        <f>IF(Sheet1!B5004&gt;0,1,0)</f>
        <v>1</v>
      </c>
    </row>
    <row r="5005" spans="1:3" x14ac:dyDescent="0.25">
      <c r="A5005" s="15">
        <f>Sheet1!A5005</f>
        <v>0</v>
      </c>
      <c r="B5005">
        <f>Sheet1!B5005</f>
        <v>0</v>
      </c>
      <c r="C5005">
        <f>IF(Sheet1!B5005&gt;0,1,0)</f>
        <v>0</v>
      </c>
    </row>
    <row r="5006" spans="1:3" x14ac:dyDescent="0.25">
      <c r="A5006" s="15">
        <f>Sheet1!A5006</f>
        <v>0</v>
      </c>
      <c r="B5006">
        <f>Sheet1!B5006</f>
        <v>0</v>
      </c>
      <c r="C5006">
        <f>IF(Sheet1!B5006&gt;0,1,0)</f>
        <v>0</v>
      </c>
    </row>
    <row r="5007" spans="1:3" x14ac:dyDescent="0.25">
      <c r="A5007" s="15">
        <f>Sheet1!A5007</f>
        <v>0</v>
      </c>
      <c r="B5007">
        <f>Sheet1!B5007</f>
        <v>0</v>
      </c>
      <c r="C5007">
        <f>IF(Sheet1!B5007&gt;0,1,0)</f>
        <v>0</v>
      </c>
    </row>
    <row r="5008" spans="1:3" x14ac:dyDescent="0.25">
      <c r="A5008" s="15">
        <f>Sheet1!A5008</f>
        <v>0</v>
      </c>
      <c r="B5008">
        <f>Sheet1!B5008</f>
        <v>16.350000000000001</v>
      </c>
      <c r="C5008">
        <f>IF(Sheet1!B5008&gt;0,1,0)</f>
        <v>1</v>
      </c>
    </row>
    <row r="5009" spans="1:3" x14ac:dyDescent="0.25">
      <c r="A5009" s="15">
        <f>Sheet1!A5009</f>
        <v>0</v>
      </c>
      <c r="B5009">
        <f>Sheet1!B5009</f>
        <v>0</v>
      </c>
      <c r="C5009">
        <f>IF(Sheet1!B5009&gt;0,1,0)</f>
        <v>0</v>
      </c>
    </row>
    <row r="5010" spans="1:3" x14ac:dyDescent="0.25">
      <c r="A5010" s="15">
        <f>Sheet1!A5010</f>
        <v>0</v>
      </c>
      <c r="B5010">
        <f>Sheet1!B5010</f>
        <v>0</v>
      </c>
      <c r="C5010">
        <f>IF(Sheet1!B5010&gt;0,1,0)</f>
        <v>0</v>
      </c>
    </row>
    <row r="5011" spans="1:3" x14ac:dyDescent="0.25">
      <c r="A5011" s="15">
        <f>Sheet1!A5011</f>
        <v>0</v>
      </c>
      <c r="B5011">
        <f>Sheet1!B5011</f>
        <v>0</v>
      </c>
      <c r="C5011">
        <f>IF(Sheet1!B5011&gt;0,1,0)</f>
        <v>0</v>
      </c>
    </row>
    <row r="5012" spans="1:3" x14ac:dyDescent="0.25">
      <c r="A5012" s="15">
        <f>Sheet1!A5012</f>
        <v>0</v>
      </c>
      <c r="B5012">
        <f>Sheet1!B5012</f>
        <v>0</v>
      </c>
      <c r="C5012">
        <f>IF(Sheet1!B5012&gt;0,1,0)</f>
        <v>0</v>
      </c>
    </row>
    <row r="5013" spans="1:3" x14ac:dyDescent="0.25">
      <c r="A5013" s="15">
        <f>Sheet1!A5013</f>
        <v>0</v>
      </c>
      <c r="B5013">
        <f>Sheet1!B5013</f>
        <v>0</v>
      </c>
      <c r="C5013">
        <f>IF(Sheet1!B5013&gt;0,1,0)</f>
        <v>0</v>
      </c>
    </row>
    <row r="5014" spans="1:3" x14ac:dyDescent="0.25">
      <c r="A5014" s="15">
        <f>Sheet1!A5014</f>
        <v>0</v>
      </c>
      <c r="B5014">
        <f>Sheet1!B5014</f>
        <v>15.16</v>
      </c>
      <c r="C5014">
        <f>IF(Sheet1!B5014&gt;0,1,0)</f>
        <v>1</v>
      </c>
    </row>
    <row r="5015" spans="1:3" x14ac:dyDescent="0.25">
      <c r="A5015" s="15">
        <f>Sheet1!A5015</f>
        <v>0</v>
      </c>
      <c r="B5015">
        <f>Sheet1!B5015</f>
        <v>0</v>
      </c>
      <c r="C5015">
        <f>IF(Sheet1!B5015&gt;0,1,0)</f>
        <v>0</v>
      </c>
    </row>
    <row r="5016" spans="1:3" x14ac:dyDescent="0.25">
      <c r="A5016" s="15">
        <f>Sheet1!A5016</f>
        <v>0</v>
      </c>
      <c r="B5016">
        <f>Sheet1!B5016</f>
        <v>0</v>
      </c>
      <c r="C5016">
        <f>IF(Sheet1!B5016&gt;0,1,0)</f>
        <v>0</v>
      </c>
    </row>
    <row r="5017" spans="1:3" x14ac:dyDescent="0.25">
      <c r="A5017" s="15">
        <f>Sheet1!A5017</f>
        <v>0</v>
      </c>
      <c r="B5017">
        <f>Sheet1!B5017</f>
        <v>0</v>
      </c>
      <c r="C5017">
        <f>IF(Sheet1!B5017&gt;0,1,0)</f>
        <v>0</v>
      </c>
    </row>
    <row r="5018" spans="1:3" x14ac:dyDescent="0.25">
      <c r="A5018" s="15">
        <f>Sheet1!A5018</f>
        <v>0</v>
      </c>
      <c r="B5018">
        <f>Sheet1!B5018</f>
        <v>13.13</v>
      </c>
      <c r="C5018">
        <f>IF(Sheet1!B5018&gt;0,1,0)</f>
        <v>1</v>
      </c>
    </row>
    <row r="5019" spans="1:3" x14ac:dyDescent="0.25">
      <c r="A5019" s="15">
        <f>Sheet1!A5019</f>
        <v>0</v>
      </c>
      <c r="B5019">
        <f>Sheet1!B5019</f>
        <v>0</v>
      </c>
      <c r="C5019">
        <f>IF(Sheet1!B5019&gt;0,1,0)</f>
        <v>0</v>
      </c>
    </row>
    <row r="5020" spans="1:3" x14ac:dyDescent="0.25">
      <c r="A5020" s="15">
        <f>Sheet1!A5020</f>
        <v>0</v>
      </c>
      <c r="B5020">
        <f>Sheet1!B5020</f>
        <v>0</v>
      </c>
      <c r="C5020">
        <f>IF(Sheet1!B5020&gt;0,1,0)</f>
        <v>0</v>
      </c>
    </row>
    <row r="5021" spans="1:3" x14ac:dyDescent="0.25">
      <c r="A5021" s="15">
        <f>Sheet1!A5021</f>
        <v>0</v>
      </c>
      <c r="B5021">
        <f>Sheet1!B5021</f>
        <v>0</v>
      </c>
      <c r="C5021">
        <f>IF(Sheet1!B5021&gt;0,1,0)</f>
        <v>0</v>
      </c>
    </row>
    <row r="5022" spans="1:3" x14ac:dyDescent="0.25">
      <c r="A5022" s="15">
        <f>Sheet1!A5022</f>
        <v>0</v>
      </c>
      <c r="B5022">
        <f>Sheet1!B5022</f>
        <v>9.89</v>
      </c>
      <c r="C5022">
        <f>IF(Sheet1!B5022&gt;0,1,0)</f>
        <v>1</v>
      </c>
    </row>
    <row r="5023" spans="1:3" x14ac:dyDescent="0.25">
      <c r="A5023" s="15">
        <f>Sheet1!A5023</f>
        <v>0</v>
      </c>
      <c r="B5023">
        <f>Sheet1!B5023</f>
        <v>0</v>
      </c>
      <c r="C5023">
        <f>IF(Sheet1!B5023&gt;0,1,0)</f>
        <v>0</v>
      </c>
    </row>
    <row r="5024" spans="1:3" x14ac:dyDescent="0.25">
      <c r="A5024" s="15">
        <f>Sheet1!A5024</f>
        <v>0</v>
      </c>
      <c r="B5024">
        <f>Sheet1!B5024</f>
        <v>0</v>
      </c>
      <c r="C5024">
        <f>IF(Sheet1!B5024&gt;0,1,0)</f>
        <v>0</v>
      </c>
    </row>
    <row r="5025" spans="1:3" x14ac:dyDescent="0.25">
      <c r="A5025" s="15">
        <f>Sheet1!A5025</f>
        <v>0</v>
      </c>
      <c r="B5025">
        <f>Sheet1!B5025</f>
        <v>0</v>
      </c>
      <c r="C5025">
        <f>IF(Sheet1!B5025&gt;0,1,0)</f>
        <v>0</v>
      </c>
    </row>
    <row r="5026" spans="1:3" x14ac:dyDescent="0.25">
      <c r="A5026" s="15">
        <f>Sheet1!A5026</f>
        <v>0</v>
      </c>
      <c r="B5026">
        <f>Sheet1!B5026</f>
        <v>13.94</v>
      </c>
      <c r="C5026">
        <f>IF(Sheet1!B5026&gt;0,1,0)</f>
        <v>1</v>
      </c>
    </row>
    <row r="5027" spans="1:3" x14ac:dyDescent="0.25">
      <c r="A5027" s="15">
        <f>Sheet1!A5027</f>
        <v>0</v>
      </c>
      <c r="B5027">
        <f>Sheet1!B5027</f>
        <v>0</v>
      </c>
      <c r="C5027">
        <f>IF(Sheet1!B5027&gt;0,1,0)</f>
        <v>0</v>
      </c>
    </row>
    <row r="5028" spans="1:3" x14ac:dyDescent="0.25">
      <c r="A5028" s="15">
        <f>Sheet1!A5028</f>
        <v>0</v>
      </c>
      <c r="B5028">
        <f>Sheet1!B5028</f>
        <v>0</v>
      </c>
      <c r="C5028">
        <f>IF(Sheet1!B5028&gt;0,1,0)</f>
        <v>0</v>
      </c>
    </row>
    <row r="5029" spans="1:3" x14ac:dyDescent="0.25">
      <c r="A5029" s="15">
        <f>Sheet1!A5029</f>
        <v>0</v>
      </c>
      <c r="B5029">
        <f>Sheet1!B5029</f>
        <v>0</v>
      </c>
      <c r="C5029">
        <f>IF(Sheet1!B5029&gt;0,1,0)</f>
        <v>0</v>
      </c>
    </row>
    <row r="5030" spans="1:3" x14ac:dyDescent="0.25">
      <c r="A5030" s="15">
        <f>Sheet1!A5030</f>
        <v>0</v>
      </c>
      <c r="B5030">
        <f>Sheet1!B5030</f>
        <v>0</v>
      </c>
      <c r="C5030">
        <f>IF(Sheet1!B5030&gt;0,1,0)</f>
        <v>0</v>
      </c>
    </row>
    <row r="5031" spans="1:3" x14ac:dyDescent="0.25">
      <c r="A5031" s="15">
        <f>Sheet1!A5031</f>
        <v>0</v>
      </c>
      <c r="B5031">
        <f>Sheet1!B5031</f>
        <v>0</v>
      </c>
      <c r="C5031">
        <f>IF(Sheet1!B5031&gt;0,1,0)</f>
        <v>0</v>
      </c>
    </row>
    <row r="5032" spans="1:3" x14ac:dyDescent="0.25">
      <c r="A5032" s="15">
        <f>Sheet1!A5032</f>
        <v>0</v>
      </c>
      <c r="B5032">
        <f>Sheet1!B5032</f>
        <v>14.5</v>
      </c>
      <c r="C5032">
        <f>IF(Sheet1!B5032&gt;0,1,0)</f>
        <v>1</v>
      </c>
    </row>
    <row r="5033" spans="1:3" x14ac:dyDescent="0.25">
      <c r="A5033" s="15">
        <f>Sheet1!A5033</f>
        <v>0</v>
      </c>
      <c r="B5033">
        <f>Sheet1!B5033</f>
        <v>0</v>
      </c>
      <c r="C5033">
        <f>IF(Sheet1!B5033&gt;0,1,0)</f>
        <v>0</v>
      </c>
    </row>
    <row r="5034" spans="1:3" x14ac:dyDescent="0.25">
      <c r="A5034" s="15">
        <f>Sheet1!A5034</f>
        <v>0</v>
      </c>
      <c r="B5034">
        <f>Sheet1!B5034</f>
        <v>0</v>
      </c>
      <c r="C5034">
        <f>IF(Sheet1!B5034&gt;0,1,0)</f>
        <v>0</v>
      </c>
    </row>
    <row r="5035" spans="1:3" x14ac:dyDescent="0.25">
      <c r="A5035" s="15">
        <f>Sheet1!A5035</f>
        <v>0</v>
      </c>
      <c r="B5035">
        <f>Sheet1!B5035</f>
        <v>0</v>
      </c>
      <c r="C5035">
        <f>IF(Sheet1!B5035&gt;0,1,0)</f>
        <v>0</v>
      </c>
    </row>
    <row r="5036" spans="1:3" x14ac:dyDescent="0.25">
      <c r="A5036" s="15">
        <f>Sheet1!A5036</f>
        <v>0</v>
      </c>
      <c r="B5036">
        <f>Sheet1!B5036</f>
        <v>0</v>
      </c>
      <c r="C5036">
        <f>IF(Sheet1!B5036&gt;0,1,0)</f>
        <v>0</v>
      </c>
    </row>
    <row r="5037" spans="1:3" x14ac:dyDescent="0.25">
      <c r="A5037" s="15">
        <f>Sheet1!A5037</f>
        <v>0</v>
      </c>
      <c r="B5037">
        <f>Sheet1!B5037</f>
        <v>0</v>
      </c>
      <c r="C5037">
        <f>IF(Sheet1!B5037&gt;0,1,0)</f>
        <v>0</v>
      </c>
    </row>
    <row r="5038" spans="1:3" x14ac:dyDescent="0.25">
      <c r="A5038" s="15">
        <f>Sheet1!A5038</f>
        <v>0</v>
      </c>
      <c r="B5038">
        <f>Sheet1!B5038</f>
        <v>14.46</v>
      </c>
      <c r="C5038">
        <f>IF(Sheet1!B5038&gt;0,1,0)</f>
        <v>1</v>
      </c>
    </row>
    <row r="5039" spans="1:3" x14ac:dyDescent="0.25">
      <c r="A5039" s="15">
        <f>Sheet1!A5039</f>
        <v>0</v>
      </c>
      <c r="B5039">
        <f>Sheet1!B5039</f>
        <v>0</v>
      </c>
      <c r="C5039">
        <f>IF(Sheet1!B5039&gt;0,1,0)</f>
        <v>0</v>
      </c>
    </row>
    <row r="5040" spans="1:3" x14ac:dyDescent="0.25">
      <c r="A5040" s="15">
        <f>Sheet1!A5040</f>
        <v>0</v>
      </c>
      <c r="B5040">
        <f>Sheet1!B5040</f>
        <v>0</v>
      </c>
      <c r="C5040">
        <f>IF(Sheet1!B5040&gt;0,1,0)</f>
        <v>0</v>
      </c>
    </row>
    <row r="5041" spans="1:3" x14ac:dyDescent="0.25">
      <c r="A5041" s="15">
        <f>Sheet1!A5041</f>
        <v>0</v>
      </c>
      <c r="B5041">
        <f>Sheet1!B5041</f>
        <v>0</v>
      </c>
      <c r="C5041">
        <f>IF(Sheet1!B5041&gt;0,1,0)</f>
        <v>0</v>
      </c>
    </row>
    <row r="5042" spans="1:3" x14ac:dyDescent="0.25">
      <c r="A5042" s="15">
        <f>Sheet1!A5042</f>
        <v>0</v>
      </c>
      <c r="B5042">
        <f>Sheet1!B5042</f>
        <v>0</v>
      </c>
      <c r="C5042">
        <f>IF(Sheet1!B5042&gt;0,1,0)</f>
        <v>0</v>
      </c>
    </row>
    <row r="5043" spans="1:3" x14ac:dyDescent="0.25">
      <c r="A5043" s="15">
        <f>Sheet1!A5043</f>
        <v>0</v>
      </c>
      <c r="B5043">
        <f>Sheet1!B5043</f>
        <v>8.9</v>
      </c>
      <c r="C5043">
        <f>IF(Sheet1!B5043&gt;0,1,0)</f>
        <v>1</v>
      </c>
    </row>
    <row r="5044" spans="1:3" x14ac:dyDescent="0.25">
      <c r="A5044" s="15">
        <f>Sheet1!A5044</f>
        <v>0</v>
      </c>
      <c r="B5044">
        <f>Sheet1!B5044</f>
        <v>9.64</v>
      </c>
      <c r="C5044">
        <f>IF(Sheet1!B5044&gt;0,1,0)</f>
        <v>1</v>
      </c>
    </row>
    <row r="5045" spans="1:3" x14ac:dyDescent="0.25">
      <c r="A5045" s="15">
        <f>Sheet1!A5045</f>
        <v>0</v>
      </c>
      <c r="B5045">
        <f>Sheet1!B5045</f>
        <v>6.1</v>
      </c>
      <c r="C5045">
        <f>IF(Sheet1!B5045&gt;0,1,0)</f>
        <v>1</v>
      </c>
    </row>
    <row r="5046" spans="1:3" x14ac:dyDescent="0.25">
      <c r="A5046" s="15">
        <f>Sheet1!A5046</f>
        <v>0</v>
      </c>
      <c r="B5046">
        <f>Sheet1!B5046</f>
        <v>7.64</v>
      </c>
      <c r="C5046">
        <f>IF(Sheet1!B5046&gt;0,1,0)</f>
        <v>1</v>
      </c>
    </row>
    <row r="5047" spans="1:3" x14ac:dyDescent="0.25">
      <c r="A5047" s="15">
        <f>Sheet1!A5047</f>
        <v>0</v>
      </c>
      <c r="B5047">
        <f>Sheet1!B5047</f>
        <v>8.02</v>
      </c>
      <c r="C5047">
        <f>IF(Sheet1!B5047&gt;0,1,0)</f>
        <v>1</v>
      </c>
    </row>
    <row r="5048" spans="1:3" x14ac:dyDescent="0.25">
      <c r="A5048" s="15">
        <f>Sheet1!A5048</f>
        <v>0</v>
      </c>
      <c r="B5048">
        <f>Sheet1!B5048</f>
        <v>0</v>
      </c>
      <c r="C5048">
        <f>IF(Sheet1!B5048&gt;0,1,0)</f>
        <v>0</v>
      </c>
    </row>
    <row r="5049" spans="1:3" x14ac:dyDescent="0.25">
      <c r="A5049" s="15">
        <f>Sheet1!A5049</f>
        <v>0</v>
      </c>
      <c r="B5049">
        <f>Sheet1!B5049</f>
        <v>0</v>
      </c>
      <c r="C5049">
        <f>IF(Sheet1!B5049&gt;0,1,0)</f>
        <v>0</v>
      </c>
    </row>
    <row r="5050" spans="1:3" x14ac:dyDescent="0.25">
      <c r="A5050" s="15">
        <f>Sheet1!A5050</f>
        <v>0</v>
      </c>
      <c r="B5050">
        <f>Sheet1!B5050</f>
        <v>0</v>
      </c>
      <c r="C5050">
        <f>IF(Sheet1!B5050&gt;0,1,0)</f>
        <v>0</v>
      </c>
    </row>
    <row r="5051" spans="1:3" x14ac:dyDescent="0.25">
      <c r="A5051" s="15">
        <f>Sheet1!A5051</f>
        <v>0</v>
      </c>
      <c r="B5051">
        <f>Sheet1!B5051</f>
        <v>0</v>
      </c>
      <c r="C5051">
        <f>IF(Sheet1!B5051&gt;0,1,0)</f>
        <v>0</v>
      </c>
    </row>
    <row r="5052" spans="1:3" x14ac:dyDescent="0.25">
      <c r="A5052" s="15">
        <f>Sheet1!A5052</f>
        <v>0</v>
      </c>
      <c r="B5052">
        <f>Sheet1!B5052</f>
        <v>0</v>
      </c>
      <c r="C5052">
        <f>IF(Sheet1!B5052&gt;0,1,0)</f>
        <v>0</v>
      </c>
    </row>
    <row r="5053" spans="1:3" x14ac:dyDescent="0.25">
      <c r="A5053" s="15">
        <f>Sheet1!A5053</f>
        <v>0</v>
      </c>
      <c r="B5053">
        <f>Sheet1!B5053</f>
        <v>0</v>
      </c>
      <c r="C5053">
        <f>IF(Sheet1!B5053&gt;0,1,0)</f>
        <v>0</v>
      </c>
    </row>
    <row r="5054" spans="1:3" x14ac:dyDescent="0.25">
      <c r="A5054" s="15">
        <f>Sheet1!A5054</f>
        <v>0</v>
      </c>
      <c r="B5054">
        <f>Sheet1!B5054</f>
        <v>0</v>
      </c>
      <c r="C5054">
        <f>IF(Sheet1!B5054&gt;0,1,0)</f>
        <v>0</v>
      </c>
    </row>
    <row r="5055" spans="1:3" x14ac:dyDescent="0.25">
      <c r="A5055" s="15">
        <f>Sheet1!A5055</f>
        <v>0</v>
      </c>
      <c r="B5055">
        <f>Sheet1!B5055</f>
        <v>0</v>
      </c>
      <c r="C5055">
        <f>IF(Sheet1!B5055&gt;0,1,0)</f>
        <v>0</v>
      </c>
    </row>
    <row r="5056" spans="1:3" x14ac:dyDescent="0.25">
      <c r="A5056" s="15">
        <f>Sheet1!A5056</f>
        <v>0</v>
      </c>
      <c r="B5056">
        <f>Sheet1!B5056</f>
        <v>0</v>
      </c>
      <c r="C5056">
        <f>IF(Sheet1!B5056&gt;0,1,0)</f>
        <v>0</v>
      </c>
    </row>
    <row r="5057" spans="1:3" x14ac:dyDescent="0.25">
      <c r="A5057" s="15">
        <f>Sheet1!A5057</f>
        <v>0</v>
      </c>
      <c r="B5057">
        <f>Sheet1!B5057</f>
        <v>0</v>
      </c>
      <c r="C5057">
        <f>IF(Sheet1!B5057&gt;0,1,0)</f>
        <v>0</v>
      </c>
    </row>
    <row r="5058" spans="1:3" x14ac:dyDescent="0.25">
      <c r="A5058" s="15">
        <f>Sheet1!A5058</f>
        <v>0</v>
      </c>
      <c r="B5058">
        <f>Sheet1!B5058</f>
        <v>16.16</v>
      </c>
      <c r="C5058">
        <f>IF(Sheet1!B5058&gt;0,1,0)</f>
        <v>1</v>
      </c>
    </row>
    <row r="5059" spans="1:3" x14ac:dyDescent="0.25">
      <c r="A5059" s="15">
        <f>Sheet1!A5059</f>
        <v>0</v>
      </c>
      <c r="B5059">
        <f>Sheet1!B5059</f>
        <v>0</v>
      </c>
      <c r="C5059">
        <f>IF(Sheet1!B5059&gt;0,1,0)</f>
        <v>0</v>
      </c>
    </row>
    <row r="5060" spans="1:3" x14ac:dyDescent="0.25">
      <c r="A5060" s="15">
        <f>Sheet1!A5060</f>
        <v>0</v>
      </c>
      <c r="B5060">
        <f>Sheet1!B5060</f>
        <v>0</v>
      </c>
      <c r="C5060">
        <f>IF(Sheet1!B5060&gt;0,1,0)</f>
        <v>0</v>
      </c>
    </row>
    <row r="5061" spans="1:3" x14ac:dyDescent="0.25">
      <c r="A5061" s="15">
        <f>Sheet1!A5061</f>
        <v>0</v>
      </c>
      <c r="B5061">
        <f>Sheet1!B5061</f>
        <v>0</v>
      </c>
      <c r="C5061">
        <f>IF(Sheet1!B5061&gt;0,1,0)</f>
        <v>0</v>
      </c>
    </row>
    <row r="5062" spans="1:3" x14ac:dyDescent="0.25">
      <c r="A5062" s="15">
        <f>Sheet1!A5062</f>
        <v>0</v>
      </c>
      <c r="B5062">
        <f>Sheet1!B5062</f>
        <v>0</v>
      </c>
      <c r="C5062">
        <f>IF(Sheet1!B5062&gt;0,1,0)</f>
        <v>0</v>
      </c>
    </row>
    <row r="5063" spans="1:3" x14ac:dyDescent="0.25">
      <c r="A5063" s="15">
        <f>Sheet1!A5063</f>
        <v>0</v>
      </c>
      <c r="B5063">
        <f>Sheet1!B5063</f>
        <v>0</v>
      </c>
      <c r="C5063">
        <f>IF(Sheet1!B5063&gt;0,1,0)</f>
        <v>0</v>
      </c>
    </row>
    <row r="5064" spans="1:3" x14ac:dyDescent="0.25">
      <c r="A5064" s="15">
        <f>Sheet1!A5064</f>
        <v>0</v>
      </c>
      <c r="B5064">
        <f>Sheet1!B5064</f>
        <v>14.29</v>
      </c>
      <c r="C5064">
        <f>IF(Sheet1!B5064&gt;0,1,0)</f>
        <v>1</v>
      </c>
    </row>
    <row r="5065" spans="1:3" x14ac:dyDescent="0.25">
      <c r="A5065" s="15">
        <f>Sheet1!A5065</f>
        <v>0</v>
      </c>
      <c r="B5065">
        <f>Sheet1!B5065</f>
        <v>0</v>
      </c>
      <c r="C5065">
        <f>IF(Sheet1!B5065&gt;0,1,0)</f>
        <v>0</v>
      </c>
    </row>
    <row r="5066" spans="1:3" x14ac:dyDescent="0.25">
      <c r="A5066" s="15">
        <f>Sheet1!A5066</f>
        <v>0</v>
      </c>
      <c r="B5066">
        <f>Sheet1!B5066</f>
        <v>0</v>
      </c>
      <c r="C5066">
        <f>IF(Sheet1!B5066&gt;0,1,0)</f>
        <v>0</v>
      </c>
    </row>
    <row r="5067" spans="1:3" x14ac:dyDescent="0.25">
      <c r="A5067" s="15">
        <f>Sheet1!A5067</f>
        <v>0</v>
      </c>
      <c r="B5067">
        <f>Sheet1!B5067</f>
        <v>5.66</v>
      </c>
      <c r="C5067">
        <f>IF(Sheet1!B5067&gt;0,1,0)</f>
        <v>1</v>
      </c>
    </row>
    <row r="5068" spans="1:3" x14ac:dyDescent="0.25">
      <c r="A5068" s="15">
        <f>Sheet1!A5068</f>
        <v>0</v>
      </c>
      <c r="B5068">
        <f>Sheet1!B5068</f>
        <v>12.79</v>
      </c>
      <c r="C5068">
        <f>IF(Sheet1!B5068&gt;0,1,0)</f>
        <v>1</v>
      </c>
    </row>
    <row r="5069" spans="1:3" x14ac:dyDescent="0.25">
      <c r="A5069" s="15">
        <f>Sheet1!A5069</f>
        <v>0</v>
      </c>
      <c r="B5069">
        <f>Sheet1!B5069</f>
        <v>4.74</v>
      </c>
      <c r="C5069">
        <f>IF(Sheet1!B5069&gt;0,1,0)</f>
        <v>1</v>
      </c>
    </row>
    <row r="5070" spans="1:3" x14ac:dyDescent="0.25">
      <c r="A5070" s="15">
        <f>Sheet1!A5070</f>
        <v>0</v>
      </c>
      <c r="B5070">
        <f>Sheet1!B5070</f>
        <v>4.74</v>
      </c>
      <c r="C5070">
        <f>IF(Sheet1!B5070&gt;0,1,0)</f>
        <v>1</v>
      </c>
    </row>
    <row r="5071" spans="1:3" x14ac:dyDescent="0.25">
      <c r="A5071" s="15">
        <f>Sheet1!A5071</f>
        <v>0</v>
      </c>
      <c r="B5071">
        <f>Sheet1!B5071</f>
        <v>5.93</v>
      </c>
      <c r="C5071">
        <f>IF(Sheet1!B5071&gt;0,1,0)</f>
        <v>1</v>
      </c>
    </row>
    <row r="5072" spans="1:3" x14ac:dyDescent="0.25">
      <c r="A5072" s="15">
        <f>Sheet1!A5072</f>
        <v>0</v>
      </c>
      <c r="B5072">
        <f>Sheet1!B5072</f>
        <v>17.89</v>
      </c>
      <c r="C5072">
        <f>IF(Sheet1!B5072&gt;0,1,0)</f>
        <v>1</v>
      </c>
    </row>
    <row r="5073" spans="1:3" x14ac:dyDescent="0.25">
      <c r="A5073" s="15">
        <f>Sheet1!A5073</f>
        <v>0</v>
      </c>
      <c r="B5073">
        <f>Sheet1!B5073</f>
        <v>0</v>
      </c>
      <c r="C5073">
        <f>IF(Sheet1!B5073&gt;0,1,0)</f>
        <v>0</v>
      </c>
    </row>
    <row r="5074" spans="1:3" x14ac:dyDescent="0.25">
      <c r="A5074" s="15">
        <f>Sheet1!A5074</f>
        <v>0</v>
      </c>
      <c r="B5074">
        <f>Sheet1!B5074</f>
        <v>0</v>
      </c>
      <c r="C5074">
        <f>IF(Sheet1!B5074&gt;0,1,0)</f>
        <v>0</v>
      </c>
    </row>
    <row r="5075" spans="1:3" x14ac:dyDescent="0.25">
      <c r="A5075" s="15">
        <f>Sheet1!A5075</f>
        <v>0</v>
      </c>
      <c r="B5075">
        <f>Sheet1!B5075</f>
        <v>0</v>
      </c>
      <c r="C5075">
        <f>IF(Sheet1!B5075&gt;0,1,0)</f>
        <v>0</v>
      </c>
    </row>
    <row r="5076" spans="1:3" x14ac:dyDescent="0.25">
      <c r="A5076" s="15">
        <f>Sheet1!A5076</f>
        <v>0</v>
      </c>
      <c r="B5076">
        <f>Sheet1!B5076</f>
        <v>0</v>
      </c>
      <c r="C5076">
        <f>IF(Sheet1!B5076&gt;0,1,0)</f>
        <v>0</v>
      </c>
    </row>
    <row r="5077" spans="1:3" x14ac:dyDescent="0.25">
      <c r="A5077" s="15">
        <f>Sheet1!A5077</f>
        <v>0</v>
      </c>
      <c r="B5077">
        <f>Sheet1!B5077</f>
        <v>0</v>
      </c>
      <c r="C5077">
        <f>IF(Sheet1!B5077&gt;0,1,0)</f>
        <v>0</v>
      </c>
    </row>
    <row r="5078" spans="1:3" x14ac:dyDescent="0.25">
      <c r="A5078" s="15">
        <f>Sheet1!A5078</f>
        <v>0</v>
      </c>
      <c r="B5078">
        <f>Sheet1!B5078</f>
        <v>0</v>
      </c>
      <c r="C5078">
        <f>IF(Sheet1!B5078&gt;0,1,0)</f>
        <v>0</v>
      </c>
    </row>
    <row r="5079" spans="1:3" x14ac:dyDescent="0.25">
      <c r="A5079" s="15">
        <f>Sheet1!A5079</f>
        <v>0</v>
      </c>
      <c r="B5079">
        <f>Sheet1!B5079</f>
        <v>0</v>
      </c>
      <c r="C5079">
        <f>IF(Sheet1!B5079&gt;0,1,0)</f>
        <v>0</v>
      </c>
    </row>
    <row r="5080" spans="1:3" x14ac:dyDescent="0.25">
      <c r="A5080" s="15">
        <f>Sheet1!A5080</f>
        <v>0</v>
      </c>
      <c r="B5080">
        <f>Sheet1!B5080</f>
        <v>0</v>
      </c>
      <c r="C5080">
        <f>IF(Sheet1!B5080&gt;0,1,0)</f>
        <v>0</v>
      </c>
    </row>
    <row r="5081" spans="1:3" x14ac:dyDescent="0.25">
      <c r="A5081" s="15">
        <f>Sheet1!A5081</f>
        <v>0</v>
      </c>
      <c r="B5081">
        <f>Sheet1!B5081</f>
        <v>0</v>
      </c>
      <c r="C5081">
        <f>IF(Sheet1!B5081&gt;0,1,0)</f>
        <v>0</v>
      </c>
    </row>
    <row r="5082" spans="1:3" x14ac:dyDescent="0.25">
      <c r="A5082" s="15">
        <f>Sheet1!A5082</f>
        <v>0</v>
      </c>
      <c r="B5082">
        <f>Sheet1!B5082</f>
        <v>0</v>
      </c>
      <c r="C5082">
        <f>IF(Sheet1!B5082&gt;0,1,0)</f>
        <v>0</v>
      </c>
    </row>
    <row r="5083" spans="1:3" x14ac:dyDescent="0.25">
      <c r="A5083" s="15">
        <f>Sheet1!A5083</f>
        <v>0</v>
      </c>
      <c r="B5083">
        <f>Sheet1!B5083</f>
        <v>0</v>
      </c>
      <c r="C5083">
        <f>IF(Sheet1!B5083&gt;0,1,0)</f>
        <v>0</v>
      </c>
    </row>
    <row r="5084" spans="1:3" x14ac:dyDescent="0.25">
      <c r="A5084" s="15">
        <f>Sheet1!A5084</f>
        <v>0</v>
      </c>
      <c r="B5084">
        <f>Sheet1!B5084</f>
        <v>0</v>
      </c>
      <c r="C5084">
        <f>IF(Sheet1!B5084&gt;0,1,0)</f>
        <v>0</v>
      </c>
    </row>
    <row r="5085" spans="1:3" x14ac:dyDescent="0.25">
      <c r="A5085" s="15">
        <f>Sheet1!A5085</f>
        <v>0</v>
      </c>
      <c r="B5085">
        <f>Sheet1!B5085</f>
        <v>0</v>
      </c>
      <c r="C5085">
        <f>IF(Sheet1!B5085&gt;0,1,0)</f>
        <v>0</v>
      </c>
    </row>
    <row r="5086" spans="1:3" x14ac:dyDescent="0.25">
      <c r="A5086" s="15">
        <f>Sheet1!A5086</f>
        <v>0</v>
      </c>
      <c r="B5086">
        <f>Sheet1!B5086</f>
        <v>0</v>
      </c>
      <c r="C5086">
        <f>IF(Sheet1!B5086&gt;0,1,0)</f>
        <v>0</v>
      </c>
    </row>
    <row r="5087" spans="1:3" x14ac:dyDescent="0.25">
      <c r="A5087" s="15">
        <f>Sheet1!A5087</f>
        <v>0</v>
      </c>
      <c r="B5087">
        <f>Sheet1!B5087</f>
        <v>0</v>
      </c>
      <c r="C5087">
        <f>IF(Sheet1!B5087&gt;0,1,0)</f>
        <v>0</v>
      </c>
    </row>
    <row r="5088" spans="1:3" x14ac:dyDescent="0.25">
      <c r="A5088" s="15">
        <f>Sheet1!A5088</f>
        <v>0</v>
      </c>
      <c r="B5088">
        <f>Sheet1!B5088</f>
        <v>0</v>
      </c>
      <c r="C5088">
        <f>IF(Sheet1!B5088&gt;0,1,0)</f>
        <v>0</v>
      </c>
    </row>
    <row r="5089" spans="1:3" x14ac:dyDescent="0.25">
      <c r="A5089" s="15">
        <f>Sheet1!A5089</f>
        <v>0</v>
      </c>
      <c r="B5089">
        <f>Sheet1!B5089</f>
        <v>0</v>
      </c>
      <c r="C5089">
        <f>IF(Sheet1!B5089&gt;0,1,0)</f>
        <v>0</v>
      </c>
    </row>
    <row r="5090" spans="1:3" x14ac:dyDescent="0.25">
      <c r="A5090" s="15">
        <f>Sheet1!A5090</f>
        <v>0</v>
      </c>
      <c r="B5090">
        <f>Sheet1!B5090</f>
        <v>0</v>
      </c>
      <c r="C5090">
        <f>IF(Sheet1!B5090&gt;0,1,0)</f>
        <v>0</v>
      </c>
    </row>
    <row r="5091" spans="1:3" x14ac:dyDescent="0.25">
      <c r="A5091" s="15">
        <f>Sheet1!A5091</f>
        <v>0</v>
      </c>
      <c r="B5091">
        <f>Sheet1!B5091</f>
        <v>0</v>
      </c>
      <c r="C5091">
        <f>IF(Sheet1!B5091&gt;0,1,0)</f>
        <v>0</v>
      </c>
    </row>
    <row r="5092" spans="1:3" x14ac:dyDescent="0.25">
      <c r="A5092" s="15">
        <f>Sheet1!A5092</f>
        <v>0</v>
      </c>
      <c r="B5092">
        <f>Sheet1!B5092</f>
        <v>9.7899999999999991</v>
      </c>
      <c r="C5092">
        <f>IF(Sheet1!B5092&gt;0,1,0)</f>
        <v>1</v>
      </c>
    </row>
    <row r="5093" spans="1:3" x14ac:dyDescent="0.25">
      <c r="A5093" s="15">
        <f>Sheet1!A5093</f>
        <v>0</v>
      </c>
      <c r="B5093">
        <f>Sheet1!B5093</f>
        <v>9.07</v>
      </c>
      <c r="C5093">
        <f>IF(Sheet1!B5093&gt;0,1,0)</f>
        <v>1</v>
      </c>
    </row>
    <row r="5094" spans="1:3" x14ac:dyDescent="0.25">
      <c r="A5094" s="15">
        <f>Sheet1!A5094</f>
        <v>0</v>
      </c>
      <c r="B5094">
        <f>Sheet1!B5094</f>
        <v>9.01</v>
      </c>
      <c r="C5094">
        <f>IF(Sheet1!B5094&gt;0,1,0)</f>
        <v>1</v>
      </c>
    </row>
    <row r="5095" spans="1:3" x14ac:dyDescent="0.25">
      <c r="A5095" s="15">
        <f>Sheet1!A5095</f>
        <v>0</v>
      </c>
      <c r="B5095">
        <f>Sheet1!B5095</f>
        <v>0</v>
      </c>
      <c r="C5095">
        <f>IF(Sheet1!B5095&gt;0,1,0)</f>
        <v>0</v>
      </c>
    </row>
    <row r="5096" spans="1:3" x14ac:dyDescent="0.25">
      <c r="A5096" s="15">
        <f>Sheet1!A5096</f>
        <v>0</v>
      </c>
      <c r="B5096">
        <f>Sheet1!B5096</f>
        <v>0</v>
      </c>
      <c r="C5096">
        <f>IF(Sheet1!B5096&gt;0,1,0)</f>
        <v>0</v>
      </c>
    </row>
    <row r="5097" spans="1:3" x14ac:dyDescent="0.25">
      <c r="A5097" s="15">
        <f>Sheet1!A5097</f>
        <v>0</v>
      </c>
      <c r="B5097">
        <f>Sheet1!B5097</f>
        <v>0</v>
      </c>
      <c r="C5097">
        <f>IF(Sheet1!B5097&gt;0,1,0)</f>
        <v>0</v>
      </c>
    </row>
    <row r="5098" spans="1:3" x14ac:dyDescent="0.25">
      <c r="A5098" s="15">
        <f>Sheet1!A5098</f>
        <v>0</v>
      </c>
      <c r="B5098">
        <f>Sheet1!B5098</f>
        <v>12.24</v>
      </c>
      <c r="C5098">
        <f>IF(Sheet1!B5098&gt;0,1,0)</f>
        <v>1</v>
      </c>
    </row>
    <row r="5099" spans="1:3" x14ac:dyDescent="0.25">
      <c r="A5099" s="15">
        <f>Sheet1!A5099</f>
        <v>0</v>
      </c>
      <c r="B5099">
        <f>Sheet1!B5099</f>
        <v>0</v>
      </c>
      <c r="C5099">
        <f>IF(Sheet1!B5099&gt;0,1,0)</f>
        <v>0</v>
      </c>
    </row>
    <row r="5100" spans="1:3" x14ac:dyDescent="0.25">
      <c r="A5100" s="15">
        <f>Sheet1!A5100</f>
        <v>0</v>
      </c>
      <c r="B5100">
        <f>Sheet1!B5100</f>
        <v>0</v>
      </c>
      <c r="C5100">
        <f>IF(Sheet1!B5100&gt;0,1,0)</f>
        <v>0</v>
      </c>
    </row>
    <row r="5101" spans="1:3" x14ac:dyDescent="0.25">
      <c r="A5101" s="15">
        <f>Sheet1!A5101</f>
        <v>0</v>
      </c>
      <c r="B5101">
        <f>Sheet1!B5101</f>
        <v>0</v>
      </c>
      <c r="C5101">
        <f>IF(Sheet1!B5101&gt;0,1,0)</f>
        <v>0</v>
      </c>
    </row>
    <row r="5102" spans="1:3" x14ac:dyDescent="0.25">
      <c r="A5102" s="15">
        <f>Sheet1!A5102</f>
        <v>0</v>
      </c>
      <c r="B5102">
        <f>Sheet1!B5102</f>
        <v>0</v>
      </c>
      <c r="C5102">
        <f>IF(Sheet1!B5102&gt;0,1,0)</f>
        <v>0</v>
      </c>
    </row>
    <row r="5103" spans="1:3" x14ac:dyDescent="0.25">
      <c r="A5103" s="15">
        <f>Sheet1!A5103</f>
        <v>0</v>
      </c>
      <c r="B5103">
        <f>Sheet1!B5103</f>
        <v>3.7</v>
      </c>
      <c r="C5103">
        <f>IF(Sheet1!B5103&gt;0,1,0)</f>
        <v>1</v>
      </c>
    </row>
    <row r="5104" spans="1:3" x14ac:dyDescent="0.25">
      <c r="A5104" s="15">
        <f>Sheet1!A5104</f>
        <v>0</v>
      </c>
      <c r="B5104">
        <f>Sheet1!B5104</f>
        <v>0</v>
      </c>
      <c r="C5104">
        <f>IF(Sheet1!B5104&gt;0,1,0)</f>
        <v>0</v>
      </c>
    </row>
    <row r="5105" spans="1:3" x14ac:dyDescent="0.25">
      <c r="A5105" s="15">
        <f>Sheet1!A5105</f>
        <v>0</v>
      </c>
      <c r="B5105">
        <f>Sheet1!B5105</f>
        <v>0</v>
      </c>
      <c r="C5105">
        <f>IF(Sheet1!B5105&gt;0,1,0)</f>
        <v>0</v>
      </c>
    </row>
    <row r="5106" spans="1:3" x14ac:dyDescent="0.25">
      <c r="A5106" s="15">
        <f>Sheet1!A5106</f>
        <v>0</v>
      </c>
      <c r="B5106">
        <f>Sheet1!B5106</f>
        <v>14.38</v>
      </c>
      <c r="C5106">
        <f>IF(Sheet1!B5106&gt;0,1,0)</f>
        <v>1</v>
      </c>
    </row>
    <row r="5107" spans="1:3" x14ac:dyDescent="0.25">
      <c r="A5107" s="15">
        <f>Sheet1!A5107</f>
        <v>0</v>
      </c>
      <c r="B5107">
        <f>Sheet1!B5107</f>
        <v>0</v>
      </c>
      <c r="C5107">
        <f>IF(Sheet1!B5107&gt;0,1,0)</f>
        <v>0</v>
      </c>
    </row>
    <row r="5108" spans="1:3" x14ac:dyDescent="0.25">
      <c r="A5108" s="15">
        <f>Sheet1!A5108</f>
        <v>0</v>
      </c>
      <c r="B5108">
        <f>Sheet1!B5108</f>
        <v>4.9400000000000004</v>
      </c>
      <c r="C5108">
        <f>IF(Sheet1!B5108&gt;0,1,0)</f>
        <v>1</v>
      </c>
    </row>
    <row r="5109" spans="1:3" x14ac:dyDescent="0.25">
      <c r="A5109" s="15">
        <f>Sheet1!A5109</f>
        <v>0</v>
      </c>
      <c r="B5109">
        <f>Sheet1!B5109</f>
        <v>0</v>
      </c>
      <c r="C5109">
        <f>IF(Sheet1!B5109&gt;0,1,0)</f>
        <v>0</v>
      </c>
    </row>
    <row r="5110" spans="1:3" x14ac:dyDescent="0.25">
      <c r="A5110" s="15">
        <f>Sheet1!A5110</f>
        <v>0</v>
      </c>
      <c r="B5110">
        <f>Sheet1!B5110</f>
        <v>0</v>
      </c>
      <c r="C5110">
        <f>IF(Sheet1!B5110&gt;0,1,0)</f>
        <v>0</v>
      </c>
    </row>
    <row r="5111" spans="1:3" x14ac:dyDescent="0.25">
      <c r="A5111" s="15">
        <f>Sheet1!A5111</f>
        <v>0</v>
      </c>
      <c r="B5111">
        <f>Sheet1!B5111</f>
        <v>0</v>
      </c>
      <c r="C5111">
        <f>IF(Sheet1!B5111&gt;0,1,0)</f>
        <v>0</v>
      </c>
    </row>
    <row r="5112" spans="1:3" x14ac:dyDescent="0.25">
      <c r="A5112" s="15">
        <f>Sheet1!A5112</f>
        <v>0</v>
      </c>
      <c r="B5112">
        <f>Sheet1!B5112</f>
        <v>10.28</v>
      </c>
      <c r="C5112">
        <f>IF(Sheet1!B5112&gt;0,1,0)</f>
        <v>1</v>
      </c>
    </row>
    <row r="5113" spans="1:3" x14ac:dyDescent="0.25">
      <c r="A5113" s="15">
        <f>Sheet1!A5113</f>
        <v>0</v>
      </c>
      <c r="B5113">
        <f>Sheet1!B5113</f>
        <v>0</v>
      </c>
      <c r="C5113">
        <f>IF(Sheet1!B5113&gt;0,1,0)</f>
        <v>0</v>
      </c>
    </row>
    <row r="5114" spans="1:3" x14ac:dyDescent="0.25">
      <c r="A5114" s="15">
        <f>Sheet1!A5114</f>
        <v>0</v>
      </c>
      <c r="B5114">
        <f>Sheet1!B5114</f>
        <v>0</v>
      </c>
      <c r="C5114">
        <f>IF(Sheet1!B5114&gt;0,1,0)</f>
        <v>0</v>
      </c>
    </row>
    <row r="5115" spans="1:3" x14ac:dyDescent="0.25">
      <c r="A5115" s="15">
        <f>Sheet1!A5115</f>
        <v>0</v>
      </c>
      <c r="B5115">
        <f>Sheet1!B5115</f>
        <v>0</v>
      </c>
      <c r="C5115">
        <f>IF(Sheet1!B5115&gt;0,1,0)</f>
        <v>0</v>
      </c>
    </row>
    <row r="5116" spans="1:3" x14ac:dyDescent="0.25">
      <c r="A5116" s="15">
        <f>Sheet1!A5116</f>
        <v>0</v>
      </c>
      <c r="B5116">
        <f>Sheet1!B5116</f>
        <v>0</v>
      </c>
      <c r="C5116">
        <f>IF(Sheet1!B5116&gt;0,1,0)</f>
        <v>0</v>
      </c>
    </row>
    <row r="5117" spans="1:3" x14ac:dyDescent="0.25">
      <c r="A5117" s="15">
        <f>Sheet1!A5117</f>
        <v>0</v>
      </c>
      <c r="B5117">
        <f>Sheet1!B5117</f>
        <v>12.81</v>
      </c>
      <c r="C5117">
        <f>IF(Sheet1!B5117&gt;0,1,0)</f>
        <v>1</v>
      </c>
    </row>
    <row r="5118" spans="1:3" x14ac:dyDescent="0.25">
      <c r="A5118" s="15">
        <f>Sheet1!A5118</f>
        <v>0</v>
      </c>
      <c r="B5118">
        <f>Sheet1!B5118</f>
        <v>11.38</v>
      </c>
      <c r="C5118">
        <f>IF(Sheet1!B5118&gt;0,1,0)</f>
        <v>1</v>
      </c>
    </row>
    <row r="5119" spans="1:3" x14ac:dyDescent="0.25">
      <c r="A5119" s="15">
        <f>Sheet1!A5119</f>
        <v>0</v>
      </c>
      <c r="B5119">
        <f>Sheet1!B5119</f>
        <v>0</v>
      </c>
      <c r="C5119">
        <f>IF(Sheet1!B5119&gt;0,1,0)</f>
        <v>0</v>
      </c>
    </row>
    <row r="5120" spans="1:3" x14ac:dyDescent="0.25">
      <c r="A5120" s="15">
        <f>Sheet1!A5120</f>
        <v>0</v>
      </c>
      <c r="B5120">
        <f>Sheet1!B5120</f>
        <v>0</v>
      </c>
      <c r="C5120">
        <f>IF(Sheet1!B5120&gt;0,1,0)</f>
        <v>0</v>
      </c>
    </row>
    <row r="5121" spans="1:3" x14ac:dyDescent="0.25">
      <c r="A5121" s="15">
        <f>Sheet1!A5121</f>
        <v>0</v>
      </c>
      <c r="B5121">
        <f>Sheet1!B5121</f>
        <v>0</v>
      </c>
      <c r="C5121">
        <f>IF(Sheet1!B5121&gt;0,1,0)</f>
        <v>0</v>
      </c>
    </row>
    <row r="5122" spans="1:3" x14ac:dyDescent="0.25">
      <c r="A5122" s="15">
        <f>Sheet1!A5122</f>
        <v>0</v>
      </c>
      <c r="B5122">
        <f>Sheet1!B5122</f>
        <v>13.62</v>
      </c>
      <c r="C5122">
        <f>IF(Sheet1!B5122&gt;0,1,0)</f>
        <v>1</v>
      </c>
    </row>
    <row r="5123" spans="1:3" x14ac:dyDescent="0.25">
      <c r="A5123" s="15">
        <f>Sheet1!A5123</f>
        <v>0</v>
      </c>
      <c r="B5123">
        <f>Sheet1!B5123</f>
        <v>0</v>
      </c>
      <c r="C5123">
        <f>IF(Sheet1!B5123&gt;0,1,0)</f>
        <v>0</v>
      </c>
    </row>
    <row r="5124" spans="1:3" x14ac:dyDescent="0.25">
      <c r="A5124" s="15">
        <f>Sheet1!A5124</f>
        <v>0</v>
      </c>
      <c r="B5124">
        <f>Sheet1!B5124</f>
        <v>0</v>
      </c>
      <c r="C5124">
        <f>IF(Sheet1!B5124&gt;0,1,0)</f>
        <v>0</v>
      </c>
    </row>
    <row r="5125" spans="1:3" x14ac:dyDescent="0.25">
      <c r="A5125" s="15">
        <f>Sheet1!A5125</f>
        <v>0</v>
      </c>
      <c r="B5125">
        <f>Sheet1!B5125</f>
        <v>0</v>
      </c>
      <c r="C5125">
        <f>IF(Sheet1!B5125&gt;0,1,0)</f>
        <v>0</v>
      </c>
    </row>
    <row r="5126" spans="1:3" x14ac:dyDescent="0.25">
      <c r="A5126" s="15">
        <f>Sheet1!A5126</f>
        <v>0</v>
      </c>
      <c r="B5126">
        <f>Sheet1!B5126</f>
        <v>15.06</v>
      </c>
      <c r="C5126">
        <f>IF(Sheet1!B5126&gt;0,1,0)</f>
        <v>1</v>
      </c>
    </row>
    <row r="5127" spans="1:3" x14ac:dyDescent="0.25">
      <c r="A5127" s="15">
        <f>Sheet1!A5127</f>
        <v>0</v>
      </c>
      <c r="B5127">
        <f>Sheet1!B5127</f>
        <v>0</v>
      </c>
      <c r="C5127">
        <f>IF(Sheet1!B5127&gt;0,1,0)</f>
        <v>0</v>
      </c>
    </row>
    <row r="5128" spans="1:3" x14ac:dyDescent="0.25">
      <c r="A5128" s="15">
        <f>Sheet1!A5128</f>
        <v>0</v>
      </c>
      <c r="B5128">
        <f>Sheet1!B5128</f>
        <v>0</v>
      </c>
      <c r="C5128">
        <f>IF(Sheet1!B5128&gt;0,1,0)</f>
        <v>0</v>
      </c>
    </row>
    <row r="5129" spans="1:3" x14ac:dyDescent="0.25">
      <c r="A5129" s="15">
        <f>Sheet1!A5129</f>
        <v>0</v>
      </c>
      <c r="B5129">
        <f>Sheet1!B5129</f>
        <v>0</v>
      </c>
      <c r="C5129">
        <f>IF(Sheet1!B5129&gt;0,1,0)</f>
        <v>0</v>
      </c>
    </row>
    <row r="5130" spans="1:3" x14ac:dyDescent="0.25">
      <c r="A5130" s="15">
        <f>Sheet1!A5130</f>
        <v>0</v>
      </c>
      <c r="B5130">
        <f>Sheet1!B5130</f>
        <v>0</v>
      </c>
      <c r="C5130">
        <f>IF(Sheet1!B5130&gt;0,1,0)</f>
        <v>0</v>
      </c>
    </row>
    <row r="5131" spans="1:3" x14ac:dyDescent="0.25">
      <c r="A5131" s="15">
        <f>Sheet1!A5131</f>
        <v>0</v>
      </c>
      <c r="B5131">
        <f>Sheet1!B5131</f>
        <v>0</v>
      </c>
      <c r="C5131">
        <f>IF(Sheet1!B5131&gt;0,1,0)</f>
        <v>0</v>
      </c>
    </row>
    <row r="5132" spans="1:3" x14ac:dyDescent="0.25">
      <c r="A5132" s="15">
        <f>Sheet1!A5132</f>
        <v>0</v>
      </c>
      <c r="B5132">
        <f>Sheet1!B5132</f>
        <v>0</v>
      </c>
      <c r="C5132">
        <f>IF(Sheet1!B5132&gt;0,1,0)</f>
        <v>0</v>
      </c>
    </row>
    <row r="5133" spans="1:3" x14ac:dyDescent="0.25">
      <c r="A5133" s="15">
        <f>Sheet1!A5133</f>
        <v>0</v>
      </c>
      <c r="B5133">
        <f>Sheet1!B5133</f>
        <v>0</v>
      </c>
      <c r="C5133">
        <f>IF(Sheet1!B5133&gt;0,1,0)</f>
        <v>0</v>
      </c>
    </row>
    <row r="5134" spans="1:3" x14ac:dyDescent="0.25">
      <c r="A5134" s="15">
        <f>Sheet1!A5134</f>
        <v>0</v>
      </c>
      <c r="B5134">
        <f>Sheet1!B5134</f>
        <v>0</v>
      </c>
      <c r="C5134">
        <f>IF(Sheet1!B5134&gt;0,1,0)</f>
        <v>0</v>
      </c>
    </row>
    <row r="5135" spans="1:3" x14ac:dyDescent="0.25">
      <c r="A5135" s="15">
        <f>Sheet1!A5135</f>
        <v>0</v>
      </c>
      <c r="B5135">
        <f>Sheet1!B5135</f>
        <v>0</v>
      </c>
      <c r="C5135">
        <f>IF(Sheet1!B5135&gt;0,1,0)</f>
        <v>0</v>
      </c>
    </row>
    <row r="5136" spans="1:3" x14ac:dyDescent="0.25">
      <c r="A5136" s="15">
        <f>Sheet1!A5136</f>
        <v>0</v>
      </c>
      <c r="B5136">
        <f>Sheet1!B5136</f>
        <v>16.36</v>
      </c>
      <c r="C5136">
        <f>IF(Sheet1!B5136&gt;0,1,0)</f>
        <v>1</v>
      </c>
    </row>
    <row r="5137" spans="1:3" x14ac:dyDescent="0.25">
      <c r="A5137" s="15">
        <f>Sheet1!A5137</f>
        <v>0</v>
      </c>
      <c r="B5137">
        <f>Sheet1!B5137</f>
        <v>13.7</v>
      </c>
      <c r="C5137">
        <f>IF(Sheet1!B5137&gt;0,1,0)</f>
        <v>1</v>
      </c>
    </row>
    <row r="5138" spans="1:3" x14ac:dyDescent="0.25">
      <c r="A5138" s="15">
        <f>Sheet1!A5138</f>
        <v>0</v>
      </c>
      <c r="B5138">
        <f>Sheet1!B5138</f>
        <v>10.64</v>
      </c>
      <c r="C5138">
        <f>IF(Sheet1!B5138&gt;0,1,0)</f>
        <v>1</v>
      </c>
    </row>
    <row r="5139" spans="1:3" x14ac:dyDescent="0.25">
      <c r="A5139" s="15">
        <f>Sheet1!A5139</f>
        <v>0</v>
      </c>
      <c r="B5139">
        <f>Sheet1!B5139</f>
        <v>0</v>
      </c>
      <c r="C5139">
        <f>IF(Sheet1!B5139&gt;0,1,0)</f>
        <v>0</v>
      </c>
    </row>
    <row r="5140" spans="1:3" x14ac:dyDescent="0.25">
      <c r="A5140" s="15">
        <f>Sheet1!A5140</f>
        <v>0</v>
      </c>
      <c r="B5140">
        <f>Sheet1!B5140</f>
        <v>0</v>
      </c>
      <c r="C5140">
        <f>IF(Sheet1!B5140&gt;0,1,0)</f>
        <v>0</v>
      </c>
    </row>
    <row r="5141" spans="1:3" x14ac:dyDescent="0.25">
      <c r="A5141" s="15">
        <f>Sheet1!A5141</f>
        <v>0</v>
      </c>
      <c r="B5141">
        <f>Sheet1!B5141</f>
        <v>0</v>
      </c>
      <c r="C5141">
        <f>IF(Sheet1!B5141&gt;0,1,0)</f>
        <v>0</v>
      </c>
    </row>
    <row r="5142" spans="1:3" x14ac:dyDescent="0.25">
      <c r="A5142" s="15">
        <f>Sheet1!A5142</f>
        <v>0</v>
      </c>
      <c r="B5142">
        <f>Sheet1!B5142</f>
        <v>9.2799999999999994</v>
      </c>
      <c r="C5142">
        <f>IF(Sheet1!B5142&gt;0,1,0)</f>
        <v>1</v>
      </c>
    </row>
    <row r="5143" spans="1:3" x14ac:dyDescent="0.25">
      <c r="A5143" s="15">
        <f>Sheet1!A5143</f>
        <v>0</v>
      </c>
      <c r="B5143">
        <f>Sheet1!B5143</f>
        <v>0</v>
      </c>
      <c r="C5143">
        <f>IF(Sheet1!B5143&gt;0,1,0)</f>
        <v>0</v>
      </c>
    </row>
    <row r="5144" spans="1:3" x14ac:dyDescent="0.25">
      <c r="A5144" s="15">
        <f>Sheet1!A5144</f>
        <v>0</v>
      </c>
      <c r="B5144">
        <f>Sheet1!B5144</f>
        <v>0</v>
      </c>
      <c r="C5144">
        <f>IF(Sheet1!B5144&gt;0,1,0)</f>
        <v>0</v>
      </c>
    </row>
    <row r="5145" spans="1:3" x14ac:dyDescent="0.25">
      <c r="A5145" s="15">
        <f>Sheet1!A5145</f>
        <v>0</v>
      </c>
      <c r="B5145">
        <f>Sheet1!B5145</f>
        <v>0</v>
      </c>
      <c r="C5145">
        <f>IF(Sheet1!B5145&gt;0,1,0)</f>
        <v>0</v>
      </c>
    </row>
    <row r="5146" spans="1:3" x14ac:dyDescent="0.25">
      <c r="A5146" s="15">
        <f>Sheet1!A5146</f>
        <v>0</v>
      </c>
      <c r="B5146">
        <f>Sheet1!B5146</f>
        <v>0</v>
      </c>
      <c r="C5146">
        <f>IF(Sheet1!B5146&gt;0,1,0)</f>
        <v>0</v>
      </c>
    </row>
    <row r="5147" spans="1:3" x14ac:dyDescent="0.25">
      <c r="A5147" s="15">
        <f>Sheet1!A5147</f>
        <v>0</v>
      </c>
      <c r="B5147">
        <f>Sheet1!B5147</f>
        <v>0</v>
      </c>
      <c r="C5147">
        <f>IF(Sheet1!B5147&gt;0,1,0)</f>
        <v>0</v>
      </c>
    </row>
    <row r="5148" spans="1:3" x14ac:dyDescent="0.25">
      <c r="A5148" s="15">
        <f>Sheet1!A5148</f>
        <v>0</v>
      </c>
      <c r="B5148">
        <f>Sheet1!B5148</f>
        <v>0</v>
      </c>
      <c r="C5148">
        <f>IF(Sheet1!B5148&gt;0,1,0)</f>
        <v>0</v>
      </c>
    </row>
    <row r="5149" spans="1:3" x14ac:dyDescent="0.25">
      <c r="A5149" s="15">
        <f>Sheet1!A5149</f>
        <v>0</v>
      </c>
      <c r="B5149">
        <f>Sheet1!B5149</f>
        <v>0</v>
      </c>
      <c r="C5149">
        <f>IF(Sheet1!B5149&gt;0,1,0)</f>
        <v>0</v>
      </c>
    </row>
    <row r="5150" spans="1:3" x14ac:dyDescent="0.25">
      <c r="A5150" s="15">
        <f>Sheet1!A5150</f>
        <v>0</v>
      </c>
      <c r="B5150">
        <f>Sheet1!B5150</f>
        <v>0</v>
      </c>
      <c r="C5150">
        <f>IF(Sheet1!B5150&gt;0,1,0)</f>
        <v>0</v>
      </c>
    </row>
    <row r="5151" spans="1:3" x14ac:dyDescent="0.25">
      <c r="A5151" s="15">
        <f>Sheet1!A5151</f>
        <v>0</v>
      </c>
      <c r="B5151">
        <f>Sheet1!B5151</f>
        <v>0</v>
      </c>
      <c r="C5151">
        <f>IF(Sheet1!B5151&gt;0,1,0)</f>
        <v>0</v>
      </c>
    </row>
    <row r="5152" spans="1:3" x14ac:dyDescent="0.25">
      <c r="A5152" s="15">
        <f>Sheet1!A5152</f>
        <v>0</v>
      </c>
      <c r="B5152">
        <f>Sheet1!B5152</f>
        <v>0</v>
      </c>
      <c r="C5152">
        <f>IF(Sheet1!B5152&gt;0,1,0)</f>
        <v>0</v>
      </c>
    </row>
    <row r="5153" spans="1:3" x14ac:dyDescent="0.25">
      <c r="A5153" s="15">
        <f>Sheet1!A5153</f>
        <v>0</v>
      </c>
      <c r="B5153">
        <f>Sheet1!B5153</f>
        <v>0</v>
      </c>
      <c r="C5153">
        <f>IF(Sheet1!B5153&gt;0,1,0)</f>
        <v>0</v>
      </c>
    </row>
    <row r="5154" spans="1:3" x14ac:dyDescent="0.25">
      <c r="A5154" s="15">
        <f>Sheet1!A5154</f>
        <v>0</v>
      </c>
      <c r="B5154">
        <f>Sheet1!B5154</f>
        <v>14.38</v>
      </c>
      <c r="C5154">
        <f>IF(Sheet1!B5154&gt;0,1,0)</f>
        <v>1</v>
      </c>
    </row>
    <row r="5155" spans="1:3" x14ac:dyDescent="0.25">
      <c r="A5155" s="15">
        <f>Sheet1!A5155</f>
        <v>0</v>
      </c>
      <c r="B5155">
        <f>Sheet1!B5155</f>
        <v>0</v>
      </c>
      <c r="C5155">
        <f>IF(Sheet1!B5155&gt;0,1,0)</f>
        <v>0</v>
      </c>
    </row>
    <row r="5156" spans="1:3" x14ac:dyDescent="0.25">
      <c r="A5156" s="15">
        <f>Sheet1!A5156</f>
        <v>0</v>
      </c>
      <c r="B5156">
        <f>Sheet1!B5156</f>
        <v>0</v>
      </c>
      <c r="C5156">
        <f>IF(Sheet1!B5156&gt;0,1,0)</f>
        <v>0</v>
      </c>
    </row>
    <row r="5157" spans="1:3" x14ac:dyDescent="0.25">
      <c r="A5157" s="15">
        <f>Sheet1!A5157</f>
        <v>0</v>
      </c>
      <c r="B5157">
        <f>Sheet1!B5157</f>
        <v>0</v>
      </c>
      <c r="C5157">
        <f>IF(Sheet1!B5157&gt;0,1,0)</f>
        <v>0</v>
      </c>
    </row>
    <row r="5158" spans="1:3" x14ac:dyDescent="0.25">
      <c r="A5158" s="15">
        <f>Sheet1!A5158</f>
        <v>0</v>
      </c>
      <c r="B5158">
        <f>Sheet1!B5158</f>
        <v>0</v>
      </c>
      <c r="C5158">
        <f>IF(Sheet1!B5158&gt;0,1,0)</f>
        <v>0</v>
      </c>
    </row>
    <row r="5159" spans="1:3" x14ac:dyDescent="0.25">
      <c r="A5159" s="15">
        <f>Sheet1!A5159</f>
        <v>0</v>
      </c>
      <c r="B5159">
        <f>Sheet1!B5159</f>
        <v>0</v>
      </c>
      <c r="C5159">
        <f>IF(Sheet1!B5159&gt;0,1,0)</f>
        <v>0</v>
      </c>
    </row>
    <row r="5160" spans="1:3" x14ac:dyDescent="0.25">
      <c r="A5160" s="15">
        <f>Sheet1!A5160</f>
        <v>0</v>
      </c>
      <c r="B5160">
        <f>Sheet1!B5160</f>
        <v>0</v>
      </c>
      <c r="C5160">
        <f>IF(Sheet1!B5160&gt;0,1,0)</f>
        <v>0</v>
      </c>
    </row>
    <row r="5161" spans="1:3" x14ac:dyDescent="0.25">
      <c r="A5161" s="15">
        <f>Sheet1!A5161</f>
        <v>0</v>
      </c>
      <c r="B5161">
        <f>Sheet1!B5161</f>
        <v>0</v>
      </c>
      <c r="C5161">
        <f>IF(Sheet1!B5161&gt;0,1,0)</f>
        <v>0</v>
      </c>
    </row>
    <row r="5162" spans="1:3" x14ac:dyDescent="0.25">
      <c r="A5162" s="15">
        <f>Sheet1!A5162</f>
        <v>0</v>
      </c>
      <c r="B5162">
        <f>Sheet1!B5162</f>
        <v>0</v>
      </c>
      <c r="C5162">
        <f>IF(Sheet1!B5162&gt;0,1,0)</f>
        <v>0</v>
      </c>
    </row>
    <row r="5163" spans="1:3" x14ac:dyDescent="0.25">
      <c r="A5163" s="15">
        <f>Sheet1!A5163</f>
        <v>0</v>
      </c>
      <c r="B5163">
        <f>Sheet1!B5163</f>
        <v>0</v>
      </c>
      <c r="C5163">
        <f>IF(Sheet1!B5163&gt;0,1,0)</f>
        <v>0</v>
      </c>
    </row>
    <row r="5164" spans="1:3" x14ac:dyDescent="0.25">
      <c r="A5164" s="15">
        <f>Sheet1!A5164</f>
        <v>0</v>
      </c>
      <c r="B5164">
        <f>Sheet1!B5164</f>
        <v>8.82</v>
      </c>
      <c r="C5164">
        <f>IF(Sheet1!B5164&gt;0,1,0)</f>
        <v>1</v>
      </c>
    </row>
    <row r="5165" spans="1:3" x14ac:dyDescent="0.25">
      <c r="A5165" s="15">
        <f>Sheet1!A5165</f>
        <v>0</v>
      </c>
      <c r="B5165">
        <f>Sheet1!B5165</f>
        <v>0</v>
      </c>
      <c r="C5165">
        <f>IF(Sheet1!B5165&gt;0,1,0)</f>
        <v>0</v>
      </c>
    </row>
    <row r="5166" spans="1:3" x14ac:dyDescent="0.25">
      <c r="A5166" s="15">
        <f>Sheet1!A5166</f>
        <v>0</v>
      </c>
      <c r="B5166">
        <f>Sheet1!B5166</f>
        <v>0</v>
      </c>
      <c r="C5166">
        <f>IF(Sheet1!B5166&gt;0,1,0)</f>
        <v>0</v>
      </c>
    </row>
    <row r="5167" spans="1:3" x14ac:dyDescent="0.25">
      <c r="A5167" s="15">
        <f>Sheet1!A5167</f>
        <v>0</v>
      </c>
      <c r="B5167">
        <f>Sheet1!B5167</f>
        <v>0</v>
      </c>
      <c r="C5167">
        <f>IF(Sheet1!B5167&gt;0,1,0)</f>
        <v>0</v>
      </c>
    </row>
    <row r="5168" spans="1:3" x14ac:dyDescent="0.25">
      <c r="A5168" s="15">
        <f>Sheet1!A5168</f>
        <v>0</v>
      </c>
      <c r="B5168">
        <f>Sheet1!B5168</f>
        <v>0</v>
      </c>
      <c r="C5168">
        <f>IF(Sheet1!B5168&gt;0,1,0)</f>
        <v>0</v>
      </c>
    </row>
    <row r="5169" spans="1:3" x14ac:dyDescent="0.25">
      <c r="A5169" s="15">
        <f>Sheet1!A5169</f>
        <v>0</v>
      </c>
      <c r="B5169">
        <f>Sheet1!B5169</f>
        <v>0</v>
      </c>
      <c r="C5169">
        <f>IF(Sheet1!B5169&gt;0,1,0)</f>
        <v>0</v>
      </c>
    </row>
    <row r="5170" spans="1:3" x14ac:dyDescent="0.25">
      <c r="A5170" s="15">
        <f>Sheet1!A5170</f>
        <v>0</v>
      </c>
      <c r="B5170">
        <f>Sheet1!B5170</f>
        <v>0</v>
      </c>
      <c r="C5170">
        <f>IF(Sheet1!B5170&gt;0,1,0)</f>
        <v>0</v>
      </c>
    </row>
    <row r="5171" spans="1:3" x14ac:dyDescent="0.25">
      <c r="A5171" s="15">
        <f>Sheet1!A5171</f>
        <v>0</v>
      </c>
      <c r="B5171">
        <f>Sheet1!B5171</f>
        <v>0</v>
      </c>
      <c r="C5171">
        <f>IF(Sheet1!B5171&gt;0,1,0)</f>
        <v>0</v>
      </c>
    </row>
    <row r="5172" spans="1:3" x14ac:dyDescent="0.25">
      <c r="A5172" s="15">
        <f>Sheet1!A5172</f>
        <v>0</v>
      </c>
      <c r="B5172">
        <f>Sheet1!B5172</f>
        <v>0</v>
      </c>
      <c r="C5172">
        <f>IF(Sheet1!B5172&gt;0,1,0)</f>
        <v>0</v>
      </c>
    </row>
    <row r="5173" spans="1:3" x14ac:dyDescent="0.25">
      <c r="A5173" s="15">
        <f>Sheet1!A5173</f>
        <v>0</v>
      </c>
      <c r="B5173">
        <f>Sheet1!B5173</f>
        <v>0</v>
      </c>
      <c r="C5173">
        <f>IF(Sheet1!B5173&gt;0,1,0)</f>
        <v>0</v>
      </c>
    </row>
    <row r="5174" spans="1:3" x14ac:dyDescent="0.25">
      <c r="A5174" s="15">
        <f>Sheet1!A5174</f>
        <v>0</v>
      </c>
      <c r="B5174">
        <f>Sheet1!B5174</f>
        <v>0</v>
      </c>
      <c r="C5174">
        <f>IF(Sheet1!B5174&gt;0,1,0)</f>
        <v>0</v>
      </c>
    </row>
    <row r="5175" spans="1:3" x14ac:dyDescent="0.25">
      <c r="A5175" s="15">
        <f>Sheet1!A5175</f>
        <v>0</v>
      </c>
      <c r="B5175">
        <f>Sheet1!B5175</f>
        <v>0</v>
      </c>
      <c r="C5175">
        <f>IF(Sheet1!B5175&gt;0,1,0)</f>
        <v>0</v>
      </c>
    </row>
    <row r="5176" spans="1:3" x14ac:dyDescent="0.25">
      <c r="A5176" s="15">
        <f>Sheet1!A5176</f>
        <v>0</v>
      </c>
      <c r="B5176">
        <f>Sheet1!B5176</f>
        <v>0</v>
      </c>
      <c r="C5176">
        <f>IF(Sheet1!B5176&gt;0,1,0)</f>
        <v>0</v>
      </c>
    </row>
    <row r="5177" spans="1:3" x14ac:dyDescent="0.25">
      <c r="A5177" s="15">
        <f>Sheet1!A5177</f>
        <v>0</v>
      </c>
      <c r="B5177">
        <f>Sheet1!B5177</f>
        <v>0</v>
      </c>
      <c r="C5177">
        <f>IF(Sheet1!B5177&gt;0,1,0)</f>
        <v>0</v>
      </c>
    </row>
    <row r="5178" spans="1:3" x14ac:dyDescent="0.25">
      <c r="A5178" s="15">
        <f>Sheet1!A5178</f>
        <v>0</v>
      </c>
      <c r="B5178">
        <f>Sheet1!B5178</f>
        <v>0</v>
      </c>
      <c r="C5178">
        <f>IF(Sheet1!B5178&gt;0,1,0)</f>
        <v>0</v>
      </c>
    </row>
    <row r="5179" spans="1:3" x14ac:dyDescent="0.25">
      <c r="A5179" s="15">
        <f>Sheet1!A5179</f>
        <v>0</v>
      </c>
      <c r="B5179">
        <f>Sheet1!B5179</f>
        <v>0</v>
      </c>
      <c r="C5179">
        <f>IF(Sheet1!B5179&gt;0,1,0)</f>
        <v>0</v>
      </c>
    </row>
    <row r="5180" spans="1:3" x14ac:dyDescent="0.25">
      <c r="A5180" s="15">
        <f>Sheet1!A5180</f>
        <v>0</v>
      </c>
      <c r="B5180">
        <f>Sheet1!B5180</f>
        <v>0</v>
      </c>
      <c r="C5180">
        <f>IF(Sheet1!B5180&gt;0,1,0)</f>
        <v>0</v>
      </c>
    </row>
    <row r="5181" spans="1:3" x14ac:dyDescent="0.25">
      <c r="A5181" s="15">
        <f>Sheet1!A5181</f>
        <v>0</v>
      </c>
      <c r="B5181">
        <f>Sheet1!B5181</f>
        <v>0</v>
      </c>
      <c r="C5181">
        <f>IF(Sheet1!B5181&gt;0,1,0)</f>
        <v>0</v>
      </c>
    </row>
    <row r="5182" spans="1:3" x14ac:dyDescent="0.25">
      <c r="A5182" s="15">
        <f>Sheet1!A5182</f>
        <v>0</v>
      </c>
      <c r="B5182">
        <f>Sheet1!B5182</f>
        <v>0</v>
      </c>
      <c r="C5182">
        <f>IF(Sheet1!B5182&gt;0,1,0)</f>
        <v>0</v>
      </c>
    </row>
    <row r="5183" spans="1:3" x14ac:dyDescent="0.25">
      <c r="A5183" s="15">
        <f>Sheet1!A5183</f>
        <v>0</v>
      </c>
      <c r="B5183">
        <f>Sheet1!B5183</f>
        <v>0</v>
      </c>
      <c r="C5183">
        <f>IF(Sheet1!B5183&gt;0,1,0)</f>
        <v>0</v>
      </c>
    </row>
    <row r="5184" spans="1:3" x14ac:dyDescent="0.25">
      <c r="A5184" s="15">
        <f>Sheet1!A5184</f>
        <v>0</v>
      </c>
      <c r="B5184">
        <f>Sheet1!B5184</f>
        <v>17.71</v>
      </c>
      <c r="C5184">
        <f>IF(Sheet1!B5184&gt;0,1,0)</f>
        <v>1</v>
      </c>
    </row>
    <row r="5185" spans="1:3" x14ac:dyDescent="0.25">
      <c r="A5185" s="15">
        <f>Sheet1!A5185</f>
        <v>0</v>
      </c>
      <c r="B5185">
        <f>Sheet1!B5185</f>
        <v>0</v>
      </c>
      <c r="C5185">
        <f>IF(Sheet1!B5185&gt;0,1,0)</f>
        <v>0</v>
      </c>
    </row>
    <row r="5186" spans="1:3" x14ac:dyDescent="0.25">
      <c r="A5186" s="15">
        <f>Sheet1!A5186</f>
        <v>0</v>
      </c>
      <c r="B5186">
        <f>Sheet1!B5186</f>
        <v>0</v>
      </c>
      <c r="C5186">
        <f>IF(Sheet1!B5186&gt;0,1,0)</f>
        <v>0</v>
      </c>
    </row>
    <row r="5187" spans="1:3" x14ac:dyDescent="0.25">
      <c r="A5187" s="15">
        <f>Sheet1!A5187</f>
        <v>0</v>
      </c>
      <c r="B5187">
        <f>Sheet1!B5187</f>
        <v>0</v>
      </c>
      <c r="C5187">
        <f>IF(Sheet1!B5187&gt;0,1,0)</f>
        <v>0</v>
      </c>
    </row>
    <row r="5188" spans="1:3" x14ac:dyDescent="0.25">
      <c r="A5188" s="15">
        <f>Sheet1!A5188</f>
        <v>0</v>
      </c>
      <c r="B5188">
        <f>Sheet1!B5188</f>
        <v>16.18</v>
      </c>
      <c r="C5188">
        <f>IF(Sheet1!B5188&gt;0,1,0)</f>
        <v>1</v>
      </c>
    </row>
    <row r="5189" spans="1:3" x14ac:dyDescent="0.25">
      <c r="A5189" s="15">
        <f>Sheet1!A5189</f>
        <v>0</v>
      </c>
      <c r="B5189">
        <f>Sheet1!B5189</f>
        <v>0</v>
      </c>
      <c r="C5189">
        <f>IF(Sheet1!B5189&gt;0,1,0)</f>
        <v>0</v>
      </c>
    </row>
    <row r="5190" spans="1:3" x14ac:dyDescent="0.25">
      <c r="A5190" s="15">
        <f>Sheet1!A5190</f>
        <v>0</v>
      </c>
      <c r="B5190">
        <f>Sheet1!B5190</f>
        <v>0</v>
      </c>
      <c r="C5190">
        <f>IF(Sheet1!B5190&gt;0,1,0)</f>
        <v>0</v>
      </c>
    </row>
    <row r="5191" spans="1:3" x14ac:dyDescent="0.25">
      <c r="A5191" s="15">
        <f>Sheet1!A5191</f>
        <v>0</v>
      </c>
      <c r="B5191">
        <f>Sheet1!B5191</f>
        <v>0</v>
      </c>
      <c r="C5191">
        <f>IF(Sheet1!B5191&gt;0,1,0)</f>
        <v>0</v>
      </c>
    </row>
    <row r="5192" spans="1:3" x14ac:dyDescent="0.25">
      <c r="A5192" s="15">
        <f>Sheet1!A5192</f>
        <v>0</v>
      </c>
      <c r="B5192">
        <f>Sheet1!B5192</f>
        <v>0</v>
      </c>
      <c r="C5192">
        <f>IF(Sheet1!B5192&gt;0,1,0)</f>
        <v>0</v>
      </c>
    </row>
    <row r="5193" spans="1:3" x14ac:dyDescent="0.25">
      <c r="A5193" s="15">
        <f>Sheet1!A5193</f>
        <v>0</v>
      </c>
      <c r="B5193">
        <f>Sheet1!B5193</f>
        <v>18.7</v>
      </c>
      <c r="C5193">
        <f>IF(Sheet1!B5193&gt;0,1,0)</f>
        <v>1</v>
      </c>
    </row>
    <row r="5194" spans="1:3" x14ac:dyDescent="0.25">
      <c r="A5194" s="15">
        <f>Sheet1!A5194</f>
        <v>0</v>
      </c>
      <c r="B5194">
        <f>Sheet1!B5194</f>
        <v>0</v>
      </c>
      <c r="C5194">
        <f>IF(Sheet1!B5194&gt;0,1,0)</f>
        <v>0</v>
      </c>
    </row>
    <row r="5195" spans="1:3" x14ac:dyDescent="0.25">
      <c r="A5195" s="15">
        <f>Sheet1!A5195</f>
        <v>0</v>
      </c>
      <c r="B5195">
        <f>Sheet1!B5195</f>
        <v>0</v>
      </c>
      <c r="C5195">
        <f>IF(Sheet1!B5195&gt;0,1,0)</f>
        <v>0</v>
      </c>
    </row>
    <row r="5196" spans="1:3" x14ac:dyDescent="0.25">
      <c r="A5196" s="15">
        <f>Sheet1!A5196</f>
        <v>0</v>
      </c>
      <c r="B5196">
        <f>Sheet1!B5196</f>
        <v>0</v>
      </c>
      <c r="C5196">
        <f>IF(Sheet1!B5196&gt;0,1,0)</f>
        <v>0</v>
      </c>
    </row>
    <row r="5197" spans="1:3" x14ac:dyDescent="0.25">
      <c r="A5197" s="15">
        <f>Sheet1!A5197</f>
        <v>0</v>
      </c>
      <c r="B5197">
        <f>Sheet1!B5197</f>
        <v>0</v>
      </c>
      <c r="C5197">
        <f>IF(Sheet1!B5197&gt;0,1,0)</f>
        <v>0</v>
      </c>
    </row>
    <row r="5198" spans="1:3" x14ac:dyDescent="0.25">
      <c r="A5198" s="15">
        <f>Sheet1!A5198</f>
        <v>0</v>
      </c>
      <c r="B5198">
        <f>Sheet1!B5198</f>
        <v>0</v>
      </c>
      <c r="C5198">
        <f>IF(Sheet1!B5198&gt;0,1,0)</f>
        <v>0</v>
      </c>
    </row>
    <row r="5199" spans="1:3" x14ac:dyDescent="0.25">
      <c r="A5199" s="15">
        <f>Sheet1!A5199</f>
        <v>0</v>
      </c>
      <c r="B5199">
        <f>Sheet1!B5199</f>
        <v>0</v>
      </c>
      <c r="C5199">
        <f>IF(Sheet1!B5199&gt;0,1,0)</f>
        <v>0</v>
      </c>
    </row>
    <row r="5200" spans="1:3" x14ac:dyDescent="0.25">
      <c r="A5200" s="15">
        <f>Sheet1!A5200</f>
        <v>0</v>
      </c>
      <c r="B5200">
        <f>Sheet1!B5200</f>
        <v>0</v>
      </c>
      <c r="C5200">
        <f>IF(Sheet1!B5200&gt;0,1,0)</f>
        <v>0</v>
      </c>
    </row>
    <row r="5201" spans="1:3" x14ac:dyDescent="0.25">
      <c r="A5201" s="15">
        <f>Sheet1!A5201</f>
        <v>0</v>
      </c>
      <c r="B5201">
        <f>Sheet1!B5201</f>
        <v>0</v>
      </c>
      <c r="C5201">
        <f>IF(Sheet1!B5201&gt;0,1,0)</f>
        <v>0</v>
      </c>
    </row>
    <row r="5202" spans="1:3" x14ac:dyDescent="0.25">
      <c r="A5202" s="15">
        <f>Sheet1!A5202</f>
        <v>0</v>
      </c>
      <c r="B5202">
        <f>Sheet1!B5202</f>
        <v>22.44</v>
      </c>
      <c r="C5202">
        <f>IF(Sheet1!B5202&gt;0,1,0)</f>
        <v>1</v>
      </c>
    </row>
    <row r="5203" spans="1:3" x14ac:dyDescent="0.25">
      <c r="A5203" s="15">
        <f>Sheet1!A5203</f>
        <v>0</v>
      </c>
      <c r="B5203">
        <f>Sheet1!B5203</f>
        <v>0</v>
      </c>
      <c r="C5203">
        <f>IF(Sheet1!B5203&gt;0,1,0)</f>
        <v>0</v>
      </c>
    </row>
    <row r="5204" spans="1:3" x14ac:dyDescent="0.25">
      <c r="A5204" s="15">
        <f>Sheet1!A5204</f>
        <v>0</v>
      </c>
      <c r="B5204">
        <f>Sheet1!B5204</f>
        <v>0</v>
      </c>
      <c r="C5204">
        <f>IF(Sheet1!B5204&gt;0,1,0)</f>
        <v>0</v>
      </c>
    </row>
    <row r="5205" spans="1:3" x14ac:dyDescent="0.25">
      <c r="A5205" s="15">
        <f>Sheet1!A5205</f>
        <v>0</v>
      </c>
      <c r="B5205">
        <f>Sheet1!B5205</f>
        <v>0</v>
      </c>
      <c r="C5205">
        <f>IF(Sheet1!B5205&gt;0,1,0)</f>
        <v>0</v>
      </c>
    </row>
    <row r="5206" spans="1:3" x14ac:dyDescent="0.25">
      <c r="A5206" s="15">
        <f>Sheet1!A5206</f>
        <v>0</v>
      </c>
      <c r="B5206">
        <f>Sheet1!B5206</f>
        <v>0</v>
      </c>
      <c r="C5206">
        <f>IF(Sheet1!B5206&gt;0,1,0)</f>
        <v>0</v>
      </c>
    </row>
    <row r="5207" spans="1:3" x14ac:dyDescent="0.25">
      <c r="A5207" s="15">
        <f>Sheet1!A5207</f>
        <v>0</v>
      </c>
      <c r="B5207">
        <f>Sheet1!B5207</f>
        <v>0</v>
      </c>
      <c r="C5207">
        <f>IF(Sheet1!B5207&gt;0,1,0)</f>
        <v>0</v>
      </c>
    </row>
    <row r="5208" spans="1:3" x14ac:dyDescent="0.25">
      <c r="A5208" s="15">
        <f>Sheet1!A5208</f>
        <v>0</v>
      </c>
      <c r="B5208">
        <f>Sheet1!B5208</f>
        <v>16.63</v>
      </c>
      <c r="C5208">
        <f>IF(Sheet1!B5208&gt;0,1,0)</f>
        <v>1</v>
      </c>
    </row>
    <row r="5209" spans="1:3" x14ac:dyDescent="0.25">
      <c r="A5209" s="15">
        <f>Sheet1!A5209</f>
        <v>0</v>
      </c>
      <c r="B5209">
        <f>Sheet1!B5209</f>
        <v>0</v>
      </c>
      <c r="C5209">
        <f>IF(Sheet1!B5209&gt;0,1,0)</f>
        <v>0</v>
      </c>
    </row>
    <row r="5210" spans="1:3" x14ac:dyDescent="0.25">
      <c r="A5210" s="15">
        <f>Sheet1!A5210</f>
        <v>0</v>
      </c>
      <c r="B5210">
        <f>Sheet1!B5210</f>
        <v>0</v>
      </c>
      <c r="C5210">
        <f>IF(Sheet1!B5210&gt;0,1,0)</f>
        <v>0</v>
      </c>
    </row>
    <row r="5211" spans="1:3" x14ac:dyDescent="0.25">
      <c r="A5211" s="15">
        <f>Sheet1!A5211</f>
        <v>0</v>
      </c>
      <c r="B5211">
        <f>Sheet1!B5211</f>
        <v>0</v>
      </c>
      <c r="C5211">
        <f>IF(Sheet1!B5211&gt;0,1,0)</f>
        <v>0</v>
      </c>
    </row>
    <row r="5212" spans="1:3" x14ac:dyDescent="0.25">
      <c r="A5212" s="15">
        <f>Sheet1!A5212</f>
        <v>0</v>
      </c>
      <c r="B5212">
        <f>Sheet1!B5212</f>
        <v>9.76</v>
      </c>
      <c r="C5212">
        <f>IF(Sheet1!B5212&gt;0,1,0)</f>
        <v>1</v>
      </c>
    </row>
    <row r="5213" spans="1:3" x14ac:dyDescent="0.25">
      <c r="A5213" s="15">
        <f>Sheet1!A5213</f>
        <v>0</v>
      </c>
      <c r="B5213">
        <f>Sheet1!B5213</f>
        <v>0</v>
      </c>
      <c r="C5213">
        <f>IF(Sheet1!B5213&gt;0,1,0)</f>
        <v>0</v>
      </c>
    </row>
    <row r="5214" spans="1:3" x14ac:dyDescent="0.25">
      <c r="A5214" s="15">
        <f>Sheet1!A5214</f>
        <v>0</v>
      </c>
      <c r="B5214">
        <f>Sheet1!B5214</f>
        <v>0</v>
      </c>
      <c r="C5214">
        <f>IF(Sheet1!B5214&gt;0,1,0)</f>
        <v>0</v>
      </c>
    </row>
    <row r="5215" spans="1:3" x14ac:dyDescent="0.25">
      <c r="A5215" s="15">
        <f>Sheet1!A5215</f>
        <v>0</v>
      </c>
      <c r="B5215">
        <f>Sheet1!B5215</f>
        <v>0</v>
      </c>
      <c r="C5215">
        <f>IF(Sheet1!B5215&gt;0,1,0)</f>
        <v>0</v>
      </c>
    </row>
    <row r="5216" spans="1:3" x14ac:dyDescent="0.25">
      <c r="A5216" s="15">
        <f>Sheet1!A5216</f>
        <v>0</v>
      </c>
      <c r="B5216">
        <f>Sheet1!B5216</f>
        <v>0</v>
      </c>
      <c r="C5216">
        <f>IF(Sheet1!B5216&gt;0,1,0)</f>
        <v>0</v>
      </c>
    </row>
    <row r="5217" spans="1:3" x14ac:dyDescent="0.25">
      <c r="A5217" s="15">
        <f>Sheet1!A5217</f>
        <v>0</v>
      </c>
      <c r="B5217">
        <f>Sheet1!B5217</f>
        <v>0</v>
      </c>
      <c r="C5217">
        <f>IF(Sheet1!B5217&gt;0,1,0)</f>
        <v>0</v>
      </c>
    </row>
    <row r="5218" spans="1:3" x14ac:dyDescent="0.25">
      <c r="A5218" s="15">
        <f>Sheet1!A5218</f>
        <v>0</v>
      </c>
      <c r="B5218">
        <f>Sheet1!B5218</f>
        <v>10.82</v>
      </c>
      <c r="C5218">
        <f>IF(Sheet1!B5218&gt;0,1,0)</f>
        <v>1</v>
      </c>
    </row>
    <row r="5219" spans="1:3" x14ac:dyDescent="0.25">
      <c r="A5219" s="15">
        <f>Sheet1!A5219</f>
        <v>0</v>
      </c>
      <c r="B5219">
        <f>Sheet1!B5219</f>
        <v>0</v>
      </c>
      <c r="C5219">
        <f>IF(Sheet1!B5219&gt;0,1,0)</f>
        <v>0</v>
      </c>
    </row>
    <row r="5220" spans="1:3" x14ac:dyDescent="0.25">
      <c r="A5220" s="15">
        <f>Sheet1!A5220</f>
        <v>0</v>
      </c>
      <c r="B5220">
        <f>Sheet1!B5220</f>
        <v>0</v>
      </c>
      <c r="C5220">
        <f>IF(Sheet1!B5220&gt;0,1,0)</f>
        <v>0</v>
      </c>
    </row>
    <row r="5221" spans="1:3" x14ac:dyDescent="0.25">
      <c r="A5221" s="15">
        <f>Sheet1!A5221</f>
        <v>0</v>
      </c>
      <c r="B5221">
        <f>Sheet1!B5221</f>
        <v>0</v>
      </c>
      <c r="C5221">
        <f>IF(Sheet1!B5221&gt;0,1,0)</f>
        <v>0</v>
      </c>
    </row>
    <row r="5222" spans="1:3" x14ac:dyDescent="0.25">
      <c r="A5222" s="15">
        <f>Sheet1!A5222</f>
        <v>0</v>
      </c>
      <c r="B5222">
        <f>Sheet1!B5222</f>
        <v>0</v>
      </c>
      <c r="C5222">
        <f>IF(Sheet1!B5222&gt;0,1,0)</f>
        <v>0</v>
      </c>
    </row>
    <row r="5223" spans="1:3" x14ac:dyDescent="0.25">
      <c r="A5223" s="15">
        <f>Sheet1!A5223</f>
        <v>0</v>
      </c>
      <c r="B5223">
        <f>Sheet1!B5223</f>
        <v>0</v>
      </c>
      <c r="C5223">
        <f>IF(Sheet1!B5223&gt;0,1,0)</f>
        <v>0</v>
      </c>
    </row>
    <row r="5224" spans="1:3" x14ac:dyDescent="0.25">
      <c r="A5224" s="15">
        <f>Sheet1!A5224</f>
        <v>0</v>
      </c>
      <c r="B5224">
        <f>Sheet1!B5224</f>
        <v>0</v>
      </c>
      <c r="C5224">
        <f>IF(Sheet1!B5224&gt;0,1,0)</f>
        <v>0</v>
      </c>
    </row>
    <row r="5225" spans="1:3" x14ac:dyDescent="0.25">
      <c r="A5225" s="15">
        <f>Sheet1!A5225</f>
        <v>0</v>
      </c>
      <c r="B5225">
        <f>Sheet1!B5225</f>
        <v>0</v>
      </c>
      <c r="C5225">
        <f>IF(Sheet1!B5225&gt;0,1,0)</f>
        <v>0</v>
      </c>
    </row>
    <row r="5226" spans="1:3" x14ac:dyDescent="0.25">
      <c r="A5226" s="15">
        <f>Sheet1!A5226</f>
        <v>0</v>
      </c>
      <c r="B5226">
        <f>Sheet1!B5226</f>
        <v>0</v>
      </c>
      <c r="C5226">
        <f>IF(Sheet1!B5226&gt;0,1,0)</f>
        <v>0</v>
      </c>
    </row>
    <row r="5227" spans="1:3" x14ac:dyDescent="0.25">
      <c r="A5227" s="15">
        <f>Sheet1!A5227</f>
        <v>0</v>
      </c>
      <c r="B5227">
        <f>Sheet1!B5227</f>
        <v>0</v>
      </c>
      <c r="C5227">
        <f>IF(Sheet1!B5227&gt;0,1,0)</f>
        <v>0</v>
      </c>
    </row>
    <row r="5228" spans="1:3" x14ac:dyDescent="0.25">
      <c r="A5228" s="15">
        <f>Sheet1!A5228</f>
        <v>0</v>
      </c>
      <c r="B5228">
        <f>Sheet1!B5228</f>
        <v>18.14</v>
      </c>
      <c r="C5228">
        <f>IF(Sheet1!B5228&gt;0,1,0)</f>
        <v>1</v>
      </c>
    </row>
    <row r="5229" spans="1:3" x14ac:dyDescent="0.25">
      <c r="A5229" s="15">
        <f>Sheet1!A5229</f>
        <v>0</v>
      </c>
      <c r="B5229">
        <f>Sheet1!B5229</f>
        <v>0</v>
      </c>
      <c r="C5229">
        <f>IF(Sheet1!B5229&gt;0,1,0)</f>
        <v>0</v>
      </c>
    </row>
    <row r="5230" spans="1:3" x14ac:dyDescent="0.25">
      <c r="A5230" s="15">
        <f>Sheet1!A5230</f>
        <v>0</v>
      </c>
      <c r="B5230">
        <f>Sheet1!B5230</f>
        <v>0</v>
      </c>
      <c r="C5230">
        <f>IF(Sheet1!B5230&gt;0,1,0)</f>
        <v>0</v>
      </c>
    </row>
    <row r="5231" spans="1:3" x14ac:dyDescent="0.25">
      <c r="A5231" s="15">
        <f>Sheet1!A5231</f>
        <v>0</v>
      </c>
      <c r="B5231">
        <f>Sheet1!B5231</f>
        <v>0</v>
      </c>
      <c r="C5231">
        <f>IF(Sheet1!B5231&gt;0,1,0)</f>
        <v>0</v>
      </c>
    </row>
    <row r="5232" spans="1:3" x14ac:dyDescent="0.25">
      <c r="A5232" s="15">
        <f>Sheet1!A5232</f>
        <v>0</v>
      </c>
      <c r="B5232">
        <f>Sheet1!B5232</f>
        <v>17.559999999999999</v>
      </c>
      <c r="C5232">
        <f>IF(Sheet1!B5232&gt;0,1,0)</f>
        <v>1</v>
      </c>
    </row>
    <row r="5233" spans="1:3" x14ac:dyDescent="0.25">
      <c r="A5233" s="15">
        <f>Sheet1!A5233</f>
        <v>0</v>
      </c>
      <c r="B5233">
        <f>Sheet1!B5233</f>
        <v>0</v>
      </c>
      <c r="C5233">
        <f>IF(Sheet1!B5233&gt;0,1,0)</f>
        <v>0</v>
      </c>
    </row>
    <row r="5234" spans="1:3" x14ac:dyDescent="0.25">
      <c r="A5234" s="15">
        <f>Sheet1!A5234</f>
        <v>0</v>
      </c>
      <c r="B5234">
        <f>Sheet1!B5234</f>
        <v>0</v>
      </c>
      <c r="C5234">
        <f>IF(Sheet1!B5234&gt;0,1,0)</f>
        <v>0</v>
      </c>
    </row>
    <row r="5235" spans="1:3" x14ac:dyDescent="0.25">
      <c r="A5235" s="15">
        <f>Sheet1!A5235</f>
        <v>0</v>
      </c>
      <c r="B5235">
        <f>Sheet1!B5235</f>
        <v>0</v>
      </c>
      <c r="C5235">
        <f>IF(Sheet1!B5235&gt;0,1,0)</f>
        <v>0</v>
      </c>
    </row>
    <row r="5236" spans="1:3" x14ac:dyDescent="0.25">
      <c r="A5236" s="15">
        <f>Sheet1!A5236</f>
        <v>0</v>
      </c>
      <c r="B5236">
        <f>Sheet1!B5236</f>
        <v>0</v>
      </c>
      <c r="C5236">
        <f>IF(Sheet1!B5236&gt;0,1,0)</f>
        <v>0</v>
      </c>
    </row>
    <row r="5237" spans="1:3" x14ac:dyDescent="0.25">
      <c r="A5237" s="15">
        <f>Sheet1!A5237</f>
        <v>0</v>
      </c>
      <c r="B5237">
        <f>Sheet1!B5237</f>
        <v>0</v>
      </c>
      <c r="C5237">
        <f>IF(Sheet1!B5237&gt;0,1,0)</f>
        <v>0</v>
      </c>
    </row>
    <row r="5238" spans="1:3" x14ac:dyDescent="0.25">
      <c r="A5238" s="15">
        <f>Sheet1!A5238</f>
        <v>0</v>
      </c>
      <c r="B5238">
        <f>Sheet1!B5238</f>
        <v>0</v>
      </c>
      <c r="C5238">
        <f>IF(Sheet1!B5238&gt;0,1,0)</f>
        <v>0</v>
      </c>
    </row>
    <row r="5239" spans="1:3" x14ac:dyDescent="0.25">
      <c r="A5239" s="15">
        <f>Sheet1!A5239</f>
        <v>0</v>
      </c>
      <c r="B5239">
        <f>Sheet1!B5239</f>
        <v>0</v>
      </c>
      <c r="C5239">
        <f>IF(Sheet1!B5239&gt;0,1,0)</f>
        <v>0</v>
      </c>
    </row>
    <row r="5240" spans="1:3" x14ac:dyDescent="0.25">
      <c r="A5240" s="15">
        <f>Sheet1!A5240</f>
        <v>0</v>
      </c>
      <c r="B5240">
        <f>Sheet1!B5240</f>
        <v>18.850000000000001</v>
      </c>
      <c r="C5240">
        <f>IF(Sheet1!B5240&gt;0,1,0)</f>
        <v>1</v>
      </c>
    </row>
    <row r="5241" spans="1:3" x14ac:dyDescent="0.25">
      <c r="A5241" s="15">
        <f>Sheet1!A5241</f>
        <v>0</v>
      </c>
      <c r="B5241">
        <f>Sheet1!B5241</f>
        <v>0</v>
      </c>
      <c r="C5241">
        <f>IF(Sheet1!B5241&gt;0,1,0)</f>
        <v>0</v>
      </c>
    </row>
    <row r="5242" spans="1:3" x14ac:dyDescent="0.25">
      <c r="A5242" s="15">
        <f>Sheet1!A5242</f>
        <v>0</v>
      </c>
      <c r="B5242">
        <f>Sheet1!B5242</f>
        <v>0</v>
      </c>
      <c r="C5242">
        <f>IF(Sheet1!B5242&gt;0,1,0)</f>
        <v>0</v>
      </c>
    </row>
    <row r="5243" spans="1:3" x14ac:dyDescent="0.25">
      <c r="A5243" s="15">
        <f>Sheet1!A5243</f>
        <v>0</v>
      </c>
      <c r="B5243">
        <f>Sheet1!B5243</f>
        <v>0</v>
      </c>
      <c r="C5243">
        <f>IF(Sheet1!B5243&gt;0,1,0)</f>
        <v>0</v>
      </c>
    </row>
    <row r="5244" spans="1:3" x14ac:dyDescent="0.25">
      <c r="A5244" s="15">
        <f>Sheet1!A5244</f>
        <v>0</v>
      </c>
      <c r="B5244">
        <f>Sheet1!B5244</f>
        <v>0</v>
      </c>
      <c r="C5244">
        <f>IF(Sheet1!B5244&gt;0,1,0)</f>
        <v>0</v>
      </c>
    </row>
    <row r="5245" spans="1:3" x14ac:dyDescent="0.25">
      <c r="A5245" s="15">
        <f>Sheet1!A5245</f>
        <v>0</v>
      </c>
      <c r="B5245">
        <f>Sheet1!B5245</f>
        <v>0</v>
      </c>
      <c r="C5245">
        <f>IF(Sheet1!B5245&gt;0,1,0)</f>
        <v>0</v>
      </c>
    </row>
    <row r="5246" spans="1:3" x14ac:dyDescent="0.25">
      <c r="A5246" s="15">
        <f>Sheet1!A5246</f>
        <v>0</v>
      </c>
      <c r="B5246">
        <f>Sheet1!B5246</f>
        <v>0</v>
      </c>
      <c r="C5246">
        <f>IF(Sheet1!B5246&gt;0,1,0)</f>
        <v>0</v>
      </c>
    </row>
    <row r="5247" spans="1:3" x14ac:dyDescent="0.25">
      <c r="A5247" s="15">
        <f>Sheet1!A5247</f>
        <v>0</v>
      </c>
      <c r="B5247">
        <f>Sheet1!B5247</f>
        <v>0</v>
      </c>
      <c r="C5247">
        <f>IF(Sheet1!B5247&gt;0,1,0)</f>
        <v>0</v>
      </c>
    </row>
    <row r="5248" spans="1:3" x14ac:dyDescent="0.25">
      <c r="A5248" s="15">
        <f>Sheet1!A5248</f>
        <v>0</v>
      </c>
      <c r="B5248">
        <f>Sheet1!B5248</f>
        <v>0</v>
      </c>
      <c r="C5248">
        <f>IF(Sheet1!B5248&gt;0,1,0)</f>
        <v>0</v>
      </c>
    </row>
    <row r="5249" spans="1:3" x14ac:dyDescent="0.25">
      <c r="A5249" s="15">
        <f>Sheet1!A5249</f>
        <v>0</v>
      </c>
      <c r="B5249">
        <f>Sheet1!B5249</f>
        <v>0</v>
      </c>
      <c r="C5249">
        <f>IF(Sheet1!B5249&gt;0,1,0)</f>
        <v>0</v>
      </c>
    </row>
    <row r="5250" spans="1:3" x14ac:dyDescent="0.25">
      <c r="A5250" s="15">
        <f>Sheet1!A5250</f>
        <v>0</v>
      </c>
      <c r="B5250">
        <f>Sheet1!B5250</f>
        <v>0</v>
      </c>
      <c r="C5250">
        <f>IF(Sheet1!B5250&gt;0,1,0)</f>
        <v>0</v>
      </c>
    </row>
    <row r="5251" spans="1:3" x14ac:dyDescent="0.25">
      <c r="A5251" s="15">
        <f>Sheet1!A5251</f>
        <v>0</v>
      </c>
      <c r="B5251">
        <f>Sheet1!B5251</f>
        <v>0</v>
      </c>
      <c r="C5251">
        <f>IF(Sheet1!B5251&gt;0,1,0)</f>
        <v>0</v>
      </c>
    </row>
    <row r="5252" spans="1:3" x14ac:dyDescent="0.25">
      <c r="A5252" s="15">
        <f>Sheet1!A5252</f>
        <v>0</v>
      </c>
      <c r="B5252">
        <f>Sheet1!B5252</f>
        <v>16.239999999999998</v>
      </c>
      <c r="C5252">
        <f>IF(Sheet1!B5252&gt;0,1,0)</f>
        <v>1</v>
      </c>
    </row>
    <row r="5253" spans="1:3" x14ac:dyDescent="0.25">
      <c r="A5253" s="15">
        <f>Sheet1!A5253</f>
        <v>0</v>
      </c>
      <c r="B5253">
        <f>Sheet1!B5253</f>
        <v>0</v>
      </c>
      <c r="C5253">
        <f>IF(Sheet1!B5253&gt;0,1,0)</f>
        <v>0</v>
      </c>
    </row>
    <row r="5254" spans="1:3" x14ac:dyDescent="0.25">
      <c r="A5254" s="15">
        <f>Sheet1!A5254</f>
        <v>0</v>
      </c>
      <c r="B5254">
        <f>Sheet1!B5254</f>
        <v>0</v>
      </c>
      <c r="C5254">
        <f>IF(Sheet1!B5254&gt;0,1,0)</f>
        <v>0</v>
      </c>
    </row>
    <row r="5255" spans="1:3" x14ac:dyDescent="0.25">
      <c r="A5255" s="15">
        <f>Sheet1!A5255</f>
        <v>0</v>
      </c>
      <c r="B5255">
        <f>Sheet1!B5255</f>
        <v>0</v>
      </c>
      <c r="C5255">
        <f>IF(Sheet1!B5255&gt;0,1,0)</f>
        <v>0</v>
      </c>
    </row>
    <row r="5256" spans="1:3" x14ac:dyDescent="0.25">
      <c r="A5256" s="15">
        <f>Sheet1!A5256</f>
        <v>0</v>
      </c>
      <c r="B5256">
        <f>Sheet1!B5256</f>
        <v>15.21</v>
      </c>
      <c r="C5256">
        <f>IF(Sheet1!B5256&gt;0,1,0)</f>
        <v>1</v>
      </c>
    </row>
    <row r="5257" spans="1:3" x14ac:dyDescent="0.25">
      <c r="A5257" s="15">
        <f>Sheet1!A5257</f>
        <v>0</v>
      </c>
      <c r="B5257">
        <f>Sheet1!B5257</f>
        <v>0</v>
      </c>
      <c r="C5257">
        <f>IF(Sheet1!B5257&gt;0,1,0)</f>
        <v>0</v>
      </c>
    </row>
    <row r="5258" spans="1:3" x14ac:dyDescent="0.25">
      <c r="A5258" s="15">
        <f>Sheet1!A5258</f>
        <v>0</v>
      </c>
      <c r="B5258">
        <f>Sheet1!B5258</f>
        <v>0</v>
      </c>
      <c r="C5258">
        <f>IF(Sheet1!B5258&gt;0,1,0)</f>
        <v>0</v>
      </c>
    </row>
    <row r="5259" spans="1:3" x14ac:dyDescent="0.25">
      <c r="A5259" s="15">
        <f>Sheet1!A5259</f>
        <v>0</v>
      </c>
      <c r="B5259">
        <f>Sheet1!B5259</f>
        <v>0</v>
      </c>
      <c r="C5259">
        <f>IF(Sheet1!B5259&gt;0,1,0)</f>
        <v>0</v>
      </c>
    </row>
    <row r="5260" spans="1:3" x14ac:dyDescent="0.25">
      <c r="A5260" s="15">
        <f>Sheet1!A5260</f>
        <v>0</v>
      </c>
      <c r="B5260">
        <f>Sheet1!B5260</f>
        <v>10.37</v>
      </c>
      <c r="C5260">
        <f>IF(Sheet1!B5260&gt;0,1,0)</f>
        <v>1</v>
      </c>
    </row>
    <row r="5261" spans="1:3" x14ac:dyDescent="0.25">
      <c r="A5261" s="15">
        <f>Sheet1!A5261</f>
        <v>0</v>
      </c>
      <c r="B5261">
        <f>Sheet1!B5261</f>
        <v>0</v>
      </c>
      <c r="C5261">
        <f>IF(Sheet1!B5261&gt;0,1,0)</f>
        <v>0</v>
      </c>
    </row>
    <row r="5262" spans="1:3" x14ac:dyDescent="0.25">
      <c r="A5262" s="15">
        <f>Sheet1!A5262</f>
        <v>0</v>
      </c>
      <c r="B5262">
        <f>Sheet1!B5262</f>
        <v>0</v>
      </c>
      <c r="C5262">
        <f>IF(Sheet1!B5262&gt;0,1,0)</f>
        <v>0</v>
      </c>
    </row>
    <row r="5263" spans="1:3" x14ac:dyDescent="0.25">
      <c r="A5263" s="15">
        <f>Sheet1!A5263</f>
        <v>0</v>
      </c>
      <c r="B5263">
        <f>Sheet1!B5263</f>
        <v>0</v>
      </c>
      <c r="C5263">
        <f>IF(Sheet1!B5263&gt;0,1,0)</f>
        <v>0</v>
      </c>
    </row>
    <row r="5264" spans="1:3" x14ac:dyDescent="0.25">
      <c r="A5264" s="15">
        <f>Sheet1!A5264</f>
        <v>0</v>
      </c>
      <c r="B5264">
        <f>Sheet1!B5264</f>
        <v>13.17</v>
      </c>
      <c r="C5264">
        <f>IF(Sheet1!B5264&gt;0,1,0)</f>
        <v>1</v>
      </c>
    </row>
    <row r="5265" spans="1:3" x14ac:dyDescent="0.25">
      <c r="A5265" s="15">
        <f>Sheet1!A5265</f>
        <v>0</v>
      </c>
      <c r="B5265">
        <f>Sheet1!B5265</f>
        <v>0</v>
      </c>
      <c r="C5265">
        <f>IF(Sheet1!B5265&gt;0,1,0)</f>
        <v>0</v>
      </c>
    </row>
    <row r="5266" spans="1:3" x14ac:dyDescent="0.25">
      <c r="A5266" s="15">
        <f>Sheet1!A5266</f>
        <v>0</v>
      </c>
      <c r="B5266">
        <f>Sheet1!B5266</f>
        <v>0</v>
      </c>
      <c r="C5266">
        <f>IF(Sheet1!B5266&gt;0,1,0)</f>
        <v>0</v>
      </c>
    </row>
    <row r="5267" spans="1:3" x14ac:dyDescent="0.25">
      <c r="A5267" s="15">
        <f>Sheet1!A5267</f>
        <v>0</v>
      </c>
      <c r="B5267">
        <f>Sheet1!B5267</f>
        <v>0</v>
      </c>
      <c r="C5267">
        <f>IF(Sheet1!B5267&gt;0,1,0)</f>
        <v>0</v>
      </c>
    </row>
    <row r="5268" spans="1:3" x14ac:dyDescent="0.25">
      <c r="A5268" s="15">
        <f>Sheet1!A5268</f>
        <v>0</v>
      </c>
      <c r="B5268">
        <f>Sheet1!B5268</f>
        <v>0</v>
      </c>
      <c r="C5268">
        <f>IF(Sheet1!B5268&gt;0,1,0)</f>
        <v>0</v>
      </c>
    </row>
    <row r="5269" spans="1:3" x14ac:dyDescent="0.25">
      <c r="A5269" s="15">
        <f>Sheet1!A5269</f>
        <v>0</v>
      </c>
      <c r="B5269">
        <f>Sheet1!B5269</f>
        <v>0</v>
      </c>
      <c r="C5269">
        <f>IF(Sheet1!B5269&gt;0,1,0)</f>
        <v>0</v>
      </c>
    </row>
    <row r="5270" spans="1:3" x14ac:dyDescent="0.25">
      <c r="A5270" s="15">
        <f>Sheet1!A5270</f>
        <v>0</v>
      </c>
      <c r="B5270">
        <f>Sheet1!B5270</f>
        <v>0</v>
      </c>
      <c r="C5270">
        <f>IF(Sheet1!B5270&gt;0,1,0)</f>
        <v>0</v>
      </c>
    </row>
    <row r="5271" spans="1:3" x14ac:dyDescent="0.25">
      <c r="A5271" s="15">
        <f>Sheet1!A5271</f>
        <v>0</v>
      </c>
      <c r="B5271">
        <f>Sheet1!B5271</f>
        <v>0</v>
      </c>
      <c r="C5271">
        <f>IF(Sheet1!B5271&gt;0,1,0)</f>
        <v>0</v>
      </c>
    </row>
    <row r="5272" spans="1:3" x14ac:dyDescent="0.25">
      <c r="A5272" s="15">
        <f>Sheet1!A5272</f>
        <v>0</v>
      </c>
      <c r="B5272">
        <f>Sheet1!B5272</f>
        <v>0</v>
      </c>
      <c r="C5272">
        <f>IF(Sheet1!B5272&gt;0,1,0)</f>
        <v>0</v>
      </c>
    </row>
    <row r="5273" spans="1:3" x14ac:dyDescent="0.25">
      <c r="A5273" s="15">
        <f>Sheet1!A5273</f>
        <v>0</v>
      </c>
      <c r="B5273">
        <f>Sheet1!B5273</f>
        <v>0</v>
      </c>
      <c r="C5273">
        <f>IF(Sheet1!B5273&gt;0,1,0)</f>
        <v>0</v>
      </c>
    </row>
    <row r="5274" spans="1:3" x14ac:dyDescent="0.25">
      <c r="A5274" s="15">
        <f>Sheet1!A5274</f>
        <v>0</v>
      </c>
      <c r="B5274">
        <f>Sheet1!B5274</f>
        <v>0</v>
      </c>
      <c r="C5274">
        <f>IF(Sheet1!B5274&gt;0,1,0)</f>
        <v>0</v>
      </c>
    </row>
    <row r="5275" spans="1:3" x14ac:dyDescent="0.25">
      <c r="A5275" s="15">
        <f>Sheet1!A5275</f>
        <v>0</v>
      </c>
      <c r="B5275">
        <f>Sheet1!B5275</f>
        <v>0</v>
      </c>
      <c r="C5275">
        <f>IF(Sheet1!B5275&gt;0,1,0)</f>
        <v>0</v>
      </c>
    </row>
    <row r="5276" spans="1:3" x14ac:dyDescent="0.25">
      <c r="A5276" s="15">
        <f>Sheet1!A5276</f>
        <v>0</v>
      </c>
      <c r="B5276">
        <f>Sheet1!B5276</f>
        <v>0</v>
      </c>
      <c r="C5276">
        <f>IF(Sheet1!B5276&gt;0,1,0)</f>
        <v>0</v>
      </c>
    </row>
    <row r="5277" spans="1:3" x14ac:dyDescent="0.25">
      <c r="A5277" s="15">
        <f>Sheet1!A5277</f>
        <v>0</v>
      </c>
      <c r="B5277">
        <f>Sheet1!B5277</f>
        <v>0</v>
      </c>
      <c r="C5277">
        <f>IF(Sheet1!B5277&gt;0,1,0)</f>
        <v>0</v>
      </c>
    </row>
    <row r="5278" spans="1:3" x14ac:dyDescent="0.25">
      <c r="A5278" s="15">
        <f>Sheet1!A5278</f>
        <v>0</v>
      </c>
      <c r="B5278">
        <f>Sheet1!B5278</f>
        <v>0</v>
      </c>
      <c r="C5278">
        <f>IF(Sheet1!B5278&gt;0,1,0)</f>
        <v>0</v>
      </c>
    </row>
    <row r="5279" spans="1:3" x14ac:dyDescent="0.25">
      <c r="A5279" s="15">
        <f>Sheet1!A5279</f>
        <v>0</v>
      </c>
      <c r="B5279">
        <f>Sheet1!B5279</f>
        <v>0</v>
      </c>
      <c r="C5279">
        <f>IF(Sheet1!B5279&gt;0,1,0)</f>
        <v>0</v>
      </c>
    </row>
    <row r="5280" spans="1:3" x14ac:dyDescent="0.25">
      <c r="A5280" s="15">
        <f>Sheet1!A5280</f>
        <v>0</v>
      </c>
      <c r="B5280">
        <f>Sheet1!B5280</f>
        <v>0</v>
      </c>
      <c r="C5280">
        <f>IF(Sheet1!B5280&gt;0,1,0)</f>
        <v>0</v>
      </c>
    </row>
    <row r="5281" spans="1:3" x14ac:dyDescent="0.25">
      <c r="A5281" s="15">
        <f>Sheet1!A5281</f>
        <v>0</v>
      </c>
      <c r="B5281">
        <f>Sheet1!B5281</f>
        <v>0</v>
      </c>
      <c r="C5281">
        <f>IF(Sheet1!B5281&gt;0,1,0)</f>
        <v>0</v>
      </c>
    </row>
    <row r="5282" spans="1:3" x14ac:dyDescent="0.25">
      <c r="A5282" s="15">
        <f>Sheet1!A5282</f>
        <v>0</v>
      </c>
      <c r="B5282">
        <f>Sheet1!B5282</f>
        <v>0</v>
      </c>
      <c r="C5282">
        <f>IF(Sheet1!B5282&gt;0,1,0)</f>
        <v>0</v>
      </c>
    </row>
    <row r="5283" spans="1:3" x14ac:dyDescent="0.25">
      <c r="A5283" s="15">
        <f>Sheet1!A5283</f>
        <v>0</v>
      </c>
      <c r="B5283">
        <f>Sheet1!B5283</f>
        <v>0</v>
      </c>
      <c r="C5283">
        <f>IF(Sheet1!B5283&gt;0,1,0)</f>
        <v>0</v>
      </c>
    </row>
    <row r="5284" spans="1:3" x14ac:dyDescent="0.25">
      <c r="A5284" s="15">
        <f>Sheet1!A5284</f>
        <v>0</v>
      </c>
      <c r="B5284">
        <f>Sheet1!B5284</f>
        <v>11.48</v>
      </c>
      <c r="C5284">
        <f>IF(Sheet1!B5284&gt;0,1,0)</f>
        <v>1</v>
      </c>
    </row>
    <row r="5285" spans="1:3" x14ac:dyDescent="0.25">
      <c r="A5285" s="15">
        <f>Sheet1!A5285</f>
        <v>0</v>
      </c>
      <c r="B5285">
        <f>Sheet1!B5285</f>
        <v>10.31</v>
      </c>
      <c r="C5285">
        <f>IF(Sheet1!B5285&gt;0,1,0)</f>
        <v>1</v>
      </c>
    </row>
    <row r="5286" spans="1:3" x14ac:dyDescent="0.25">
      <c r="A5286" s="15">
        <f>Sheet1!A5286</f>
        <v>0</v>
      </c>
      <c r="B5286">
        <f>Sheet1!B5286</f>
        <v>0</v>
      </c>
      <c r="C5286">
        <f>IF(Sheet1!B5286&gt;0,1,0)</f>
        <v>0</v>
      </c>
    </row>
    <row r="5287" spans="1:3" x14ac:dyDescent="0.25">
      <c r="A5287" s="15">
        <f>Sheet1!A5287</f>
        <v>0</v>
      </c>
      <c r="B5287">
        <f>Sheet1!B5287</f>
        <v>0</v>
      </c>
      <c r="C5287">
        <f>IF(Sheet1!B5287&gt;0,1,0)</f>
        <v>0</v>
      </c>
    </row>
    <row r="5288" spans="1:3" x14ac:dyDescent="0.25">
      <c r="A5288" s="15">
        <f>Sheet1!A5288</f>
        <v>0</v>
      </c>
      <c r="B5288">
        <f>Sheet1!B5288</f>
        <v>0</v>
      </c>
      <c r="C5288">
        <f>IF(Sheet1!B5288&gt;0,1,0)</f>
        <v>0</v>
      </c>
    </row>
    <row r="5289" spans="1:3" x14ac:dyDescent="0.25">
      <c r="A5289" s="15">
        <f>Sheet1!A5289</f>
        <v>0</v>
      </c>
      <c r="B5289">
        <f>Sheet1!B5289</f>
        <v>11.31</v>
      </c>
      <c r="C5289">
        <f>IF(Sheet1!B5289&gt;0,1,0)</f>
        <v>1</v>
      </c>
    </row>
    <row r="5290" spans="1:3" x14ac:dyDescent="0.25">
      <c r="A5290" s="15">
        <f>Sheet1!A5290</f>
        <v>0</v>
      </c>
      <c r="B5290">
        <f>Sheet1!B5290</f>
        <v>9.98</v>
      </c>
      <c r="C5290">
        <f>IF(Sheet1!B5290&gt;0,1,0)</f>
        <v>1</v>
      </c>
    </row>
    <row r="5291" spans="1:3" x14ac:dyDescent="0.25">
      <c r="A5291" s="15">
        <f>Sheet1!A5291</f>
        <v>0</v>
      </c>
      <c r="B5291">
        <f>Sheet1!B5291</f>
        <v>8.49</v>
      </c>
      <c r="C5291">
        <f>IF(Sheet1!B5291&gt;0,1,0)</f>
        <v>1</v>
      </c>
    </row>
    <row r="5292" spans="1:3" x14ac:dyDescent="0.25">
      <c r="A5292" s="15">
        <f>Sheet1!A5292</f>
        <v>0</v>
      </c>
      <c r="B5292">
        <f>Sheet1!B5292</f>
        <v>8.75</v>
      </c>
      <c r="C5292">
        <f>IF(Sheet1!B5292&gt;0,1,0)</f>
        <v>1</v>
      </c>
    </row>
    <row r="5293" spans="1:3" x14ac:dyDescent="0.25">
      <c r="A5293" s="15">
        <f>Sheet1!A5293</f>
        <v>0</v>
      </c>
      <c r="B5293">
        <f>Sheet1!B5293</f>
        <v>0</v>
      </c>
      <c r="C5293">
        <f>IF(Sheet1!B5293&gt;0,1,0)</f>
        <v>0</v>
      </c>
    </row>
    <row r="5294" spans="1:3" x14ac:dyDescent="0.25">
      <c r="A5294" s="15">
        <f>Sheet1!A5294</f>
        <v>0</v>
      </c>
      <c r="B5294">
        <f>Sheet1!B5294</f>
        <v>0</v>
      </c>
      <c r="C5294">
        <f>IF(Sheet1!B5294&gt;0,1,0)</f>
        <v>0</v>
      </c>
    </row>
    <row r="5295" spans="1:3" x14ac:dyDescent="0.25">
      <c r="A5295" s="15">
        <f>Sheet1!A5295</f>
        <v>0</v>
      </c>
      <c r="B5295">
        <f>Sheet1!B5295</f>
        <v>0</v>
      </c>
      <c r="C5295">
        <f>IF(Sheet1!B5295&gt;0,1,0)</f>
        <v>0</v>
      </c>
    </row>
    <row r="5296" spans="1:3" x14ac:dyDescent="0.25">
      <c r="A5296" s="15">
        <f>Sheet1!A5296</f>
        <v>0</v>
      </c>
      <c r="B5296">
        <f>Sheet1!B5296</f>
        <v>0</v>
      </c>
      <c r="C5296">
        <f>IF(Sheet1!B5296&gt;0,1,0)</f>
        <v>0</v>
      </c>
    </row>
    <row r="5297" spans="1:3" x14ac:dyDescent="0.25">
      <c r="A5297" s="15">
        <f>Sheet1!A5297</f>
        <v>0</v>
      </c>
      <c r="B5297">
        <f>Sheet1!B5297</f>
        <v>0</v>
      </c>
      <c r="C5297">
        <f>IF(Sheet1!B5297&gt;0,1,0)</f>
        <v>0</v>
      </c>
    </row>
    <row r="5298" spans="1:3" x14ac:dyDescent="0.25">
      <c r="A5298" s="15">
        <f>Sheet1!A5298</f>
        <v>0</v>
      </c>
      <c r="B5298">
        <f>Sheet1!B5298</f>
        <v>16.86</v>
      </c>
      <c r="C5298">
        <f>IF(Sheet1!B5298&gt;0,1,0)</f>
        <v>1</v>
      </c>
    </row>
    <row r="5299" spans="1:3" x14ac:dyDescent="0.25">
      <c r="A5299" s="15">
        <f>Sheet1!A5299</f>
        <v>0</v>
      </c>
      <c r="B5299">
        <f>Sheet1!B5299</f>
        <v>0</v>
      </c>
      <c r="C5299">
        <f>IF(Sheet1!B5299&gt;0,1,0)</f>
        <v>0</v>
      </c>
    </row>
    <row r="5300" spans="1:3" x14ac:dyDescent="0.25">
      <c r="A5300" s="15">
        <f>Sheet1!A5300</f>
        <v>0</v>
      </c>
      <c r="B5300">
        <f>Sheet1!B5300</f>
        <v>0</v>
      </c>
      <c r="C5300">
        <f>IF(Sheet1!B5300&gt;0,1,0)</f>
        <v>0</v>
      </c>
    </row>
    <row r="5301" spans="1:3" x14ac:dyDescent="0.25">
      <c r="A5301" s="15">
        <f>Sheet1!A5301</f>
        <v>0</v>
      </c>
      <c r="B5301">
        <f>Sheet1!B5301</f>
        <v>0</v>
      </c>
      <c r="C5301">
        <f>IF(Sheet1!B5301&gt;0,1,0)</f>
        <v>0</v>
      </c>
    </row>
    <row r="5302" spans="1:3" x14ac:dyDescent="0.25">
      <c r="A5302" s="15">
        <f>Sheet1!A5302</f>
        <v>0</v>
      </c>
      <c r="B5302">
        <f>Sheet1!B5302</f>
        <v>0</v>
      </c>
      <c r="C5302">
        <f>IF(Sheet1!B5302&gt;0,1,0)</f>
        <v>0</v>
      </c>
    </row>
    <row r="5303" spans="1:3" x14ac:dyDescent="0.25">
      <c r="A5303" s="15">
        <f>Sheet1!A5303</f>
        <v>0</v>
      </c>
      <c r="B5303">
        <f>Sheet1!B5303</f>
        <v>0</v>
      </c>
      <c r="C5303">
        <f>IF(Sheet1!B5303&gt;0,1,0)</f>
        <v>0</v>
      </c>
    </row>
    <row r="5304" spans="1:3" x14ac:dyDescent="0.25">
      <c r="A5304" s="15">
        <f>Sheet1!A5304</f>
        <v>0</v>
      </c>
      <c r="B5304">
        <f>Sheet1!B5304</f>
        <v>14.53</v>
      </c>
      <c r="C5304">
        <f>IF(Sheet1!B5304&gt;0,1,0)</f>
        <v>1</v>
      </c>
    </row>
    <row r="5305" spans="1:3" x14ac:dyDescent="0.25">
      <c r="A5305" s="15">
        <f>Sheet1!A5305</f>
        <v>0</v>
      </c>
      <c r="B5305">
        <f>Sheet1!B5305</f>
        <v>0</v>
      </c>
      <c r="C5305">
        <f>IF(Sheet1!B5305&gt;0,1,0)</f>
        <v>0</v>
      </c>
    </row>
    <row r="5306" spans="1:3" x14ac:dyDescent="0.25">
      <c r="A5306" s="15">
        <f>Sheet1!A5306</f>
        <v>0</v>
      </c>
      <c r="B5306">
        <f>Sheet1!B5306</f>
        <v>0</v>
      </c>
      <c r="C5306">
        <f>IF(Sheet1!B5306&gt;0,1,0)</f>
        <v>0</v>
      </c>
    </row>
    <row r="5307" spans="1:3" x14ac:dyDescent="0.25">
      <c r="A5307" s="15">
        <f>Sheet1!A5307</f>
        <v>0</v>
      </c>
      <c r="B5307">
        <f>Sheet1!B5307</f>
        <v>0</v>
      </c>
      <c r="C5307">
        <f>IF(Sheet1!B5307&gt;0,1,0)</f>
        <v>0</v>
      </c>
    </row>
    <row r="5308" spans="1:3" x14ac:dyDescent="0.25">
      <c r="A5308" s="15">
        <f>Sheet1!A5308</f>
        <v>0</v>
      </c>
      <c r="B5308">
        <f>Sheet1!B5308</f>
        <v>11.69</v>
      </c>
      <c r="C5308">
        <f>IF(Sheet1!B5308&gt;0,1,0)</f>
        <v>1</v>
      </c>
    </row>
    <row r="5309" spans="1:3" x14ac:dyDescent="0.25">
      <c r="A5309" s="15">
        <f>Sheet1!A5309</f>
        <v>0</v>
      </c>
      <c r="B5309">
        <f>Sheet1!B5309</f>
        <v>0</v>
      </c>
      <c r="C5309">
        <f>IF(Sheet1!B5309&gt;0,1,0)</f>
        <v>0</v>
      </c>
    </row>
    <row r="5310" spans="1:3" x14ac:dyDescent="0.25">
      <c r="A5310" s="15">
        <f>Sheet1!A5310</f>
        <v>0</v>
      </c>
      <c r="B5310">
        <f>Sheet1!B5310</f>
        <v>0</v>
      </c>
      <c r="C5310">
        <f>IF(Sheet1!B5310&gt;0,1,0)</f>
        <v>0</v>
      </c>
    </row>
    <row r="5311" spans="1:3" x14ac:dyDescent="0.25">
      <c r="A5311" s="15">
        <f>Sheet1!A5311</f>
        <v>0</v>
      </c>
      <c r="B5311">
        <f>Sheet1!B5311</f>
        <v>0</v>
      </c>
      <c r="C5311">
        <f>IF(Sheet1!B5311&gt;0,1,0)</f>
        <v>0</v>
      </c>
    </row>
    <row r="5312" spans="1:3" x14ac:dyDescent="0.25">
      <c r="A5312" s="15">
        <f>Sheet1!A5312</f>
        <v>0</v>
      </c>
      <c r="B5312">
        <f>Sheet1!B5312</f>
        <v>12.03</v>
      </c>
      <c r="C5312">
        <f>IF(Sheet1!B5312&gt;0,1,0)</f>
        <v>1</v>
      </c>
    </row>
    <row r="5313" spans="1:3" x14ac:dyDescent="0.25">
      <c r="A5313" s="15">
        <f>Sheet1!A5313</f>
        <v>0</v>
      </c>
      <c r="B5313">
        <f>Sheet1!B5313</f>
        <v>14.42</v>
      </c>
      <c r="C5313">
        <f>IF(Sheet1!B5313&gt;0,1,0)</f>
        <v>1</v>
      </c>
    </row>
    <row r="5314" spans="1:3" x14ac:dyDescent="0.25">
      <c r="A5314" s="15">
        <f>Sheet1!A5314</f>
        <v>0</v>
      </c>
      <c r="B5314">
        <f>Sheet1!B5314</f>
        <v>15.1</v>
      </c>
      <c r="C5314">
        <f>IF(Sheet1!B5314&gt;0,1,0)</f>
        <v>1</v>
      </c>
    </row>
    <row r="5315" spans="1:3" x14ac:dyDescent="0.25">
      <c r="A5315" s="15">
        <f>Sheet1!A5315</f>
        <v>0</v>
      </c>
      <c r="B5315">
        <f>Sheet1!B5315</f>
        <v>0</v>
      </c>
      <c r="C5315">
        <f>IF(Sheet1!B5315&gt;0,1,0)</f>
        <v>0</v>
      </c>
    </row>
    <row r="5316" spans="1:3" x14ac:dyDescent="0.25">
      <c r="A5316" s="15">
        <f>Sheet1!A5316</f>
        <v>0</v>
      </c>
      <c r="B5316">
        <f>Sheet1!B5316</f>
        <v>0</v>
      </c>
      <c r="C5316">
        <f>IF(Sheet1!B5316&gt;0,1,0)</f>
        <v>0</v>
      </c>
    </row>
    <row r="5317" spans="1:3" x14ac:dyDescent="0.25">
      <c r="A5317" s="15">
        <f>Sheet1!A5317</f>
        <v>0</v>
      </c>
      <c r="B5317">
        <f>Sheet1!B5317</f>
        <v>0</v>
      </c>
      <c r="C5317">
        <f>IF(Sheet1!B5317&gt;0,1,0)</f>
        <v>0</v>
      </c>
    </row>
    <row r="5318" spans="1:3" x14ac:dyDescent="0.25">
      <c r="A5318" s="15">
        <f>Sheet1!A5318</f>
        <v>0</v>
      </c>
      <c r="B5318">
        <f>Sheet1!B5318</f>
        <v>18.649999999999999</v>
      </c>
      <c r="C5318">
        <f>IF(Sheet1!B5318&gt;0,1,0)</f>
        <v>1</v>
      </c>
    </row>
    <row r="5319" spans="1:3" x14ac:dyDescent="0.25">
      <c r="A5319" s="15">
        <f>Sheet1!A5319</f>
        <v>0</v>
      </c>
      <c r="B5319">
        <f>Sheet1!B5319</f>
        <v>0</v>
      </c>
      <c r="C5319">
        <f>IF(Sheet1!B5319&gt;0,1,0)</f>
        <v>0</v>
      </c>
    </row>
    <row r="5320" spans="1:3" x14ac:dyDescent="0.25">
      <c r="A5320" s="15">
        <f>Sheet1!A5320</f>
        <v>0</v>
      </c>
      <c r="B5320">
        <f>Sheet1!B5320</f>
        <v>0</v>
      </c>
      <c r="C5320">
        <f>IF(Sheet1!B5320&gt;0,1,0)</f>
        <v>0</v>
      </c>
    </row>
    <row r="5321" spans="1:3" x14ac:dyDescent="0.25">
      <c r="A5321" s="15">
        <f>Sheet1!A5321</f>
        <v>0</v>
      </c>
      <c r="B5321">
        <f>Sheet1!B5321</f>
        <v>0</v>
      </c>
      <c r="C5321">
        <f>IF(Sheet1!B5321&gt;0,1,0)</f>
        <v>0</v>
      </c>
    </row>
    <row r="5322" spans="1:3" x14ac:dyDescent="0.25">
      <c r="A5322" s="15">
        <f>Sheet1!A5322</f>
        <v>0</v>
      </c>
      <c r="B5322">
        <f>Sheet1!B5322</f>
        <v>11.6</v>
      </c>
      <c r="C5322">
        <f>IF(Sheet1!B5322&gt;0,1,0)</f>
        <v>1</v>
      </c>
    </row>
    <row r="5323" spans="1:3" x14ac:dyDescent="0.25">
      <c r="A5323" s="15">
        <f>Sheet1!A5323</f>
        <v>0</v>
      </c>
      <c r="B5323">
        <f>Sheet1!B5323</f>
        <v>0</v>
      </c>
      <c r="C5323">
        <f>IF(Sheet1!B5323&gt;0,1,0)</f>
        <v>0</v>
      </c>
    </row>
    <row r="5324" spans="1:3" x14ac:dyDescent="0.25">
      <c r="A5324" s="15">
        <f>Sheet1!A5324</f>
        <v>0</v>
      </c>
      <c r="B5324">
        <f>Sheet1!B5324</f>
        <v>0</v>
      </c>
      <c r="C5324">
        <f>IF(Sheet1!B5324&gt;0,1,0)</f>
        <v>0</v>
      </c>
    </row>
    <row r="5325" spans="1:3" x14ac:dyDescent="0.25">
      <c r="A5325" s="15">
        <f>Sheet1!A5325</f>
        <v>0</v>
      </c>
      <c r="B5325">
        <f>Sheet1!B5325</f>
        <v>0</v>
      </c>
      <c r="C5325">
        <f>IF(Sheet1!B5325&gt;0,1,0)</f>
        <v>0</v>
      </c>
    </row>
    <row r="5326" spans="1:3" x14ac:dyDescent="0.25">
      <c r="A5326" s="15">
        <f>Sheet1!A5326</f>
        <v>0</v>
      </c>
      <c r="B5326">
        <f>Sheet1!B5326</f>
        <v>19.64</v>
      </c>
      <c r="C5326">
        <f>IF(Sheet1!B5326&gt;0,1,0)</f>
        <v>1</v>
      </c>
    </row>
    <row r="5327" spans="1:3" x14ac:dyDescent="0.25">
      <c r="A5327" s="15">
        <f>Sheet1!A5327</f>
        <v>0</v>
      </c>
      <c r="B5327">
        <f>Sheet1!B5327</f>
        <v>0</v>
      </c>
      <c r="C5327">
        <f>IF(Sheet1!B5327&gt;0,1,0)</f>
        <v>0</v>
      </c>
    </row>
    <row r="5328" spans="1:3" x14ac:dyDescent="0.25">
      <c r="A5328" s="15">
        <f>Sheet1!A5328</f>
        <v>0</v>
      </c>
      <c r="B5328">
        <f>Sheet1!B5328</f>
        <v>0</v>
      </c>
      <c r="C5328">
        <f>IF(Sheet1!B5328&gt;0,1,0)</f>
        <v>0</v>
      </c>
    </row>
    <row r="5329" spans="1:3" x14ac:dyDescent="0.25">
      <c r="A5329" s="15">
        <f>Sheet1!A5329</f>
        <v>0</v>
      </c>
      <c r="B5329">
        <f>Sheet1!B5329</f>
        <v>0</v>
      </c>
      <c r="C5329">
        <f>IF(Sheet1!B5329&gt;0,1,0)</f>
        <v>0</v>
      </c>
    </row>
    <row r="5330" spans="1:3" x14ac:dyDescent="0.25">
      <c r="A5330" s="15">
        <f>Sheet1!A5330</f>
        <v>0</v>
      </c>
      <c r="B5330">
        <f>Sheet1!B5330</f>
        <v>16.21</v>
      </c>
      <c r="C5330">
        <f>IF(Sheet1!B5330&gt;0,1,0)</f>
        <v>1</v>
      </c>
    </row>
    <row r="5331" spans="1:3" x14ac:dyDescent="0.25">
      <c r="A5331" s="15">
        <f>Sheet1!A5331</f>
        <v>0</v>
      </c>
      <c r="B5331">
        <f>Sheet1!B5331</f>
        <v>14.02</v>
      </c>
      <c r="C5331">
        <f>IF(Sheet1!B5331&gt;0,1,0)</f>
        <v>1</v>
      </c>
    </row>
    <row r="5332" spans="1:3" x14ac:dyDescent="0.25">
      <c r="A5332" s="15">
        <f>Sheet1!A5332</f>
        <v>0</v>
      </c>
      <c r="B5332">
        <f>Sheet1!B5332</f>
        <v>0</v>
      </c>
      <c r="C5332">
        <f>IF(Sheet1!B5332&gt;0,1,0)</f>
        <v>0</v>
      </c>
    </row>
    <row r="5333" spans="1:3" x14ac:dyDescent="0.25">
      <c r="A5333" s="15">
        <f>Sheet1!A5333</f>
        <v>0</v>
      </c>
      <c r="B5333">
        <f>Sheet1!B5333</f>
        <v>0</v>
      </c>
      <c r="C5333">
        <f>IF(Sheet1!B5333&gt;0,1,0)</f>
        <v>0</v>
      </c>
    </row>
    <row r="5334" spans="1:3" x14ac:dyDescent="0.25">
      <c r="A5334" s="15">
        <f>Sheet1!A5334</f>
        <v>0</v>
      </c>
      <c r="B5334">
        <f>Sheet1!B5334</f>
        <v>0</v>
      </c>
      <c r="C5334">
        <f>IF(Sheet1!B5334&gt;0,1,0)</f>
        <v>0</v>
      </c>
    </row>
    <row r="5335" spans="1:3" x14ac:dyDescent="0.25">
      <c r="A5335" s="15">
        <f>Sheet1!A5335</f>
        <v>0</v>
      </c>
      <c r="B5335">
        <f>Sheet1!B5335</f>
        <v>0</v>
      </c>
      <c r="C5335">
        <f>IF(Sheet1!B5335&gt;0,1,0)</f>
        <v>0</v>
      </c>
    </row>
    <row r="5336" spans="1:3" x14ac:dyDescent="0.25">
      <c r="A5336" s="15">
        <f>Sheet1!A5336</f>
        <v>0</v>
      </c>
      <c r="B5336">
        <f>Sheet1!B5336</f>
        <v>12.46</v>
      </c>
      <c r="C5336">
        <f>IF(Sheet1!B5336&gt;0,1,0)</f>
        <v>1</v>
      </c>
    </row>
    <row r="5337" spans="1:3" x14ac:dyDescent="0.25">
      <c r="A5337" s="15">
        <f>Sheet1!A5337</f>
        <v>0</v>
      </c>
      <c r="B5337">
        <f>Sheet1!B5337</f>
        <v>0</v>
      </c>
      <c r="C5337">
        <f>IF(Sheet1!B5337&gt;0,1,0)</f>
        <v>0</v>
      </c>
    </row>
    <row r="5338" spans="1:3" x14ac:dyDescent="0.25">
      <c r="A5338" s="15">
        <f>Sheet1!A5338</f>
        <v>0</v>
      </c>
      <c r="B5338">
        <f>Sheet1!B5338</f>
        <v>0</v>
      </c>
      <c r="C5338">
        <f>IF(Sheet1!B5338&gt;0,1,0)</f>
        <v>0</v>
      </c>
    </row>
    <row r="5339" spans="1:3" x14ac:dyDescent="0.25">
      <c r="A5339" s="15">
        <f>Sheet1!A5339</f>
        <v>0</v>
      </c>
      <c r="B5339">
        <f>Sheet1!B5339</f>
        <v>0</v>
      </c>
      <c r="C5339">
        <f>IF(Sheet1!B5339&gt;0,1,0)</f>
        <v>0</v>
      </c>
    </row>
    <row r="5340" spans="1:3" x14ac:dyDescent="0.25">
      <c r="A5340" s="15">
        <f>Sheet1!A5340</f>
        <v>0</v>
      </c>
      <c r="B5340">
        <f>Sheet1!B5340</f>
        <v>0</v>
      </c>
      <c r="C5340">
        <f>IF(Sheet1!B5340&gt;0,1,0)</f>
        <v>0</v>
      </c>
    </row>
    <row r="5341" spans="1:3" x14ac:dyDescent="0.25">
      <c r="A5341" s="15">
        <f>Sheet1!A5341</f>
        <v>0</v>
      </c>
      <c r="B5341">
        <f>Sheet1!B5341</f>
        <v>0</v>
      </c>
      <c r="C5341">
        <f>IF(Sheet1!B5341&gt;0,1,0)</f>
        <v>0</v>
      </c>
    </row>
    <row r="5342" spans="1:3" x14ac:dyDescent="0.25">
      <c r="A5342" s="15">
        <f>Sheet1!A5342</f>
        <v>0</v>
      </c>
      <c r="B5342">
        <f>Sheet1!B5342</f>
        <v>0</v>
      </c>
      <c r="C5342">
        <f>IF(Sheet1!B5342&gt;0,1,0)</f>
        <v>0</v>
      </c>
    </row>
    <row r="5343" spans="1:3" x14ac:dyDescent="0.25">
      <c r="A5343" s="15">
        <f>Sheet1!A5343</f>
        <v>0</v>
      </c>
      <c r="B5343">
        <f>Sheet1!B5343</f>
        <v>0</v>
      </c>
      <c r="C5343">
        <f>IF(Sheet1!B5343&gt;0,1,0)</f>
        <v>0</v>
      </c>
    </row>
    <row r="5344" spans="1:3" x14ac:dyDescent="0.25">
      <c r="A5344" s="15">
        <f>Sheet1!A5344</f>
        <v>0</v>
      </c>
      <c r="B5344">
        <f>Sheet1!B5344</f>
        <v>0</v>
      </c>
      <c r="C5344">
        <f>IF(Sheet1!B5344&gt;0,1,0)</f>
        <v>0</v>
      </c>
    </row>
    <row r="5345" spans="1:3" x14ac:dyDescent="0.25">
      <c r="A5345" s="15">
        <f>Sheet1!A5345</f>
        <v>0</v>
      </c>
      <c r="B5345">
        <f>Sheet1!B5345</f>
        <v>0</v>
      </c>
      <c r="C5345">
        <f>IF(Sheet1!B5345&gt;0,1,0)</f>
        <v>0</v>
      </c>
    </row>
    <row r="5346" spans="1:3" x14ac:dyDescent="0.25">
      <c r="A5346" s="15">
        <f>Sheet1!A5346</f>
        <v>0</v>
      </c>
      <c r="B5346">
        <f>Sheet1!B5346</f>
        <v>0</v>
      </c>
      <c r="C5346">
        <f>IF(Sheet1!B5346&gt;0,1,0)</f>
        <v>0</v>
      </c>
    </row>
    <row r="5347" spans="1:3" x14ac:dyDescent="0.25">
      <c r="A5347" s="15">
        <f>Sheet1!A5347</f>
        <v>0</v>
      </c>
      <c r="B5347">
        <f>Sheet1!B5347</f>
        <v>0</v>
      </c>
      <c r="C5347">
        <f>IF(Sheet1!B5347&gt;0,1,0)</f>
        <v>0</v>
      </c>
    </row>
    <row r="5348" spans="1:3" x14ac:dyDescent="0.25">
      <c r="A5348" s="15">
        <f>Sheet1!A5348</f>
        <v>0</v>
      </c>
      <c r="B5348">
        <f>Sheet1!B5348</f>
        <v>0</v>
      </c>
      <c r="C5348">
        <f>IF(Sheet1!B5348&gt;0,1,0)</f>
        <v>0</v>
      </c>
    </row>
    <row r="5349" spans="1:3" x14ac:dyDescent="0.25">
      <c r="A5349" s="15">
        <f>Sheet1!A5349</f>
        <v>0</v>
      </c>
      <c r="B5349">
        <f>Sheet1!B5349</f>
        <v>0</v>
      </c>
      <c r="C5349">
        <f>IF(Sheet1!B5349&gt;0,1,0)</f>
        <v>0</v>
      </c>
    </row>
    <row r="5350" spans="1:3" x14ac:dyDescent="0.25">
      <c r="A5350" s="15">
        <f>Sheet1!A5350</f>
        <v>0</v>
      </c>
      <c r="B5350">
        <f>Sheet1!B5350</f>
        <v>0</v>
      </c>
      <c r="C5350">
        <f>IF(Sheet1!B5350&gt;0,1,0)</f>
        <v>0</v>
      </c>
    </row>
    <row r="5351" spans="1:3" x14ac:dyDescent="0.25">
      <c r="A5351" s="15">
        <f>Sheet1!A5351</f>
        <v>0</v>
      </c>
      <c r="B5351">
        <f>Sheet1!B5351</f>
        <v>0</v>
      </c>
      <c r="C5351">
        <f>IF(Sheet1!B5351&gt;0,1,0)</f>
        <v>0</v>
      </c>
    </row>
    <row r="5352" spans="1:3" x14ac:dyDescent="0.25">
      <c r="A5352" s="15">
        <f>Sheet1!A5352</f>
        <v>0</v>
      </c>
      <c r="B5352">
        <f>Sheet1!B5352</f>
        <v>0</v>
      </c>
      <c r="C5352">
        <f>IF(Sheet1!B5352&gt;0,1,0)</f>
        <v>0</v>
      </c>
    </row>
    <row r="5353" spans="1:3" x14ac:dyDescent="0.25">
      <c r="A5353" s="15">
        <f>Sheet1!A5353</f>
        <v>0</v>
      </c>
      <c r="B5353">
        <f>Sheet1!B5353</f>
        <v>0</v>
      </c>
      <c r="C5353">
        <f>IF(Sheet1!B5353&gt;0,1,0)</f>
        <v>0</v>
      </c>
    </row>
    <row r="5354" spans="1:3" x14ac:dyDescent="0.25">
      <c r="A5354" s="15">
        <f>Sheet1!A5354</f>
        <v>0</v>
      </c>
      <c r="B5354">
        <f>Sheet1!B5354</f>
        <v>0</v>
      </c>
      <c r="C5354">
        <f>IF(Sheet1!B5354&gt;0,1,0)</f>
        <v>0</v>
      </c>
    </row>
    <row r="5355" spans="1:3" x14ac:dyDescent="0.25">
      <c r="A5355" s="15">
        <f>Sheet1!A5355</f>
        <v>0</v>
      </c>
      <c r="B5355">
        <f>Sheet1!B5355</f>
        <v>0</v>
      </c>
      <c r="C5355">
        <f>IF(Sheet1!B5355&gt;0,1,0)</f>
        <v>0</v>
      </c>
    </row>
    <row r="5356" spans="1:3" x14ac:dyDescent="0.25">
      <c r="A5356" s="15">
        <f>Sheet1!A5356</f>
        <v>0</v>
      </c>
      <c r="B5356">
        <f>Sheet1!B5356</f>
        <v>0</v>
      </c>
      <c r="C5356">
        <f>IF(Sheet1!B5356&gt;0,1,0)</f>
        <v>0</v>
      </c>
    </row>
    <row r="5357" spans="1:3" x14ac:dyDescent="0.25">
      <c r="A5357" s="15">
        <f>Sheet1!A5357</f>
        <v>0</v>
      </c>
      <c r="B5357">
        <f>Sheet1!B5357</f>
        <v>0</v>
      </c>
      <c r="C5357">
        <f>IF(Sheet1!B5357&gt;0,1,0)</f>
        <v>0</v>
      </c>
    </row>
    <row r="5358" spans="1:3" x14ac:dyDescent="0.25">
      <c r="A5358" s="15">
        <f>Sheet1!A5358</f>
        <v>0</v>
      </c>
      <c r="B5358">
        <f>Sheet1!B5358</f>
        <v>0</v>
      </c>
      <c r="C5358">
        <f>IF(Sheet1!B5358&gt;0,1,0)</f>
        <v>0</v>
      </c>
    </row>
    <row r="5359" spans="1:3" x14ac:dyDescent="0.25">
      <c r="A5359" s="15">
        <f>Sheet1!A5359</f>
        <v>0</v>
      </c>
      <c r="B5359">
        <f>Sheet1!B5359</f>
        <v>0</v>
      </c>
      <c r="C5359">
        <f>IF(Sheet1!B5359&gt;0,1,0)</f>
        <v>0</v>
      </c>
    </row>
    <row r="5360" spans="1:3" x14ac:dyDescent="0.25">
      <c r="A5360" s="15">
        <f>Sheet1!A5360</f>
        <v>0</v>
      </c>
      <c r="B5360">
        <f>Sheet1!B5360</f>
        <v>11.52</v>
      </c>
      <c r="C5360">
        <f>IF(Sheet1!B5360&gt;0,1,0)</f>
        <v>1</v>
      </c>
    </row>
    <row r="5361" spans="1:3" x14ac:dyDescent="0.25">
      <c r="A5361" s="15">
        <f>Sheet1!A5361</f>
        <v>0</v>
      </c>
      <c r="B5361">
        <f>Sheet1!B5361</f>
        <v>0</v>
      </c>
      <c r="C5361">
        <f>IF(Sheet1!B5361&gt;0,1,0)</f>
        <v>0</v>
      </c>
    </row>
    <row r="5362" spans="1:3" x14ac:dyDescent="0.25">
      <c r="A5362" s="15">
        <f>Sheet1!A5362</f>
        <v>0</v>
      </c>
      <c r="B5362">
        <f>Sheet1!B5362</f>
        <v>0</v>
      </c>
      <c r="C5362">
        <f>IF(Sheet1!B5362&gt;0,1,0)</f>
        <v>0</v>
      </c>
    </row>
    <row r="5363" spans="1:3" x14ac:dyDescent="0.25">
      <c r="A5363" s="15">
        <f>Sheet1!A5363</f>
        <v>0</v>
      </c>
      <c r="B5363">
        <f>Sheet1!B5363</f>
        <v>0</v>
      </c>
      <c r="C5363">
        <f>IF(Sheet1!B5363&gt;0,1,0)</f>
        <v>0</v>
      </c>
    </row>
    <row r="5364" spans="1:3" x14ac:dyDescent="0.25">
      <c r="A5364" s="15">
        <f>Sheet1!A5364</f>
        <v>0</v>
      </c>
      <c r="B5364">
        <f>Sheet1!B5364</f>
        <v>0</v>
      </c>
      <c r="C5364">
        <f>IF(Sheet1!B5364&gt;0,1,0)</f>
        <v>0</v>
      </c>
    </row>
    <row r="5365" spans="1:3" x14ac:dyDescent="0.25">
      <c r="A5365" s="15">
        <f>Sheet1!A5365</f>
        <v>0</v>
      </c>
      <c r="B5365">
        <f>Sheet1!B5365</f>
        <v>0</v>
      </c>
      <c r="C5365">
        <f>IF(Sheet1!B5365&gt;0,1,0)</f>
        <v>0</v>
      </c>
    </row>
    <row r="5366" spans="1:3" x14ac:dyDescent="0.25">
      <c r="A5366" s="15">
        <f>Sheet1!A5366</f>
        <v>0</v>
      </c>
      <c r="B5366">
        <f>Sheet1!B5366</f>
        <v>0</v>
      </c>
      <c r="C5366">
        <f>IF(Sheet1!B5366&gt;0,1,0)</f>
        <v>0</v>
      </c>
    </row>
    <row r="5367" spans="1:3" x14ac:dyDescent="0.25">
      <c r="A5367" s="15">
        <f>Sheet1!A5367</f>
        <v>0</v>
      </c>
      <c r="B5367">
        <f>Sheet1!B5367</f>
        <v>0</v>
      </c>
      <c r="C5367">
        <f>IF(Sheet1!B5367&gt;0,1,0)</f>
        <v>0</v>
      </c>
    </row>
    <row r="5368" spans="1:3" x14ac:dyDescent="0.25">
      <c r="A5368" s="15">
        <f>Sheet1!A5368</f>
        <v>0</v>
      </c>
      <c r="B5368">
        <f>Sheet1!B5368</f>
        <v>0</v>
      </c>
      <c r="C5368">
        <f>IF(Sheet1!B5368&gt;0,1,0)</f>
        <v>0</v>
      </c>
    </row>
    <row r="5369" spans="1:3" x14ac:dyDescent="0.25">
      <c r="A5369" s="15">
        <f>Sheet1!A5369</f>
        <v>0</v>
      </c>
      <c r="B5369">
        <f>Sheet1!B5369</f>
        <v>0</v>
      </c>
      <c r="C5369">
        <f>IF(Sheet1!B5369&gt;0,1,0)</f>
        <v>0</v>
      </c>
    </row>
    <row r="5370" spans="1:3" x14ac:dyDescent="0.25">
      <c r="A5370" s="15">
        <f>Sheet1!A5370</f>
        <v>0</v>
      </c>
      <c r="B5370">
        <f>Sheet1!B5370</f>
        <v>0</v>
      </c>
      <c r="C5370">
        <f>IF(Sheet1!B5370&gt;0,1,0)</f>
        <v>0</v>
      </c>
    </row>
    <row r="5371" spans="1:3" x14ac:dyDescent="0.25">
      <c r="A5371" s="15">
        <f>Sheet1!A5371</f>
        <v>0</v>
      </c>
      <c r="B5371">
        <f>Sheet1!B5371</f>
        <v>18.97</v>
      </c>
      <c r="C5371">
        <f>IF(Sheet1!B5371&gt;0,1,0)</f>
        <v>1</v>
      </c>
    </row>
    <row r="5372" spans="1:3" x14ac:dyDescent="0.25">
      <c r="A5372" s="15">
        <f>Sheet1!A5372</f>
        <v>0</v>
      </c>
      <c r="B5372">
        <f>Sheet1!B5372</f>
        <v>0</v>
      </c>
      <c r="C5372">
        <f>IF(Sheet1!B5372&gt;0,1,0)</f>
        <v>0</v>
      </c>
    </row>
    <row r="5373" spans="1:3" x14ac:dyDescent="0.25">
      <c r="A5373" s="15">
        <f>Sheet1!A5373</f>
        <v>0</v>
      </c>
      <c r="B5373">
        <f>Sheet1!B5373</f>
        <v>0</v>
      </c>
      <c r="C5373">
        <f>IF(Sheet1!B5373&gt;0,1,0)</f>
        <v>0</v>
      </c>
    </row>
    <row r="5374" spans="1:3" x14ac:dyDescent="0.25">
      <c r="A5374" s="15">
        <f>Sheet1!A5374</f>
        <v>0</v>
      </c>
      <c r="B5374">
        <f>Sheet1!B5374</f>
        <v>0</v>
      </c>
      <c r="C5374">
        <f>IF(Sheet1!B5374&gt;0,1,0)</f>
        <v>0</v>
      </c>
    </row>
    <row r="5375" spans="1:3" x14ac:dyDescent="0.25">
      <c r="A5375" s="15">
        <f>Sheet1!A5375</f>
        <v>0</v>
      </c>
      <c r="B5375">
        <f>Sheet1!B5375</f>
        <v>0</v>
      </c>
      <c r="C5375">
        <f>IF(Sheet1!B5375&gt;0,1,0)</f>
        <v>0</v>
      </c>
    </row>
    <row r="5376" spans="1:3" x14ac:dyDescent="0.25">
      <c r="A5376" s="15">
        <f>Sheet1!A5376</f>
        <v>0</v>
      </c>
      <c r="B5376">
        <f>Sheet1!B5376</f>
        <v>12.83</v>
      </c>
      <c r="C5376">
        <f>IF(Sheet1!B5376&gt;0,1,0)</f>
        <v>1</v>
      </c>
    </row>
    <row r="5377" spans="1:3" x14ac:dyDescent="0.25">
      <c r="A5377" s="15">
        <f>Sheet1!A5377</f>
        <v>0</v>
      </c>
      <c r="B5377">
        <f>Sheet1!B5377</f>
        <v>0</v>
      </c>
      <c r="C5377">
        <f>IF(Sheet1!B5377&gt;0,1,0)</f>
        <v>0</v>
      </c>
    </row>
    <row r="5378" spans="1:3" x14ac:dyDescent="0.25">
      <c r="A5378" s="15">
        <f>Sheet1!A5378</f>
        <v>0</v>
      </c>
      <c r="B5378">
        <f>Sheet1!B5378</f>
        <v>0</v>
      </c>
      <c r="C5378">
        <f>IF(Sheet1!B5378&gt;0,1,0)</f>
        <v>0</v>
      </c>
    </row>
    <row r="5379" spans="1:3" x14ac:dyDescent="0.25">
      <c r="A5379" s="15">
        <f>Sheet1!A5379</f>
        <v>0</v>
      </c>
      <c r="B5379">
        <f>Sheet1!B5379</f>
        <v>0</v>
      </c>
      <c r="C5379">
        <f>IF(Sheet1!B5379&gt;0,1,0)</f>
        <v>0</v>
      </c>
    </row>
    <row r="5380" spans="1:3" x14ac:dyDescent="0.25">
      <c r="A5380" s="15">
        <f>Sheet1!A5380</f>
        <v>0</v>
      </c>
      <c r="B5380">
        <f>Sheet1!B5380</f>
        <v>10.82</v>
      </c>
      <c r="C5380">
        <f>IF(Sheet1!B5380&gt;0,1,0)</f>
        <v>1</v>
      </c>
    </row>
    <row r="5381" spans="1:3" x14ac:dyDescent="0.25">
      <c r="A5381" s="15">
        <f>Sheet1!A5381</f>
        <v>0</v>
      </c>
      <c r="B5381">
        <f>Sheet1!B5381</f>
        <v>0</v>
      </c>
      <c r="C5381">
        <f>IF(Sheet1!B5381&gt;0,1,0)</f>
        <v>0</v>
      </c>
    </row>
    <row r="5382" spans="1:3" x14ac:dyDescent="0.25">
      <c r="A5382" s="15">
        <f>Sheet1!A5382</f>
        <v>0</v>
      </c>
      <c r="B5382">
        <f>Sheet1!B5382</f>
        <v>0</v>
      </c>
      <c r="C5382">
        <f>IF(Sheet1!B5382&gt;0,1,0)</f>
        <v>0</v>
      </c>
    </row>
    <row r="5383" spans="1:3" x14ac:dyDescent="0.25">
      <c r="A5383" s="15">
        <f>Sheet1!A5383</f>
        <v>0</v>
      </c>
      <c r="B5383">
        <f>Sheet1!B5383</f>
        <v>0</v>
      </c>
      <c r="C5383">
        <f>IF(Sheet1!B5383&gt;0,1,0)</f>
        <v>0</v>
      </c>
    </row>
    <row r="5384" spans="1:3" x14ac:dyDescent="0.25">
      <c r="A5384" s="15">
        <f>Sheet1!A5384</f>
        <v>0</v>
      </c>
      <c r="B5384">
        <f>Sheet1!B5384</f>
        <v>10.94</v>
      </c>
      <c r="C5384">
        <f>IF(Sheet1!B5384&gt;0,1,0)</f>
        <v>1</v>
      </c>
    </row>
    <row r="5385" spans="1:3" x14ac:dyDescent="0.25">
      <c r="A5385" s="15">
        <f>Sheet1!A5385</f>
        <v>0</v>
      </c>
      <c r="B5385">
        <f>Sheet1!B5385</f>
        <v>0</v>
      </c>
      <c r="C5385">
        <f>IF(Sheet1!B5385&gt;0,1,0)</f>
        <v>0</v>
      </c>
    </row>
    <row r="5386" spans="1:3" x14ac:dyDescent="0.25">
      <c r="A5386" s="15">
        <f>Sheet1!A5386</f>
        <v>0</v>
      </c>
      <c r="B5386">
        <f>Sheet1!B5386</f>
        <v>0</v>
      </c>
      <c r="C5386">
        <f>IF(Sheet1!B5386&gt;0,1,0)</f>
        <v>0</v>
      </c>
    </row>
    <row r="5387" spans="1:3" x14ac:dyDescent="0.25">
      <c r="A5387" s="15">
        <f>Sheet1!A5387</f>
        <v>0</v>
      </c>
      <c r="B5387">
        <f>Sheet1!B5387</f>
        <v>0</v>
      </c>
      <c r="C5387">
        <f>IF(Sheet1!B5387&gt;0,1,0)</f>
        <v>0</v>
      </c>
    </row>
    <row r="5388" spans="1:3" x14ac:dyDescent="0.25">
      <c r="A5388" s="15">
        <f>Sheet1!A5388</f>
        <v>0</v>
      </c>
      <c r="B5388">
        <f>Sheet1!B5388</f>
        <v>12.24</v>
      </c>
      <c r="C5388">
        <f>IF(Sheet1!B5388&gt;0,1,0)</f>
        <v>1</v>
      </c>
    </row>
    <row r="5389" spans="1:3" x14ac:dyDescent="0.25">
      <c r="A5389" s="15">
        <f>Sheet1!A5389</f>
        <v>0</v>
      </c>
      <c r="B5389">
        <f>Sheet1!B5389</f>
        <v>5.43</v>
      </c>
      <c r="C5389">
        <f>IF(Sheet1!B5389&gt;0,1,0)</f>
        <v>1</v>
      </c>
    </row>
    <row r="5390" spans="1:3" x14ac:dyDescent="0.25">
      <c r="A5390" s="15">
        <f>Sheet1!A5390</f>
        <v>0</v>
      </c>
      <c r="B5390">
        <f>Sheet1!B5390</f>
        <v>0</v>
      </c>
      <c r="C5390">
        <f>IF(Sheet1!B5390&gt;0,1,0)</f>
        <v>0</v>
      </c>
    </row>
    <row r="5391" spans="1:3" x14ac:dyDescent="0.25">
      <c r="A5391" s="15">
        <f>Sheet1!A5391</f>
        <v>0</v>
      </c>
      <c r="B5391">
        <f>Sheet1!B5391</f>
        <v>0</v>
      </c>
      <c r="C5391">
        <f>IF(Sheet1!B5391&gt;0,1,0)</f>
        <v>0</v>
      </c>
    </row>
    <row r="5392" spans="1:3" x14ac:dyDescent="0.25">
      <c r="A5392" s="15">
        <f>Sheet1!A5392</f>
        <v>0</v>
      </c>
      <c r="B5392">
        <f>Sheet1!B5392</f>
        <v>13.41</v>
      </c>
      <c r="C5392">
        <f>IF(Sheet1!B5392&gt;0,1,0)</f>
        <v>1</v>
      </c>
    </row>
    <row r="5393" spans="1:3" x14ac:dyDescent="0.25">
      <c r="A5393" s="15">
        <f>Sheet1!A5393</f>
        <v>0</v>
      </c>
      <c r="B5393">
        <f>Sheet1!B5393</f>
        <v>0</v>
      </c>
      <c r="C5393">
        <f>IF(Sheet1!B5393&gt;0,1,0)</f>
        <v>0</v>
      </c>
    </row>
    <row r="5394" spans="1:3" x14ac:dyDescent="0.25">
      <c r="A5394" s="15">
        <f>Sheet1!A5394</f>
        <v>0</v>
      </c>
      <c r="B5394">
        <f>Sheet1!B5394</f>
        <v>0</v>
      </c>
      <c r="C5394">
        <f>IF(Sheet1!B5394&gt;0,1,0)</f>
        <v>0</v>
      </c>
    </row>
    <row r="5395" spans="1:3" x14ac:dyDescent="0.25">
      <c r="A5395" s="15">
        <f>Sheet1!A5395</f>
        <v>0</v>
      </c>
      <c r="B5395">
        <f>Sheet1!B5395</f>
        <v>0</v>
      </c>
      <c r="C5395">
        <f>IF(Sheet1!B5395&gt;0,1,0)</f>
        <v>0</v>
      </c>
    </row>
    <row r="5396" spans="1:3" x14ac:dyDescent="0.25">
      <c r="A5396" s="15">
        <f>Sheet1!A5396</f>
        <v>0</v>
      </c>
      <c r="B5396">
        <f>Sheet1!B5396</f>
        <v>0</v>
      </c>
      <c r="C5396">
        <f>IF(Sheet1!B5396&gt;0,1,0)</f>
        <v>0</v>
      </c>
    </row>
    <row r="5397" spans="1:3" x14ac:dyDescent="0.25">
      <c r="A5397" s="15">
        <f>Sheet1!A5397</f>
        <v>0</v>
      </c>
      <c r="B5397">
        <f>Sheet1!B5397</f>
        <v>0</v>
      </c>
      <c r="C5397">
        <f>IF(Sheet1!B5397&gt;0,1,0)</f>
        <v>0</v>
      </c>
    </row>
    <row r="5398" spans="1:3" x14ac:dyDescent="0.25">
      <c r="A5398" s="15">
        <f>Sheet1!A5398</f>
        <v>0</v>
      </c>
      <c r="B5398">
        <f>Sheet1!B5398</f>
        <v>13.89</v>
      </c>
      <c r="C5398">
        <f>IF(Sheet1!B5398&gt;0,1,0)</f>
        <v>1</v>
      </c>
    </row>
    <row r="5399" spans="1:3" x14ac:dyDescent="0.25">
      <c r="A5399" s="15">
        <f>Sheet1!A5399</f>
        <v>0</v>
      </c>
      <c r="B5399">
        <f>Sheet1!B5399</f>
        <v>0</v>
      </c>
      <c r="C5399">
        <f>IF(Sheet1!B5399&gt;0,1,0)</f>
        <v>0</v>
      </c>
    </row>
    <row r="5400" spans="1:3" x14ac:dyDescent="0.25">
      <c r="A5400" s="15">
        <f>Sheet1!A5400</f>
        <v>0</v>
      </c>
      <c r="B5400">
        <f>Sheet1!B5400</f>
        <v>0</v>
      </c>
      <c r="C5400">
        <f>IF(Sheet1!B5400&gt;0,1,0)</f>
        <v>0</v>
      </c>
    </row>
    <row r="5401" spans="1:3" x14ac:dyDescent="0.25">
      <c r="A5401" s="15">
        <f>Sheet1!A5401</f>
        <v>0</v>
      </c>
      <c r="B5401">
        <f>Sheet1!B5401</f>
        <v>0</v>
      </c>
      <c r="C5401">
        <f>IF(Sheet1!B5401&gt;0,1,0)</f>
        <v>0</v>
      </c>
    </row>
    <row r="5402" spans="1:3" x14ac:dyDescent="0.25">
      <c r="A5402" s="15">
        <f>Sheet1!A5402</f>
        <v>0</v>
      </c>
      <c r="B5402">
        <f>Sheet1!B5402</f>
        <v>10.19</v>
      </c>
      <c r="C5402">
        <f>IF(Sheet1!B5402&gt;0,1,0)</f>
        <v>1</v>
      </c>
    </row>
    <row r="5403" spans="1:3" x14ac:dyDescent="0.25">
      <c r="A5403" s="15">
        <f>Sheet1!A5403</f>
        <v>0</v>
      </c>
      <c r="B5403">
        <f>Sheet1!B5403</f>
        <v>0</v>
      </c>
      <c r="C5403">
        <f>IF(Sheet1!B5403&gt;0,1,0)</f>
        <v>0</v>
      </c>
    </row>
    <row r="5404" spans="1:3" x14ac:dyDescent="0.25">
      <c r="A5404" s="15">
        <f>Sheet1!A5404</f>
        <v>0</v>
      </c>
      <c r="B5404">
        <f>Sheet1!B5404</f>
        <v>0</v>
      </c>
      <c r="C5404">
        <f>IF(Sheet1!B5404&gt;0,1,0)</f>
        <v>0</v>
      </c>
    </row>
    <row r="5405" spans="1:3" x14ac:dyDescent="0.25">
      <c r="A5405" s="15">
        <f>Sheet1!A5405</f>
        <v>0</v>
      </c>
      <c r="B5405">
        <f>Sheet1!B5405</f>
        <v>0</v>
      </c>
      <c r="C5405">
        <f>IF(Sheet1!B5405&gt;0,1,0)</f>
        <v>0</v>
      </c>
    </row>
    <row r="5406" spans="1:3" x14ac:dyDescent="0.25">
      <c r="A5406" s="15">
        <f>Sheet1!A5406</f>
        <v>0</v>
      </c>
      <c r="B5406">
        <f>Sheet1!B5406</f>
        <v>10.79</v>
      </c>
      <c r="C5406">
        <f>IF(Sheet1!B5406&gt;0,1,0)</f>
        <v>1</v>
      </c>
    </row>
    <row r="5407" spans="1:3" x14ac:dyDescent="0.25">
      <c r="A5407" s="15">
        <f>Sheet1!A5407</f>
        <v>0</v>
      </c>
      <c r="B5407">
        <f>Sheet1!B5407</f>
        <v>0</v>
      </c>
      <c r="C5407">
        <f>IF(Sheet1!B5407&gt;0,1,0)</f>
        <v>0</v>
      </c>
    </row>
    <row r="5408" spans="1:3" x14ac:dyDescent="0.25">
      <c r="A5408" s="15">
        <f>Sheet1!A5408</f>
        <v>0</v>
      </c>
      <c r="B5408">
        <f>Sheet1!B5408</f>
        <v>0</v>
      </c>
      <c r="C5408">
        <f>IF(Sheet1!B5408&gt;0,1,0)</f>
        <v>0</v>
      </c>
    </row>
    <row r="5409" spans="1:3" x14ac:dyDescent="0.25">
      <c r="A5409" s="15">
        <f>Sheet1!A5409</f>
        <v>0</v>
      </c>
      <c r="B5409">
        <f>Sheet1!B5409</f>
        <v>9.19</v>
      </c>
      <c r="C5409">
        <f>IF(Sheet1!B5409&gt;0,1,0)</f>
        <v>1</v>
      </c>
    </row>
    <row r="5410" spans="1:3" x14ac:dyDescent="0.25">
      <c r="A5410" s="15">
        <f>Sheet1!A5410</f>
        <v>0</v>
      </c>
      <c r="B5410">
        <f>Sheet1!B5410</f>
        <v>11.31</v>
      </c>
      <c r="C5410">
        <f>IF(Sheet1!B5410&gt;0,1,0)</f>
        <v>1</v>
      </c>
    </row>
    <row r="5411" spans="1:3" x14ac:dyDescent="0.25">
      <c r="A5411" s="15">
        <f>Sheet1!A5411</f>
        <v>0</v>
      </c>
      <c r="B5411">
        <f>Sheet1!B5411</f>
        <v>3.64</v>
      </c>
      <c r="C5411">
        <f>IF(Sheet1!B5411&gt;0,1,0)</f>
        <v>1</v>
      </c>
    </row>
    <row r="5412" spans="1:3" x14ac:dyDescent="0.25">
      <c r="A5412" s="15">
        <f>Sheet1!A5412</f>
        <v>0</v>
      </c>
      <c r="B5412">
        <f>Sheet1!B5412</f>
        <v>0</v>
      </c>
      <c r="C5412">
        <f>IF(Sheet1!B5412&gt;0,1,0)</f>
        <v>0</v>
      </c>
    </row>
    <row r="5413" spans="1:3" x14ac:dyDescent="0.25">
      <c r="A5413" s="15">
        <f>Sheet1!A5413</f>
        <v>0</v>
      </c>
      <c r="B5413">
        <f>Sheet1!B5413</f>
        <v>0</v>
      </c>
      <c r="C5413">
        <f>IF(Sheet1!B5413&gt;0,1,0)</f>
        <v>0</v>
      </c>
    </row>
    <row r="5414" spans="1:3" x14ac:dyDescent="0.25">
      <c r="A5414" s="15">
        <f>Sheet1!A5414</f>
        <v>0</v>
      </c>
      <c r="B5414">
        <f>Sheet1!B5414</f>
        <v>10.01</v>
      </c>
      <c r="C5414">
        <f>IF(Sheet1!B5414&gt;0,1,0)</f>
        <v>1</v>
      </c>
    </row>
    <row r="5415" spans="1:3" x14ac:dyDescent="0.25">
      <c r="A5415" s="15">
        <f>Sheet1!A5415</f>
        <v>0</v>
      </c>
      <c r="B5415">
        <f>Sheet1!B5415</f>
        <v>0</v>
      </c>
      <c r="C5415">
        <f>IF(Sheet1!B5415&gt;0,1,0)</f>
        <v>0</v>
      </c>
    </row>
    <row r="5416" spans="1:3" x14ac:dyDescent="0.25">
      <c r="A5416" s="15">
        <f>Sheet1!A5416</f>
        <v>0</v>
      </c>
      <c r="B5416">
        <f>Sheet1!B5416</f>
        <v>0</v>
      </c>
      <c r="C5416">
        <f>IF(Sheet1!B5416&gt;0,1,0)</f>
        <v>0</v>
      </c>
    </row>
    <row r="5417" spans="1:3" x14ac:dyDescent="0.25">
      <c r="A5417" s="15">
        <f>Sheet1!A5417</f>
        <v>0</v>
      </c>
      <c r="B5417">
        <f>Sheet1!B5417</f>
        <v>0</v>
      </c>
      <c r="C5417">
        <f>IF(Sheet1!B5417&gt;0,1,0)</f>
        <v>0</v>
      </c>
    </row>
    <row r="5418" spans="1:3" x14ac:dyDescent="0.25">
      <c r="A5418" s="15">
        <f>Sheet1!A5418</f>
        <v>0</v>
      </c>
      <c r="B5418">
        <f>Sheet1!B5418</f>
        <v>0</v>
      </c>
      <c r="C5418">
        <f>IF(Sheet1!B5418&gt;0,1,0)</f>
        <v>0</v>
      </c>
    </row>
    <row r="5419" spans="1:3" x14ac:dyDescent="0.25">
      <c r="A5419" s="15">
        <f>Sheet1!A5419</f>
        <v>0</v>
      </c>
      <c r="B5419">
        <f>Sheet1!B5419</f>
        <v>0</v>
      </c>
      <c r="C5419">
        <f>IF(Sheet1!B5419&gt;0,1,0)</f>
        <v>0</v>
      </c>
    </row>
    <row r="5420" spans="1:3" x14ac:dyDescent="0.25">
      <c r="A5420" s="15">
        <f>Sheet1!A5420</f>
        <v>0</v>
      </c>
      <c r="B5420">
        <f>Sheet1!B5420</f>
        <v>0</v>
      </c>
      <c r="C5420">
        <f>IF(Sheet1!B5420&gt;0,1,0)</f>
        <v>0</v>
      </c>
    </row>
    <row r="5421" spans="1:3" x14ac:dyDescent="0.25">
      <c r="A5421" s="15">
        <f>Sheet1!A5421</f>
        <v>0</v>
      </c>
      <c r="B5421">
        <f>Sheet1!B5421</f>
        <v>0</v>
      </c>
      <c r="C5421">
        <f>IF(Sheet1!B5421&gt;0,1,0)</f>
        <v>0</v>
      </c>
    </row>
    <row r="5422" spans="1:3" x14ac:dyDescent="0.25">
      <c r="A5422" s="15">
        <f>Sheet1!A5422</f>
        <v>0</v>
      </c>
      <c r="B5422">
        <f>Sheet1!B5422</f>
        <v>0</v>
      </c>
      <c r="C5422">
        <f>IF(Sheet1!B5422&gt;0,1,0)</f>
        <v>0</v>
      </c>
    </row>
    <row r="5423" spans="1:3" x14ac:dyDescent="0.25">
      <c r="A5423" s="15">
        <f>Sheet1!A5423</f>
        <v>0</v>
      </c>
      <c r="B5423">
        <f>Sheet1!B5423</f>
        <v>0</v>
      </c>
      <c r="C5423">
        <f>IF(Sheet1!B5423&gt;0,1,0)</f>
        <v>0</v>
      </c>
    </row>
    <row r="5424" spans="1:3" x14ac:dyDescent="0.25">
      <c r="A5424" s="15">
        <f>Sheet1!A5424</f>
        <v>0</v>
      </c>
      <c r="B5424">
        <f>Sheet1!B5424</f>
        <v>0</v>
      </c>
      <c r="C5424">
        <f>IF(Sheet1!B5424&gt;0,1,0)</f>
        <v>0</v>
      </c>
    </row>
    <row r="5425" spans="1:3" x14ac:dyDescent="0.25">
      <c r="A5425" s="15">
        <f>Sheet1!A5425</f>
        <v>0</v>
      </c>
      <c r="B5425">
        <f>Sheet1!B5425</f>
        <v>0</v>
      </c>
      <c r="C5425">
        <f>IF(Sheet1!B5425&gt;0,1,0)</f>
        <v>0</v>
      </c>
    </row>
    <row r="5426" spans="1:3" x14ac:dyDescent="0.25">
      <c r="A5426" s="15">
        <f>Sheet1!A5426</f>
        <v>0</v>
      </c>
      <c r="B5426">
        <f>Sheet1!B5426</f>
        <v>0</v>
      </c>
      <c r="C5426">
        <f>IF(Sheet1!B5426&gt;0,1,0)</f>
        <v>0</v>
      </c>
    </row>
    <row r="5427" spans="1:3" x14ac:dyDescent="0.25">
      <c r="A5427" s="15">
        <f>Sheet1!A5427</f>
        <v>0</v>
      </c>
      <c r="B5427">
        <f>Sheet1!B5427</f>
        <v>0</v>
      </c>
      <c r="C5427">
        <f>IF(Sheet1!B5427&gt;0,1,0)</f>
        <v>0</v>
      </c>
    </row>
    <row r="5428" spans="1:3" x14ac:dyDescent="0.25">
      <c r="A5428" s="15">
        <f>Sheet1!A5428</f>
        <v>0</v>
      </c>
      <c r="B5428">
        <f>Sheet1!B5428</f>
        <v>0</v>
      </c>
      <c r="C5428">
        <f>IF(Sheet1!B5428&gt;0,1,0)</f>
        <v>0</v>
      </c>
    </row>
    <row r="5429" spans="1:3" x14ac:dyDescent="0.25">
      <c r="A5429" s="15">
        <f>Sheet1!A5429</f>
        <v>0</v>
      </c>
      <c r="B5429">
        <f>Sheet1!B5429</f>
        <v>0</v>
      </c>
      <c r="C5429">
        <f>IF(Sheet1!B5429&gt;0,1,0)</f>
        <v>0</v>
      </c>
    </row>
    <row r="5430" spans="1:3" x14ac:dyDescent="0.25">
      <c r="A5430" s="15">
        <f>Sheet1!A5430</f>
        <v>0</v>
      </c>
      <c r="B5430">
        <f>Sheet1!B5430</f>
        <v>15.15</v>
      </c>
      <c r="C5430">
        <f>IF(Sheet1!B5430&gt;0,1,0)</f>
        <v>1</v>
      </c>
    </row>
    <row r="5431" spans="1:3" x14ac:dyDescent="0.25">
      <c r="A5431" s="15">
        <f>Sheet1!A5431</f>
        <v>0</v>
      </c>
      <c r="B5431">
        <f>Sheet1!B5431</f>
        <v>14.74</v>
      </c>
      <c r="C5431">
        <f>IF(Sheet1!B5431&gt;0,1,0)</f>
        <v>1</v>
      </c>
    </row>
    <row r="5432" spans="1:3" x14ac:dyDescent="0.25">
      <c r="A5432" s="15">
        <f>Sheet1!A5432</f>
        <v>0</v>
      </c>
      <c r="B5432">
        <f>Sheet1!B5432</f>
        <v>0</v>
      </c>
      <c r="C5432">
        <f>IF(Sheet1!B5432&gt;0,1,0)</f>
        <v>0</v>
      </c>
    </row>
    <row r="5433" spans="1:3" x14ac:dyDescent="0.25">
      <c r="A5433" s="15">
        <f>Sheet1!A5433</f>
        <v>0</v>
      </c>
      <c r="B5433">
        <f>Sheet1!B5433</f>
        <v>0</v>
      </c>
      <c r="C5433">
        <f>IF(Sheet1!B5433&gt;0,1,0)</f>
        <v>0</v>
      </c>
    </row>
    <row r="5434" spans="1:3" x14ac:dyDescent="0.25">
      <c r="A5434" s="15">
        <f>Sheet1!A5434</f>
        <v>0</v>
      </c>
      <c r="B5434">
        <f>Sheet1!B5434</f>
        <v>0</v>
      </c>
      <c r="C5434">
        <f>IF(Sheet1!B5434&gt;0,1,0)</f>
        <v>0</v>
      </c>
    </row>
    <row r="5435" spans="1:3" x14ac:dyDescent="0.25">
      <c r="A5435" s="15">
        <f>Sheet1!A5435</f>
        <v>0</v>
      </c>
      <c r="B5435">
        <f>Sheet1!B5435</f>
        <v>0</v>
      </c>
      <c r="C5435">
        <f>IF(Sheet1!B5435&gt;0,1,0)</f>
        <v>0</v>
      </c>
    </row>
    <row r="5436" spans="1:3" x14ac:dyDescent="0.25">
      <c r="A5436" s="15">
        <f>Sheet1!A5436</f>
        <v>0</v>
      </c>
      <c r="B5436">
        <f>Sheet1!B5436</f>
        <v>16.079999999999998</v>
      </c>
      <c r="C5436">
        <f>IF(Sheet1!B5436&gt;0,1,0)</f>
        <v>1</v>
      </c>
    </row>
    <row r="5437" spans="1:3" x14ac:dyDescent="0.25">
      <c r="A5437" s="15">
        <f>Sheet1!A5437</f>
        <v>0</v>
      </c>
      <c r="B5437">
        <f>Sheet1!B5437</f>
        <v>0</v>
      </c>
      <c r="C5437">
        <f>IF(Sheet1!B5437&gt;0,1,0)</f>
        <v>0</v>
      </c>
    </row>
    <row r="5438" spans="1:3" x14ac:dyDescent="0.25">
      <c r="A5438" s="15">
        <f>Sheet1!A5438</f>
        <v>0</v>
      </c>
      <c r="B5438">
        <f>Sheet1!B5438</f>
        <v>0</v>
      </c>
      <c r="C5438">
        <f>IF(Sheet1!B5438&gt;0,1,0)</f>
        <v>0</v>
      </c>
    </row>
    <row r="5439" spans="1:3" x14ac:dyDescent="0.25">
      <c r="A5439" s="15">
        <f>Sheet1!A5439</f>
        <v>0</v>
      </c>
      <c r="B5439">
        <f>Sheet1!B5439</f>
        <v>0</v>
      </c>
      <c r="C5439">
        <f>IF(Sheet1!B5439&gt;0,1,0)</f>
        <v>0</v>
      </c>
    </row>
    <row r="5440" spans="1:3" x14ac:dyDescent="0.25">
      <c r="A5440" s="15">
        <f>Sheet1!A5440</f>
        <v>0</v>
      </c>
      <c r="B5440">
        <f>Sheet1!B5440</f>
        <v>16</v>
      </c>
      <c r="C5440">
        <f>IF(Sheet1!B5440&gt;0,1,0)</f>
        <v>1</v>
      </c>
    </row>
    <row r="5441" spans="1:3" x14ac:dyDescent="0.25">
      <c r="A5441" s="15">
        <f>Sheet1!A5441</f>
        <v>0</v>
      </c>
      <c r="B5441">
        <f>Sheet1!B5441</f>
        <v>7.69</v>
      </c>
      <c r="C5441">
        <f>IF(Sheet1!B5441&gt;0,1,0)</f>
        <v>1</v>
      </c>
    </row>
    <row r="5442" spans="1:3" x14ac:dyDescent="0.25">
      <c r="A5442" s="15">
        <f>Sheet1!A5442</f>
        <v>0</v>
      </c>
      <c r="B5442">
        <f>Sheet1!B5442</f>
        <v>0</v>
      </c>
      <c r="C5442">
        <f>IF(Sheet1!B5442&gt;0,1,0)</f>
        <v>0</v>
      </c>
    </row>
    <row r="5443" spans="1:3" x14ac:dyDescent="0.25">
      <c r="A5443" s="15">
        <f>Sheet1!A5443</f>
        <v>0</v>
      </c>
      <c r="B5443">
        <f>Sheet1!B5443</f>
        <v>0</v>
      </c>
      <c r="C5443">
        <f>IF(Sheet1!B5443&gt;0,1,0)</f>
        <v>0</v>
      </c>
    </row>
    <row r="5444" spans="1:3" x14ac:dyDescent="0.25">
      <c r="A5444" s="15">
        <f>Sheet1!A5444</f>
        <v>0</v>
      </c>
      <c r="B5444">
        <f>Sheet1!B5444</f>
        <v>14.4</v>
      </c>
      <c r="C5444">
        <f>IF(Sheet1!B5444&gt;0,1,0)</f>
        <v>1</v>
      </c>
    </row>
    <row r="5445" spans="1:3" x14ac:dyDescent="0.25">
      <c r="A5445" s="15">
        <f>Sheet1!A5445</f>
        <v>0</v>
      </c>
      <c r="B5445">
        <f>Sheet1!B5445</f>
        <v>0</v>
      </c>
      <c r="C5445">
        <f>IF(Sheet1!B5445&gt;0,1,0)</f>
        <v>0</v>
      </c>
    </row>
    <row r="5446" spans="1:3" x14ac:dyDescent="0.25">
      <c r="A5446" s="15">
        <f>Sheet1!A5446</f>
        <v>0</v>
      </c>
      <c r="B5446">
        <f>Sheet1!B5446</f>
        <v>0</v>
      </c>
      <c r="C5446">
        <f>IF(Sheet1!B5446&gt;0,1,0)</f>
        <v>0</v>
      </c>
    </row>
    <row r="5447" spans="1:3" x14ac:dyDescent="0.25">
      <c r="A5447" s="15">
        <f>Sheet1!A5447</f>
        <v>0</v>
      </c>
      <c r="B5447">
        <f>Sheet1!B5447</f>
        <v>0</v>
      </c>
      <c r="C5447">
        <f>IF(Sheet1!B5447&gt;0,1,0)</f>
        <v>0</v>
      </c>
    </row>
    <row r="5448" spans="1:3" x14ac:dyDescent="0.25">
      <c r="A5448" s="15">
        <f>Sheet1!A5448</f>
        <v>0</v>
      </c>
      <c r="B5448">
        <f>Sheet1!B5448</f>
        <v>11.98</v>
      </c>
      <c r="C5448">
        <f>IF(Sheet1!B5448&gt;0,1,0)</f>
        <v>1</v>
      </c>
    </row>
    <row r="5449" spans="1:3" x14ac:dyDescent="0.25">
      <c r="A5449" s="15">
        <f>Sheet1!A5449</f>
        <v>0</v>
      </c>
      <c r="B5449">
        <f>Sheet1!B5449</f>
        <v>0</v>
      </c>
      <c r="C5449">
        <f>IF(Sheet1!B5449&gt;0,1,0)</f>
        <v>0</v>
      </c>
    </row>
    <row r="5450" spans="1:3" x14ac:dyDescent="0.25">
      <c r="A5450" s="15">
        <f>Sheet1!A5450</f>
        <v>0</v>
      </c>
      <c r="B5450">
        <f>Sheet1!B5450</f>
        <v>0</v>
      </c>
      <c r="C5450">
        <f>IF(Sheet1!B5450&gt;0,1,0)</f>
        <v>0</v>
      </c>
    </row>
    <row r="5451" spans="1:3" x14ac:dyDescent="0.25">
      <c r="A5451" s="15">
        <f>Sheet1!A5451</f>
        <v>0</v>
      </c>
      <c r="B5451">
        <f>Sheet1!B5451</f>
        <v>0</v>
      </c>
      <c r="C5451">
        <f>IF(Sheet1!B5451&gt;0,1,0)</f>
        <v>0</v>
      </c>
    </row>
    <row r="5452" spans="1:3" x14ac:dyDescent="0.25">
      <c r="A5452" s="15">
        <f>Sheet1!A5452</f>
        <v>0</v>
      </c>
      <c r="B5452">
        <f>Sheet1!B5452</f>
        <v>12.34</v>
      </c>
      <c r="C5452">
        <f>IF(Sheet1!B5452&gt;0,1,0)</f>
        <v>1</v>
      </c>
    </row>
    <row r="5453" spans="1:3" x14ac:dyDescent="0.25">
      <c r="A5453" s="15">
        <f>Sheet1!A5453</f>
        <v>0</v>
      </c>
      <c r="B5453">
        <f>Sheet1!B5453</f>
        <v>11.15</v>
      </c>
      <c r="C5453">
        <f>IF(Sheet1!B5453&gt;0,1,0)</f>
        <v>1</v>
      </c>
    </row>
    <row r="5454" spans="1:3" x14ac:dyDescent="0.25">
      <c r="A5454" s="15">
        <f>Sheet1!A5454</f>
        <v>0</v>
      </c>
      <c r="B5454">
        <f>Sheet1!B5454</f>
        <v>11.34</v>
      </c>
      <c r="C5454">
        <f>IF(Sheet1!B5454&gt;0,1,0)</f>
        <v>1</v>
      </c>
    </row>
    <row r="5455" spans="1:3" x14ac:dyDescent="0.25">
      <c r="A5455" s="15">
        <f>Sheet1!A5455</f>
        <v>0</v>
      </c>
      <c r="B5455">
        <f>Sheet1!B5455</f>
        <v>0</v>
      </c>
      <c r="C5455">
        <f>IF(Sheet1!B5455&gt;0,1,0)</f>
        <v>0</v>
      </c>
    </row>
    <row r="5456" spans="1:3" x14ac:dyDescent="0.25">
      <c r="A5456" s="15">
        <f>Sheet1!A5456</f>
        <v>0</v>
      </c>
      <c r="B5456">
        <f>Sheet1!B5456</f>
        <v>0</v>
      </c>
      <c r="C5456">
        <f>IF(Sheet1!B5456&gt;0,1,0)</f>
        <v>0</v>
      </c>
    </row>
    <row r="5457" spans="1:3" x14ac:dyDescent="0.25">
      <c r="A5457" s="15">
        <f>Sheet1!A5457</f>
        <v>0</v>
      </c>
      <c r="B5457">
        <f>Sheet1!B5457</f>
        <v>0</v>
      </c>
      <c r="C5457">
        <f>IF(Sheet1!B5457&gt;0,1,0)</f>
        <v>0</v>
      </c>
    </row>
    <row r="5458" spans="1:3" x14ac:dyDescent="0.25">
      <c r="A5458" s="15">
        <f>Sheet1!A5458</f>
        <v>0</v>
      </c>
      <c r="B5458">
        <f>Sheet1!B5458</f>
        <v>14.89</v>
      </c>
      <c r="C5458">
        <f>IF(Sheet1!B5458&gt;0,1,0)</f>
        <v>1</v>
      </c>
    </row>
    <row r="5459" spans="1:3" x14ac:dyDescent="0.25">
      <c r="A5459" s="15">
        <f>Sheet1!A5459</f>
        <v>0</v>
      </c>
      <c r="B5459">
        <f>Sheet1!B5459</f>
        <v>0</v>
      </c>
      <c r="C5459">
        <f>IF(Sheet1!B5459&gt;0,1,0)</f>
        <v>0</v>
      </c>
    </row>
    <row r="5460" spans="1:3" x14ac:dyDescent="0.25">
      <c r="A5460" s="15">
        <f>Sheet1!A5460</f>
        <v>0</v>
      </c>
      <c r="B5460">
        <f>Sheet1!B5460</f>
        <v>0</v>
      </c>
      <c r="C5460">
        <f>IF(Sheet1!B5460&gt;0,1,0)</f>
        <v>0</v>
      </c>
    </row>
    <row r="5461" spans="1:3" x14ac:dyDescent="0.25">
      <c r="A5461" s="15">
        <f>Sheet1!A5461</f>
        <v>0</v>
      </c>
      <c r="B5461">
        <f>Sheet1!B5461</f>
        <v>0</v>
      </c>
      <c r="C5461">
        <f>IF(Sheet1!B5461&gt;0,1,0)</f>
        <v>0</v>
      </c>
    </row>
    <row r="5462" spans="1:3" x14ac:dyDescent="0.25">
      <c r="A5462" s="15">
        <f>Sheet1!A5462</f>
        <v>0</v>
      </c>
      <c r="B5462">
        <f>Sheet1!B5462</f>
        <v>0</v>
      </c>
      <c r="C5462">
        <f>IF(Sheet1!B5462&gt;0,1,0)</f>
        <v>0</v>
      </c>
    </row>
    <row r="5463" spans="1:3" x14ac:dyDescent="0.25">
      <c r="A5463" s="15">
        <f>Sheet1!A5463</f>
        <v>0</v>
      </c>
      <c r="B5463">
        <f>Sheet1!B5463</f>
        <v>0</v>
      </c>
      <c r="C5463">
        <f>IF(Sheet1!B5463&gt;0,1,0)</f>
        <v>0</v>
      </c>
    </row>
    <row r="5464" spans="1:3" x14ac:dyDescent="0.25">
      <c r="A5464" s="15">
        <f>Sheet1!A5464</f>
        <v>0</v>
      </c>
      <c r="B5464">
        <f>Sheet1!B5464</f>
        <v>17.309999999999999</v>
      </c>
      <c r="C5464">
        <f>IF(Sheet1!B5464&gt;0,1,0)</f>
        <v>1</v>
      </c>
    </row>
    <row r="5465" spans="1:3" x14ac:dyDescent="0.25">
      <c r="A5465" s="15">
        <f>Sheet1!A5465</f>
        <v>0</v>
      </c>
      <c r="B5465">
        <f>Sheet1!B5465</f>
        <v>0</v>
      </c>
      <c r="C5465">
        <f>IF(Sheet1!B5465&gt;0,1,0)</f>
        <v>0</v>
      </c>
    </row>
    <row r="5466" spans="1:3" x14ac:dyDescent="0.25">
      <c r="A5466" s="15">
        <f>Sheet1!A5466</f>
        <v>0</v>
      </c>
      <c r="B5466">
        <f>Sheet1!B5466</f>
        <v>0</v>
      </c>
      <c r="C5466">
        <f>IF(Sheet1!B5466&gt;0,1,0)</f>
        <v>0</v>
      </c>
    </row>
    <row r="5467" spans="1:3" x14ac:dyDescent="0.25">
      <c r="A5467" s="15">
        <f>Sheet1!A5467</f>
        <v>0</v>
      </c>
      <c r="B5467">
        <f>Sheet1!B5467</f>
        <v>0</v>
      </c>
      <c r="C5467">
        <f>IF(Sheet1!B5467&gt;0,1,0)</f>
        <v>0</v>
      </c>
    </row>
    <row r="5468" spans="1:3" x14ac:dyDescent="0.25">
      <c r="A5468" s="15">
        <f>Sheet1!A5468</f>
        <v>0</v>
      </c>
      <c r="B5468">
        <f>Sheet1!B5468</f>
        <v>13.65</v>
      </c>
      <c r="C5468">
        <f>IF(Sheet1!B5468&gt;0,1,0)</f>
        <v>1</v>
      </c>
    </row>
    <row r="5469" spans="1:3" x14ac:dyDescent="0.25">
      <c r="A5469" s="15">
        <f>Sheet1!A5469</f>
        <v>0</v>
      </c>
      <c r="B5469">
        <f>Sheet1!B5469</f>
        <v>0</v>
      </c>
      <c r="C5469">
        <f>IF(Sheet1!B5469&gt;0,1,0)</f>
        <v>0</v>
      </c>
    </row>
    <row r="5470" spans="1:3" x14ac:dyDescent="0.25">
      <c r="A5470" s="15">
        <f>Sheet1!A5470</f>
        <v>0</v>
      </c>
      <c r="B5470">
        <f>Sheet1!B5470</f>
        <v>0</v>
      </c>
      <c r="C5470">
        <f>IF(Sheet1!B5470&gt;0,1,0)</f>
        <v>0</v>
      </c>
    </row>
    <row r="5471" spans="1:3" x14ac:dyDescent="0.25">
      <c r="A5471" s="15">
        <f>Sheet1!A5471</f>
        <v>0</v>
      </c>
      <c r="B5471">
        <f>Sheet1!B5471</f>
        <v>0</v>
      </c>
      <c r="C5471">
        <f>IF(Sheet1!B5471&gt;0,1,0)</f>
        <v>0</v>
      </c>
    </row>
    <row r="5472" spans="1:3" x14ac:dyDescent="0.25">
      <c r="A5472" s="15">
        <f>Sheet1!A5472</f>
        <v>0</v>
      </c>
      <c r="B5472">
        <f>Sheet1!B5472</f>
        <v>13.28</v>
      </c>
      <c r="C5472">
        <f>IF(Sheet1!B5472&gt;0,1,0)</f>
        <v>1</v>
      </c>
    </row>
    <row r="5473" spans="1:3" x14ac:dyDescent="0.25">
      <c r="A5473" s="15">
        <f>Sheet1!A5473</f>
        <v>0</v>
      </c>
      <c r="B5473">
        <f>Sheet1!B5473</f>
        <v>0</v>
      </c>
      <c r="C5473">
        <f>IF(Sheet1!B5473&gt;0,1,0)</f>
        <v>0</v>
      </c>
    </row>
    <row r="5474" spans="1:3" x14ac:dyDescent="0.25">
      <c r="A5474" s="15">
        <f>Sheet1!A5474</f>
        <v>0</v>
      </c>
      <c r="B5474">
        <f>Sheet1!B5474</f>
        <v>0</v>
      </c>
      <c r="C5474">
        <f>IF(Sheet1!B5474&gt;0,1,0)</f>
        <v>0</v>
      </c>
    </row>
    <row r="5475" spans="1:3" x14ac:dyDescent="0.25">
      <c r="A5475" s="15">
        <f>Sheet1!A5475</f>
        <v>0</v>
      </c>
      <c r="B5475">
        <f>Sheet1!B5475</f>
        <v>4.6900000000000004</v>
      </c>
      <c r="C5475">
        <f>IF(Sheet1!B5475&gt;0,1,0)</f>
        <v>1</v>
      </c>
    </row>
    <row r="5476" spans="1:3" x14ac:dyDescent="0.25">
      <c r="A5476" s="15">
        <f>Sheet1!A5476</f>
        <v>0</v>
      </c>
      <c r="B5476">
        <f>Sheet1!B5476</f>
        <v>11.18</v>
      </c>
      <c r="C5476">
        <f>IF(Sheet1!B5476&gt;0,1,0)</f>
        <v>1</v>
      </c>
    </row>
    <row r="5477" spans="1:3" x14ac:dyDescent="0.25">
      <c r="A5477" s="15">
        <f>Sheet1!A5477</f>
        <v>0</v>
      </c>
      <c r="B5477">
        <f>Sheet1!B5477</f>
        <v>3.5</v>
      </c>
      <c r="C5477">
        <f>IF(Sheet1!B5477&gt;0,1,0)</f>
        <v>1</v>
      </c>
    </row>
    <row r="5478" spans="1:3" x14ac:dyDescent="0.25">
      <c r="A5478" s="15">
        <f>Sheet1!A5478</f>
        <v>0</v>
      </c>
      <c r="B5478">
        <f>Sheet1!B5478</f>
        <v>0</v>
      </c>
      <c r="C5478">
        <f>IF(Sheet1!B5478&gt;0,1,0)</f>
        <v>0</v>
      </c>
    </row>
    <row r="5479" spans="1:3" x14ac:dyDescent="0.25">
      <c r="A5479" s="15">
        <f>Sheet1!A5479</f>
        <v>0</v>
      </c>
      <c r="B5479">
        <f>Sheet1!B5479</f>
        <v>8.27</v>
      </c>
      <c r="C5479">
        <f>IF(Sheet1!B5479&gt;0,1,0)</f>
        <v>1</v>
      </c>
    </row>
    <row r="5480" spans="1:3" x14ac:dyDescent="0.25">
      <c r="A5480" s="15">
        <f>Sheet1!A5480</f>
        <v>0</v>
      </c>
      <c r="B5480">
        <f>Sheet1!B5480</f>
        <v>12.52</v>
      </c>
      <c r="C5480">
        <f>IF(Sheet1!B5480&gt;0,1,0)</f>
        <v>1</v>
      </c>
    </row>
    <row r="5481" spans="1:3" x14ac:dyDescent="0.25">
      <c r="A5481" s="15">
        <f>Sheet1!A5481</f>
        <v>0</v>
      </c>
      <c r="B5481">
        <f>Sheet1!B5481</f>
        <v>12.94</v>
      </c>
      <c r="C5481">
        <f>IF(Sheet1!B5481&gt;0,1,0)</f>
        <v>1</v>
      </c>
    </row>
    <row r="5482" spans="1:3" x14ac:dyDescent="0.25">
      <c r="A5482" s="15">
        <f>Sheet1!A5482</f>
        <v>0</v>
      </c>
      <c r="B5482">
        <f>Sheet1!B5482</f>
        <v>13.28</v>
      </c>
      <c r="C5482">
        <f>IF(Sheet1!B5482&gt;0,1,0)</f>
        <v>1</v>
      </c>
    </row>
    <row r="5483" spans="1:3" x14ac:dyDescent="0.25">
      <c r="A5483" s="15">
        <f>Sheet1!A5483</f>
        <v>0</v>
      </c>
      <c r="B5483">
        <f>Sheet1!B5483</f>
        <v>0</v>
      </c>
      <c r="C5483">
        <f>IF(Sheet1!B5483&gt;0,1,0)</f>
        <v>0</v>
      </c>
    </row>
    <row r="5484" spans="1:3" x14ac:dyDescent="0.25">
      <c r="A5484" s="15">
        <f>Sheet1!A5484</f>
        <v>0</v>
      </c>
      <c r="B5484">
        <f>Sheet1!B5484</f>
        <v>0</v>
      </c>
      <c r="C5484">
        <f>IF(Sheet1!B5484&gt;0,1,0)</f>
        <v>0</v>
      </c>
    </row>
    <row r="5485" spans="1:3" x14ac:dyDescent="0.25">
      <c r="A5485" s="15">
        <f>Sheet1!A5485</f>
        <v>0</v>
      </c>
      <c r="B5485">
        <f>Sheet1!B5485</f>
        <v>0</v>
      </c>
      <c r="C5485">
        <f>IF(Sheet1!B5485&gt;0,1,0)</f>
        <v>0</v>
      </c>
    </row>
    <row r="5486" spans="1:3" x14ac:dyDescent="0.25">
      <c r="A5486" s="15">
        <f>Sheet1!A5486</f>
        <v>0</v>
      </c>
      <c r="B5486">
        <f>Sheet1!B5486</f>
        <v>11.02</v>
      </c>
      <c r="C5486">
        <f>IF(Sheet1!B5486&gt;0,1,0)</f>
        <v>1</v>
      </c>
    </row>
    <row r="5487" spans="1:3" x14ac:dyDescent="0.25">
      <c r="A5487" s="15">
        <f>Sheet1!A5487</f>
        <v>0</v>
      </c>
      <c r="B5487">
        <f>Sheet1!B5487</f>
        <v>0</v>
      </c>
      <c r="C5487">
        <f>IF(Sheet1!B5487&gt;0,1,0)</f>
        <v>0</v>
      </c>
    </row>
    <row r="5488" spans="1:3" x14ac:dyDescent="0.25">
      <c r="A5488" s="15">
        <f>Sheet1!A5488</f>
        <v>0</v>
      </c>
      <c r="B5488">
        <f>Sheet1!B5488</f>
        <v>0</v>
      </c>
      <c r="C5488">
        <f>IF(Sheet1!B5488&gt;0,1,0)</f>
        <v>0</v>
      </c>
    </row>
    <row r="5489" spans="1:3" x14ac:dyDescent="0.25">
      <c r="A5489" s="15">
        <f>Sheet1!A5489</f>
        <v>0</v>
      </c>
      <c r="B5489">
        <f>Sheet1!B5489</f>
        <v>0</v>
      </c>
      <c r="C5489">
        <f>IF(Sheet1!B5489&gt;0,1,0)</f>
        <v>0</v>
      </c>
    </row>
    <row r="5490" spans="1:3" x14ac:dyDescent="0.25">
      <c r="A5490" s="15">
        <f>Sheet1!A5490</f>
        <v>0</v>
      </c>
      <c r="B5490">
        <f>Sheet1!B5490</f>
        <v>10.52</v>
      </c>
      <c r="C5490">
        <f>IF(Sheet1!B5490&gt;0,1,0)</f>
        <v>1</v>
      </c>
    </row>
    <row r="5491" spans="1:3" x14ac:dyDescent="0.25">
      <c r="A5491" s="15">
        <f>Sheet1!A5491</f>
        <v>0</v>
      </c>
      <c r="B5491">
        <f>Sheet1!B5491</f>
        <v>0</v>
      </c>
      <c r="C5491">
        <f>IF(Sheet1!B5491&gt;0,1,0)</f>
        <v>0</v>
      </c>
    </row>
    <row r="5492" spans="1:3" x14ac:dyDescent="0.25">
      <c r="A5492" s="15">
        <f>Sheet1!A5492</f>
        <v>0</v>
      </c>
      <c r="B5492">
        <f>Sheet1!B5492</f>
        <v>0</v>
      </c>
      <c r="C5492">
        <f>IF(Sheet1!B5492&gt;0,1,0)</f>
        <v>0</v>
      </c>
    </row>
    <row r="5493" spans="1:3" x14ac:dyDescent="0.25">
      <c r="A5493" s="15">
        <f>Sheet1!A5493</f>
        <v>0</v>
      </c>
      <c r="B5493">
        <f>Sheet1!B5493</f>
        <v>0</v>
      </c>
      <c r="C5493">
        <f>IF(Sheet1!B5493&gt;0,1,0)</f>
        <v>0</v>
      </c>
    </row>
    <row r="5494" spans="1:3" x14ac:dyDescent="0.25">
      <c r="A5494" s="15">
        <f>Sheet1!A5494</f>
        <v>0</v>
      </c>
      <c r="B5494">
        <f>Sheet1!B5494</f>
        <v>9.9</v>
      </c>
      <c r="C5494">
        <f>IF(Sheet1!B5494&gt;0,1,0)</f>
        <v>1</v>
      </c>
    </row>
    <row r="5495" spans="1:3" x14ac:dyDescent="0.25">
      <c r="A5495" s="15">
        <f>Sheet1!A5495</f>
        <v>0</v>
      </c>
      <c r="B5495">
        <f>Sheet1!B5495</f>
        <v>0</v>
      </c>
      <c r="C5495">
        <f>IF(Sheet1!B5495&gt;0,1,0)</f>
        <v>0</v>
      </c>
    </row>
    <row r="5496" spans="1:3" x14ac:dyDescent="0.25">
      <c r="A5496" s="15">
        <f>Sheet1!A5496</f>
        <v>0</v>
      </c>
      <c r="B5496">
        <f>Sheet1!B5496</f>
        <v>0</v>
      </c>
      <c r="C5496">
        <f>IF(Sheet1!B5496&gt;0,1,0)</f>
        <v>0</v>
      </c>
    </row>
    <row r="5497" spans="1:3" x14ac:dyDescent="0.25">
      <c r="A5497" s="15">
        <f>Sheet1!A5497</f>
        <v>0</v>
      </c>
      <c r="B5497">
        <f>Sheet1!B5497</f>
        <v>0</v>
      </c>
      <c r="C5497">
        <f>IF(Sheet1!B5497&gt;0,1,0)</f>
        <v>0</v>
      </c>
    </row>
    <row r="5498" spans="1:3" x14ac:dyDescent="0.25">
      <c r="A5498" s="15">
        <f>Sheet1!A5498</f>
        <v>0</v>
      </c>
      <c r="B5498">
        <f>Sheet1!B5498</f>
        <v>11.62</v>
      </c>
      <c r="C5498">
        <f>IF(Sheet1!B5498&gt;0,1,0)</f>
        <v>1</v>
      </c>
    </row>
    <row r="5499" spans="1:3" x14ac:dyDescent="0.25">
      <c r="A5499" s="15">
        <f>Sheet1!A5499</f>
        <v>0</v>
      </c>
      <c r="B5499">
        <f>Sheet1!B5499</f>
        <v>0</v>
      </c>
      <c r="C5499">
        <f>IF(Sheet1!B5499&gt;0,1,0)</f>
        <v>0</v>
      </c>
    </row>
    <row r="5500" spans="1:3" x14ac:dyDescent="0.25">
      <c r="A5500" s="15">
        <f>Sheet1!A5500</f>
        <v>0</v>
      </c>
      <c r="B5500">
        <f>Sheet1!B5500</f>
        <v>0</v>
      </c>
      <c r="C5500">
        <f>IF(Sheet1!B5500&gt;0,1,0)</f>
        <v>0</v>
      </c>
    </row>
    <row r="5501" spans="1:3" x14ac:dyDescent="0.25">
      <c r="A5501" s="15">
        <f>Sheet1!A5501</f>
        <v>0</v>
      </c>
      <c r="B5501">
        <f>Sheet1!B5501</f>
        <v>0</v>
      </c>
      <c r="C5501">
        <f>IF(Sheet1!B5501&gt;0,1,0)</f>
        <v>0</v>
      </c>
    </row>
    <row r="5502" spans="1:3" x14ac:dyDescent="0.25">
      <c r="A5502" s="15">
        <f>Sheet1!A5502</f>
        <v>0</v>
      </c>
      <c r="B5502">
        <f>Sheet1!B5502</f>
        <v>10.67</v>
      </c>
      <c r="C5502">
        <f>IF(Sheet1!B5502&gt;0,1,0)</f>
        <v>1</v>
      </c>
    </row>
    <row r="5503" spans="1:3" x14ac:dyDescent="0.25">
      <c r="A5503" s="15">
        <f>Sheet1!A5503</f>
        <v>0</v>
      </c>
      <c r="B5503">
        <f>Sheet1!B5503</f>
        <v>11.06</v>
      </c>
      <c r="C5503">
        <f>IF(Sheet1!B5503&gt;0,1,0)</f>
        <v>1</v>
      </c>
    </row>
    <row r="5504" spans="1:3" x14ac:dyDescent="0.25">
      <c r="A5504" s="15">
        <f>Sheet1!A5504</f>
        <v>0</v>
      </c>
      <c r="B5504">
        <f>Sheet1!B5504</f>
        <v>11.72</v>
      </c>
      <c r="C5504">
        <f>IF(Sheet1!B5504&gt;0,1,0)</f>
        <v>1</v>
      </c>
    </row>
    <row r="5505" spans="1:3" x14ac:dyDescent="0.25">
      <c r="A5505" s="15">
        <f>Sheet1!A5505</f>
        <v>0</v>
      </c>
      <c r="B5505">
        <f>Sheet1!B5505</f>
        <v>0</v>
      </c>
      <c r="C5505">
        <f>IF(Sheet1!B5505&gt;0,1,0)</f>
        <v>0</v>
      </c>
    </row>
    <row r="5506" spans="1:3" x14ac:dyDescent="0.25">
      <c r="A5506" s="15">
        <f>Sheet1!A5506</f>
        <v>0</v>
      </c>
      <c r="B5506">
        <f>Sheet1!B5506</f>
        <v>0</v>
      </c>
      <c r="C5506">
        <f>IF(Sheet1!B5506&gt;0,1,0)</f>
        <v>0</v>
      </c>
    </row>
    <row r="5507" spans="1:3" x14ac:dyDescent="0.25">
      <c r="A5507" s="15">
        <f>Sheet1!A5507</f>
        <v>0</v>
      </c>
      <c r="B5507">
        <f>Sheet1!B5507</f>
        <v>0</v>
      </c>
      <c r="C5507">
        <f>IF(Sheet1!B5507&gt;0,1,0)</f>
        <v>0</v>
      </c>
    </row>
    <row r="5508" spans="1:3" x14ac:dyDescent="0.25">
      <c r="A5508" s="15">
        <f>Sheet1!A5508</f>
        <v>0</v>
      </c>
      <c r="B5508">
        <f>Sheet1!B5508</f>
        <v>14.06</v>
      </c>
      <c r="C5508">
        <f>IF(Sheet1!B5508&gt;0,1,0)</f>
        <v>1</v>
      </c>
    </row>
    <row r="5509" spans="1:3" x14ac:dyDescent="0.25">
      <c r="A5509" s="15">
        <f>Sheet1!A5509</f>
        <v>0</v>
      </c>
      <c r="B5509">
        <f>Sheet1!B5509</f>
        <v>0</v>
      </c>
      <c r="C5509">
        <f>IF(Sheet1!B5509&gt;0,1,0)</f>
        <v>0</v>
      </c>
    </row>
    <row r="5510" spans="1:3" x14ac:dyDescent="0.25">
      <c r="A5510" s="15">
        <f>Sheet1!A5510</f>
        <v>0</v>
      </c>
      <c r="B5510">
        <f>Sheet1!B5510</f>
        <v>0</v>
      </c>
      <c r="C5510">
        <f>IF(Sheet1!B5510&gt;0,1,0)</f>
        <v>0</v>
      </c>
    </row>
    <row r="5511" spans="1:3" x14ac:dyDescent="0.25">
      <c r="A5511" s="15">
        <f>Sheet1!A5511</f>
        <v>0</v>
      </c>
      <c r="B5511">
        <f>Sheet1!B5511</f>
        <v>0</v>
      </c>
      <c r="C5511">
        <f>IF(Sheet1!B5511&gt;0,1,0)</f>
        <v>0</v>
      </c>
    </row>
    <row r="5512" spans="1:3" x14ac:dyDescent="0.25">
      <c r="A5512" s="15">
        <f>Sheet1!A5512</f>
        <v>0</v>
      </c>
      <c r="B5512">
        <f>Sheet1!B5512</f>
        <v>14.38</v>
      </c>
      <c r="C5512">
        <f>IF(Sheet1!B5512&gt;0,1,0)</f>
        <v>1</v>
      </c>
    </row>
    <row r="5513" spans="1:3" x14ac:dyDescent="0.25">
      <c r="A5513" s="15">
        <f>Sheet1!A5513</f>
        <v>0</v>
      </c>
      <c r="B5513">
        <f>Sheet1!B5513</f>
        <v>0</v>
      </c>
      <c r="C5513">
        <f>IF(Sheet1!B5513&gt;0,1,0)</f>
        <v>0</v>
      </c>
    </row>
    <row r="5514" spans="1:3" x14ac:dyDescent="0.25">
      <c r="A5514" s="15">
        <f>Sheet1!A5514</f>
        <v>0</v>
      </c>
      <c r="B5514">
        <f>Sheet1!B5514</f>
        <v>0</v>
      </c>
      <c r="C5514">
        <f>IF(Sheet1!B5514&gt;0,1,0)</f>
        <v>0</v>
      </c>
    </row>
    <row r="5515" spans="1:3" x14ac:dyDescent="0.25">
      <c r="A5515" s="15">
        <f>Sheet1!A5515</f>
        <v>0</v>
      </c>
      <c r="B5515">
        <f>Sheet1!B5515</f>
        <v>0</v>
      </c>
      <c r="C5515">
        <f>IF(Sheet1!B5515&gt;0,1,0)</f>
        <v>0</v>
      </c>
    </row>
    <row r="5516" spans="1:3" x14ac:dyDescent="0.25">
      <c r="A5516" s="15">
        <f>Sheet1!A5516</f>
        <v>0</v>
      </c>
      <c r="B5516">
        <f>Sheet1!B5516</f>
        <v>13.4</v>
      </c>
      <c r="C5516">
        <f>IF(Sheet1!B5516&gt;0,1,0)</f>
        <v>1</v>
      </c>
    </row>
    <row r="5517" spans="1:3" x14ac:dyDescent="0.25">
      <c r="A5517" s="15">
        <f>Sheet1!A5517</f>
        <v>0</v>
      </c>
      <c r="B5517">
        <f>Sheet1!B5517</f>
        <v>0</v>
      </c>
      <c r="C5517">
        <f>IF(Sheet1!B5517&gt;0,1,0)</f>
        <v>0</v>
      </c>
    </row>
    <row r="5518" spans="1:3" x14ac:dyDescent="0.25">
      <c r="A5518" s="15">
        <f>Sheet1!A5518</f>
        <v>0</v>
      </c>
      <c r="B5518">
        <f>Sheet1!B5518</f>
        <v>0</v>
      </c>
      <c r="C5518">
        <f>IF(Sheet1!B5518&gt;0,1,0)</f>
        <v>0</v>
      </c>
    </row>
    <row r="5519" spans="1:3" x14ac:dyDescent="0.25">
      <c r="A5519" s="15">
        <f>Sheet1!A5519</f>
        <v>0</v>
      </c>
      <c r="B5519">
        <f>Sheet1!B5519</f>
        <v>0</v>
      </c>
      <c r="C5519">
        <f>IF(Sheet1!B5519&gt;0,1,0)</f>
        <v>0</v>
      </c>
    </row>
    <row r="5520" spans="1:3" x14ac:dyDescent="0.25">
      <c r="A5520" s="15">
        <f>Sheet1!A5520</f>
        <v>0</v>
      </c>
      <c r="B5520">
        <f>Sheet1!B5520</f>
        <v>11.87</v>
      </c>
      <c r="C5520">
        <f>IF(Sheet1!B5520&gt;0,1,0)</f>
        <v>1</v>
      </c>
    </row>
    <row r="5521" spans="1:3" x14ac:dyDescent="0.25">
      <c r="A5521" s="15">
        <f>Sheet1!A5521</f>
        <v>0</v>
      </c>
      <c r="B5521">
        <f>Sheet1!B5521</f>
        <v>7.83</v>
      </c>
      <c r="C5521">
        <f>IF(Sheet1!B5521&gt;0,1,0)</f>
        <v>1</v>
      </c>
    </row>
    <row r="5522" spans="1:3" x14ac:dyDescent="0.25">
      <c r="A5522" s="15">
        <f>Sheet1!A5522</f>
        <v>0</v>
      </c>
      <c r="B5522">
        <f>Sheet1!B5522</f>
        <v>0</v>
      </c>
      <c r="C5522">
        <f>IF(Sheet1!B5522&gt;0,1,0)</f>
        <v>0</v>
      </c>
    </row>
    <row r="5523" spans="1:3" x14ac:dyDescent="0.25">
      <c r="A5523" s="15">
        <f>Sheet1!A5523</f>
        <v>0</v>
      </c>
      <c r="B5523">
        <f>Sheet1!B5523</f>
        <v>6.34</v>
      </c>
      <c r="C5523">
        <f>IF(Sheet1!B5523&gt;0,1,0)</f>
        <v>1</v>
      </c>
    </row>
    <row r="5524" spans="1:3" x14ac:dyDescent="0.25">
      <c r="A5524" s="15">
        <f>Sheet1!A5524</f>
        <v>0</v>
      </c>
      <c r="B5524">
        <f>Sheet1!B5524</f>
        <v>10.07</v>
      </c>
      <c r="C5524">
        <f>IF(Sheet1!B5524&gt;0,1,0)</f>
        <v>1</v>
      </c>
    </row>
    <row r="5525" spans="1:3" x14ac:dyDescent="0.25">
      <c r="A5525" s="15">
        <f>Sheet1!A5525</f>
        <v>0</v>
      </c>
      <c r="B5525">
        <f>Sheet1!B5525</f>
        <v>9.5399999999999991</v>
      </c>
      <c r="C5525">
        <f>IF(Sheet1!B5525&gt;0,1,0)</f>
        <v>1</v>
      </c>
    </row>
    <row r="5526" spans="1:3" x14ac:dyDescent="0.25">
      <c r="A5526" s="15">
        <f>Sheet1!A5526</f>
        <v>0</v>
      </c>
      <c r="B5526">
        <f>Sheet1!B5526</f>
        <v>9.7899999999999991</v>
      </c>
      <c r="C5526">
        <f>IF(Sheet1!B5526&gt;0,1,0)</f>
        <v>1</v>
      </c>
    </row>
    <row r="5527" spans="1:3" x14ac:dyDescent="0.25">
      <c r="A5527" s="15">
        <f>Sheet1!A5527</f>
        <v>0</v>
      </c>
      <c r="B5527">
        <f>Sheet1!B5527</f>
        <v>2.25</v>
      </c>
      <c r="C5527">
        <f>IF(Sheet1!B5527&gt;0,1,0)</f>
        <v>1</v>
      </c>
    </row>
    <row r="5528" spans="1:3" x14ac:dyDescent="0.25">
      <c r="A5528" s="15">
        <f>Sheet1!A5528</f>
        <v>0</v>
      </c>
      <c r="B5528">
        <f>Sheet1!B5528</f>
        <v>0</v>
      </c>
      <c r="C5528">
        <f>IF(Sheet1!B5528&gt;0,1,0)</f>
        <v>0</v>
      </c>
    </row>
    <row r="5529" spans="1:3" x14ac:dyDescent="0.25">
      <c r="A5529" s="15">
        <f>Sheet1!A5529</f>
        <v>0</v>
      </c>
      <c r="B5529">
        <f>Sheet1!B5529</f>
        <v>7.18</v>
      </c>
      <c r="C5529">
        <f>IF(Sheet1!B5529&gt;0,1,0)</f>
        <v>1</v>
      </c>
    </row>
    <row r="5530" spans="1:3" x14ac:dyDescent="0.25">
      <c r="A5530" s="15">
        <f>Sheet1!A5530</f>
        <v>0</v>
      </c>
      <c r="B5530">
        <f>Sheet1!B5530</f>
        <v>12.35</v>
      </c>
      <c r="C5530">
        <f>IF(Sheet1!B5530&gt;0,1,0)</f>
        <v>1</v>
      </c>
    </row>
    <row r="5531" spans="1:3" x14ac:dyDescent="0.25">
      <c r="A5531" s="15">
        <f>Sheet1!A5531</f>
        <v>0</v>
      </c>
      <c r="B5531">
        <f>Sheet1!B5531</f>
        <v>5.37</v>
      </c>
      <c r="C5531">
        <f>IF(Sheet1!B5531&gt;0,1,0)</f>
        <v>1</v>
      </c>
    </row>
    <row r="5532" spans="1:3" x14ac:dyDescent="0.25">
      <c r="A5532" s="15">
        <f>Sheet1!A5532</f>
        <v>0</v>
      </c>
      <c r="B5532">
        <f>Sheet1!B5532</f>
        <v>0</v>
      </c>
      <c r="C5532">
        <f>IF(Sheet1!B5532&gt;0,1,0)</f>
        <v>0</v>
      </c>
    </row>
    <row r="5533" spans="1:3" x14ac:dyDescent="0.25">
      <c r="A5533" s="15">
        <f>Sheet1!A5533</f>
        <v>0</v>
      </c>
      <c r="B5533">
        <f>Sheet1!B5533</f>
        <v>0</v>
      </c>
      <c r="C5533">
        <f>IF(Sheet1!B5533&gt;0,1,0)</f>
        <v>0</v>
      </c>
    </row>
    <row r="5534" spans="1:3" x14ac:dyDescent="0.25">
      <c r="A5534" s="15">
        <f>Sheet1!A5534</f>
        <v>0</v>
      </c>
      <c r="B5534">
        <f>Sheet1!B5534</f>
        <v>0</v>
      </c>
      <c r="C5534">
        <f>IF(Sheet1!B5534&gt;0,1,0)</f>
        <v>0</v>
      </c>
    </row>
    <row r="5535" spans="1:3" x14ac:dyDescent="0.25">
      <c r="A5535" s="15">
        <f>Sheet1!A5535</f>
        <v>0</v>
      </c>
      <c r="B5535">
        <f>Sheet1!B5535</f>
        <v>0</v>
      </c>
      <c r="C5535">
        <f>IF(Sheet1!B5535&gt;0,1,0)</f>
        <v>0</v>
      </c>
    </row>
    <row r="5536" spans="1:3" x14ac:dyDescent="0.25">
      <c r="A5536" s="15">
        <f>Sheet1!A5536</f>
        <v>0</v>
      </c>
      <c r="B5536">
        <f>Sheet1!B5536</f>
        <v>0</v>
      </c>
      <c r="C5536">
        <f>IF(Sheet1!B5536&gt;0,1,0)</f>
        <v>0</v>
      </c>
    </row>
    <row r="5537" spans="1:3" x14ac:dyDescent="0.25">
      <c r="A5537" s="15">
        <f>Sheet1!A5537</f>
        <v>0</v>
      </c>
      <c r="B5537">
        <f>Sheet1!B5537</f>
        <v>0</v>
      </c>
      <c r="C5537">
        <f>IF(Sheet1!B5537&gt;0,1,0)</f>
        <v>0</v>
      </c>
    </row>
    <row r="5538" spans="1:3" x14ac:dyDescent="0.25">
      <c r="A5538" s="15">
        <f>Sheet1!A5538</f>
        <v>0</v>
      </c>
      <c r="B5538">
        <f>Sheet1!B5538</f>
        <v>16.52</v>
      </c>
      <c r="C5538">
        <f>IF(Sheet1!B5538&gt;0,1,0)</f>
        <v>1</v>
      </c>
    </row>
    <row r="5539" spans="1:3" x14ac:dyDescent="0.25">
      <c r="A5539" s="15">
        <f>Sheet1!A5539</f>
        <v>0</v>
      </c>
      <c r="B5539">
        <f>Sheet1!B5539</f>
        <v>0</v>
      </c>
      <c r="C5539">
        <f>IF(Sheet1!B5539&gt;0,1,0)</f>
        <v>0</v>
      </c>
    </row>
    <row r="5540" spans="1:3" x14ac:dyDescent="0.25">
      <c r="A5540" s="15">
        <f>Sheet1!A5540</f>
        <v>0</v>
      </c>
      <c r="B5540">
        <f>Sheet1!B5540</f>
        <v>0</v>
      </c>
      <c r="C5540">
        <f>IF(Sheet1!B5540&gt;0,1,0)</f>
        <v>0</v>
      </c>
    </row>
    <row r="5541" spans="1:3" x14ac:dyDescent="0.25">
      <c r="A5541" s="15">
        <f>Sheet1!A5541</f>
        <v>0</v>
      </c>
      <c r="B5541">
        <f>Sheet1!B5541</f>
        <v>0</v>
      </c>
      <c r="C5541">
        <f>IF(Sheet1!B5541&gt;0,1,0)</f>
        <v>0</v>
      </c>
    </row>
    <row r="5542" spans="1:3" x14ac:dyDescent="0.25">
      <c r="A5542" s="15">
        <f>Sheet1!A5542</f>
        <v>0</v>
      </c>
      <c r="B5542">
        <f>Sheet1!B5542</f>
        <v>13.95</v>
      </c>
      <c r="C5542">
        <f>IF(Sheet1!B5542&gt;0,1,0)</f>
        <v>1</v>
      </c>
    </row>
    <row r="5543" spans="1:3" x14ac:dyDescent="0.25">
      <c r="A5543" s="15">
        <f>Sheet1!A5543</f>
        <v>0</v>
      </c>
      <c r="B5543">
        <f>Sheet1!B5543</f>
        <v>0</v>
      </c>
      <c r="C5543">
        <f>IF(Sheet1!B5543&gt;0,1,0)</f>
        <v>0</v>
      </c>
    </row>
    <row r="5544" spans="1:3" x14ac:dyDescent="0.25">
      <c r="A5544" s="15">
        <f>Sheet1!A5544</f>
        <v>0</v>
      </c>
      <c r="B5544">
        <f>Sheet1!B5544</f>
        <v>0</v>
      </c>
      <c r="C5544">
        <f>IF(Sheet1!B5544&gt;0,1,0)</f>
        <v>0</v>
      </c>
    </row>
    <row r="5545" spans="1:3" x14ac:dyDescent="0.25">
      <c r="A5545" s="15">
        <f>Sheet1!A5545</f>
        <v>0</v>
      </c>
      <c r="B5545">
        <f>Sheet1!B5545</f>
        <v>4.91</v>
      </c>
      <c r="C5545">
        <f>IF(Sheet1!B5545&gt;0,1,0)</f>
        <v>1</v>
      </c>
    </row>
    <row r="5546" spans="1:3" x14ac:dyDescent="0.25">
      <c r="A5546" s="15">
        <f>Sheet1!A5546</f>
        <v>0</v>
      </c>
      <c r="B5546">
        <f>Sheet1!B5546</f>
        <v>9.8699999999999992</v>
      </c>
      <c r="C5546">
        <f>IF(Sheet1!B5546&gt;0,1,0)</f>
        <v>1</v>
      </c>
    </row>
    <row r="5547" spans="1:3" x14ac:dyDescent="0.25">
      <c r="A5547" s="15">
        <f>Sheet1!A5547</f>
        <v>0</v>
      </c>
      <c r="B5547">
        <f>Sheet1!B5547</f>
        <v>0</v>
      </c>
      <c r="C5547">
        <f>IF(Sheet1!B5547&gt;0,1,0)</f>
        <v>0</v>
      </c>
    </row>
    <row r="5548" spans="1:3" x14ac:dyDescent="0.25">
      <c r="A5548" s="15">
        <f>Sheet1!A5548</f>
        <v>0</v>
      </c>
      <c r="B5548">
        <f>Sheet1!B5548</f>
        <v>0</v>
      </c>
      <c r="C5548">
        <f>IF(Sheet1!B5548&gt;0,1,0)</f>
        <v>0</v>
      </c>
    </row>
    <row r="5549" spans="1:3" x14ac:dyDescent="0.25">
      <c r="A5549" s="15">
        <f>Sheet1!A5549</f>
        <v>0</v>
      </c>
      <c r="B5549">
        <f>Sheet1!B5549</f>
        <v>5.29</v>
      </c>
      <c r="C5549">
        <f>IF(Sheet1!B5549&gt;0,1,0)</f>
        <v>1</v>
      </c>
    </row>
    <row r="5550" spans="1:3" x14ac:dyDescent="0.25">
      <c r="A5550" s="15">
        <f>Sheet1!A5550</f>
        <v>0</v>
      </c>
      <c r="B5550">
        <f>Sheet1!B5550</f>
        <v>0</v>
      </c>
      <c r="C5550">
        <f>IF(Sheet1!B5550&gt;0,1,0)</f>
        <v>0</v>
      </c>
    </row>
    <row r="5551" spans="1:3" x14ac:dyDescent="0.25">
      <c r="A5551" s="15">
        <f>Sheet1!A5551</f>
        <v>0</v>
      </c>
      <c r="B5551">
        <f>Sheet1!B5551</f>
        <v>0</v>
      </c>
      <c r="C5551">
        <f>IF(Sheet1!B5551&gt;0,1,0)</f>
        <v>0</v>
      </c>
    </row>
    <row r="5552" spans="1:3" x14ac:dyDescent="0.25">
      <c r="A5552" s="15">
        <f>Sheet1!A5552</f>
        <v>0</v>
      </c>
      <c r="B5552">
        <f>Sheet1!B5552</f>
        <v>0</v>
      </c>
      <c r="C5552">
        <f>IF(Sheet1!B5552&gt;0,1,0)</f>
        <v>0</v>
      </c>
    </row>
    <row r="5553" spans="1:3" x14ac:dyDescent="0.25">
      <c r="A5553" s="15">
        <f>Sheet1!A5553</f>
        <v>0</v>
      </c>
      <c r="B5553">
        <f>Sheet1!B5553</f>
        <v>0</v>
      </c>
      <c r="C5553">
        <f>IF(Sheet1!B5553&gt;0,1,0)</f>
        <v>0</v>
      </c>
    </row>
    <row r="5554" spans="1:3" x14ac:dyDescent="0.25">
      <c r="A5554" s="15">
        <f>Sheet1!A5554</f>
        <v>0</v>
      </c>
      <c r="B5554">
        <f>Sheet1!B5554</f>
        <v>7.2</v>
      </c>
      <c r="C5554">
        <f>IF(Sheet1!B5554&gt;0,1,0)</f>
        <v>1</v>
      </c>
    </row>
    <row r="5555" spans="1:3" x14ac:dyDescent="0.25">
      <c r="A5555" s="15">
        <f>Sheet1!A5555</f>
        <v>0</v>
      </c>
      <c r="B5555">
        <f>Sheet1!B5555</f>
        <v>8.59</v>
      </c>
      <c r="C5555">
        <f>IF(Sheet1!B5555&gt;0,1,0)</f>
        <v>1</v>
      </c>
    </row>
    <row r="5556" spans="1:3" x14ac:dyDescent="0.25">
      <c r="A5556" s="15">
        <f>Sheet1!A5556</f>
        <v>0</v>
      </c>
      <c r="B5556">
        <f>Sheet1!B5556</f>
        <v>0</v>
      </c>
      <c r="C5556">
        <f>IF(Sheet1!B5556&gt;0,1,0)</f>
        <v>0</v>
      </c>
    </row>
    <row r="5557" spans="1:3" x14ac:dyDescent="0.25">
      <c r="A5557" s="15">
        <f>Sheet1!A5557</f>
        <v>0</v>
      </c>
      <c r="B5557">
        <f>Sheet1!B5557</f>
        <v>0</v>
      </c>
      <c r="C5557">
        <f>IF(Sheet1!B5557&gt;0,1,0)</f>
        <v>0</v>
      </c>
    </row>
    <row r="5558" spans="1:3" x14ac:dyDescent="0.25">
      <c r="A5558" s="15">
        <f>Sheet1!A5558</f>
        <v>0</v>
      </c>
      <c r="B5558">
        <f>Sheet1!B5558</f>
        <v>0</v>
      </c>
      <c r="C5558">
        <f>IF(Sheet1!B5558&gt;0,1,0)</f>
        <v>0</v>
      </c>
    </row>
    <row r="5559" spans="1:3" x14ac:dyDescent="0.25">
      <c r="A5559" s="15">
        <f>Sheet1!A5559</f>
        <v>0</v>
      </c>
      <c r="B5559">
        <f>Sheet1!B5559</f>
        <v>0</v>
      </c>
      <c r="C5559">
        <f>IF(Sheet1!B5559&gt;0,1,0)</f>
        <v>0</v>
      </c>
    </row>
    <row r="5560" spans="1:3" x14ac:dyDescent="0.25">
      <c r="A5560" s="15">
        <f>Sheet1!A5560</f>
        <v>0</v>
      </c>
      <c r="B5560">
        <f>Sheet1!B5560</f>
        <v>0</v>
      </c>
      <c r="C5560">
        <f>IF(Sheet1!B5560&gt;0,1,0)</f>
        <v>0</v>
      </c>
    </row>
    <row r="5561" spans="1:3" x14ac:dyDescent="0.25">
      <c r="A5561" s="15">
        <f>Sheet1!A5561</f>
        <v>0</v>
      </c>
      <c r="B5561">
        <f>Sheet1!B5561</f>
        <v>10.29</v>
      </c>
      <c r="C5561">
        <f>IF(Sheet1!B5561&gt;0,1,0)</f>
        <v>1</v>
      </c>
    </row>
    <row r="5562" spans="1:3" x14ac:dyDescent="0.25">
      <c r="A5562" s="15">
        <f>Sheet1!A5562</f>
        <v>0</v>
      </c>
      <c r="B5562">
        <f>Sheet1!B5562</f>
        <v>11.68</v>
      </c>
      <c r="C5562">
        <f>IF(Sheet1!B5562&gt;0,1,0)</f>
        <v>1</v>
      </c>
    </row>
    <row r="5563" spans="1:3" x14ac:dyDescent="0.25">
      <c r="A5563" s="15">
        <f>Sheet1!A5563</f>
        <v>0</v>
      </c>
      <c r="B5563">
        <f>Sheet1!B5563</f>
        <v>0</v>
      </c>
      <c r="C5563">
        <f>IF(Sheet1!B5563&gt;0,1,0)</f>
        <v>0</v>
      </c>
    </row>
    <row r="5564" spans="1:3" x14ac:dyDescent="0.25">
      <c r="A5564" s="15">
        <f>Sheet1!A5564</f>
        <v>0</v>
      </c>
      <c r="B5564">
        <f>Sheet1!B5564</f>
        <v>0</v>
      </c>
      <c r="C5564">
        <f>IF(Sheet1!B5564&gt;0,1,0)</f>
        <v>0</v>
      </c>
    </row>
    <row r="5565" spans="1:3" x14ac:dyDescent="0.25">
      <c r="A5565" s="15">
        <f>Sheet1!A5565</f>
        <v>0</v>
      </c>
      <c r="B5565">
        <f>Sheet1!B5565</f>
        <v>0</v>
      </c>
      <c r="C5565">
        <f>IF(Sheet1!B5565&gt;0,1,0)</f>
        <v>0</v>
      </c>
    </row>
    <row r="5566" spans="1:3" x14ac:dyDescent="0.25">
      <c r="A5566" s="15">
        <f>Sheet1!A5566</f>
        <v>0</v>
      </c>
      <c r="B5566">
        <f>Sheet1!B5566</f>
        <v>10.61</v>
      </c>
      <c r="C5566">
        <f>IF(Sheet1!B5566&gt;0,1,0)</f>
        <v>1</v>
      </c>
    </row>
    <row r="5567" spans="1:3" x14ac:dyDescent="0.25">
      <c r="A5567" s="15">
        <f>Sheet1!A5567</f>
        <v>0</v>
      </c>
      <c r="B5567">
        <f>Sheet1!B5567</f>
        <v>0</v>
      </c>
      <c r="C5567">
        <f>IF(Sheet1!B5567&gt;0,1,0)</f>
        <v>0</v>
      </c>
    </row>
    <row r="5568" spans="1:3" x14ac:dyDescent="0.25">
      <c r="A5568" s="15">
        <f>Sheet1!A5568</f>
        <v>0</v>
      </c>
      <c r="B5568">
        <f>Sheet1!B5568</f>
        <v>0</v>
      </c>
      <c r="C5568">
        <f>IF(Sheet1!B5568&gt;0,1,0)</f>
        <v>0</v>
      </c>
    </row>
    <row r="5569" spans="1:3" x14ac:dyDescent="0.25">
      <c r="A5569" s="15">
        <f>Sheet1!A5569</f>
        <v>0</v>
      </c>
      <c r="B5569">
        <f>Sheet1!B5569</f>
        <v>12.77</v>
      </c>
      <c r="C5569">
        <f>IF(Sheet1!B5569&gt;0,1,0)</f>
        <v>1</v>
      </c>
    </row>
    <row r="5570" spans="1:3" x14ac:dyDescent="0.25">
      <c r="A5570" s="15">
        <f>Sheet1!A5570</f>
        <v>0</v>
      </c>
      <c r="B5570">
        <f>Sheet1!B5570</f>
        <v>11.64</v>
      </c>
      <c r="C5570">
        <f>IF(Sheet1!B5570&gt;0,1,0)</f>
        <v>1</v>
      </c>
    </row>
    <row r="5571" spans="1:3" x14ac:dyDescent="0.25">
      <c r="A5571" s="15">
        <f>Sheet1!A5571</f>
        <v>0</v>
      </c>
      <c r="B5571">
        <f>Sheet1!B5571</f>
        <v>0</v>
      </c>
      <c r="C5571">
        <f>IF(Sheet1!B5571&gt;0,1,0)</f>
        <v>0</v>
      </c>
    </row>
    <row r="5572" spans="1:3" x14ac:dyDescent="0.25">
      <c r="A5572" s="15">
        <f>Sheet1!A5572</f>
        <v>0</v>
      </c>
      <c r="B5572">
        <f>Sheet1!B5572</f>
        <v>0</v>
      </c>
      <c r="C5572">
        <f>IF(Sheet1!B5572&gt;0,1,0)</f>
        <v>0</v>
      </c>
    </row>
    <row r="5573" spans="1:3" x14ac:dyDescent="0.25">
      <c r="A5573" s="15">
        <f>Sheet1!A5573</f>
        <v>0</v>
      </c>
      <c r="B5573">
        <f>Sheet1!B5573</f>
        <v>0</v>
      </c>
      <c r="C5573">
        <f>IF(Sheet1!B5573&gt;0,1,0)</f>
        <v>0</v>
      </c>
    </row>
    <row r="5574" spans="1:3" x14ac:dyDescent="0.25">
      <c r="A5574" s="15">
        <f>Sheet1!A5574</f>
        <v>0</v>
      </c>
      <c r="B5574">
        <f>Sheet1!B5574</f>
        <v>9.7200000000000006</v>
      </c>
      <c r="C5574">
        <f>IF(Sheet1!B5574&gt;0,1,0)</f>
        <v>1</v>
      </c>
    </row>
    <row r="5575" spans="1:3" x14ac:dyDescent="0.25">
      <c r="A5575" s="15">
        <f>Sheet1!A5575</f>
        <v>0</v>
      </c>
      <c r="B5575">
        <f>Sheet1!B5575</f>
        <v>3.13</v>
      </c>
      <c r="C5575">
        <f>IF(Sheet1!B5575&gt;0,1,0)</f>
        <v>1</v>
      </c>
    </row>
    <row r="5576" spans="1:3" x14ac:dyDescent="0.25">
      <c r="A5576" s="15">
        <f>Sheet1!A5576</f>
        <v>0</v>
      </c>
      <c r="B5576">
        <f>Sheet1!B5576</f>
        <v>0</v>
      </c>
      <c r="C5576">
        <f>IF(Sheet1!B5576&gt;0,1,0)</f>
        <v>0</v>
      </c>
    </row>
    <row r="5577" spans="1:3" x14ac:dyDescent="0.25">
      <c r="A5577" s="15">
        <f>Sheet1!A5577</f>
        <v>0</v>
      </c>
      <c r="B5577">
        <f>Sheet1!B5577</f>
        <v>0</v>
      </c>
      <c r="C5577">
        <f>IF(Sheet1!B5577&gt;0,1,0)</f>
        <v>0</v>
      </c>
    </row>
    <row r="5578" spans="1:3" x14ac:dyDescent="0.25">
      <c r="A5578" s="15">
        <f>Sheet1!A5578</f>
        <v>0</v>
      </c>
      <c r="B5578">
        <f>Sheet1!B5578</f>
        <v>11.3</v>
      </c>
      <c r="C5578">
        <f>IF(Sheet1!B5578&gt;0,1,0)</f>
        <v>1</v>
      </c>
    </row>
    <row r="5579" spans="1:3" x14ac:dyDescent="0.25">
      <c r="A5579" s="15">
        <f>Sheet1!A5579</f>
        <v>0</v>
      </c>
      <c r="B5579">
        <f>Sheet1!B5579</f>
        <v>0</v>
      </c>
      <c r="C5579">
        <f>IF(Sheet1!B5579&gt;0,1,0)</f>
        <v>0</v>
      </c>
    </row>
    <row r="5580" spans="1:3" x14ac:dyDescent="0.25">
      <c r="A5580" s="15">
        <f>Sheet1!A5580</f>
        <v>0</v>
      </c>
      <c r="B5580">
        <f>Sheet1!B5580</f>
        <v>0</v>
      </c>
      <c r="C5580">
        <f>IF(Sheet1!B5580&gt;0,1,0)</f>
        <v>0</v>
      </c>
    </row>
    <row r="5581" spans="1:3" x14ac:dyDescent="0.25">
      <c r="A5581" s="15">
        <f>Sheet1!A5581</f>
        <v>0</v>
      </c>
      <c r="B5581">
        <f>Sheet1!B5581</f>
        <v>0</v>
      </c>
      <c r="C5581">
        <f>IF(Sheet1!B5581&gt;0,1,0)</f>
        <v>0</v>
      </c>
    </row>
    <row r="5582" spans="1:3" x14ac:dyDescent="0.25">
      <c r="A5582" s="15">
        <f>Sheet1!A5582</f>
        <v>0</v>
      </c>
      <c r="B5582">
        <f>Sheet1!B5582</f>
        <v>12.85</v>
      </c>
      <c r="C5582">
        <f>IF(Sheet1!B5582&gt;0,1,0)</f>
        <v>1</v>
      </c>
    </row>
    <row r="5583" spans="1:3" x14ac:dyDescent="0.25">
      <c r="A5583" s="15">
        <f>Sheet1!A5583</f>
        <v>0</v>
      </c>
      <c r="B5583">
        <f>Sheet1!B5583</f>
        <v>0</v>
      </c>
      <c r="C5583">
        <f>IF(Sheet1!B5583&gt;0,1,0)</f>
        <v>0</v>
      </c>
    </row>
    <row r="5584" spans="1:3" x14ac:dyDescent="0.25">
      <c r="A5584" s="15">
        <f>Sheet1!A5584</f>
        <v>0</v>
      </c>
      <c r="B5584">
        <f>Sheet1!B5584</f>
        <v>0</v>
      </c>
      <c r="C5584">
        <f>IF(Sheet1!B5584&gt;0,1,0)</f>
        <v>0</v>
      </c>
    </row>
    <row r="5585" spans="1:3" x14ac:dyDescent="0.25">
      <c r="A5585" s="15">
        <f>Sheet1!A5585</f>
        <v>0</v>
      </c>
      <c r="B5585">
        <f>Sheet1!B5585</f>
        <v>0</v>
      </c>
      <c r="C5585">
        <f>IF(Sheet1!B5585&gt;0,1,0)</f>
        <v>0</v>
      </c>
    </row>
    <row r="5586" spans="1:3" x14ac:dyDescent="0.25">
      <c r="A5586" s="15">
        <f>Sheet1!A5586</f>
        <v>0</v>
      </c>
      <c r="B5586">
        <f>Sheet1!B5586</f>
        <v>7.88</v>
      </c>
      <c r="C5586">
        <f>IF(Sheet1!B5586&gt;0,1,0)</f>
        <v>1</v>
      </c>
    </row>
    <row r="5587" spans="1:3" x14ac:dyDescent="0.25">
      <c r="A5587" s="15">
        <f>Sheet1!A5587</f>
        <v>0</v>
      </c>
      <c r="B5587">
        <f>Sheet1!B5587</f>
        <v>0</v>
      </c>
      <c r="C5587">
        <f>IF(Sheet1!B5587&gt;0,1,0)</f>
        <v>0</v>
      </c>
    </row>
    <row r="5588" spans="1:3" x14ac:dyDescent="0.25">
      <c r="A5588" s="15">
        <f>Sheet1!A5588</f>
        <v>0</v>
      </c>
      <c r="B5588">
        <f>Sheet1!B5588</f>
        <v>0</v>
      </c>
      <c r="C5588">
        <f>IF(Sheet1!B5588&gt;0,1,0)</f>
        <v>0</v>
      </c>
    </row>
    <row r="5589" spans="1:3" x14ac:dyDescent="0.25">
      <c r="A5589" s="15">
        <f>Sheet1!A5589</f>
        <v>0</v>
      </c>
      <c r="B5589">
        <f>Sheet1!B5589</f>
        <v>0</v>
      </c>
      <c r="C5589">
        <f>IF(Sheet1!B5589&gt;0,1,0)</f>
        <v>0</v>
      </c>
    </row>
    <row r="5590" spans="1:3" x14ac:dyDescent="0.25">
      <c r="A5590" s="15">
        <f>Sheet1!A5590</f>
        <v>0</v>
      </c>
      <c r="B5590">
        <f>Sheet1!B5590</f>
        <v>12.38</v>
      </c>
      <c r="C5590">
        <f>IF(Sheet1!B5590&gt;0,1,0)</f>
        <v>1</v>
      </c>
    </row>
    <row r="5591" spans="1:3" x14ac:dyDescent="0.25">
      <c r="A5591" s="15">
        <f>Sheet1!A5591</f>
        <v>0</v>
      </c>
      <c r="B5591">
        <f>Sheet1!B5591</f>
        <v>0</v>
      </c>
      <c r="C5591">
        <f>IF(Sheet1!B5591&gt;0,1,0)</f>
        <v>0</v>
      </c>
    </row>
    <row r="5592" spans="1:3" x14ac:dyDescent="0.25">
      <c r="A5592" s="15">
        <f>Sheet1!A5592</f>
        <v>0</v>
      </c>
      <c r="B5592">
        <f>Sheet1!B5592</f>
        <v>0</v>
      </c>
      <c r="C5592">
        <f>IF(Sheet1!B5592&gt;0,1,0)</f>
        <v>0</v>
      </c>
    </row>
    <row r="5593" spans="1:3" x14ac:dyDescent="0.25">
      <c r="A5593" s="15">
        <f>Sheet1!A5593</f>
        <v>0</v>
      </c>
      <c r="B5593">
        <f>Sheet1!B5593</f>
        <v>0</v>
      </c>
      <c r="C5593">
        <f>IF(Sheet1!B5593&gt;0,1,0)</f>
        <v>0</v>
      </c>
    </row>
    <row r="5594" spans="1:3" x14ac:dyDescent="0.25">
      <c r="A5594" s="15">
        <f>Sheet1!A5594</f>
        <v>0</v>
      </c>
      <c r="B5594">
        <f>Sheet1!B5594</f>
        <v>15.55</v>
      </c>
      <c r="C5594">
        <f>IF(Sheet1!B5594&gt;0,1,0)</f>
        <v>1</v>
      </c>
    </row>
    <row r="5595" spans="1:3" x14ac:dyDescent="0.25">
      <c r="A5595" s="15">
        <f>Sheet1!A5595</f>
        <v>0</v>
      </c>
      <c r="B5595">
        <f>Sheet1!B5595</f>
        <v>5.85</v>
      </c>
      <c r="C5595">
        <f>IF(Sheet1!B5595&gt;0,1,0)</f>
        <v>1</v>
      </c>
    </row>
    <row r="5596" spans="1:3" x14ac:dyDescent="0.25">
      <c r="A5596" s="15">
        <f>Sheet1!A5596</f>
        <v>0</v>
      </c>
      <c r="B5596">
        <f>Sheet1!B5596</f>
        <v>0</v>
      </c>
      <c r="C5596">
        <f>IF(Sheet1!B5596&gt;0,1,0)</f>
        <v>0</v>
      </c>
    </row>
    <row r="5597" spans="1:3" x14ac:dyDescent="0.25">
      <c r="A5597" s="15">
        <f>Sheet1!A5597</f>
        <v>0</v>
      </c>
      <c r="B5597">
        <f>Sheet1!B5597</f>
        <v>0</v>
      </c>
      <c r="C5597">
        <f>IF(Sheet1!B5597&gt;0,1,0)</f>
        <v>0</v>
      </c>
    </row>
    <row r="5598" spans="1:3" x14ac:dyDescent="0.25">
      <c r="A5598" s="15">
        <f>Sheet1!A5598</f>
        <v>0</v>
      </c>
      <c r="B5598">
        <f>Sheet1!B5598</f>
        <v>12.01</v>
      </c>
      <c r="C5598">
        <f>IF(Sheet1!B5598&gt;0,1,0)</f>
        <v>1</v>
      </c>
    </row>
    <row r="5599" spans="1:3" x14ac:dyDescent="0.25">
      <c r="A5599" s="15">
        <f>Sheet1!A5599</f>
        <v>0</v>
      </c>
      <c r="B5599">
        <f>Sheet1!B5599</f>
        <v>12.25</v>
      </c>
      <c r="C5599">
        <f>IF(Sheet1!B5599&gt;0,1,0)</f>
        <v>1</v>
      </c>
    </row>
    <row r="5600" spans="1:3" x14ac:dyDescent="0.25">
      <c r="A5600" s="15">
        <f>Sheet1!A5600</f>
        <v>0</v>
      </c>
      <c r="B5600">
        <f>Sheet1!B5600</f>
        <v>13.01</v>
      </c>
      <c r="C5600">
        <f>IF(Sheet1!B5600&gt;0,1,0)</f>
        <v>1</v>
      </c>
    </row>
    <row r="5601" spans="1:3" x14ac:dyDescent="0.25">
      <c r="A5601" s="15">
        <f>Sheet1!A5601</f>
        <v>0</v>
      </c>
      <c r="B5601">
        <f>Sheet1!B5601</f>
        <v>13.51</v>
      </c>
      <c r="C5601">
        <f>IF(Sheet1!B5601&gt;0,1,0)</f>
        <v>1</v>
      </c>
    </row>
    <row r="5602" spans="1:3" x14ac:dyDescent="0.25">
      <c r="A5602" s="15">
        <f>Sheet1!A5602</f>
        <v>0</v>
      </c>
      <c r="B5602">
        <f>Sheet1!B5602</f>
        <v>14</v>
      </c>
      <c r="C5602">
        <f>IF(Sheet1!B5602&gt;0,1,0)</f>
        <v>1</v>
      </c>
    </row>
    <row r="5603" spans="1:3" x14ac:dyDescent="0.25">
      <c r="A5603" s="15">
        <f>Sheet1!A5603</f>
        <v>0</v>
      </c>
      <c r="B5603">
        <f>Sheet1!B5603</f>
        <v>4.28</v>
      </c>
      <c r="C5603">
        <f>IF(Sheet1!B5603&gt;0,1,0)</f>
        <v>1</v>
      </c>
    </row>
    <row r="5604" spans="1:3" x14ac:dyDescent="0.25">
      <c r="A5604" s="15">
        <f>Sheet1!A5604</f>
        <v>0</v>
      </c>
      <c r="B5604">
        <f>Sheet1!B5604</f>
        <v>0</v>
      </c>
      <c r="C5604">
        <f>IF(Sheet1!B5604&gt;0,1,0)</f>
        <v>0</v>
      </c>
    </row>
    <row r="5605" spans="1:3" x14ac:dyDescent="0.25">
      <c r="A5605" s="15">
        <f>Sheet1!A5605</f>
        <v>0</v>
      </c>
      <c r="B5605">
        <f>Sheet1!B5605</f>
        <v>0</v>
      </c>
      <c r="C5605">
        <f>IF(Sheet1!B5605&gt;0,1,0)</f>
        <v>0</v>
      </c>
    </row>
    <row r="5606" spans="1:3" x14ac:dyDescent="0.25">
      <c r="A5606" s="15">
        <f>Sheet1!A5606</f>
        <v>0</v>
      </c>
      <c r="B5606">
        <f>Sheet1!B5606</f>
        <v>16.32</v>
      </c>
      <c r="C5606">
        <f>IF(Sheet1!B5606&gt;0,1,0)</f>
        <v>1</v>
      </c>
    </row>
    <row r="5607" spans="1:3" x14ac:dyDescent="0.25">
      <c r="A5607" s="15">
        <f>Sheet1!A5607</f>
        <v>0</v>
      </c>
      <c r="B5607">
        <f>Sheet1!B5607</f>
        <v>7.43</v>
      </c>
      <c r="C5607">
        <f>IF(Sheet1!B5607&gt;0,1,0)</f>
        <v>1</v>
      </c>
    </row>
    <row r="5608" spans="1:3" x14ac:dyDescent="0.25">
      <c r="A5608" s="15">
        <f>Sheet1!A5608</f>
        <v>0</v>
      </c>
      <c r="B5608">
        <f>Sheet1!B5608</f>
        <v>0</v>
      </c>
      <c r="C5608">
        <f>IF(Sheet1!B5608&gt;0,1,0)</f>
        <v>0</v>
      </c>
    </row>
    <row r="5609" spans="1:3" x14ac:dyDescent="0.25">
      <c r="A5609" s="15">
        <f>Sheet1!A5609</f>
        <v>0</v>
      </c>
      <c r="B5609">
        <f>Sheet1!B5609</f>
        <v>0</v>
      </c>
      <c r="C5609">
        <f>IF(Sheet1!B5609&gt;0,1,0)</f>
        <v>0</v>
      </c>
    </row>
    <row r="5610" spans="1:3" x14ac:dyDescent="0.25">
      <c r="A5610" s="15">
        <f>Sheet1!A5610</f>
        <v>0</v>
      </c>
      <c r="B5610">
        <f>Sheet1!B5610</f>
        <v>13.51</v>
      </c>
      <c r="C5610">
        <f>IF(Sheet1!B5610&gt;0,1,0)</f>
        <v>1</v>
      </c>
    </row>
    <row r="5611" spans="1:3" x14ac:dyDescent="0.25">
      <c r="A5611" s="15">
        <f>Sheet1!A5611</f>
        <v>0</v>
      </c>
      <c r="B5611">
        <f>Sheet1!B5611</f>
        <v>0</v>
      </c>
      <c r="C5611">
        <f>IF(Sheet1!B5611&gt;0,1,0)</f>
        <v>0</v>
      </c>
    </row>
    <row r="5612" spans="1:3" x14ac:dyDescent="0.25">
      <c r="A5612" s="15">
        <f>Sheet1!A5612</f>
        <v>0</v>
      </c>
      <c r="B5612">
        <f>Sheet1!B5612</f>
        <v>0</v>
      </c>
      <c r="C5612">
        <f>IF(Sheet1!B5612&gt;0,1,0)</f>
        <v>0</v>
      </c>
    </row>
    <row r="5613" spans="1:3" x14ac:dyDescent="0.25">
      <c r="A5613" s="15">
        <f>Sheet1!A5613</f>
        <v>0</v>
      </c>
      <c r="B5613">
        <f>Sheet1!B5613</f>
        <v>0</v>
      </c>
      <c r="C5613">
        <f>IF(Sheet1!B5613&gt;0,1,0)</f>
        <v>0</v>
      </c>
    </row>
    <row r="5614" spans="1:3" x14ac:dyDescent="0.25">
      <c r="A5614" s="15">
        <f>Sheet1!A5614</f>
        <v>0</v>
      </c>
      <c r="B5614">
        <f>Sheet1!B5614</f>
        <v>14.4</v>
      </c>
      <c r="C5614">
        <f>IF(Sheet1!B5614&gt;0,1,0)</f>
        <v>1</v>
      </c>
    </row>
    <row r="5615" spans="1:3" x14ac:dyDescent="0.25">
      <c r="A5615" s="15">
        <f>Sheet1!A5615</f>
        <v>0</v>
      </c>
      <c r="B5615">
        <f>Sheet1!B5615</f>
        <v>0</v>
      </c>
      <c r="C5615">
        <f>IF(Sheet1!B5615&gt;0,1,0)</f>
        <v>0</v>
      </c>
    </row>
    <row r="5616" spans="1:3" x14ac:dyDescent="0.25">
      <c r="A5616" s="15">
        <f>Sheet1!A5616</f>
        <v>0</v>
      </c>
      <c r="B5616">
        <f>Sheet1!B5616</f>
        <v>0</v>
      </c>
      <c r="C5616">
        <f>IF(Sheet1!B5616&gt;0,1,0)</f>
        <v>0</v>
      </c>
    </row>
    <row r="5617" spans="1:3" x14ac:dyDescent="0.25">
      <c r="A5617" s="15">
        <f>Sheet1!A5617</f>
        <v>0</v>
      </c>
      <c r="B5617">
        <f>Sheet1!B5617</f>
        <v>0</v>
      </c>
      <c r="C5617">
        <f>IF(Sheet1!B5617&gt;0,1,0)</f>
        <v>0</v>
      </c>
    </row>
    <row r="5618" spans="1:3" x14ac:dyDescent="0.25">
      <c r="A5618" s="15">
        <f>Sheet1!A5618</f>
        <v>0</v>
      </c>
      <c r="B5618">
        <f>Sheet1!B5618</f>
        <v>13.57</v>
      </c>
      <c r="C5618">
        <f>IF(Sheet1!B5618&gt;0,1,0)</f>
        <v>1</v>
      </c>
    </row>
    <row r="5619" spans="1:3" x14ac:dyDescent="0.25">
      <c r="A5619" s="15">
        <f>Sheet1!A5619</f>
        <v>0</v>
      </c>
      <c r="B5619">
        <f>Sheet1!B5619</f>
        <v>0</v>
      </c>
      <c r="C5619">
        <f>IF(Sheet1!B5619&gt;0,1,0)</f>
        <v>0</v>
      </c>
    </row>
    <row r="5620" spans="1:3" x14ac:dyDescent="0.25">
      <c r="A5620" s="15">
        <f>Sheet1!A5620</f>
        <v>0</v>
      </c>
      <c r="B5620">
        <f>Sheet1!B5620</f>
        <v>0</v>
      </c>
      <c r="C5620">
        <f>IF(Sheet1!B5620&gt;0,1,0)</f>
        <v>0</v>
      </c>
    </row>
    <row r="5621" spans="1:3" x14ac:dyDescent="0.25">
      <c r="A5621" s="15">
        <f>Sheet1!A5621</f>
        <v>0</v>
      </c>
      <c r="B5621">
        <f>Sheet1!B5621</f>
        <v>0</v>
      </c>
      <c r="C5621">
        <f>IF(Sheet1!B5621&gt;0,1,0)</f>
        <v>0</v>
      </c>
    </row>
    <row r="5622" spans="1:3" x14ac:dyDescent="0.25">
      <c r="A5622" s="15">
        <f>Sheet1!A5622</f>
        <v>0</v>
      </c>
      <c r="B5622">
        <f>Sheet1!B5622</f>
        <v>12.46</v>
      </c>
      <c r="C5622">
        <f>IF(Sheet1!B5622&gt;0,1,0)</f>
        <v>1</v>
      </c>
    </row>
    <row r="5623" spans="1:3" x14ac:dyDescent="0.25">
      <c r="A5623" s="15">
        <f>Sheet1!A5623</f>
        <v>0</v>
      </c>
      <c r="B5623">
        <f>Sheet1!B5623</f>
        <v>12.92</v>
      </c>
      <c r="C5623">
        <f>IF(Sheet1!B5623&gt;0,1,0)</f>
        <v>1</v>
      </c>
    </row>
    <row r="5624" spans="1:3" x14ac:dyDescent="0.25">
      <c r="A5624" s="15">
        <f>Sheet1!A5624</f>
        <v>0</v>
      </c>
      <c r="B5624">
        <f>Sheet1!B5624</f>
        <v>13.15</v>
      </c>
      <c r="C5624">
        <f>IF(Sheet1!B5624&gt;0,1,0)</f>
        <v>1</v>
      </c>
    </row>
    <row r="5625" spans="1:3" x14ac:dyDescent="0.25">
      <c r="A5625" s="15">
        <f>Sheet1!A5625</f>
        <v>0</v>
      </c>
      <c r="B5625">
        <f>Sheet1!B5625</f>
        <v>14.32</v>
      </c>
      <c r="C5625">
        <f>IF(Sheet1!B5625&gt;0,1,0)</f>
        <v>1</v>
      </c>
    </row>
    <row r="5626" spans="1:3" x14ac:dyDescent="0.25">
      <c r="A5626" s="15">
        <f>Sheet1!A5626</f>
        <v>0</v>
      </c>
      <c r="B5626">
        <f>Sheet1!B5626</f>
        <v>14.5</v>
      </c>
      <c r="C5626">
        <f>IF(Sheet1!B5626&gt;0,1,0)</f>
        <v>1</v>
      </c>
    </row>
    <row r="5627" spans="1:3" x14ac:dyDescent="0.25">
      <c r="A5627" s="15">
        <f>Sheet1!A5627</f>
        <v>0</v>
      </c>
      <c r="B5627">
        <f>Sheet1!B5627</f>
        <v>2.69</v>
      </c>
      <c r="C5627">
        <f>IF(Sheet1!B5627&gt;0,1,0)</f>
        <v>1</v>
      </c>
    </row>
    <row r="5628" spans="1:3" x14ac:dyDescent="0.25">
      <c r="A5628" s="15">
        <f>Sheet1!A5628</f>
        <v>0</v>
      </c>
      <c r="B5628">
        <f>Sheet1!B5628</f>
        <v>0</v>
      </c>
      <c r="C5628">
        <f>IF(Sheet1!B5628&gt;0,1,0)</f>
        <v>0</v>
      </c>
    </row>
    <row r="5629" spans="1:3" x14ac:dyDescent="0.25">
      <c r="A5629" s="15">
        <f>Sheet1!A5629</f>
        <v>0</v>
      </c>
      <c r="B5629">
        <f>Sheet1!B5629</f>
        <v>0</v>
      </c>
      <c r="C5629">
        <f>IF(Sheet1!B5629&gt;0,1,0)</f>
        <v>0</v>
      </c>
    </row>
    <row r="5630" spans="1:3" x14ac:dyDescent="0.25">
      <c r="A5630" s="15">
        <f>Sheet1!A5630</f>
        <v>0</v>
      </c>
      <c r="B5630">
        <f>Sheet1!B5630</f>
        <v>15.46</v>
      </c>
      <c r="C5630">
        <f>IF(Sheet1!B5630&gt;0,1,0)</f>
        <v>1</v>
      </c>
    </row>
    <row r="5631" spans="1:3" x14ac:dyDescent="0.25">
      <c r="A5631" s="15">
        <f>Sheet1!A5631</f>
        <v>0</v>
      </c>
      <c r="B5631">
        <f>Sheet1!B5631</f>
        <v>0</v>
      </c>
      <c r="C5631">
        <f>IF(Sheet1!B5631&gt;0,1,0)</f>
        <v>0</v>
      </c>
    </row>
    <row r="5632" spans="1:3" x14ac:dyDescent="0.25">
      <c r="A5632" s="15">
        <f>Sheet1!A5632</f>
        <v>0</v>
      </c>
      <c r="B5632">
        <f>Sheet1!B5632</f>
        <v>0</v>
      </c>
      <c r="C5632">
        <f>IF(Sheet1!B5632&gt;0,1,0)</f>
        <v>0</v>
      </c>
    </row>
    <row r="5633" spans="1:3" x14ac:dyDescent="0.25">
      <c r="A5633" s="15">
        <f>Sheet1!A5633</f>
        <v>0</v>
      </c>
      <c r="B5633">
        <f>Sheet1!B5633</f>
        <v>0</v>
      </c>
      <c r="C5633">
        <f>IF(Sheet1!B5633&gt;0,1,0)</f>
        <v>0</v>
      </c>
    </row>
    <row r="5634" spans="1:3" x14ac:dyDescent="0.25">
      <c r="A5634" s="15">
        <f>Sheet1!A5634</f>
        <v>0</v>
      </c>
      <c r="B5634">
        <f>Sheet1!B5634</f>
        <v>14.77</v>
      </c>
      <c r="C5634">
        <f>IF(Sheet1!B5634&gt;0,1,0)</f>
        <v>1</v>
      </c>
    </row>
    <row r="5635" spans="1:3" x14ac:dyDescent="0.25">
      <c r="A5635" s="15">
        <f>Sheet1!A5635</f>
        <v>0</v>
      </c>
      <c r="B5635">
        <f>Sheet1!B5635</f>
        <v>0</v>
      </c>
      <c r="C5635">
        <f>IF(Sheet1!B5635&gt;0,1,0)</f>
        <v>0</v>
      </c>
    </row>
    <row r="5636" spans="1:3" x14ac:dyDescent="0.25">
      <c r="A5636" s="15">
        <f>Sheet1!A5636</f>
        <v>0</v>
      </c>
      <c r="B5636">
        <f>Sheet1!B5636</f>
        <v>0</v>
      </c>
      <c r="C5636">
        <f>IF(Sheet1!B5636&gt;0,1,0)</f>
        <v>0</v>
      </c>
    </row>
    <row r="5637" spans="1:3" x14ac:dyDescent="0.25">
      <c r="A5637" s="15">
        <f>Sheet1!A5637</f>
        <v>0</v>
      </c>
      <c r="B5637">
        <f>Sheet1!B5637</f>
        <v>0</v>
      </c>
      <c r="C5637">
        <f>IF(Sheet1!B5637&gt;0,1,0)</f>
        <v>0</v>
      </c>
    </row>
    <row r="5638" spans="1:3" x14ac:dyDescent="0.25">
      <c r="A5638" s="15">
        <f>Sheet1!A5638</f>
        <v>0</v>
      </c>
      <c r="B5638">
        <f>Sheet1!B5638</f>
        <v>16.88</v>
      </c>
      <c r="C5638">
        <f>IF(Sheet1!B5638&gt;0,1,0)</f>
        <v>1</v>
      </c>
    </row>
    <row r="5639" spans="1:3" x14ac:dyDescent="0.25">
      <c r="A5639" s="15">
        <f>Sheet1!A5639</f>
        <v>0</v>
      </c>
      <c r="B5639">
        <f>Sheet1!B5639</f>
        <v>0</v>
      </c>
      <c r="C5639">
        <f>IF(Sheet1!B5639&gt;0,1,0)</f>
        <v>0</v>
      </c>
    </row>
    <row r="5640" spans="1:3" x14ac:dyDescent="0.25">
      <c r="A5640" s="15">
        <f>Sheet1!A5640</f>
        <v>0</v>
      </c>
      <c r="B5640">
        <f>Sheet1!B5640</f>
        <v>0</v>
      </c>
      <c r="C5640">
        <f>IF(Sheet1!B5640&gt;0,1,0)</f>
        <v>0</v>
      </c>
    </row>
    <row r="5641" spans="1:3" x14ac:dyDescent="0.25">
      <c r="A5641" s="15">
        <f>Sheet1!A5641</f>
        <v>0</v>
      </c>
      <c r="B5641">
        <f>Sheet1!B5641</f>
        <v>0</v>
      </c>
      <c r="C5641">
        <f>IF(Sheet1!B5641&gt;0,1,0)</f>
        <v>0</v>
      </c>
    </row>
    <row r="5642" spans="1:3" x14ac:dyDescent="0.25">
      <c r="A5642" s="15">
        <f>Sheet1!A5642</f>
        <v>0</v>
      </c>
      <c r="B5642">
        <f>Sheet1!B5642</f>
        <v>14.07</v>
      </c>
      <c r="C5642">
        <f>IF(Sheet1!B5642&gt;0,1,0)</f>
        <v>1</v>
      </c>
    </row>
    <row r="5643" spans="1:3" x14ac:dyDescent="0.25">
      <c r="A5643" s="15">
        <f>Sheet1!A5643</f>
        <v>0</v>
      </c>
      <c r="B5643">
        <f>Sheet1!B5643</f>
        <v>0</v>
      </c>
      <c r="C5643">
        <f>IF(Sheet1!B5643&gt;0,1,0)</f>
        <v>0</v>
      </c>
    </row>
    <row r="5644" spans="1:3" x14ac:dyDescent="0.25">
      <c r="A5644" s="15">
        <f>Sheet1!A5644</f>
        <v>0</v>
      </c>
      <c r="B5644">
        <f>Sheet1!B5644</f>
        <v>0</v>
      </c>
      <c r="C5644">
        <f>IF(Sheet1!B5644&gt;0,1,0)</f>
        <v>0</v>
      </c>
    </row>
    <row r="5645" spans="1:3" x14ac:dyDescent="0.25">
      <c r="A5645" s="15">
        <f>Sheet1!A5645</f>
        <v>0</v>
      </c>
      <c r="B5645">
        <f>Sheet1!B5645</f>
        <v>0</v>
      </c>
      <c r="C5645">
        <f>IF(Sheet1!B5645&gt;0,1,0)</f>
        <v>0</v>
      </c>
    </row>
    <row r="5646" spans="1:3" x14ac:dyDescent="0.25">
      <c r="A5646" s="15">
        <f>Sheet1!A5646</f>
        <v>0</v>
      </c>
      <c r="B5646">
        <f>Sheet1!B5646</f>
        <v>11.01</v>
      </c>
      <c r="C5646">
        <f>IF(Sheet1!B5646&gt;0,1,0)</f>
        <v>1</v>
      </c>
    </row>
    <row r="5647" spans="1:3" x14ac:dyDescent="0.25">
      <c r="A5647" s="15">
        <f>Sheet1!A5647</f>
        <v>0</v>
      </c>
      <c r="B5647">
        <f>Sheet1!B5647</f>
        <v>11.59</v>
      </c>
      <c r="C5647">
        <f>IF(Sheet1!B5647&gt;0,1,0)</f>
        <v>1</v>
      </c>
    </row>
    <row r="5648" spans="1:3" x14ac:dyDescent="0.25">
      <c r="A5648" s="15">
        <f>Sheet1!A5648</f>
        <v>0</v>
      </c>
      <c r="B5648">
        <f>Sheet1!B5648</f>
        <v>12.86</v>
      </c>
      <c r="C5648">
        <f>IF(Sheet1!B5648&gt;0,1,0)</f>
        <v>1</v>
      </c>
    </row>
    <row r="5649" spans="1:3" x14ac:dyDescent="0.25">
      <c r="A5649" s="15">
        <f>Sheet1!A5649</f>
        <v>0</v>
      </c>
      <c r="B5649">
        <f>Sheet1!B5649</f>
        <v>12.58</v>
      </c>
      <c r="C5649">
        <f>IF(Sheet1!B5649&gt;0,1,0)</f>
        <v>1</v>
      </c>
    </row>
    <row r="5650" spans="1:3" x14ac:dyDescent="0.25">
      <c r="A5650" s="15">
        <f>Sheet1!A5650</f>
        <v>0</v>
      </c>
      <c r="B5650">
        <f>Sheet1!B5650</f>
        <v>12.4</v>
      </c>
      <c r="C5650">
        <f>IF(Sheet1!B5650&gt;0,1,0)</f>
        <v>1</v>
      </c>
    </row>
    <row r="5651" spans="1:3" x14ac:dyDescent="0.25">
      <c r="A5651" s="15">
        <f>Sheet1!A5651</f>
        <v>0</v>
      </c>
      <c r="B5651">
        <f>Sheet1!B5651</f>
        <v>0</v>
      </c>
      <c r="C5651">
        <f>IF(Sheet1!B5651&gt;0,1,0)</f>
        <v>0</v>
      </c>
    </row>
    <row r="5652" spans="1:3" x14ac:dyDescent="0.25">
      <c r="A5652" s="15">
        <f>Sheet1!A5652</f>
        <v>0</v>
      </c>
      <c r="B5652">
        <f>Sheet1!B5652</f>
        <v>0</v>
      </c>
      <c r="C5652">
        <f>IF(Sheet1!B5652&gt;0,1,0)</f>
        <v>0</v>
      </c>
    </row>
    <row r="5653" spans="1:3" x14ac:dyDescent="0.25">
      <c r="A5653" s="15">
        <f>Sheet1!A5653</f>
        <v>0</v>
      </c>
      <c r="B5653">
        <f>Sheet1!B5653</f>
        <v>0</v>
      </c>
      <c r="C5653">
        <f>IF(Sheet1!B5653&gt;0,1,0)</f>
        <v>0</v>
      </c>
    </row>
    <row r="5654" spans="1:3" x14ac:dyDescent="0.25">
      <c r="A5654" s="15">
        <f>Sheet1!A5654</f>
        <v>0</v>
      </c>
      <c r="B5654">
        <f>Sheet1!B5654</f>
        <v>14.4</v>
      </c>
      <c r="C5654">
        <f>IF(Sheet1!B5654&gt;0,1,0)</f>
        <v>1</v>
      </c>
    </row>
    <row r="5655" spans="1:3" x14ac:dyDescent="0.25">
      <c r="A5655" s="15">
        <f>Sheet1!A5655</f>
        <v>0</v>
      </c>
      <c r="B5655">
        <f>Sheet1!B5655</f>
        <v>0</v>
      </c>
      <c r="C5655">
        <f>IF(Sheet1!B5655&gt;0,1,0)</f>
        <v>0</v>
      </c>
    </row>
    <row r="5656" spans="1:3" x14ac:dyDescent="0.25">
      <c r="A5656" s="15">
        <f>Sheet1!A5656</f>
        <v>0</v>
      </c>
      <c r="B5656">
        <f>Sheet1!B5656</f>
        <v>0</v>
      </c>
      <c r="C5656">
        <f>IF(Sheet1!B5656&gt;0,1,0)</f>
        <v>0</v>
      </c>
    </row>
    <row r="5657" spans="1:3" x14ac:dyDescent="0.25">
      <c r="A5657" s="15">
        <f>Sheet1!A5657</f>
        <v>0</v>
      </c>
      <c r="B5657">
        <f>Sheet1!B5657</f>
        <v>0</v>
      </c>
      <c r="C5657">
        <f>IF(Sheet1!B5657&gt;0,1,0)</f>
        <v>0</v>
      </c>
    </row>
    <row r="5658" spans="1:3" x14ac:dyDescent="0.25">
      <c r="A5658" s="15">
        <f>Sheet1!A5658</f>
        <v>0</v>
      </c>
      <c r="B5658">
        <f>Sheet1!B5658</f>
        <v>15.35</v>
      </c>
      <c r="C5658">
        <f>IF(Sheet1!B5658&gt;0,1,0)</f>
        <v>1</v>
      </c>
    </row>
    <row r="5659" spans="1:3" x14ac:dyDescent="0.25">
      <c r="A5659" s="15">
        <f>Sheet1!A5659</f>
        <v>0</v>
      </c>
      <c r="B5659">
        <f>Sheet1!B5659</f>
        <v>0</v>
      </c>
      <c r="C5659">
        <f>IF(Sheet1!B5659&gt;0,1,0)</f>
        <v>0</v>
      </c>
    </row>
    <row r="5660" spans="1:3" x14ac:dyDescent="0.25">
      <c r="A5660" s="15">
        <f>Sheet1!A5660</f>
        <v>0</v>
      </c>
      <c r="B5660">
        <f>Sheet1!B5660</f>
        <v>0</v>
      </c>
      <c r="C5660">
        <f>IF(Sheet1!B5660&gt;0,1,0)</f>
        <v>0</v>
      </c>
    </row>
    <row r="5661" spans="1:3" x14ac:dyDescent="0.25">
      <c r="A5661" s="15">
        <f>Sheet1!A5661</f>
        <v>0</v>
      </c>
      <c r="B5661">
        <f>Sheet1!B5661</f>
        <v>0</v>
      </c>
      <c r="C5661">
        <f>IF(Sheet1!B5661&gt;0,1,0)</f>
        <v>0</v>
      </c>
    </row>
    <row r="5662" spans="1:3" x14ac:dyDescent="0.25">
      <c r="A5662" s="15">
        <f>Sheet1!A5662</f>
        <v>0</v>
      </c>
      <c r="B5662">
        <f>Sheet1!B5662</f>
        <v>10.67</v>
      </c>
      <c r="C5662">
        <f>IF(Sheet1!B5662&gt;0,1,0)</f>
        <v>1</v>
      </c>
    </row>
    <row r="5663" spans="1:3" x14ac:dyDescent="0.25">
      <c r="A5663" s="15">
        <f>Sheet1!A5663</f>
        <v>0</v>
      </c>
      <c r="B5663">
        <f>Sheet1!B5663</f>
        <v>0</v>
      </c>
      <c r="C5663">
        <f>IF(Sheet1!B5663&gt;0,1,0)</f>
        <v>0</v>
      </c>
    </row>
    <row r="5664" spans="1:3" x14ac:dyDescent="0.25">
      <c r="A5664" s="15">
        <f>Sheet1!A5664</f>
        <v>0</v>
      </c>
      <c r="B5664">
        <f>Sheet1!B5664</f>
        <v>0</v>
      </c>
      <c r="C5664">
        <f>IF(Sheet1!B5664&gt;0,1,0)</f>
        <v>0</v>
      </c>
    </row>
    <row r="5665" spans="1:3" x14ac:dyDescent="0.25">
      <c r="A5665" s="15">
        <f>Sheet1!A5665</f>
        <v>0</v>
      </c>
      <c r="B5665">
        <f>Sheet1!B5665</f>
        <v>0</v>
      </c>
      <c r="C5665">
        <f>IF(Sheet1!B5665&gt;0,1,0)</f>
        <v>0</v>
      </c>
    </row>
    <row r="5666" spans="1:3" x14ac:dyDescent="0.25">
      <c r="A5666" s="15">
        <f>Sheet1!A5666</f>
        <v>0</v>
      </c>
      <c r="B5666">
        <f>Sheet1!B5666</f>
        <v>15.1</v>
      </c>
      <c r="C5666">
        <f>IF(Sheet1!B5666&gt;0,1,0)</f>
        <v>1</v>
      </c>
    </row>
    <row r="5667" spans="1:3" x14ac:dyDescent="0.25">
      <c r="A5667" s="15">
        <f>Sheet1!A5667</f>
        <v>0</v>
      </c>
      <c r="B5667">
        <f>Sheet1!B5667</f>
        <v>0</v>
      </c>
      <c r="C5667">
        <f>IF(Sheet1!B5667&gt;0,1,0)</f>
        <v>0</v>
      </c>
    </row>
    <row r="5668" spans="1:3" x14ac:dyDescent="0.25">
      <c r="A5668" s="15">
        <f>Sheet1!A5668</f>
        <v>0</v>
      </c>
      <c r="B5668">
        <f>Sheet1!B5668</f>
        <v>0</v>
      </c>
      <c r="C5668">
        <f>IF(Sheet1!B5668&gt;0,1,0)</f>
        <v>0</v>
      </c>
    </row>
    <row r="5669" spans="1:3" x14ac:dyDescent="0.25">
      <c r="A5669" s="15">
        <f>Sheet1!A5669</f>
        <v>0</v>
      </c>
      <c r="B5669">
        <f>Sheet1!B5669</f>
        <v>0</v>
      </c>
      <c r="C5669">
        <f>IF(Sheet1!B5669&gt;0,1,0)</f>
        <v>0</v>
      </c>
    </row>
    <row r="5670" spans="1:3" x14ac:dyDescent="0.25">
      <c r="A5670" s="15">
        <f>Sheet1!A5670</f>
        <v>0</v>
      </c>
      <c r="B5670">
        <f>Sheet1!B5670</f>
        <v>10.77</v>
      </c>
      <c r="C5670">
        <f>IF(Sheet1!B5670&gt;0,1,0)</f>
        <v>1</v>
      </c>
    </row>
    <row r="5671" spans="1:3" x14ac:dyDescent="0.25">
      <c r="A5671" s="15">
        <f>Sheet1!A5671</f>
        <v>0</v>
      </c>
      <c r="B5671">
        <f>Sheet1!B5671</f>
        <v>0</v>
      </c>
      <c r="C5671">
        <f>IF(Sheet1!B5671&gt;0,1,0)</f>
        <v>0</v>
      </c>
    </row>
    <row r="5672" spans="1:3" x14ac:dyDescent="0.25">
      <c r="A5672" s="15">
        <f>Sheet1!A5672</f>
        <v>0</v>
      </c>
      <c r="B5672">
        <f>Sheet1!B5672</f>
        <v>0</v>
      </c>
      <c r="C5672">
        <f>IF(Sheet1!B5672&gt;0,1,0)</f>
        <v>0</v>
      </c>
    </row>
    <row r="5673" spans="1:3" x14ac:dyDescent="0.25">
      <c r="A5673" s="15">
        <f>Sheet1!A5673</f>
        <v>0</v>
      </c>
      <c r="B5673">
        <f>Sheet1!B5673</f>
        <v>0</v>
      </c>
      <c r="C5673">
        <f>IF(Sheet1!B5673&gt;0,1,0)</f>
        <v>0</v>
      </c>
    </row>
    <row r="5674" spans="1:3" x14ac:dyDescent="0.25">
      <c r="A5674" s="15">
        <f>Sheet1!A5674</f>
        <v>0</v>
      </c>
      <c r="B5674">
        <f>Sheet1!B5674</f>
        <v>13.38</v>
      </c>
      <c r="C5674">
        <f>IF(Sheet1!B5674&gt;0,1,0)</f>
        <v>1</v>
      </c>
    </row>
    <row r="5675" spans="1:3" x14ac:dyDescent="0.25">
      <c r="A5675" s="15">
        <f>Sheet1!A5675</f>
        <v>0</v>
      </c>
      <c r="B5675">
        <f>Sheet1!B5675</f>
        <v>0</v>
      </c>
      <c r="C5675">
        <f>IF(Sheet1!B5675&gt;0,1,0)</f>
        <v>0</v>
      </c>
    </row>
    <row r="5676" spans="1:3" x14ac:dyDescent="0.25">
      <c r="A5676" s="15">
        <f>Sheet1!A5676</f>
        <v>0</v>
      </c>
      <c r="B5676">
        <f>Sheet1!B5676</f>
        <v>0</v>
      </c>
      <c r="C5676">
        <f>IF(Sheet1!B5676&gt;0,1,0)</f>
        <v>0</v>
      </c>
    </row>
    <row r="5677" spans="1:3" x14ac:dyDescent="0.25">
      <c r="A5677" s="15">
        <f>Sheet1!A5677</f>
        <v>0</v>
      </c>
      <c r="B5677">
        <f>Sheet1!B5677</f>
        <v>7.71</v>
      </c>
      <c r="C5677">
        <f>IF(Sheet1!B5677&gt;0,1,0)</f>
        <v>1</v>
      </c>
    </row>
    <row r="5678" spans="1:3" x14ac:dyDescent="0.25">
      <c r="A5678" s="15">
        <f>Sheet1!A5678</f>
        <v>0</v>
      </c>
      <c r="B5678">
        <f>Sheet1!B5678</f>
        <v>15.18</v>
      </c>
      <c r="C5678">
        <f>IF(Sheet1!B5678&gt;0,1,0)</f>
        <v>1</v>
      </c>
    </row>
    <row r="5679" spans="1:3" x14ac:dyDescent="0.25">
      <c r="A5679" s="15">
        <f>Sheet1!A5679</f>
        <v>0</v>
      </c>
      <c r="B5679">
        <f>Sheet1!B5679</f>
        <v>0</v>
      </c>
      <c r="C5679">
        <f>IF(Sheet1!B5679&gt;0,1,0)</f>
        <v>0</v>
      </c>
    </row>
    <row r="5680" spans="1:3" x14ac:dyDescent="0.25">
      <c r="A5680" s="15">
        <f>Sheet1!A5680</f>
        <v>0</v>
      </c>
      <c r="B5680">
        <f>Sheet1!B5680</f>
        <v>0</v>
      </c>
      <c r="C5680">
        <f>IF(Sheet1!B5680&gt;0,1,0)</f>
        <v>0</v>
      </c>
    </row>
    <row r="5681" spans="1:3" x14ac:dyDescent="0.25">
      <c r="A5681" s="15">
        <f>Sheet1!A5681</f>
        <v>0</v>
      </c>
      <c r="B5681">
        <f>Sheet1!B5681</f>
        <v>0</v>
      </c>
      <c r="C5681">
        <f>IF(Sheet1!B5681&gt;0,1,0)</f>
        <v>0</v>
      </c>
    </row>
    <row r="5682" spans="1:3" x14ac:dyDescent="0.25">
      <c r="A5682" s="15">
        <f>Sheet1!A5682</f>
        <v>0</v>
      </c>
      <c r="B5682">
        <f>Sheet1!B5682</f>
        <v>0</v>
      </c>
      <c r="C5682">
        <f>IF(Sheet1!B5682&gt;0,1,0)</f>
        <v>0</v>
      </c>
    </row>
    <row r="5683" spans="1:3" x14ac:dyDescent="0.25">
      <c r="A5683" s="15">
        <f>Sheet1!A5683</f>
        <v>0</v>
      </c>
      <c r="B5683">
        <f>Sheet1!B5683</f>
        <v>10.38</v>
      </c>
      <c r="C5683">
        <f>IF(Sheet1!B5683&gt;0,1,0)</f>
        <v>1</v>
      </c>
    </row>
    <row r="5684" spans="1:3" x14ac:dyDescent="0.25">
      <c r="A5684" s="15">
        <f>Sheet1!A5684</f>
        <v>0</v>
      </c>
      <c r="B5684">
        <f>Sheet1!B5684</f>
        <v>17.59</v>
      </c>
      <c r="C5684">
        <f>IF(Sheet1!B5684&gt;0,1,0)</f>
        <v>1</v>
      </c>
    </row>
    <row r="5685" spans="1:3" x14ac:dyDescent="0.25">
      <c r="A5685" s="15">
        <f>Sheet1!A5685</f>
        <v>0</v>
      </c>
      <c r="B5685">
        <f>Sheet1!B5685</f>
        <v>0</v>
      </c>
      <c r="C5685">
        <f>IF(Sheet1!B5685&gt;0,1,0)</f>
        <v>0</v>
      </c>
    </row>
    <row r="5686" spans="1:3" x14ac:dyDescent="0.25">
      <c r="A5686" s="15">
        <f>Sheet1!A5686</f>
        <v>0</v>
      </c>
      <c r="B5686">
        <f>Sheet1!B5686</f>
        <v>0</v>
      </c>
      <c r="C5686">
        <f>IF(Sheet1!B5686&gt;0,1,0)</f>
        <v>0</v>
      </c>
    </row>
    <row r="5687" spans="1:3" x14ac:dyDescent="0.25">
      <c r="A5687" s="15">
        <f>Sheet1!A5687</f>
        <v>0</v>
      </c>
      <c r="B5687">
        <f>Sheet1!B5687</f>
        <v>9.26</v>
      </c>
      <c r="C5687">
        <f>IF(Sheet1!B5687&gt;0,1,0)</f>
        <v>1</v>
      </c>
    </row>
    <row r="5688" spans="1:3" x14ac:dyDescent="0.25">
      <c r="A5688" s="15">
        <f>Sheet1!A5688</f>
        <v>0</v>
      </c>
      <c r="B5688">
        <f>Sheet1!B5688</f>
        <v>14.65</v>
      </c>
      <c r="C5688">
        <f>IF(Sheet1!B5688&gt;0,1,0)</f>
        <v>1</v>
      </c>
    </row>
    <row r="5689" spans="1:3" x14ac:dyDescent="0.25">
      <c r="A5689" s="15">
        <f>Sheet1!A5689</f>
        <v>0</v>
      </c>
      <c r="B5689">
        <f>Sheet1!B5689</f>
        <v>0</v>
      </c>
      <c r="C5689">
        <f>IF(Sheet1!B5689&gt;0,1,0)</f>
        <v>0</v>
      </c>
    </row>
    <row r="5690" spans="1:3" x14ac:dyDescent="0.25">
      <c r="A5690" s="15">
        <f>Sheet1!A5690</f>
        <v>0</v>
      </c>
      <c r="B5690">
        <f>Sheet1!B5690</f>
        <v>0</v>
      </c>
      <c r="C5690">
        <f>IF(Sheet1!B5690&gt;0,1,0)</f>
        <v>0</v>
      </c>
    </row>
    <row r="5691" spans="1:3" x14ac:dyDescent="0.25">
      <c r="A5691" s="15">
        <f>Sheet1!A5691</f>
        <v>0</v>
      </c>
      <c r="B5691">
        <f>Sheet1!B5691</f>
        <v>0</v>
      </c>
      <c r="C5691">
        <f>IF(Sheet1!B5691&gt;0,1,0)</f>
        <v>0</v>
      </c>
    </row>
    <row r="5692" spans="1:3" x14ac:dyDescent="0.25">
      <c r="A5692" s="15">
        <f>Sheet1!A5692</f>
        <v>0</v>
      </c>
      <c r="B5692">
        <f>Sheet1!B5692</f>
        <v>11.09</v>
      </c>
      <c r="C5692">
        <f>IF(Sheet1!B5692&gt;0,1,0)</f>
        <v>1</v>
      </c>
    </row>
    <row r="5693" spans="1:3" x14ac:dyDescent="0.25">
      <c r="A5693" s="15">
        <f>Sheet1!A5693</f>
        <v>0</v>
      </c>
      <c r="B5693">
        <f>Sheet1!B5693</f>
        <v>0</v>
      </c>
      <c r="C5693">
        <f>IF(Sheet1!B5693&gt;0,1,0)</f>
        <v>0</v>
      </c>
    </row>
    <row r="5694" spans="1:3" x14ac:dyDescent="0.25">
      <c r="A5694" s="15">
        <f>Sheet1!A5694</f>
        <v>0</v>
      </c>
      <c r="B5694">
        <f>Sheet1!B5694</f>
        <v>0</v>
      </c>
      <c r="C5694">
        <f>IF(Sheet1!B5694&gt;0,1,0)</f>
        <v>0</v>
      </c>
    </row>
    <row r="5695" spans="1:3" x14ac:dyDescent="0.25">
      <c r="A5695" s="15">
        <f>Sheet1!A5695</f>
        <v>0</v>
      </c>
      <c r="B5695">
        <f>Sheet1!B5695</f>
        <v>0</v>
      </c>
      <c r="C5695">
        <f>IF(Sheet1!B5695&gt;0,1,0)</f>
        <v>0</v>
      </c>
    </row>
    <row r="5696" spans="1:3" x14ac:dyDescent="0.25">
      <c r="A5696" s="15">
        <f>Sheet1!A5696</f>
        <v>0</v>
      </c>
      <c r="B5696">
        <f>Sheet1!B5696</f>
        <v>12.07</v>
      </c>
      <c r="C5696">
        <f>IF(Sheet1!B5696&gt;0,1,0)</f>
        <v>1</v>
      </c>
    </row>
    <row r="5697" spans="1:3" x14ac:dyDescent="0.25">
      <c r="A5697" s="15">
        <f>Sheet1!A5697</f>
        <v>0</v>
      </c>
      <c r="B5697">
        <f>Sheet1!B5697</f>
        <v>12.29</v>
      </c>
      <c r="C5697">
        <f>IF(Sheet1!B5697&gt;0,1,0)</f>
        <v>1</v>
      </c>
    </row>
    <row r="5698" spans="1:3" x14ac:dyDescent="0.25">
      <c r="A5698" s="15">
        <f>Sheet1!A5698</f>
        <v>0</v>
      </c>
      <c r="B5698">
        <f>Sheet1!B5698</f>
        <v>0</v>
      </c>
      <c r="C5698">
        <f>IF(Sheet1!B5698&gt;0,1,0)</f>
        <v>0</v>
      </c>
    </row>
    <row r="5699" spans="1:3" x14ac:dyDescent="0.25">
      <c r="A5699" s="15">
        <f>Sheet1!A5699</f>
        <v>0</v>
      </c>
      <c r="B5699">
        <f>Sheet1!B5699</f>
        <v>0</v>
      </c>
      <c r="C5699">
        <f>IF(Sheet1!B5699&gt;0,1,0)</f>
        <v>0</v>
      </c>
    </row>
    <row r="5700" spans="1:3" x14ac:dyDescent="0.25">
      <c r="A5700" s="15">
        <f>Sheet1!A5700</f>
        <v>0</v>
      </c>
      <c r="B5700">
        <f>Sheet1!B5700</f>
        <v>0</v>
      </c>
      <c r="C5700">
        <f>IF(Sheet1!B5700&gt;0,1,0)</f>
        <v>0</v>
      </c>
    </row>
    <row r="5701" spans="1:3" x14ac:dyDescent="0.25">
      <c r="A5701" s="15">
        <f>Sheet1!A5701</f>
        <v>0</v>
      </c>
      <c r="B5701">
        <f>Sheet1!B5701</f>
        <v>0</v>
      </c>
      <c r="C5701">
        <f>IF(Sheet1!B5701&gt;0,1,0)</f>
        <v>0</v>
      </c>
    </row>
    <row r="5702" spans="1:3" x14ac:dyDescent="0.25">
      <c r="A5702" s="15">
        <f>Sheet1!A5702</f>
        <v>0</v>
      </c>
      <c r="B5702">
        <f>Sheet1!B5702</f>
        <v>0</v>
      </c>
      <c r="C5702">
        <f>IF(Sheet1!B5702&gt;0,1,0)</f>
        <v>0</v>
      </c>
    </row>
    <row r="5703" spans="1:3" x14ac:dyDescent="0.25">
      <c r="A5703" s="15">
        <f>Sheet1!A5703</f>
        <v>0</v>
      </c>
      <c r="B5703">
        <f>Sheet1!B5703</f>
        <v>7.6</v>
      </c>
      <c r="C5703">
        <f>IF(Sheet1!B5703&gt;0,1,0)</f>
        <v>1</v>
      </c>
    </row>
    <row r="5704" spans="1:3" x14ac:dyDescent="0.25">
      <c r="A5704" s="15">
        <f>Sheet1!A5704</f>
        <v>0</v>
      </c>
      <c r="B5704">
        <f>Sheet1!B5704</f>
        <v>7.49</v>
      </c>
      <c r="C5704">
        <f>IF(Sheet1!B5704&gt;0,1,0)</f>
        <v>1</v>
      </c>
    </row>
    <row r="5705" spans="1:3" x14ac:dyDescent="0.25">
      <c r="A5705" s="15">
        <f>Sheet1!A5705</f>
        <v>0</v>
      </c>
      <c r="B5705">
        <f>Sheet1!B5705</f>
        <v>0</v>
      </c>
      <c r="C5705">
        <f>IF(Sheet1!B5705&gt;0,1,0)</f>
        <v>0</v>
      </c>
    </row>
    <row r="5706" spans="1:3" x14ac:dyDescent="0.25">
      <c r="A5706" s="15">
        <f>Sheet1!A5706</f>
        <v>0</v>
      </c>
      <c r="B5706">
        <f>Sheet1!B5706</f>
        <v>0</v>
      </c>
      <c r="C5706">
        <f>IF(Sheet1!B5706&gt;0,1,0)</f>
        <v>0</v>
      </c>
    </row>
    <row r="5707" spans="1:3" x14ac:dyDescent="0.25">
      <c r="A5707" s="15">
        <f>Sheet1!A5707</f>
        <v>0</v>
      </c>
      <c r="B5707">
        <f>Sheet1!B5707</f>
        <v>0</v>
      </c>
      <c r="C5707">
        <f>IF(Sheet1!B5707&gt;0,1,0)</f>
        <v>0</v>
      </c>
    </row>
    <row r="5708" spans="1:3" x14ac:dyDescent="0.25">
      <c r="A5708" s="15">
        <f>Sheet1!A5708</f>
        <v>0</v>
      </c>
      <c r="B5708">
        <f>Sheet1!B5708</f>
        <v>0</v>
      </c>
      <c r="C5708">
        <f>IF(Sheet1!B5708&gt;0,1,0)</f>
        <v>0</v>
      </c>
    </row>
    <row r="5709" spans="1:3" x14ac:dyDescent="0.25">
      <c r="A5709" s="15">
        <f>Sheet1!A5709</f>
        <v>0</v>
      </c>
      <c r="B5709">
        <f>Sheet1!B5709</f>
        <v>0</v>
      </c>
      <c r="C5709">
        <f>IF(Sheet1!B5709&gt;0,1,0)</f>
        <v>0</v>
      </c>
    </row>
    <row r="5710" spans="1:3" x14ac:dyDescent="0.25">
      <c r="A5710" s="15">
        <f>Sheet1!A5710</f>
        <v>0</v>
      </c>
      <c r="B5710">
        <f>Sheet1!B5710</f>
        <v>11.99</v>
      </c>
      <c r="C5710">
        <f>IF(Sheet1!B5710&gt;0,1,0)</f>
        <v>1</v>
      </c>
    </row>
    <row r="5711" spans="1:3" x14ac:dyDescent="0.25">
      <c r="A5711" s="15">
        <f>Sheet1!A5711</f>
        <v>0</v>
      </c>
      <c r="B5711">
        <f>Sheet1!B5711</f>
        <v>0</v>
      </c>
      <c r="C5711">
        <f>IF(Sheet1!B5711&gt;0,1,0)</f>
        <v>0</v>
      </c>
    </row>
    <row r="5712" spans="1:3" x14ac:dyDescent="0.25">
      <c r="A5712" s="15">
        <f>Sheet1!A5712</f>
        <v>0</v>
      </c>
      <c r="B5712">
        <f>Sheet1!B5712</f>
        <v>0</v>
      </c>
      <c r="C5712">
        <f>IF(Sheet1!B5712&gt;0,1,0)</f>
        <v>0</v>
      </c>
    </row>
    <row r="5713" spans="1:3" x14ac:dyDescent="0.25">
      <c r="A5713" s="15">
        <f>Sheet1!A5713</f>
        <v>0</v>
      </c>
      <c r="B5713">
        <f>Sheet1!B5713</f>
        <v>0</v>
      </c>
      <c r="C5713">
        <f>IF(Sheet1!B5713&gt;0,1,0)</f>
        <v>0</v>
      </c>
    </row>
    <row r="5714" spans="1:3" x14ac:dyDescent="0.25">
      <c r="A5714" s="15">
        <f>Sheet1!A5714</f>
        <v>0</v>
      </c>
      <c r="B5714">
        <f>Sheet1!B5714</f>
        <v>12.89</v>
      </c>
      <c r="C5714">
        <f>IF(Sheet1!B5714&gt;0,1,0)</f>
        <v>1</v>
      </c>
    </row>
    <row r="5715" spans="1:3" x14ac:dyDescent="0.25">
      <c r="A5715" s="15">
        <f>Sheet1!A5715</f>
        <v>0</v>
      </c>
      <c r="B5715">
        <f>Sheet1!B5715</f>
        <v>0</v>
      </c>
      <c r="C5715">
        <f>IF(Sheet1!B5715&gt;0,1,0)</f>
        <v>0</v>
      </c>
    </row>
    <row r="5716" spans="1:3" x14ac:dyDescent="0.25">
      <c r="A5716" s="15">
        <f>Sheet1!A5716</f>
        <v>0</v>
      </c>
      <c r="B5716">
        <f>Sheet1!B5716</f>
        <v>0</v>
      </c>
      <c r="C5716">
        <f>IF(Sheet1!B5716&gt;0,1,0)</f>
        <v>0</v>
      </c>
    </row>
    <row r="5717" spans="1:3" x14ac:dyDescent="0.25">
      <c r="A5717" s="15">
        <f>Sheet1!A5717</f>
        <v>0</v>
      </c>
      <c r="B5717">
        <f>Sheet1!B5717</f>
        <v>0</v>
      </c>
      <c r="C5717">
        <f>IF(Sheet1!B5717&gt;0,1,0)</f>
        <v>0</v>
      </c>
    </row>
    <row r="5718" spans="1:3" x14ac:dyDescent="0.25">
      <c r="A5718" s="15">
        <f>Sheet1!A5718</f>
        <v>0</v>
      </c>
      <c r="B5718">
        <f>Sheet1!B5718</f>
        <v>11.04</v>
      </c>
      <c r="C5718">
        <f>IF(Sheet1!B5718&gt;0,1,0)</f>
        <v>1</v>
      </c>
    </row>
    <row r="5719" spans="1:3" x14ac:dyDescent="0.25">
      <c r="A5719" s="15">
        <f>Sheet1!A5719</f>
        <v>0</v>
      </c>
      <c r="B5719">
        <f>Sheet1!B5719</f>
        <v>0</v>
      </c>
      <c r="C5719">
        <f>IF(Sheet1!B5719&gt;0,1,0)</f>
        <v>0</v>
      </c>
    </row>
    <row r="5720" spans="1:3" x14ac:dyDescent="0.25">
      <c r="A5720" s="15">
        <f>Sheet1!A5720</f>
        <v>0</v>
      </c>
      <c r="B5720">
        <f>Sheet1!B5720</f>
        <v>0</v>
      </c>
      <c r="C5720">
        <f>IF(Sheet1!B5720&gt;0,1,0)</f>
        <v>0</v>
      </c>
    </row>
    <row r="5721" spans="1:3" x14ac:dyDescent="0.25">
      <c r="A5721" s="15">
        <f>Sheet1!A5721</f>
        <v>0</v>
      </c>
      <c r="B5721">
        <f>Sheet1!B5721</f>
        <v>6.54</v>
      </c>
      <c r="C5721">
        <f>IF(Sheet1!B5721&gt;0,1,0)</f>
        <v>1</v>
      </c>
    </row>
    <row r="5722" spans="1:3" x14ac:dyDescent="0.25">
      <c r="A5722" s="15">
        <f>Sheet1!A5722</f>
        <v>0</v>
      </c>
      <c r="B5722">
        <f>Sheet1!B5722</f>
        <v>12.57</v>
      </c>
      <c r="C5722">
        <f>IF(Sheet1!B5722&gt;0,1,0)</f>
        <v>1</v>
      </c>
    </row>
    <row r="5723" spans="1:3" x14ac:dyDescent="0.25">
      <c r="A5723" s="15">
        <f>Sheet1!A5723</f>
        <v>0</v>
      </c>
      <c r="B5723">
        <f>Sheet1!B5723</f>
        <v>5.49</v>
      </c>
      <c r="C5723">
        <f>IF(Sheet1!B5723&gt;0,1,0)</f>
        <v>1</v>
      </c>
    </row>
    <row r="5724" spans="1:3" x14ac:dyDescent="0.25">
      <c r="A5724" s="15">
        <f>Sheet1!A5724</f>
        <v>0</v>
      </c>
      <c r="B5724">
        <f>Sheet1!B5724</f>
        <v>5.49</v>
      </c>
      <c r="C5724">
        <f>IF(Sheet1!B5724&gt;0,1,0)</f>
        <v>1</v>
      </c>
    </row>
    <row r="5725" spans="1:3" x14ac:dyDescent="0.25">
      <c r="A5725" s="15">
        <f>Sheet1!A5725</f>
        <v>0</v>
      </c>
      <c r="B5725">
        <f>Sheet1!B5725</f>
        <v>0</v>
      </c>
      <c r="C5725">
        <f>IF(Sheet1!B5725&gt;0,1,0)</f>
        <v>0</v>
      </c>
    </row>
    <row r="5726" spans="1:3" x14ac:dyDescent="0.25">
      <c r="A5726" s="15">
        <f>Sheet1!A5726</f>
        <v>0</v>
      </c>
      <c r="B5726">
        <f>Sheet1!B5726</f>
        <v>0</v>
      </c>
      <c r="C5726">
        <f>IF(Sheet1!B5726&gt;0,1,0)</f>
        <v>0</v>
      </c>
    </row>
    <row r="5727" spans="1:3" x14ac:dyDescent="0.25">
      <c r="A5727" s="15">
        <f>Sheet1!A5727</f>
        <v>0</v>
      </c>
      <c r="B5727">
        <f>Sheet1!B5727</f>
        <v>0</v>
      </c>
      <c r="C5727">
        <f>IF(Sheet1!B5727&gt;0,1,0)</f>
        <v>0</v>
      </c>
    </row>
    <row r="5728" spans="1:3" x14ac:dyDescent="0.25">
      <c r="A5728" s="15">
        <f>Sheet1!A5728</f>
        <v>0</v>
      </c>
      <c r="B5728">
        <f>Sheet1!B5728</f>
        <v>0</v>
      </c>
      <c r="C5728">
        <f>IF(Sheet1!B5728&gt;0,1,0)</f>
        <v>0</v>
      </c>
    </row>
    <row r="5729" spans="1:3" x14ac:dyDescent="0.25">
      <c r="A5729" s="15">
        <f>Sheet1!A5729</f>
        <v>0</v>
      </c>
      <c r="B5729">
        <f>Sheet1!B5729</f>
        <v>0</v>
      </c>
      <c r="C5729">
        <f>IF(Sheet1!B5729&gt;0,1,0)</f>
        <v>0</v>
      </c>
    </row>
    <row r="5730" spans="1:3" x14ac:dyDescent="0.25">
      <c r="A5730" s="15">
        <f>Sheet1!A5730</f>
        <v>0</v>
      </c>
      <c r="B5730">
        <f>Sheet1!B5730</f>
        <v>0</v>
      </c>
      <c r="C5730">
        <f>IF(Sheet1!B5730&gt;0,1,0)</f>
        <v>0</v>
      </c>
    </row>
    <row r="5731" spans="1:3" x14ac:dyDescent="0.25">
      <c r="A5731" s="15">
        <f>Sheet1!A5731</f>
        <v>0</v>
      </c>
      <c r="B5731">
        <f>Sheet1!B5731</f>
        <v>0</v>
      </c>
      <c r="C5731">
        <f>IF(Sheet1!B5731&gt;0,1,0)</f>
        <v>0</v>
      </c>
    </row>
    <row r="5732" spans="1:3" x14ac:dyDescent="0.25">
      <c r="A5732" s="15">
        <f>Sheet1!A5732</f>
        <v>0</v>
      </c>
      <c r="B5732">
        <f>Sheet1!B5732</f>
        <v>12.73</v>
      </c>
      <c r="C5732">
        <f>IF(Sheet1!B5732&gt;0,1,0)</f>
        <v>1</v>
      </c>
    </row>
    <row r="5733" spans="1:3" x14ac:dyDescent="0.25">
      <c r="A5733" s="15">
        <f>Sheet1!A5733</f>
        <v>0</v>
      </c>
      <c r="B5733">
        <f>Sheet1!B5733</f>
        <v>0</v>
      </c>
      <c r="C5733">
        <f>IF(Sheet1!B5733&gt;0,1,0)</f>
        <v>0</v>
      </c>
    </row>
    <row r="5734" spans="1:3" x14ac:dyDescent="0.25">
      <c r="A5734" s="15">
        <f>Sheet1!A5734</f>
        <v>0</v>
      </c>
      <c r="B5734">
        <f>Sheet1!B5734</f>
        <v>0</v>
      </c>
      <c r="C5734">
        <f>IF(Sheet1!B5734&gt;0,1,0)</f>
        <v>0</v>
      </c>
    </row>
    <row r="5735" spans="1:3" x14ac:dyDescent="0.25">
      <c r="A5735" s="15">
        <f>Sheet1!A5735</f>
        <v>0</v>
      </c>
      <c r="B5735">
        <f>Sheet1!B5735</f>
        <v>0</v>
      </c>
      <c r="C5735">
        <f>IF(Sheet1!B5735&gt;0,1,0)</f>
        <v>0</v>
      </c>
    </row>
    <row r="5736" spans="1:3" x14ac:dyDescent="0.25">
      <c r="A5736" s="15">
        <f>Sheet1!A5736</f>
        <v>0</v>
      </c>
      <c r="B5736">
        <f>Sheet1!B5736</f>
        <v>11.14</v>
      </c>
      <c r="C5736">
        <f>IF(Sheet1!B5736&gt;0,1,0)</f>
        <v>1</v>
      </c>
    </row>
    <row r="5737" spans="1:3" x14ac:dyDescent="0.25">
      <c r="A5737" s="15">
        <f>Sheet1!A5737</f>
        <v>0</v>
      </c>
      <c r="B5737">
        <f>Sheet1!B5737</f>
        <v>0</v>
      </c>
      <c r="C5737">
        <f>IF(Sheet1!B5737&gt;0,1,0)</f>
        <v>0</v>
      </c>
    </row>
    <row r="5738" spans="1:3" x14ac:dyDescent="0.25">
      <c r="A5738" s="15">
        <f>Sheet1!A5738</f>
        <v>0</v>
      </c>
      <c r="B5738">
        <f>Sheet1!B5738</f>
        <v>0</v>
      </c>
      <c r="C5738">
        <f>IF(Sheet1!B5738&gt;0,1,0)</f>
        <v>0</v>
      </c>
    </row>
    <row r="5739" spans="1:3" x14ac:dyDescent="0.25">
      <c r="A5739" s="15">
        <f>Sheet1!A5739</f>
        <v>0</v>
      </c>
      <c r="B5739">
        <f>Sheet1!B5739</f>
        <v>0</v>
      </c>
      <c r="C5739">
        <f>IF(Sheet1!B5739&gt;0,1,0)</f>
        <v>0</v>
      </c>
    </row>
    <row r="5740" spans="1:3" x14ac:dyDescent="0.25">
      <c r="A5740" s="15">
        <f>Sheet1!A5740</f>
        <v>0</v>
      </c>
      <c r="B5740">
        <f>Sheet1!B5740</f>
        <v>11.16</v>
      </c>
      <c r="C5740">
        <f>IF(Sheet1!B5740&gt;0,1,0)</f>
        <v>1</v>
      </c>
    </row>
    <row r="5741" spans="1:3" x14ac:dyDescent="0.25">
      <c r="A5741" s="15">
        <f>Sheet1!A5741</f>
        <v>0</v>
      </c>
      <c r="B5741">
        <f>Sheet1!B5741</f>
        <v>0</v>
      </c>
      <c r="C5741">
        <f>IF(Sheet1!B5741&gt;0,1,0)</f>
        <v>0</v>
      </c>
    </row>
    <row r="5742" spans="1:3" x14ac:dyDescent="0.25">
      <c r="A5742" s="15">
        <f>Sheet1!A5742</f>
        <v>0</v>
      </c>
      <c r="B5742">
        <f>Sheet1!B5742</f>
        <v>0</v>
      </c>
      <c r="C5742">
        <f>IF(Sheet1!B5742&gt;0,1,0)</f>
        <v>0</v>
      </c>
    </row>
    <row r="5743" spans="1:3" x14ac:dyDescent="0.25">
      <c r="A5743" s="15">
        <f>Sheet1!A5743</f>
        <v>0</v>
      </c>
      <c r="B5743">
        <f>Sheet1!B5743</f>
        <v>0</v>
      </c>
      <c r="C5743">
        <f>IF(Sheet1!B5743&gt;0,1,0)</f>
        <v>0</v>
      </c>
    </row>
    <row r="5744" spans="1:3" x14ac:dyDescent="0.25">
      <c r="A5744" s="15">
        <f>Sheet1!A5744</f>
        <v>0</v>
      </c>
      <c r="B5744">
        <f>Sheet1!B5744</f>
        <v>12.7</v>
      </c>
      <c r="C5744">
        <f>IF(Sheet1!B5744&gt;0,1,0)</f>
        <v>1</v>
      </c>
    </row>
    <row r="5745" spans="1:3" x14ac:dyDescent="0.25">
      <c r="A5745" s="15">
        <f>Sheet1!A5745</f>
        <v>0</v>
      </c>
      <c r="B5745">
        <f>Sheet1!B5745</f>
        <v>0</v>
      </c>
      <c r="C5745">
        <f>IF(Sheet1!B5745&gt;0,1,0)</f>
        <v>0</v>
      </c>
    </row>
    <row r="5746" spans="1:3" x14ac:dyDescent="0.25">
      <c r="A5746" s="15">
        <f>Sheet1!A5746</f>
        <v>0</v>
      </c>
      <c r="B5746">
        <f>Sheet1!B5746</f>
        <v>0</v>
      </c>
      <c r="C5746">
        <f>IF(Sheet1!B5746&gt;0,1,0)</f>
        <v>0</v>
      </c>
    </row>
    <row r="5747" spans="1:3" x14ac:dyDescent="0.25">
      <c r="A5747" s="15">
        <f>Sheet1!A5747</f>
        <v>0</v>
      </c>
      <c r="B5747">
        <f>Sheet1!B5747</f>
        <v>0</v>
      </c>
      <c r="C5747">
        <f>IF(Sheet1!B5747&gt;0,1,0)</f>
        <v>0</v>
      </c>
    </row>
    <row r="5748" spans="1:3" x14ac:dyDescent="0.25">
      <c r="A5748" s="15">
        <f>Sheet1!A5748</f>
        <v>0</v>
      </c>
      <c r="B5748">
        <f>Sheet1!B5748</f>
        <v>0</v>
      </c>
      <c r="C5748">
        <f>IF(Sheet1!B5748&gt;0,1,0)</f>
        <v>0</v>
      </c>
    </row>
    <row r="5749" spans="1:3" x14ac:dyDescent="0.25">
      <c r="A5749" s="15">
        <f>Sheet1!A5749</f>
        <v>0</v>
      </c>
      <c r="B5749">
        <f>Sheet1!B5749</f>
        <v>0</v>
      </c>
      <c r="C5749">
        <f>IF(Sheet1!B5749&gt;0,1,0)</f>
        <v>0</v>
      </c>
    </row>
    <row r="5750" spans="1:3" x14ac:dyDescent="0.25">
      <c r="A5750" s="15">
        <f>Sheet1!A5750</f>
        <v>0</v>
      </c>
      <c r="B5750">
        <f>Sheet1!B5750</f>
        <v>13.31</v>
      </c>
      <c r="C5750">
        <f>IF(Sheet1!B5750&gt;0,1,0)</f>
        <v>1</v>
      </c>
    </row>
    <row r="5751" spans="1:3" x14ac:dyDescent="0.25">
      <c r="A5751" s="15">
        <f>Sheet1!A5751</f>
        <v>0</v>
      </c>
      <c r="B5751">
        <f>Sheet1!B5751</f>
        <v>0</v>
      </c>
      <c r="C5751">
        <f>IF(Sheet1!B5751&gt;0,1,0)</f>
        <v>0</v>
      </c>
    </row>
    <row r="5752" spans="1:3" x14ac:dyDescent="0.25">
      <c r="A5752" s="15">
        <f>Sheet1!A5752</f>
        <v>0</v>
      </c>
      <c r="B5752">
        <f>Sheet1!B5752</f>
        <v>0</v>
      </c>
      <c r="C5752">
        <f>IF(Sheet1!B5752&gt;0,1,0)</f>
        <v>0</v>
      </c>
    </row>
    <row r="5753" spans="1:3" x14ac:dyDescent="0.25">
      <c r="A5753" s="15">
        <f>Sheet1!A5753</f>
        <v>0</v>
      </c>
      <c r="B5753">
        <f>Sheet1!B5753</f>
        <v>0</v>
      </c>
      <c r="C5753">
        <f>IF(Sheet1!B5753&gt;0,1,0)</f>
        <v>0</v>
      </c>
    </row>
    <row r="5754" spans="1:3" x14ac:dyDescent="0.25">
      <c r="A5754" s="15">
        <f>Sheet1!A5754</f>
        <v>0</v>
      </c>
      <c r="B5754">
        <f>Sheet1!B5754</f>
        <v>12.92</v>
      </c>
      <c r="C5754">
        <f>IF(Sheet1!B5754&gt;0,1,0)</f>
        <v>1</v>
      </c>
    </row>
    <row r="5755" spans="1:3" x14ac:dyDescent="0.25">
      <c r="A5755" s="15">
        <f>Sheet1!A5755</f>
        <v>0</v>
      </c>
      <c r="B5755">
        <f>Sheet1!B5755</f>
        <v>0</v>
      </c>
      <c r="C5755">
        <f>IF(Sheet1!B5755&gt;0,1,0)</f>
        <v>0</v>
      </c>
    </row>
    <row r="5756" spans="1:3" x14ac:dyDescent="0.25">
      <c r="A5756" s="15">
        <f>Sheet1!A5756</f>
        <v>0</v>
      </c>
      <c r="B5756">
        <f>Sheet1!B5756</f>
        <v>0</v>
      </c>
      <c r="C5756">
        <f>IF(Sheet1!B5756&gt;0,1,0)</f>
        <v>0</v>
      </c>
    </row>
    <row r="5757" spans="1:3" x14ac:dyDescent="0.25">
      <c r="A5757" s="15">
        <f>Sheet1!A5757</f>
        <v>0</v>
      </c>
      <c r="B5757">
        <f>Sheet1!B5757</f>
        <v>0</v>
      </c>
      <c r="C5757">
        <f>IF(Sheet1!B5757&gt;0,1,0)</f>
        <v>0</v>
      </c>
    </row>
    <row r="5758" spans="1:3" x14ac:dyDescent="0.25">
      <c r="A5758" s="15">
        <f>Sheet1!A5758</f>
        <v>0</v>
      </c>
      <c r="B5758">
        <f>Sheet1!B5758</f>
        <v>0</v>
      </c>
      <c r="C5758">
        <f>IF(Sheet1!B5758&gt;0,1,0)</f>
        <v>0</v>
      </c>
    </row>
    <row r="5759" spans="1:3" x14ac:dyDescent="0.25">
      <c r="A5759" s="15">
        <f>Sheet1!A5759</f>
        <v>0</v>
      </c>
      <c r="B5759">
        <f>Sheet1!B5759</f>
        <v>0</v>
      </c>
      <c r="C5759">
        <f>IF(Sheet1!B5759&gt;0,1,0)</f>
        <v>0</v>
      </c>
    </row>
    <row r="5760" spans="1:3" x14ac:dyDescent="0.25">
      <c r="A5760" s="15">
        <f>Sheet1!A5760</f>
        <v>0</v>
      </c>
      <c r="B5760">
        <f>Sheet1!B5760</f>
        <v>0</v>
      </c>
      <c r="C5760">
        <f>IF(Sheet1!B5760&gt;0,1,0)</f>
        <v>0</v>
      </c>
    </row>
    <row r="5761" spans="1:3" x14ac:dyDescent="0.25">
      <c r="A5761" s="15">
        <f>Sheet1!A5761</f>
        <v>0</v>
      </c>
      <c r="B5761">
        <f>Sheet1!B5761</f>
        <v>0</v>
      </c>
      <c r="C5761">
        <f>IF(Sheet1!B5761&gt;0,1,0)</f>
        <v>0</v>
      </c>
    </row>
    <row r="5762" spans="1:3" x14ac:dyDescent="0.25">
      <c r="A5762" s="15">
        <f>Sheet1!A5762</f>
        <v>0</v>
      </c>
      <c r="B5762">
        <f>Sheet1!B5762</f>
        <v>10.33</v>
      </c>
      <c r="C5762">
        <f>IF(Sheet1!B5762&gt;0,1,0)</f>
        <v>1</v>
      </c>
    </row>
    <row r="5763" spans="1:3" x14ac:dyDescent="0.25">
      <c r="A5763" s="15">
        <f>Sheet1!A5763</f>
        <v>0</v>
      </c>
      <c r="B5763">
        <f>Sheet1!B5763</f>
        <v>9.93</v>
      </c>
      <c r="C5763">
        <f>IF(Sheet1!B5763&gt;0,1,0)</f>
        <v>1</v>
      </c>
    </row>
    <row r="5764" spans="1:3" x14ac:dyDescent="0.25">
      <c r="A5764" s="15">
        <f>Sheet1!A5764</f>
        <v>0</v>
      </c>
      <c r="B5764">
        <f>Sheet1!B5764</f>
        <v>8.4600000000000009</v>
      </c>
      <c r="C5764">
        <f>IF(Sheet1!B5764&gt;0,1,0)</f>
        <v>1</v>
      </c>
    </row>
    <row r="5765" spans="1:3" x14ac:dyDescent="0.25">
      <c r="A5765" s="15">
        <f>Sheet1!A5765</f>
        <v>0</v>
      </c>
      <c r="B5765">
        <f>Sheet1!B5765</f>
        <v>0</v>
      </c>
      <c r="C5765">
        <f>IF(Sheet1!B5765&gt;0,1,0)</f>
        <v>0</v>
      </c>
    </row>
    <row r="5766" spans="1:3" x14ac:dyDescent="0.25">
      <c r="A5766" s="15">
        <f>Sheet1!A5766</f>
        <v>0</v>
      </c>
      <c r="B5766">
        <f>Sheet1!B5766</f>
        <v>0</v>
      </c>
      <c r="C5766">
        <f>IF(Sheet1!B5766&gt;0,1,0)</f>
        <v>0</v>
      </c>
    </row>
    <row r="5767" spans="1:3" x14ac:dyDescent="0.25">
      <c r="A5767" s="15">
        <f>Sheet1!A5767</f>
        <v>0</v>
      </c>
      <c r="B5767">
        <f>Sheet1!B5767</f>
        <v>0</v>
      </c>
      <c r="C5767">
        <f>IF(Sheet1!B5767&gt;0,1,0)</f>
        <v>0</v>
      </c>
    </row>
    <row r="5768" spans="1:3" x14ac:dyDescent="0.25">
      <c r="A5768" s="15">
        <f>Sheet1!A5768</f>
        <v>0</v>
      </c>
      <c r="B5768">
        <f>Sheet1!B5768</f>
        <v>10.94</v>
      </c>
      <c r="C5768">
        <f>IF(Sheet1!B5768&gt;0,1,0)</f>
        <v>1</v>
      </c>
    </row>
    <row r="5769" spans="1:3" x14ac:dyDescent="0.25">
      <c r="A5769" s="15">
        <f>Sheet1!A5769</f>
        <v>0</v>
      </c>
      <c r="B5769">
        <f>Sheet1!B5769</f>
        <v>0</v>
      </c>
      <c r="C5769">
        <f>IF(Sheet1!B5769&gt;0,1,0)</f>
        <v>0</v>
      </c>
    </row>
    <row r="5770" spans="1:3" x14ac:dyDescent="0.25">
      <c r="A5770" s="15">
        <f>Sheet1!A5770</f>
        <v>0</v>
      </c>
      <c r="B5770">
        <f>Sheet1!B5770</f>
        <v>0</v>
      </c>
      <c r="C5770">
        <f>IF(Sheet1!B5770&gt;0,1,0)</f>
        <v>0</v>
      </c>
    </row>
    <row r="5771" spans="1:3" x14ac:dyDescent="0.25">
      <c r="A5771" s="15">
        <f>Sheet1!A5771</f>
        <v>0</v>
      </c>
      <c r="B5771">
        <f>Sheet1!B5771</f>
        <v>0</v>
      </c>
      <c r="C5771">
        <f>IF(Sheet1!B5771&gt;0,1,0)</f>
        <v>0</v>
      </c>
    </row>
    <row r="5772" spans="1:3" x14ac:dyDescent="0.25">
      <c r="A5772" s="15">
        <f>Sheet1!A5772</f>
        <v>0</v>
      </c>
      <c r="B5772">
        <f>Sheet1!B5772</f>
        <v>12.75</v>
      </c>
      <c r="C5772">
        <f>IF(Sheet1!B5772&gt;0,1,0)</f>
        <v>1</v>
      </c>
    </row>
    <row r="5773" spans="1:3" x14ac:dyDescent="0.25">
      <c r="A5773" s="15">
        <f>Sheet1!A5773</f>
        <v>0</v>
      </c>
      <c r="B5773">
        <f>Sheet1!B5773</f>
        <v>0</v>
      </c>
      <c r="C5773">
        <f>IF(Sheet1!B5773&gt;0,1,0)</f>
        <v>0</v>
      </c>
    </row>
    <row r="5774" spans="1:3" x14ac:dyDescent="0.25">
      <c r="A5774" s="15">
        <f>Sheet1!A5774</f>
        <v>0</v>
      </c>
      <c r="B5774">
        <f>Sheet1!B5774</f>
        <v>0</v>
      </c>
      <c r="C5774">
        <f>IF(Sheet1!B5774&gt;0,1,0)</f>
        <v>0</v>
      </c>
    </row>
    <row r="5775" spans="1:3" x14ac:dyDescent="0.25">
      <c r="A5775" s="15">
        <f>Sheet1!A5775</f>
        <v>0</v>
      </c>
      <c r="B5775">
        <f>Sheet1!B5775</f>
        <v>0</v>
      </c>
      <c r="C5775">
        <f>IF(Sheet1!B5775&gt;0,1,0)</f>
        <v>0</v>
      </c>
    </row>
    <row r="5776" spans="1:3" x14ac:dyDescent="0.25">
      <c r="A5776" s="15">
        <f>Sheet1!A5776</f>
        <v>0</v>
      </c>
      <c r="B5776">
        <f>Sheet1!B5776</f>
        <v>11.11</v>
      </c>
      <c r="C5776">
        <f>IF(Sheet1!B5776&gt;0,1,0)</f>
        <v>1</v>
      </c>
    </row>
    <row r="5777" spans="1:3" x14ac:dyDescent="0.25">
      <c r="A5777" s="15">
        <f>Sheet1!A5777</f>
        <v>0</v>
      </c>
      <c r="B5777">
        <f>Sheet1!B5777</f>
        <v>0</v>
      </c>
      <c r="C5777">
        <f>IF(Sheet1!B5777&gt;0,1,0)</f>
        <v>0</v>
      </c>
    </row>
    <row r="5778" spans="1:3" x14ac:dyDescent="0.25">
      <c r="A5778" s="15">
        <f>Sheet1!A5778</f>
        <v>0</v>
      </c>
      <c r="B5778">
        <f>Sheet1!B5778</f>
        <v>0</v>
      </c>
      <c r="C5778">
        <f>IF(Sheet1!B5778&gt;0,1,0)</f>
        <v>0</v>
      </c>
    </row>
    <row r="5779" spans="1:3" x14ac:dyDescent="0.25">
      <c r="A5779" s="15">
        <f>Sheet1!A5779</f>
        <v>0</v>
      </c>
      <c r="B5779">
        <f>Sheet1!B5779</f>
        <v>0</v>
      </c>
      <c r="C5779">
        <f>IF(Sheet1!B5779&gt;0,1,0)</f>
        <v>0</v>
      </c>
    </row>
    <row r="5780" spans="1:3" x14ac:dyDescent="0.25">
      <c r="A5780" s="15">
        <f>Sheet1!A5780</f>
        <v>0</v>
      </c>
      <c r="B5780">
        <f>Sheet1!B5780</f>
        <v>9.26</v>
      </c>
      <c r="C5780">
        <f>IF(Sheet1!B5780&gt;0,1,0)</f>
        <v>1</v>
      </c>
    </row>
    <row r="5781" spans="1:3" x14ac:dyDescent="0.25">
      <c r="A5781" s="15">
        <f>Sheet1!A5781</f>
        <v>0</v>
      </c>
      <c r="B5781">
        <f>Sheet1!B5781</f>
        <v>0</v>
      </c>
      <c r="C5781">
        <f>IF(Sheet1!B5781&gt;0,1,0)</f>
        <v>0</v>
      </c>
    </row>
    <row r="5782" spans="1:3" x14ac:dyDescent="0.25">
      <c r="A5782" s="15">
        <f>Sheet1!A5782</f>
        <v>0</v>
      </c>
      <c r="B5782">
        <f>Sheet1!B5782</f>
        <v>0</v>
      </c>
      <c r="C5782">
        <f>IF(Sheet1!B5782&gt;0,1,0)</f>
        <v>0</v>
      </c>
    </row>
    <row r="5783" spans="1:3" x14ac:dyDescent="0.25">
      <c r="A5783" s="15">
        <f>Sheet1!A5783</f>
        <v>0</v>
      </c>
      <c r="B5783">
        <f>Sheet1!B5783</f>
        <v>0</v>
      </c>
      <c r="C5783">
        <f>IF(Sheet1!B5783&gt;0,1,0)</f>
        <v>0</v>
      </c>
    </row>
    <row r="5784" spans="1:3" x14ac:dyDescent="0.25">
      <c r="A5784" s="15">
        <f>Sheet1!A5784</f>
        <v>0</v>
      </c>
      <c r="B5784">
        <f>Sheet1!B5784</f>
        <v>0</v>
      </c>
      <c r="C5784">
        <f>IF(Sheet1!B5784&gt;0,1,0)</f>
        <v>0</v>
      </c>
    </row>
    <row r="5785" spans="1:3" x14ac:dyDescent="0.25">
      <c r="A5785" s="15">
        <f>Sheet1!A5785</f>
        <v>0</v>
      </c>
      <c r="B5785">
        <f>Sheet1!B5785</f>
        <v>0</v>
      </c>
      <c r="C5785">
        <f>IF(Sheet1!B5785&gt;0,1,0)</f>
        <v>0</v>
      </c>
    </row>
    <row r="5786" spans="1:3" x14ac:dyDescent="0.25">
      <c r="A5786" s="15">
        <f>Sheet1!A5786</f>
        <v>0</v>
      </c>
      <c r="B5786">
        <f>Sheet1!B5786</f>
        <v>12.33</v>
      </c>
      <c r="C5786">
        <f>IF(Sheet1!B5786&gt;0,1,0)</f>
        <v>1</v>
      </c>
    </row>
    <row r="5787" spans="1:3" x14ac:dyDescent="0.25">
      <c r="A5787" s="15">
        <f>Sheet1!A5787</f>
        <v>0</v>
      </c>
      <c r="B5787">
        <f>Sheet1!B5787</f>
        <v>0</v>
      </c>
      <c r="C5787">
        <f>IF(Sheet1!B5787&gt;0,1,0)</f>
        <v>0</v>
      </c>
    </row>
    <row r="5788" spans="1:3" x14ac:dyDescent="0.25">
      <c r="A5788" s="15">
        <f>Sheet1!A5788</f>
        <v>0</v>
      </c>
      <c r="B5788">
        <f>Sheet1!B5788</f>
        <v>0</v>
      </c>
      <c r="C5788">
        <f>IF(Sheet1!B5788&gt;0,1,0)</f>
        <v>0</v>
      </c>
    </row>
    <row r="5789" spans="1:3" x14ac:dyDescent="0.25">
      <c r="A5789" s="15">
        <f>Sheet1!A5789</f>
        <v>0</v>
      </c>
      <c r="B5789">
        <f>Sheet1!B5789</f>
        <v>0</v>
      </c>
      <c r="C5789">
        <f>IF(Sheet1!B5789&gt;0,1,0)</f>
        <v>0</v>
      </c>
    </row>
    <row r="5790" spans="1:3" x14ac:dyDescent="0.25">
      <c r="A5790" s="15">
        <f>Sheet1!A5790</f>
        <v>0</v>
      </c>
      <c r="B5790">
        <f>Sheet1!B5790</f>
        <v>10.89</v>
      </c>
      <c r="C5790">
        <f>IF(Sheet1!B5790&gt;0,1,0)</f>
        <v>1</v>
      </c>
    </row>
    <row r="5791" spans="1:3" x14ac:dyDescent="0.25">
      <c r="A5791" s="15">
        <f>Sheet1!A5791</f>
        <v>0</v>
      </c>
      <c r="B5791">
        <f>Sheet1!B5791</f>
        <v>0</v>
      </c>
      <c r="C5791">
        <f>IF(Sheet1!B5791&gt;0,1,0)</f>
        <v>0</v>
      </c>
    </row>
    <row r="5792" spans="1:3" x14ac:dyDescent="0.25">
      <c r="A5792" s="15">
        <f>Sheet1!A5792</f>
        <v>0</v>
      </c>
      <c r="B5792">
        <f>Sheet1!B5792</f>
        <v>0</v>
      </c>
      <c r="C5792">
        <f>IF(Sheet1!B5792&gt;0,1,0)</f>
        <v>0</v>
      </c>
    </row>
    <row r="5793" spans="1:3" x14ac:dyDescent="0.25">
      <c r="A5793" s="15">
        <f>Sheet1!A5793</f>
        <v>0</v>
      </c>
      <c r="B5793">
        <f>Sheet1!B5793</f>
        <v>0</v>
      </c>
      <c r="C5793">
        <f>IF(Sheet1!B5793&gt;0,1,0)</f>
        <v>0</v>
      </c>
    </row>
    <row r="5794" spans="1:3" x14ac:dyDescent="0.25">
      <c r="A5794" s="15">
        <f>Sheet1!A5794</f>
        <v>0</v>
      </c>
      <c r="B5794">
        <f>Sheet1!B5794</f>
        <v>12.47</v>
      </c>
      <c r="C5794">
        <f>IF(Sheet1!B5794&gt;0,1,0)</f>
        <v>1</v>
      </c>
    </row>
    <row r="5795" spans="1:3" x14ac:dyDescent="0.25">
      <c r="A5795" s="15">
        <f>Sheet1!A5795</f>
        <v>0</v>
      </c>
      <c r="B5795">
        <f>Sheet1!B5795</f>
        <v>0</v>
      </c>
      <c r="C5795">
        <f>IF(Sheet1!B5795&gt;0,1,0)</f>
        <v>0</v>
      </c>
    </row>
    <row r="5796" spans="1:3" x14ac:dyDescent="0.25">
      <c r="A5796" s="15">
        <f>Sheet1!A5796</f>
        <v>0</v>
      </c>
      <c r="B5796">
        <f>Sheet1!B5796</f>
        <v>0</v>
      </c>
      <c r="C5796">
        <f>IF(Sheet1!B5796&gt;0,1,0)</f>
        <v>0</v>
      </c>
    </row>
    <row r="5797" spans="1:3" x14ac:dyDescent="0.25">
      <c r="A5797" s="15">
        <f>Sheet1!A5797</f>
        <v>0</v>
      </c>
      <c r="B5797">
        <f>Sheet1!B5797</f>
        <v>0</v>
      </c>
      <c r="C5797">
        <f>IF(Sheet1!B5797&gt;0,1,0)</f>
        <v>0</v>
      </c>
    </row>
    <row r="5798" spans="1:3" x14ac:dyDescent="0.25">
      <c r="A5798" s="15">
        <f>Sheet1!A5798</f>
        <v>0</v>
      </c>
      <c r="B5798">
        <f>Sheet1!B5798</f>
        <v>13.09</v>
      </c>
      <c r="C5798">
        <f>IF(Sheet1!B5798&gt;0,1,0)</f>
        <v>1</v>
      </c>
    </row>
    <row r="5799" spans="1:3" x14ac:dyDescent="0.25">
      <c r="A5799" s="15">
        <f>Sheet1!A5799</f>
        <v>0</v>
      </c>
      <c r="B5799">
        <f>Sheet1!B5799</f>
        <v>0</v>
      </c>
      <c r="C5799">
        <f>IF(Sheet1!B5799&gt;0,1,0)</f>
        <v>0</v>
      </c>
    </row>
    <row r="5800" spans="1:3" x14ac:dyDescent="0.25">
      <c r="A5800" s="15">
        <f>Sheet1!A5800</f>
        <v>0</v>
      </c>
      <c r="B5800">
        <f>Sheet1!B5800</f>
        <v>0</v>
      </c>
      <c r="C5800">
        <f>IF(Sheet1!B5800&gt;0,1,0)</f>
        <v>0</v>
      </c>
    </row>
    <row r="5801" spans="1:3" x14ac:dyDescent="0.25">
      <c r="A5801" s="15">
        <f>Sheet1!A5801</f>
        <v>0</v>
      </c>
      <c r="B5801">
        <f>Sheet1!B5801</f>
        <v>0</v>
      </c>
      <c r="C5801">
        <f>IF(Sheet1!B5801&gt;0,1,0)</f>
        <v>0</v>
      </c>
    </row>
    <row r="5802" spans="1:3" x14ac:dyDescent="0.25">
      <c r="A5802" s="15">
        <f>Sheet1!A5802</f>
        <v>0</v>
      </c>
      <c r="B5802">
        <f>Sheet1!B5802</f>
        <v>17.13</v>
      </c>
      <c r="C5802">
        <f>IF(Sheet1!B5802&gt;0,1,0)</f>
        <v>1</v>
      </c>
    </row>
    <row r="5803" spans="1:3" x14ac:dyDescent="0.25">
      <c r="A5803" s="15">
        <f>Sheet1!A5803</f>
        <v>0</v>
      </c>
      <c r="B5803">
        <f>Sheet1!B5803</f>
        <v>0</v>
      </c>
      <c r="C5803">
        <f>IF(Sheet1!B5803&gt;0,1,0)</f>
        <v>0</v>
      </c>
    </row>
    <row r="5804" spans="1:3" x14ac:dyDescent="0.25">
      <c r="A5804" s="15">
        <f>Sheet1!A5804</f>
        <v>0</v>
      </c>
      <c r="B5804">
        <f>Sheet1!B5804</f>
        <v>0</v>
      </c>
      <c r="C5804">
        <f>IF(Sheet1!B5804&gt;0,1,0)</f>
        <v>0</v>
      </c>
    </row>
    <row r="5805" spans="1:3" x14ac:dyDescent="0.25">
      <c r="A5805" s="15">
        <f>Sheet1!A5805</f>
        <v>0</v>
      </c>
      <c r="B5805">
        <f>Sheet1!B5805</f>
        <v>0</v>
      </c>
      <c r="C5805">
        <f>IF(Sheet1!B5805&gt;0,1,0)</f>
        <v>0</v>
      </c>
    </row>
    <row r="5806" spans="1:3" x14ac:dyDescent="0.25">
      <c r="A5806" s="15">
        <f>Sheet1!A5806</f>
        <v>0</v>
      </c>
      <c r="B5806">
        <f>Sheet1!B5806</f>
        <v>16.57</v>
      </c>
      <c r="C5806">
        <f>IF(Sheet1!B5806&gt;0,1,0)</f>
        <v>1</v>
      </c>
    </row>
    <row r="5807" spans="1:3" x14ac:dyDescent="0.25">
      <c r="A5807" s="15">
        <f>Sheet1!A5807</f>
        <v>0</v>
      </c>
      <c r="B5807">
        <f>Sheet1!B5807</f>
        <v>0</v>
      </c>
      <c r="C5807">
        <f>IF(Sheet1!B5807&gt;0,1,0)</f>
        <v>0</v>
      </c>
    </row>
    <row r="5808" spans="1:3" x14ac:dyDescent="0.25">
      <c r="A5808" s="15">
        <f>Sheet1!A5808</f>
        <v>0</v>
      </c>
      <c r="B5808">
        <f>Sheet1!B5808</f>
        <v>0</v>
      </c>
      <c r="C5808">
        <f>IF(Sheet1!B5808&gt;0,1,0)</f>
        <v>0</v>
      </c>
    </row>
    <row r="5809" spans="1:3" x14ac:dyDescent="0.25">
      <c r="A5809" s="15">
        <f>Sheet1!A5809</f>
        <v>0</v>
      </c>
      <c r="B5809">
        <f>Sheet1!B5809</f>
        <v>0</v>
      </c>
      <c r="C5809">
        <f>IF(Sheet1!B5809&gt;0,1,0)</f>
        <v>0</v>
      </c>
    </row>
    <row r="5810" spans="1:3" x14ac:dyDescent="0.25">
      <c r="A5810" s="15">
        <f>Sheet1!A5810</f>
        <v>0</v>
      </c>
      <c r="B5810">
        <f>Sheet1!B5810</f>
        <v>11.88</v>
      </c>
      <c r="C5810">
        <f>IF(Sheet1!B5810&gt;0,1,0)</f>
        <v>1</v>
      </c>
    </row>
    <row r="5811" spans="1:3" x14ac:dyDescent="0.25">
      <c r="A5811" s="15">
        <f>Sheet1!A5811</f>
        <v>0</v>
      </c>
      <c r="B5811">
        <f>Sheet1!B5811</f>
        <v>0</v>
      </c>
      <c r="C5811">
        <f>IF(Sheet1!B5811&gt;0,1,0)</f>
        <v>0</v>
      </c>
    </row>
    <row r="5812" spans="1:3" x14ac:dyDescent="0.25">
      <c r="A5812" s="15">
        <f>Sheet1!A5812</f>
        <v>0</v>
      </c>
      <c r="B5812">
        <f>Sheet1!B5812</f>
        <v>0</v>
      </c>
      <c r="C5812">
        <f>IF(Sheet1!B5812&gt;0,1,0)</f>
        <v>0</v>
      </c>
    </row>
    <row r="5813" spans="1:3" x14ac:dyDescent="0.25">
      <c r="A5813" s="15">
        <f>Sheet1!A5813</f>
        <v>0</v>
      </c>
      <c r="B5813">
        <f>Sheet1!B5813</f>
        <v>0</v>
      </c>
      <c r="C5813">
        <f>IF(Sheet1!B5813&gt;0,1,0)</f>
        <v>0</v>
      </c>
    </row>
    <row r="5814" spans="1:3" x14ac:dyDescent="0.25">
      <c r="A5814" s="15">
        <f>Sheet1!A5814</f>
        <v>0</v>
      </c>
      <c r="B5814">
        <f>Sheet1!B5814</f>
        <v>12.89</v>
      </c>
      <c r="C5814">
        <f>IF(Sheet1!B5814&gt;0,1,0)</f>
        <v>1</v>
      </c>
    </row>
    <row r="5815" spans="1:3" x14ac:dyDescent="0.25">
      <c r="A5815" s="15">
        <f>Sheet1!A5815</f>
        <v>0</v>
      </c>
      <c r="B5815">
        <f>Sheet1!B5815</f>
        <v>0</v>
      </c>
      <c r="C5815">
        <f>IF(Sheet1!B5815&gt;0,1,0)</f>
        <v>0</v>
      </c>
    </row>
    <row r="5816" spans="1:3" x14ac:dyDescent="0.25">
      <c r="A5816" s="15">
        <f>Sheet1!A5816</f>
        <v>0</v>
      </c>
      <c r="B5816">
        <f>Sheet1!B5816</f>
        <v>0</v>
      </c>
      <c r="C5816">
        <f>IF(Sheet1!B5816&gt;0,1,0)</f>
        <v>0</v>
      </c>
    </row>
    <row r="5817" spans="1:3" x14ac:dyDescent="0.25">
      <c r="A5817" s="15">
        <f>Sheet1!A5817</f>
        <v>0</v>
      </c>
      <c r="B5817">
        <f>Sheet1!B5817</f>
        <v>0</v>
      </c>
      <c r="C5817">
        <f>IF(Sheet1!B5817&gt;0,1,0)</f>
        <v>0</v>
      </c>
    </row>
    <row r="5818" spans="1:3" x14ac:dyDescent="0.25">
      <c r="A5818" s="15">
        <f>Sheet1!A5818</f>
        <v>0</v>
      </c>
      <c r="B5818">
        <f>Sheet1!B5818</f>
        <v>16.11</v>
      </c>
      <c r="C5818">
        <f>IF(Sheet1!B5818&gt;0,1,0)</f>
        <v>1</v>
      </c>
    </row>
    <row r="5819" spans="1:3" x14ac:dyDescent="0.25">
      <c r="A5819" s="15">
        <f>Sheet1!A5819</f>
        <v>0</v>
      </c>
      <c r="B5819">
        <f>Sheet1!B5819</f>
        <v>0</v>
      </c>
      <c r="C5819">
        <f>IF(Sheet1!B5819&gt;0,1,0)</f>
        <v>0</v>
      </c>
    </row>
    <row r="5820" spans="1:3" x14ac:dyDescent="0.25">
      <c r="A5820" s="15">
        <f>Sheet1!A5820</f>
        <v>0</v>
      </c>
      <c r="B5820">
        <f>Sheet1!B5820</f>
        <v>0</v>
      </c>
      <c r="C5820">
        <f>IF(Sheet1!B5820&gt;0,1,0)</f>
        <v>0</v>
      </c>
    </row>
    <row r="5821" spans="1:3" x14ac:dyDescent="0.25">
      <c r="A5821" s="15">
        <f>Sheet1!A5821</f>
        <v>0</v>
      </c>
      <c r="B5821">
        <f>Sheet1!B5821</f>
        <v>0</v>
      </c>
      <c r="C5821">
        <f>IF(Sheet1!B5821&gt;0,1,0)</f>
        <v>0</v>
      </c>
    </row>
    <row r="5822" spans="1:3" x14ac:dyDescent="0.25">
      <c r="A5822" s="15">
        <f>Sheet1!A5822</f>
        <v>0</v>
      </c>
      <c r="B5822">
        <f>Sheet1!B5822</f>
        <v>15.88</v>
      </c>
      <c r="C5822">
        <f>IF(Sheet1!B5822&gt;0,1,0)</f>
        <v>1</v>
      </c>
    </row>
    <row r="5823" spans="1:3" x14ac:dyDescent="0.25">
      <c r="A5823" s="15">
        <f>Sheet1!A5823</f>
        <v>0</v>
      </c>
      <c r="B5823">
        <f>Sheet1!B5823</f>
        <v>0</v>
      </c>
      <c r="C5823">
        <f>IF(Sheet1!B5823&gt;0,1,0)</f>
        <v>0</v>
      </c>
    </row>
    <row r="5824" spans="1:3" x14ac:dyDescent="0.25">
      <c r="A5824" s="15">
        <f>Sheet1!A5824</f>
        <v>0</v>
      </c>
      <c r="B5824">
        <f>Sheet1!B5824</f>
        <v>0</v>
      </c>
      <c r="C5824">
        <f>IF(Sheet1!B5824&gt;0,1,0)</f>
        <v>0</v>
      </c>
    </row>
    <row r="5825" spans="1:3" x14ac:dyDescent="0.25">
      <c r="A5825" s="15">
        <f>Sheet1!A5825</f>
        <v>0</v>
      </c>
      <c r="B5825">
        <f>Sheet1!B5825</f>
        <v>0</v>
      </c>
      <c r="C5825">
        <f>IF(Sheet1!B5825&gt;0,1,0)</f>
        <v>0</v>
      </c>
    </row>
    <row r="5826" spans="1:3" x14ac:dyDescent="0.25">
      <c r="A5826" s="15">
        <f>Sheet1!A5826</f>
        <v>0</v>
      </c>
      <c r="B5826">
        <f>Sheet1!B5826</f>
        <v>0</v>
      </c>
      <c r="C5826">
        <f>IF(Sheet1!B5826&gt;0,1,0)</f>
        <v>0</v>
      </c>
    </row>
    <row r="5827" spans="1:3" x14ac:dyDescent="0.25">
      <c r="A5827" s="15">
        <f>Sheet1!A5827</f>
        <v>0</v>
      </c>
      <c r="B5827">
        <f>Sheet1!B5827</f>
        <v>0</v>
      </c>
      <c r="C5827">
        <f>IF(Sheet1!B5827&gt;0,1,0)</f>
        <v>0</v>
      </c>
    </row>
    <row r="5828" spans="1:3" x14ac:dyDescent="0.25">
      <c r="A5828" s="15">
        <f>Sheet1!A5828</f>
        <v>0</v>
      </c>
      <c r="B5828">
        <f>Sheet1!B5828</f>
        <v>14.61</v>
      </c>
      <c r="C5828">
        <f>IF(Sheet1!B5828&gt;0,1,0)</f>
        <v>1</v>
      </c>
    </row>
    <row r="5829" spans="1:3" x14ac:dyDescent="0.25">
      <c r="A5829" s="15">
        <f>Sheet1!A5829</f>
        <v>0</v>
      </c>
      <c r="B5829">
        <f>Sheet1!B5829</f>
        <v>0</v>
      </c>
      <c r="C5829">
        <f>IF(Sheet1!B5829&gt;0,1,0)</f>
        <v>0</v>
      </c>
    </row>
    <row r="5830" spans="1:3" x14ac:dyDescent="0.25">
      <c r="A5830" s="15">
        <f>Sheet1!A5830</f>
        <v>0</v>
      </c>
      <c r="B5830">
        <f>Sheet1!B5830</f>
        <v>0</v>
      </c>
      <c r="C5830">
        <f>IF(Sheet1!B5830&gt;0,1,0)</f>
        <v>0</v>
      </c>
    </row>
    <row r="5831" spans="1:3" x14ac:dyDescent="0.25">
      <c r="A5831" s="15">
        <f>Sheet1!A5831</f>
        <v>0</v>
      </c>
      <c r="B5831">
        <f>Sheet1!B5831</f>
        <v>0</v>
      </c>
      <c r="C5831">
        <f>IF(Sheet1!B5831&gt;0,1,0)</f>
        <v>0</v>
      </c>
    </row>
    <row r="5832" spans="1:3" x14ac:dyDescent="0.25">
      <c r="A5832" s="15">
        <f>Sheet1!A5832</f>
        <v>0</v>
      </c>
      <c r="B5832">
        <f>Sheet1!B5832</f>
        <v>0</v>
      </c>
      <c r="C5832">
        <f>IF(Sheet1!B5832&gt;0,1,0)</f>
        <v>0</v>
      </c>
    </row>
    <row r="5833" spans="1:3" x14ac:dyDescent="0.25">
      <c r="A5833" s="15">
        <f>Sheet1!A5833</f>
        <v>0</v>
      </c>
      <c r="B5833">
        <f>Sheet1!B5833</f>
        <v>0</v>
      </c>
      <c r="C5833">
        <f>IF(Sheet1!B5833&gt;0,1,0)</f>
        <v>0</v>
      </c>
    </row>
    <row r="5834" spans="1:3" x14ac:dyDescent="0.25">
      <c r="A5834" s="15">
        <f>Sheet1!A5834</f>
        <v>0</v>
      </c>
      <c r="B5834">
        <f>Sheet1!B5834</f>
        <v>0</v>
      </c>
      <c r="C5834">
        <f>IF(Sheet1!B5834&gt;0,1,0)</f>
        <v>0</v>
      </c>
    </row>
    <row r="5835" spans="1:3" x14ac:dyDescent="0.25">
      <c r="A5835" s="15">
        <f>Sheet1!A5835</f>
        <v>0</v>
      </c>
      <c r="B5835">
        <f>Sheet1!B5835</f>
        <v>0</v>
      </c>
      <c r="C5835">
        <f>IF(Sheet1!B5835&gt;0,1,0)</f>
        <v>0</v>
      </c>
    </row>
    <row r="5836" spans="1:3" x14ac:dyDescent="0.25">
      <c r="A5836" s="15">
        <f>Sheet1!A5836</f>
        <v>0</v>
      </c>
      <c r="B5836">
        <f>Sheet1!B5836</f>
        <v>0</v>
      </c>
      <c r="C5836">
        <f>IF(Sheet1!B5836&gt;0,1,0)</f>
        <v>0</v>
      </c>
    </row>
    <row r="5837" spans="1:3" x14ac:dyDescent="0.25">
      <c r="A5837" s="15">
        <f>Sheet1!A5837</f>
        <v>0</v>
      </c>
      <c r="B5837">
        <f>Sheet1!B5837</f>
        <v>0</v>
      </c>
      <c r="C5837">
        <f>IF(Sheet1!B5837&gt;0,1,0)</f>
        <v>0</v>
      </c>
    </row>
    <row r="5838" spans="1:3" x14ac:dyDescent="0.25">
      <c r="A5838" s="15">
        <f>Sheet1!A5838</f>
        <v>0</v>
      </c>
      <c r="B5838">
        <f>Sheet1!B5838</f>
        <v>0</v>
      </c>
      <c r="C5838">
        <f>IF(Sheet1!B5838&gt;0,1,0)</f>
        <v>0</v>
      </c>
    </row>
    <row r="5839" spans="1:3" x14ac:dyDescent="0.25">
      <c r="A5839" s="15">
        <f>Sheet1!A5839</f>
        <v>0</v>
      </c>
      <c r="B5839">
        <f>Sheet1!B5839</f>
        <v>2.75</v>
      </c>
      <c r="C5839">
        <f>IF(Sheet1!B5839&gt;0,1,0)</f>
        <v>1</v>
      </c>
    </row>
    <row r="5840" spans="1:3" x14ac:dyDescent="0.25">
      <c r="A5840" s="15">
        <f>Sheet1!A5840</f>
        <v>0</v>
      </c>
      <c r="B5840">
        <f>Sheet1!B5840</f>
        <v>0</v>
      </c>
      <c r="C5840">
        <f>IF(Sheet1!B5840&gt;0,1,0)</f>
        <v>0</v>
      </c>
    </row>
    <row r="5841" spans="1:3" x14ac:dyDescent="0.25">
      <c r="A5841" s="15">
        <f>Sheet1!A5841</f>
        <v>0</v>
      </c>
      <c r="B5841">
        <f>Sheet1!B5841</f>
        <v>0</v>
      </c>
      <c r="C5841">
        <f>IF(Sheet1!B5841&gt;0,1,0)</f>
        <v>0</v>
      </c>
    </row>
    <row r="5842" spans="1:3" x14ac:dyDescent="0.25">
      <c r="A5842" s="15">
        <f>Sheet1!A5842</f>
        <v>0</v>
      </c>
      <c r="B5842">
        <f>Sheet1!B5842</f>
        <v>0</v>
      </c>
      <c r="C5842">
        <f>IF(Sheet1!B5842&gt;0,1,0)</f>
        <v>0</v>
      </c>
    </row>
    <row r="5843" spans="1:3" x14ac:dyDescent="0.25">
      <c r="A5843" s="15">
        <f>Sheet1!A5843</f>
        <v>0</v>
      </c>
      <c r="B5843">
        <f>Sheet1!B5843</f>
        <v>0</v>
      </c>
      <c r="C5843">
        <f>IF(Sheet1!B5843&gt;0,1,0)</f>
        <v>0</v>
      </c>
    </row>
    <row r="5844" spans="1:3" x14ac:dyDescent="0.25">
      <c r="A5844" s="15">
        <f>Sheet1!A5844</f>
        <v>0</v>
      </c>
      <c r="B5844">
        <f>Sheet1!B5844</f>
        <v>19.899999999999999</v>
      </c>
      <c r="C5844">
        <f>IF(Sheet1!B5844&gt;0,1,0)</f>
        <v>1</v>
      </c>
    </row>
    <row r="5845" spans="1:3" x14ac:dyDescent="0.25">
      <c r="A5845" s="15">
        <f>Sheet1!A5845</f>
        <v>0</v>
      </c>
      <c r="B5845">
        <f>Sheet1!B5845</f>
        <v>0</v>
      </c>
      <c r="C5845">
        <f>IF(Sheet1!B5845&gt;0,1,0)</f>
        <v>0</v>
      </c>
    </row>
    <row r="5846" spans="1:3" x14ac:dyDescent="0.25">
      <c r="A5846" s="15">
        <f>Sheet1!A5846</f>
        <v>0</v>
      </c>
      <c r="B5846">
        <f>Sheet1!B5846</f>
        <v>0</v>
      </c>
      <c r="C5846">
        <f>IF(Sheet1!B5846&gt;0,1,0)</f>
        <v>0</v>
      </c>
    </row>
    <row r="5847" spans="1:3" x14ac:dyDescent="0.25">
      <c r="A5847" s="15">
        <f>Sheet1!A5847</f>
        <v>0</v>
      </c>
      <c r="B5847">
        <f>Sheet1!B5847</f>
        <v>0</v>
      </c>
      <c r="C5847">
        <f>IF(Sheet1!B5847&gt;0,1,0)</f>
        <v>0</v>
      </c>
    </row>
    <row r="5848" spans="1:3" x14ac:dyDescent="0.25">
      <c r="A5848" s="15">
        <f>Sheet1!A5848</f>
        <v>0</v>
      </c>
      <c r="B5848">
        <f>Sheet1!B5848</f>
        <v>16.48</v>
      </c>
      <c r="C5848">
        <f>IF(Sheet1!B5848&gt;0,1,0)</f>
        <v>1</v>
      </c>
    </row>
    <row r="5849" spans="1:3" x14ac:dyDescent="0.25">
      <c r="A5849" s="15">
        <f>Sheet1!A5849</f>
        <v>0</v>
      </c>
      <c r="B5849">
        <f>Sheet1!B5849</f>
        <v>0</v>
      </c>
      <c r="C5849">
        <f>IF(Sheet1!B5849&gt;0,1,0)</f>
        <v>0</v>
      </c>
    </row>
    <row r="5850" spans="1:3" x14ac:dyDescent="0.25">
      <c r="A5850" s="15">
        <f>Sheet1!A5850</f>
        <v>0</v>
      </c>
      <c r="B5850">
        <f>Sheet1!B5850</f>
        <v>0</v>
      </c>
      <c r="C5850">
        <f>IF(Sheet1!B5850&gt;0,1,0)</f>
        <v>0</v>
      </c>
    </row>
    <row r="5851" spans="1:3" x14ac:dyDescent="0.25">
      <c r="A5851" s="15">
        <f>Sheet1!A5851</f>
        <v>0</v>
      </c>
      <c r="B5851">
        <f>Sheet1!B5851</f>
        <v>0</v>
      </c>
      <c r="C5851">
        <f>IF(Sheet1!B5851&gt;0,1,0)</f>
        <v>0</v>
      </c>
    </row>
    <row r="5852" spans="1:3" x14ac:dyDescent="0.25">
      <c r="A5852" s="15">
        <f>Sheet1!A5852</f>
        <v>0</v>
      </c>
      <c r="B5852">
        <f>Sheet1!B5852</f>
        <v>14.16</v>
      </c>
      <c r="C5852">
        <f>IF(Sheet1!B5852&gt;0,1,0)</f>
        <v>1</v>
      </c>
    </row>
    <row r="5853" spans="1:3" x14ac:dyDescent="0.25">
      <c r="A5853" s="15">
        <f>Sheet1!A5853</f>
        <v>0</v>
      </c>
      <c r="B5853">
        <f>Sheet1!B5853</f>
        <v>0</v>
      </c>
      <c r="C5853">
        <f>IF(Sheet1!B5853&gt;0,1,0)</f>
        <v>0</v>
      </c>
    </row>
    <row r="5854" spans="1:3" x14ac:dyDescent="0.25">
      <c r="A5854" s="15">
        <f>Sheet1!A5854</f>
        <v>0</v>
      </c>
      <c r="B5854">
        <f>Sheet1!B5854</f>
        <v>0</v>
      </c>
      <c r="C5854">
        <f>IF(Sheet1!B5854&gt;0,1,0)</f>
        <v>0</v>
      </c>
    </row>
    <row r="5855" spans="1:3" x14ac:dyDescent="0.25">
      <c r="A5855" s="15">
        <f>Sheet1!A5855</f>
        <v>0</v>
      </c>
      <c r="B5855">
        <f>Sheet1!B5855</f>
        <v>0</v>
      </c>
      <c r="C5855">
        <f>IF(Sheet1!B5855&gt;0,1,0)</f>
        <v>0</v>
      </c>
    </row>
    <row r="5856" spans="1:3" x14ac:dyDescent="0.25">
      <c r="A5856" s="15">
        <f>Sheet1!A5856</f>
        <v>0</v>
      </c>
      <c r="B5856">
        <f>Sheet1!B5856</f>
        <v>13.86</v>
      </c>
      <c r="C5856">
        <f>IF(Sheet1!B5856&gt;0,1,0)</f>
        <v>1</v>
      </c>
    </row>
    <row r="5857" spans="1:3" x14ac:dyDescent="0.25">
      <c r="A5857" s="15">
        <f>Sheet1!A5857</f>
        <v>0</v>
      </c>
      <c r="B5857">
        <f>Sheet1!B5857</f>
        <v>0</v>
      </c>
      <c r="C5857">
        <f>IF(Sheet1!B5857&gt;0,1,0)</f>
        <v>0</v>
      </c>
    </row>
    <row r="5858" spans="1:3" x14ac:dyDescent="0.25">
      <c r="A5858" s="15">
        <f>Sheet1!A5858</f>
        <v>0</v>
      </c>
      <c r="B5858">
        <f>Sheet1!B5858</f>
        <v>0</v>
      </c>
      <c r="C5858">
        <f>IF(Sheet1!B5858&gt;0,1,0)</f>
        <v>0</v>
      </c>
    </row>
    <row r="5859" spans="1:3" x14ac:dyDescent="0.25">
      <c r="A5859" s="15">
        <f>Sheet1!A5859</f>
        <v>0</v>
      </c>
      <c r="B5859">
        <f>Sheet1!B5859</f>
        <v>7.46</v>
      </c>
      <c r="C5859">
        <f>IF(Sheet1!B5859&gt;0,1,0)</f>
        <v>1</v>
      </c>
    </row>
    <row r="5860" spans="1:3" x14ac:dyDescent="0.25">
      <c r="A5860" s="15">
        <f>Sheet1!A5860</f>
        <v>0</v>
      </c>
      <c r="B5860">
        <f>Sheet1!B5860</f>
        <v>11.52</v>
      </c>
      <c r="C5860">
        <f>IF(Sheet1!B5860&gt;0,1,0)</f>
        <v>1</v>
      </c>
    </row>
    <row r="5861" spans="1:3" x14ac:dyDescent="0.25">
      <c r="A5861" s="15">
        <f>Sheet1!A5861</f>
        <v>0</v>
      </c>
      <c r="B5861">
        <f>Sheet1!B5861</f>
        <v>0</v>
      </c>
      <c r="C5861">
        <f>IF(Sheet1!B5861&gt;0,1,0)</f>
        <v>0</v>
      </c>
    </row>
    <row r="5862" spans="1:3" x14ac:dyDescent="0.25">
      <c r="A5862" s="15">
        <f>Sheet1!A5862</f>
        <v>0</v>
      </c>
      <c r="B5862">
        <f>Sheet1!B5862</f>
        <v>0</v>
      </c>
      <c r="C5862">
        <f>IF(Sheet1!B5862&gt;0,1,0)</f>
        <v>0</v>
      </c>
    </row>
    <row r="5863" spans="1:3" x14ac:dyDescent="0.25">
      <c r="A5863" s="15">
        <f>Sheet1!A5863</f>
        <v>0</v>
      </c>
      <c r="B5863">
        <f>Sheet1!B5863</f>
        <v>0</v>
      </c>
      <c r="C5863">
        <f>IF(Sheet1!B5863&gt;0,1,0)</f>
        <v>0</v>
      </c>
    </row>
    <row r="5864" spans="1:3" x14ac:dyDescent="0.25">
      <c r="A5864" s="15">
        <f>Sheet1!A5864</f>
        <v>0</v>
      </c>
      <c r="B5864">
        <f>Sheet1!B5864</f>
        <v>0</v>
      </c>
      <c r="C5864">
        <f>IF(Sheet1!B5864&gt;0,1,0)</f>
        <v>0</v>
      </c>
    </row>
    <row r="5865" spans="1:3" x14ac:dyDescent="0.25">
      <c r="A5865" s="15">
        <f>Sheet1!A5865</f>
        <v>0</v>
      </c>
      <c r="B5865">
        <f>Sheet1!B5865</f>
        <v>0</v>
      </c>
      <c r="C5865">
        <f>IF(Sheet1!B5865&gt;0,1,0)</f>
        <v>0</v>
      </c>
    </row>
    <row r="5866" spans="1:3" x14ac:dyDescent="0.25">
      <c r="A5866" s="15">
        <f>Sheet1!A5866</f>
        <v>0</v>
      </c>
      <c r="B5866">
        <f>Sheet1!B5866</f>
        <v>0</v>
      </c>
      <c r="C5866">
        <f>IF(Sheet1!B5866&gt;0,1,0)</f>
        <v>0</v>
      </c>
    </row>
    <row r="5867" spans="1:3" x14ac:dyDescent="0.25">
      <c r="A5867" s="15">
        <f>Sheet1!A5867</f>
        <v>0</v>
      </c>
      <c r="B5867">
        <f>Sheet1!B5867</f>
        <v>0</v>
      </c>
      <c r="C5867">
        <f>IF(Sheet1!B5867&gt;0,1,0)</f>
        <v>0</v>
      </c>
    </row>
    <row r="5868" spans="1:3" x14ac:dyDescent="0.25">
      <c r="A5868" s="15">
        <f>Sheet1!A5868</f>
        <v>0</v>
      </c>
      <c r="B5868">
        <f>Sheet1!B5868</f>
        <v>0</v>
      </c>
      <c r="C5868">
        <f>IF(Sheet1!B5868&gt;0,1,0)</f>
        <v>0</v>
      </c>
    </row>
    <row r="5869" spans="1:3" x14ac:dyDescent="0.25">
      <c r="A5869" s="15">
        <f>Sheet1!A5869</f>
        <v>0</v>
      </c>
      <c r="B5869">
        <f>Sheet1!B5869</f>
        <v>0</v>
      </c>
      <c r="C5869">
        <f>IF(Sheet1!B5869&gt;0,1,0)</f>
        <v>0</v>
      </c>
    </row>
    <row r="5870" spans="1:3" x14ac:dyDescent="0.25">
      <c r="A5870" s="15">
        <f>Sheet1!A5870</f>
        <v>0</v>
      </c>
      <c r="B5870">
        <f>Sheet1!B5870</f>
        <v>0</v>
      </c>
      <c r="C5870">
        <f>IF(Sheet1!B5870&gt;0,1,0)</f>
        <v>0</v>
      </c>
    </row>
    <row r="5871" spans="1:3" x14ac:dyDescent="0.25">
      <c r="A5871" s="15">
        <f>Sheet1!A5871</f>
        <v>0</v>
      </c>
      <c r="B5871">
        <f>Sheet1!B5871</f>
        <v>20.57</v>
      </c>
      <c r="C5871">
        <f>IF(Sheet1!B5871&gt;0,1,0)</f>
        <v>1</v>
      </c>
    </row>
    <row r="5872" spans="1:3" x14ac:dyDescent="0.25">
      <c r="A5872" s="15">
        <f>Sheet1!A5872</f>
        <v>0</v>
      </c>
      <c r="B5872">
        <f>Sheet1!B5872</f>
        <v>0</v>
      </c>
      <c r="C5872">
        <f>IF(Sheet1!B5872&gt;0,1,0)</f>
        <v>0</v>
      </c>
    </row>
    <row r="5873" spans="1:3" x14ac:dyDescent="0.25">
      <c r="A5873" s="15">
        <f>Sheet1!A5873</f>
        <v>0</v>
      </c>
      <c r="B5873">
        <f>Sheet1!B5873</f>
        <v>0</v>
      </c>
      <c r="C5873">
        <f>IF(Sheet1!B5873&gt;0,1,0)</f>
        <v>0</v>
      </c>
    </row>
    <row r="5874" spans="1:3" x14ac:dyDescent="0.25">
      <c r="A5874" s="15">
        <f>Sheet1!A5874</f>
        <v>0</v>
      </c>
      <c r="B5874">
        <f>Sheet1!B5874</f>
        <v>0</v>
      </c>
      <c r="C5874">
        <f>IF(Sheet1!B5874&gt;0,1,0)</f>
        <v>0</v>
      </c>
    </row>
    <row r="5875" spans="1:3" x14ac:dyDescent="0.25">
      <c r="A5875" s="15">
        <f>Sheet1!A5875</f>
        <v>0</v>
      </c>
      <c r="B5875">
        <f>Sheet1!B5875</f>
        <v>0</v>
      </c>
      <c r="C5875">
        <f>IF(Sheet1!B5875&gt;0,1,0)</f>
        <v>0</v>
      </c>
    </row>
    <row r="5876" spans="1:3" x14ac:dyDescent="0.25">
      <c r="A5876" s="15">
        <f>Sheet1!A5876</f>
        <v>0</v>
      </c>
      <c r="B5876">
        <f>Sheet1!B5876</f>
        <v>11.1</v>
      </c>
      <c r="C5876">
        <f>IF(Sheet1!B5876&gt;0,1,0)</f>
        <v>1</v>
      </c>
    </row>
    <row r="5877" spans="1:3" x14ac:dyDescent="0.25">
      <c r="A5877" s="15">
        <f>Sheet1!A5877</f>
        <v>0</v>
      </c>
      <c r="B5877">
        <f>Sheet1!B5877</f>
        <v>0</v>
      </c>
      <c r="C5877">
        <f>IF(Sheet1!B5877&gt;0,1,0)</f>
        <v>0</v>
      </c>
    </row>
    <row r="5878" spans="1:3" x14ac:dyDescent="0.25">
      <c r="A5878" s="15">
        <f>Sheet1!A5878</f>
        <v>0</v>
      </c>
      <c r="B5878">
        <f>Sheet1!B5878</f>
        <v>0</v>
      </c>
      <c r="C5878">
        <f>IF(Sheet1!B5878&gt;0,1,0)</f>
        <v>0</v>
      </c>
    </row>
    <row r="5879" spans="1:3" x14ac:dyDescent="0.25">
      <c r="A5879" s="15">
        <f>Sheet1!A5879</f>
        <v>0</v>
      </c>
      <c r="B5879">
        <f>Sheet1!B5879</f>
        <v>0</v>
      </c>
      <c r="C5879">
        <f>IF(Sheet1!B5879&gt;0,1,0)</f>
        <v>0</v>
      </c>
    </row>
    <row r="5880" spans="1:3" x14ac:dyDescent="0.25">
      <c r="A5880" s="15">
        <f>Sheet1!A5880</f>
        <v>0</v>
      </c>
      <c r="B5880">
        <f>Sheet1!B5880</f>
        <v>14.02</v>
      </c>
      <c r="C5880">
        <f>IF(Sheet1!B5880&gt;0,1,0)</f>
        <v>1</v>
      </c>
    </row>
    <row r="5881" spans="1:3" x14ac:dyDescent="0.25">
      <c r="A5881" s="15">
        <f>Sheet1!A5881</f>
        <v>0</v>
      </c>
      <c r="B5881">
        <f>Sheet1!B5881</f>
        <v>0</v>
      </c>
      <c r="C5881">
        <f>IF(Sheet1!B5881&gt;0,1,0)</f>
        <v>0</v>
      </c>
    </row>
    <row r="5882" spans="1:3" x14ac:dyDescent="0.25">
      <c r="A5882" s="15">
        <f>Sheet1!A5882</f>
        <v>0</v>
      </c>
      <c r="B5882">
        <f>Sheet1!B5882</f>
        <v>0</v>
      </c>
      <c r="C5882">
        <f>IF(Sheet1!B5882&gt;0,1,0)</f>
        <v>0</v>
      </c>
    </row>
    <row r="5883" spans="1:3" x14ac:dyDescent="0.25">
      <c r="A5883" s="15">
        <f>Sheet1!A5883</f>
        <v>0</v>
      </c>
      <c r="B5883">
        <f>Sheet1!B5883</f>
        <v>0</v>
      </c>
      <c r="C5883">
        <f>IF(Sheet1!B5883&gt;0,1,0)</f>
        <v>0</v>
      </c>
    </row>
    <row r="5884" spans="1:3" x14ac:dyDescent="0.25">
      <c r="A5884" s="15">
        <f>Sheet1!A5884</f>
        <v>0</v>
      </c>
      <c r="B5884">
        <f>Sheet1!B5884</f>
        <v>12.08</v>
      </c>
      <c r="C5884">
        <f>IF(Sheet1!B5884&gt;0,1,0)</f>
        <v>1</v>
      </c>
    </row>
    <row r="5885" spans="1:3" x14ac:dyDescent="0.25">
      <c r="A5885" s="15">
        <f>Sheet1!A5885</f>
        <v>0</v>
      </c>
      <c r="B5885">
        <f>Sheet1!B5885</f>
        <v>0</v>
      </c>
      <c r="C5885">
        <f>IF(Sheet1!B5885&gt;0,1,0)</f>
        <v>0</v>
      </c>
    </row>
    <row r="5886" spans="1:3" x14ac:dyDescent="0.25">
      <c r="A5886" s="15">
        <f>Sheet1!A5886</f>
        <v>0</v>
      </c>
      <c r="B5886">
        <f>Sheet1!B5886</f>
        <v>0</v>
      </c>
      <c r="C5886">
        <f>IF(Sheet1!B5886&gt;0,1,0)</f>
        <v>0</v>
      </c>
    </row>
    <row r="5887" spans="1:3" x14ac:dyDescent="0.25">
      <c r="A5887" s="15">
        <f>Sheet1!A5887</f>
        <v>0</v>
      </c>
      <c r="B5887">
        <f>Sheet1!B5887</f>
        <v>3.92</v>
      </c>
      <c r="C5887">
        <f>IF(Sheet1!B5887&gt;0,1,0)</f>
        <v>1</v>
      </c>
    </row>
    <row r="5888" spans="1:3" x14ac:dyDescent="0.25">
      <c r="A5888" s="15">
        <f>Sheet1!A5888</f>
        <v>0</v>
      </c>
      <c r="B5888">
        <f>Sheet1!B5888</f>
        <v>6.1</v>
      </c>
      <c r="C5888">
        <f>IF(Sheet1!B5888&gt;0,1,0)</f>
        <v>1</v>
      </c>
    </row>
    <row r="5889" spans="1:3" x14ac:dyDescent="0.25">
      <c r="A5889" s="15">
        <f>Sheet1!A5889</f>
        <v>0</v>
      </c>
      <c r="B5889">
        <f>Sheet1!B5889</f>
        <v>0</v>
      </c>
      <c r="C5889">
        <f>IF(Sheet1!B5889&gt;0,1,0)</f>
        <v>0</v>
      </c>
    </row>
    <row r="5890" spans="1:3" x14ac:dyDescent="0.25">
      <c r="A5890" s="15">
        <f>Sheet1!A5890</f>
        <v>0</v>
      </c>
      <c r="B5890">
        <f>Sheet1!B5890</f>
        <v>0</v>
      </c>
      <c r="C5890">
        <f>IF(Sheet1!B5890&gt;0,1,0)</f>
        <v>0</v>
      </c>
    </row>
    <row r="5891" spans="1:3" x14ac:dyDescent="0.25">
      <c r="A5891" s="15">
        <f>Sheet1!A5891</f>
        <v>0</v>
      </c>
      <c r="B5891">
        <f>Sheet1!B5891</f>
        <v>0</v>
      </c>
      <c r="C5891">
        <f>IF(Sheet1!B5891&gt;0,1,0)</f>
        <v>0</v>
      </c>
    </row>
    <row r="5892" spans="1:3" x14ac:dyDescent="0.25">
      <c r="A5892" s="15">
        <f>Sheet1!A5892</f>
        <v>0</v>
      </c>
      <c r="B5892">
        <f>Sheet1!B5892</f>
        <v>15.38</v>
      </c>
      <c r="C5892">
        <f>IF(Sheet1!B5892&gt;0,1,0)</f>
        <v>1</v>
      </c>
    </row>
    <row r="5893" spans="1:3" x14ac:dyDescent="0.25">
      <c r="A5893" s="15">
        <f>Sheet1!A5893</f>
        <v>0</v>
      </c>
      <c r="B5893">
        <f>Sheet1!B5893</f>
        <v>0</v>
      </c>
      <c r="C5893">
        <f>IF(Sheet1!B5893&gt;0,1,0)</f>
        <v>0</v>
      </c>
    </row>
    <row r="5894" spans="1:3" x14ac:dyDescent="0.25">
      <c r="A5894" s="15">
        <f>Sheet1!A5894</f>
        <v>0</v>
      </c>
      <c r="B5894">
        <f>Sheet1!B5894</f>
        <v>0</v>
      </c>
      <c r="C5894">
        <f>IF(Sheet1!B5894&gt;0,1,0)</f>
        <v>0</v>
      </c>
    </row>
    <row r="5895" spans="1:3" x14ac:dyDescent="0.25">
      <c r="A5895" s="15">
        <f>Sheet1!A5895</f>
        <v>0</v>
      </c>
      <c r="B5895">
        <f>Sheet1!B5895</f>
        <v>0</v>
      </c>
      <c r="C5895">
        <f>IF(Sheet1!B5895&gt;0,1,0)</f>
        <v>0</v>
      </c>
    </row>
    <row r="5896" spans="1:3" x14ac:dyDescent="0.25">
      <c r="A5896" s="15">
        <f>Sheet1!A5896</f>
        <v>0</v>
      </c>
      <c r="B5896">
        <f>Sheet1!B5896</f>
        <v>0</v>
      </c>
      <c r="C5896">
        <f>IF(Sheet1!B5896&gt;0,1,0)</f>
        <v>0</v>
      </c>
    </row>
    <row r="5897" spans="1:3" x14ac:dyDescent="0.25">
      <c r="A5897" s="15">
        <f>Sheet1!A5897</f>
        <v>0</v>
      </c>
      <c r="B5897">
        <f>Sheet1!B5897</f>
        <v>18.77</v>
      </c>
      <c r="C5897">
        <f>IF(Sheet1!B5897&gt;0,1,0)</f>
        <v>1</v>
      </c>
    </row>
    <row r="5898" spans="1:3" x14ac:dyDescent="0.25">
      <c r="A5898" s="15">
        <f>Sheet1!A5898</f>
        <v>0</v>
      </c>
      <c r="B5898">
        <f>Sheet1!B5898</f>
        <v>0</v>
      </c>
      <c r="C5898">
        <f>IF(Sheet1!B5898&gt;0,1,0)</f>
        <v>0</v>
      </c>
    </row>
    <row r="5899" spans="1:3" x14ac:dyDescent="0.25">
      <c r="A5899" s="15">
        <f>Sheet1!A5899</f>
        <v>0</v>
      </c>
      <c r="B5899">
        <f>Sheet1!B5899</f>
        <v>0</v>
      </c>
      <c r="C5899">
        <f>IF(Sheet1!B5899&gt;0,1,0)</f>
        <v>0</v>
      </c>
    </row>
    <row r="5900" spans="1:3" x14ac:dyDescent="0.25">
      <c r="A5900" s="15">
        <f>Sheet1!A5900</f>
        <v>0</v>
      </c>
      <c r="B5900">
        <f>Sheet1!B5900</f>
        <v>0</v>
      </c>
      <c r="C5900">
        <f>IF(Sheet1!B5900&gt;0,1,0)</f>
        <v>0</v>
      </c>
    </row>
    <row r="5901" spans="1:3" x14ac:dyDescent="0.25">
      <c r="A5901" s="15">
        <f>Sheet1!A5901</f>
        <v>0</v>
      </c>
      <c r="B5901">
        <f>Sheet1!B5901</f>
        <v>0</v>
      </c>
      <c r="C5901">
        <f>IF(Sheet1!B5901&gt;0,1,0)</f>
        <v>0</v>
      </c>
    </row>
    <row r="5902" spans="1:3" x14ac:dyDescent="0.25">
      <c r="A5902" s="15">
        <f>Sheet1!A5902</f>
        <v>0</v>
      </c>
      <c r="B5902">
        <f>Sheet1!B5902</f>
        <v>0</v>
      </c>
      <c r="C5902">
        <f>IF(Sheet1!B5902&gt;0,1,0)</f>
        <v>0</v>
      </c>
    </row>
    <row r="5903" spans="1:3" x14ac:dyDescent="0.25">
      <c r="A5903" s="15">
        <f>Sheet1!A5903</f>
        <v>0</v>
      </c>
      <c r="B5903">
        <f>Sheet1!B5903</f>
        <v>0</v>
      </c>
      <c r="C5903">
        <f>IF(Sheet1!B5903&gt;0,1,0)</f>
        <v>0</v>
      </c>
    </row>
    <row r="5904" spans="1:3" x14ac:dyDescent="0.25">
      <c r="A5904" s="15">
        <f>Sheet1!A5904</f>
        <v>0</v>
      </c>
      <c r="B5904">
        <f>Sheet1!B5904</f>
        <v>15.72</v>
      </c>
      <c r="C5904">
        <f>IF(Sheet1!B5904&gt;0,1,0)</f>
        <v>1</v>
      </c>
    </row>
    <row r="5905" spans="1:3" x14ac:dyDescent="0.25">
      <c r="A5905" s="15">
        <f>Sheet1!A5905</f>
        <v>0</v>
      </c>
      <c r="B5905">
        <f>Sheet1!B5905</f>
        <v>0</v>
      </c>
      <c r="C5905">
        <f>IF(Sheet1!B5905&gt;0,1,0)</f>
        <v>0</v>
      </c>
    </row>
    <row r="5906" spans="1:3" x14ac:dyDescent="0.25">
      <c r="A5906" s="15">
        <f>Sheet1!A5906</f>
        <v>0</v>
      </c>
      <c r="B5906">
        <f>Sheet1!B5906</f>
        <v>0</v>
      </c>
      <c r="C5906">
        <f>IF(Sheet1!B5906&gt;0,1,0)</f>
        <v>0</v>
      </c>
    </row>
    <row r="5907" spans="1:3" x14ac:dyDescent="0.25">
      <c r="A5907" s="15">
        <f>Sheet1!A5907</f>
        <v>0</v>
      </c>
      <c r="B5907">
        <f>Sheet1!B5907</f>
        <v>0</v>
      </c>
      <c r="C5907">
        <f>IF(Sheet1!B5907&gt;0,1,0)</f>
        <v>0</v>
      </c>
    </row>
    <row r="5908" spans="1:3" x14ac:dyDescent="0.25">
      <c r="A5908" s="15">
        <f>Sheet1!A5908</f>
        <v>0</v>
      </c>
      <c r="B5908">
        <f>Sheet1!B5908</f>
        <v>10.69</v>
      </c>
      <c r="C5908">
        <f>IF(Sheet1!B5908&gt;0,1,0)</f>
        <v>1</v>
      </c>
    </row>
    <row r="5909" spans="1:3" x14ac:dyDescent="0.25">
      <c r="A5909" s="15">
        <f>Sheet1!A5909</f>
        <v>0</v>
      </c>
      <c r="B5909">
        <f>Sheet1!B5909</f>
        <v>0</v>
      </c>
      <c r="C5909">
        <f>IF(Sheet1!B5909&gt;0,1,0)</f>
        <v>0</v>
      </c>
    </row>
    <row r="5910" spans="1:3" x14ac:dyDescent="0.25">
      <c r="A5910" s="15">
        <f>Sheet1!A5910</f>
        <v>0</v>
      </c>
      <c r="B5910">
        <f>Sheet1!B5910</f>
        <v>0</v>
      </c>
      <c r="C5910">
        <f>IF(Sheet1!B5910&gt;0,1,0)</f>
        <v>0</v>
      </c>
    </row>
    <row r="5911" spans="1:3" x14ac:dyDescent="0.25">
      <c r="A5911" s="15">
        <f>Sheet1!A5911</f>
        <v>0</v>
      </c>
      <c r="B5911">
        <f>Sheet1!B5911</f>
        <v>0</v>
      </c>
      <c r="C5911">
        <f>IF(Sheet1!B5911&gt;0,1,0)</f>
        <v>0</v>
      </c>
    </row>
    <row r="5912" spans="1:3" x14ac:dyDescent="0.25">
      <c r="A5912" s="15">
        <f>Sheet1!A5912</f>
        <v>0</v>
      </c>
      <c r="B5912">
        <f>Sheet1!B5912</f>
        <v>0</v>
      </c>
      <c r="C5912">
        <f>IF(Sheet1!B5912&gt;0,1,0)</f>
        <v>0</v>
      </c>
    </row>
    <row r="5913" spans="1:3" x14ac:dyDescent="0.25">
      <c r="A5913" s="15">
        <f>Sheet1!A5913</f>
        <v>0</v>
      </c>
      <c r="B5913">
        <f>Sheet1!B5913</f>
        <v>0</v>
      </c>
      <c r="C5913">
        <f>IF(Sheet1!B5913&gt;0,1,0)</f>
        <v>0</v>
      </c>
    </row>
    <row r="5914" spans="1:3" x14ac:dyDescent="0.25">
      <c r="A5914" s="15">
        <f>Sheet1!A5914</f>
        <v>0</v>
      </c>
      <c r="B5914">
        <f>Sheet1!B5914</f>
        <v>0</v>
      </c>
      <c r="C5914">
        <f>IF(Sheet1!B5914&gt;0,1,0)</f>
        <v>0</v>
      </c>
    </row>
    <row r="5915" spans="1:3" x14ac:dyDescent="0.25">
      <c r="A5915" s="15">
        <f>Sheet1!A5915</f>
        <v>0</v>
      </c>
      <c r="B5915">
        <f>Sheet1!B5915</f>
        <v>0</v>
      </c>
      <c r="C5915">
        <f>IF(Sheet1!B5915&gt;0,1,0)</f>
        <v>0</v>
      </c>
    </row>
    <row r="5916" spans="1:3" x14ac:dyDescent="0.25">
      <c r="A5916" s="15">
        <f>Sheet1!A5916</f>
        <v>0</v>
      </c>
      <c r="B5916">
        <f>Sheet1!B5916</f>
        <v>0</v>
      </c>
      <c r="C5916">
        <f>IF(Sheet1!B5916&gt;0,1,0)</f>
        <v>0</v>
      </c>
    </row>
    <row r="5917" spans="1:3" x14ac:dyDescent="0.25">
      <c r="A5917" s="15">
        <f>Sheet1!A5917</f>
        <v>0</v>
      </c>
      <c r="B5917">
        <f>Sheet1!B5917</f>
        <v>0</v>
      </c>
      <c r="C5917">
        <f>IF(Sheet1!B5917&gt;0,1,0)</f>
        <v>0</v>
      </c>
    </row>
    <row r="5918" spans="1:3" x14ac:dyDescent="0.25">
      <c r="A5918" s="15">
        <f>Sheet1!A5918</f>
        <v>0</v>
      </c>
      <c r="B5918">
        <f>Sheet1!B5918</f>
        <v>0</v>
      </c>
      <c r="C5918">
        <f>IF(Sheet1!B5918&gt;0,1,0)</f>
        <v>0</v>
      </c>
    </row>
    <row r="5919" spans="1:3" x14ac:dyDescent="0.25">
      <c r="A5919" s="15">
        <f>Sheet1!A5919</f>
        <v>0</v>
      </c>
      <c r="B5919">
        <f>Sheet1!B5919</f>
        <v>0</v>
      </c>
      <c r="C5919">
        <f>IF(Sheet1!B5919&gt;0,1,0)</f>
        <v>0</v>
      </c>
    </row>
    <row r="5920" spans="1:3" x14ac:dyDescent="0.25">
      <c r="A5920" s="15">
        <f>Sheet1!A5920</f>
        <v>0</v>
      </c>
      <c r="B5920">
        <f>Sheet1!B5920</f>
        <v>0</v>
      </c>
      <c r="C5920">
        <f>IF(Sheet1!B5920&gt;0,1,0)</f>
        <v>0</v>
      </c>
    </row>
    <row r="5921" spans="1:3" x14ac:dyDescent="0.25">
      <c r="A5921" s="15">
        <f>Sheet1!A5921</f>
        <v>0</v>
      </c>
      <c r="B5921">
        <f>Sheet1!B5921</f>
        <v>0</v>
      </c>
      <c r="C5921">
        <f>IF(Sheet1!B5921&gt;0,1,0)</f>
        <v>0</v>
      </c>
    </row>
    <row r="5922" spans="1:3" x14ac:dyDescent="0.25">
      <c r="A5922" s="15">
        <f>Sheet1!A5922</f>
        <v>0</v>
      </c>
      <c r="B5922">
        <f>Sheet1!B5922</f>
        <v>13.63</v>
      </c>
      <c r="C5922">
        <f>IF(Sheet1!B5922&gt;0,1,0)</f>
        <v>1</v>
      </c>
    </row>
    <row r="5923" spans="1:3" x14ac:dyDescent="0.25">
      <c r="A5923" s="15">
        <f>Sheet1!A5923</f>
        <v>0</v>
      </c>
      <c r="B5923">
        <f>Sheet1!B5923</f>
        <v>0</v>
      </c>
      <c r="C5923">
        <f>IF(Sheet1!B5923&gt;0,1,0)</f>
        <v>0</v>
      </c>
    </row>
    <row r="5924" spans="1:3" x14ac:dyDescent="0.25">
      <c r="A5924" s="15">
        <f>Sheet1!A5924</f>
        <v>0</v>
      </c>
      <c r="B5924">
        <f>Sheet1!B5924</f>
        <v>0</v>
      </c>
      <c r="C5924">
        <f>IF(Sheet1!B5924&gt;0,1,0)</f>
        <v>0</v>
      </c>
    </row>
    <row r="5925" spans="1:3" x14ac:dyDescent="0.25">
      <c r="A5925" s="15">
        <f>Sheet1!A5925</f>
        <v>0</v>
      </c>
      <c r="B5925">
        <f>Sheet1!B5925</f>
        <v>0</v>
      </c>
      <c r="C5925">
        <f>IF(Sheet1!B5925&gt;0,1,0)</f>
        <v>0</v>
      </c>
    </row>
    <row r="5926" spans="1:3" x14ac:dyDescent="0.25">
      <c r="A5926" s="15">
        <f>Sheet1!A5926</f>
        <v>0</v>
      </c>
      <c r="B5926">
        <f>Sheet1!B5926</f>
        <v>0</v>
      </c>
      <c r="C5926">
        <f>IF(Sheet1!B5926&gt;0,1,0)</f>
        <v>0</v>
      </c>
    </row>
    <row r="5927" spans="1:3" x14ac:dyDescent="0.25">
      <c r="A5927" s="15">
        <f>Sheet1!A5927</f>
        <v>0</v>
      </c>
      <c r="B5927">
        <f>Sheet1!B5927</f>
        <v>0</v>
      </c>
      <c r="C5927">
        <f>IF(Sheet1!B5927&gt;0,1,0)</f>
        <v>0</v>
      </c>
    </row>
    <row r="5928" spans="1:3" x14ac:dyDescent="0.25">
      <c r="A5928" s="15">
        <f>Sheet1!A5928</f>
        <v>0</v>
      </c>
      <c r="B5928">
        <f>Sheet1!B5928</f>
        <v>12.88</v>
      </c>
      <c r="C5928">
        <f>IF(Sheet1!B5928&gt;0,1,0)</f>
        <v>1</v>
      </c>
    </row>
    <row r="5929" spans="1:3" x14ac:dyDescent="0.25">
      <c r="A5929" s="15">
        <f>Sheet1!A5929</f>
        <v>0</v>
      </c>
      <c r="B5929">
        <f>Sheet1!B5929</f>
        <v>1.29</v>
      </c>
      <c r="C5929">
        <f>IF(Sheet1!B5929&gt;0,1,0)</f>
        <v>1</v>
      </c>
    </row>
    <row r="5930" spans="1:3" x14ac:dyDescent="0.25">
      <c r="A5930" s="15">
        <f>Sheet1!A5930</f>
        <v>0</v>
      </c>
      <c r="B5930">
        <f>Sheet1!B5930</f>
        <v>0</v>
      </c>
      <c r="C5930">
        <f>IF(Sheet1!B5930&gt;0,1,0)</f>
        <v>0</v>
      </c>
    </row>
    <row r="5931" spans="1:3" x14ac:dyDescent="0.25">
      <c r="A5931" s="15">
        <f>Sheet1!A5931</f>
        <v>0</v>
      </c>
      <c r="B5931">
        <f>Sheet1!B5931</f>
        <v>0</v>
      </c>
      <c r="C5931">
        <f>IF(Sheet1!B5931&gt;0,1,0)</f>
        <v>0</v>
      </c>
    </row>
    <row r="5932" spans="1:3" x14ac:dyDescent="0.25">
      <c r="A5932" s="15">
        <f>Sheet1!A5932</f>
        <v>0</v>
      </c>
      <c r="B5932">
        <f>Sheet1!B5932</f>
        <v>10</v>
      </c>
      <c r="C5932">
        <f>IF(Sheet1!B5932&gt;0,1,0)</f>
        <v>1</v>
      </c>
    </row>
    <row r="5933" spans="1:3" x14ac:dyDescent="0.25">
      <c r="A5933" s="15">
        <f>Sheet1!A5933</f>
        <v>0</v>
      </c>
      <c r="B5933">
        <f>Sheet1!B5933</f>
        <v>0</v>
      </c>
      <c r="C5933">
        <f>IF(Sheet1!B5933&gt;0,1,0)</f>
        <v>0</v>
      </c>
    </row>
    <row r="5934" spans="1:3" x14ac:dyDescent="0.25">
      <c r="A5934" s="15">
        <f>Sheet1!A5934</f>
        <v>0</v>
      </c>
      <c r="B5934">
        <f>Sheet1!B5934</f>
        <v>0</v>
      </c>
      <c r="C5934">
        <f>IF(Sheet1!B5934&gt;0,1,0)</f>
        <v>0</v>
      </c>
    </row>
    <row r="5935" spans="1:3" x14ac:dyDescent="0.25">
      <c r="A5935" s="15">
        <f>Sheet1!A5935</f>
        <v>0</v>
      </c>
      <c r="B5935">
        <f>Sheet1!B5935</f>
        <v>0</v>
      </c>
      <c r="C5935">
        <f>IF(Sheet1!B5935&gt;0,1,0)</f>
        <v>0</v>
      </c>
    </row>
    <row r="5936" spans="1:3" x14ac:dyDescent="0.25">
      <c r="A5936" s="15">
        <f>Sheet1!A5936</f>
        <v>0</v>
      </c>
      <c r="B5936">
        <f>Sheet1!B5936</f>
        <v>6.05</v>
      </c>
      <c r="C5936">
        <f>IF(Sheet1!B5936&gt;0,1,0)</f>
        <v>1</v>
      </c>
    </row>
    <row r="5937" spans="1:3" x14ac:dyDescent="0.25">
      <c r="A5937" s="15">
        <f>Sheet1!A5937</f>
        <v>0</v>
      </c>
      <c r="B5937">
        <f>Sheet1!B5937</f>
        <v>0</v>
      </c>
      <c r="C5937">
        <f>IF(Sheet1!B5937&gt;0,1,0)</f>
        <v>0</v>
      </c>
    </row>
    <row r="5938" spans="1:3" x14ac:dyDescent="0.25">
      <c r="A5938" s="15">
        <f>Sheet1!A5938</f>
        <v>0</v>
      </c>
      <c r="B5938">
        <f>Sheet1!B5938</f>
        <v>0</v>
      </c>
      <c r="C5938">
        <f>IF(Sheet1!B5938&gt;0,1,0)</f>
        <v>0</v>
      </c>
    </row>
    <row r="5939" spans="1:3" x14ac:dyDescent="0.25">
      <c r="A5939" s="15">
        <f>Sheet1!A5939</f>
        <v>0</v>
      </c>
      <c r="B5939">
        <f>Sheet1!B5939</f>
        <v>0</v>
      </c>
      <c r="C5939">
        <f>IF(Sheet1!B5939&gt;0,1,0)</f>
        <v>0</v>
      </c>
    </row>
    <row r="5940" spans="1:3" x14ac:dyDescent="0.25">
      <c r="A5940" s="15">
        <f>Sheet1!A5940</f>
        <v>0</v>
      </c>
      <c r="B5940">
        <f>Sheet1!B5940</f>
        <v>10.68</v>
      </c>
      <c r="C5940">
        <f>IF(Sheet1!B5940&gt;0,1,0)</f>
        <v>1</v>
      </c>
    </row>
    <row r="5941" spans="1:3" x14ac:dyDescent="0.25">
      <c r="A5941" s="15">
        <f>Sheet1!A5941</f>
        <v>0</v>
      </c>
      <c r="B5941">
        <f>Sheet1!B5941</f>
        <v>0</v>
      </c>
      <c r="C5941">
        <f>IF(Sheet1!B5941&gt;0,1,0)</f>
        <v>0</v>
      </c>
    </row>
    <row r="5942" spans="1:3" x14ac:dyDescent="0.25">
      <c r="A5942" s="15">
        <f>Sheet1!A5942</f>
        <v>0</v>
      </c>
      <c r="B5942">
        <f>Sheet1!B5942</f>
        <v>0</v>
      </c>
      <c r="C5942">
        <f>IF(Sheet1!B5942&gt;0,1,0)</f>
        <v>0</v>
      </c>
    </row>
    <row r="5943" spans="1:3" x14ac:dyDescent="0.25">
      <c r="A5943" s="15">
        <f>Sheet1!A5943</f>
        <v>0</v>
      </c>
      <c r="B5943">
        <f>Sheet1!B5943</f>
        <v>0</v>
      </c>
      <c r="C5943">
        <f>IF(Sheet1!B5943&gt;0,1,0)</f>
        <v>0</v>
      </c>
    </row>
    <row r="5944" spans="1:3" x14ac:dyDescent="0.25">
      <c r="A5944" s="15">
        <f>Sheet1!A5944</f>
        <v>0</v>
      </c>
      <c r="B5944">
        <f>Sheet1!B5944</f>
        <v>0</v>
      </c>
      <c r="C5944">
        <f>IF(Sheet1!B5944&gt;0,1,0)</f>
        <v>0</v>
      </c>
    </row>
    <row r="5945" spans="1:3" x14ac:dyDescent="0.25">
      <c r="A5945" s="15">
        <f>Sheet1!A5945</f>
        <v>0</v>
      </c>
      <c r="B5945">
        <f>Sheet1!B5945</f>
        <v>0</v>
      </c>
      <c r="C5945">
        <f>IF(Sheet1!B5945&gt;0,1,0)</f>
        <v>0</v>
      </c>
    </row>
    <row r="5946" spans="1:3" x14ac:dyDescent="0.25">
      <c r="A5946" s="15">
        <f>Sheet1!A5946</f>
        <v>0</v>
      </c>
      <c r="B5946">
        <f>Sheet1!B5946</f>
        <v>0</v>
      </c>
      <c r="C5946">
        <f>IF(Sheet1!B5946&gt;0,1,0)</f>
        <v>0</v>
      </c>
    </row>
    <row r="5947" spans="1:3" x14ac:dyDescent="0.25">
      <c r="A5947" s="15">
        <f>Sheet1!A5947</f>
        <v>0</v>
      </c>
      <c r="B5947">
        <f>Sheet1!B5947</f>
        <v>0</v>
      </c>
      <c r="C5947">
        <f>IF(Sheet1!B5947&gt;0,1,0)</f>
        <v>0</v>
      </c>
    </row>
    <row r="5948" spans="1:3" x14ac:dyDescent="0.25">
      <c r="A5948" s="15">
        <f>Sheet1!A5948</f>
        <v>0</v>
      </c>
      <c r="B5948">
        <f>Sheet1!B5948</f>
        <v>17.670000000000002</v>
      </c>
      <c r="C5948">
        <f>IF(Sheet1!B5948&gt;0,1,0)</f>
        <v>1</v>
      </c>
    </row>
    <row r="5949" spans="1:3" x14ac:dyDescent="0.25">
      <c r="A5949" s="15">
        <f>Sheet1!A5949</f>
        <v>0</v>
      </c>
      <c r="B5949">
        <f>Sheet1!B5949</f>
        <v>0</v>
      </c>
      <c r="C5949">
        <f>IF(Sheet1!B5949&gt;0,1,0)</f>
        <v>0</v>
      </c>
    </row>
    <row r="5950" spans="1:3" x14ac:dyDescent="0.25">
      <c r="A5950" s="15">
        <f>Sheet1!A5950</f>
        <v>0</v>
      </c>
      <c r="B5950">
        <f>Sheet1!B5950</f>
        <v>0</v>
      </c>
      <c r="C5950">
        <f>IF(Sheet1!B5950&gt;0,1,0)</f>
        <v>0</v>
      </c>
    </row>
    <row r="5951" spans="1:3" x14ac:dyDescent="0.25">
      <c r="A5951" s="15">
        <f>Sheet1!A5951</f>
        <v>0</v>
      </c>
      <c r="B5951">
        <f>Sheet1!B5951</f>
        <v>0</v>
      </c>
      <c r="C5951">
        <f>IF(Sheet1!B5951&gt;0,1,0)</f>
        <v>0</v>
      </c>
    </row>
    <row r="5952" spans="1:3" x14ac:dyDescent="0.25">
      <c r="A5952" s="15">
        <f>Sheet1!A5952</f>
        <v>0</v>
      </c>
      <c r="B5952">
        <f>Sheet1!B5952</f>
        <v>5.18</v>
      </c>
      <c r="C5952">
        <f>IF(Sheet1!B5952&gt;0,1,0)</f>
        <v>1</v>
      </c>
    </row>
    <row r="5953" spans="1:3" x14ac:dyDescent="0.25">
      <c r="A5953" s="15">
        <f>Sheet1!A5953</f>
        <v>0</v>
      </c>
      <c r="B5953">
        <f>Sheet1!B5953</f>
        <v>6.29</v>
      </c>
      <c r="C5953">
        <f>IF(Sheet1!B5953&gt;0,1,0)</f>
        <v>1</v>
      </c>
    </row>
    <row r="5954" spans="1:3" x14ac:dyDescent="0.25">
      <c r="A5954" s="15">
        <f>Sheet1!A5954</f>
        <v>0</v>
      </c>
      <c r="B5954">
        <f>Sheet1!B5954</f>
        <v>0</v>
      </c>
      <c r="C5954">
        <f>IF(Sheet1!B5954&gt;0,1,0)</f>
        <v>0</v>
      </c>
    </row>
    <row r="5955" spans="1:3" x14ac:dyDescent="0.25">
      <c r="A5955" s="15">
        <f>Sheet1!A5955</f>
        <v>0</v>
      </c>
      <c r="B5955">
        <f>Sheet1!B5955</f>
        <v>0</v>
      </c>
      <c r="C5955">
        <f>IF(Sheet1!B5955&gt;0,1,0)</f>
        <v>0</v>
      </c>
    </row>
    <row r="5956" spans="1:3" x14ac:dyDescent="0.25">
      <c r="A5956" s="15">
        <f>Sheet1!A5956</f>
        <v>0</v>
      </c>
      <c r="B5956">
        <f>Sheet1!B5956</f>
        <v>8.24</v>
      </c>
      <c r="C5956">
        <f>IF(Sheet1!B5956&gt;0,1,0)</f>
        <v>1</v>
      </c>
    </row>
    <row r="5957" spans="1:3" x14ac:dyDescent="0.25">
      <c r="A5957" s="15">
        <f>Sheet1!A5957</f>
        <v>0</v>
      </c>
      <c r="B5957">
        <f>Sheet1!B5957</f>
        <v>8.0399999999999991</v>
      </c>
      <c r="C5957">
        <f>IF(Sheet1!B5957&gt;0,1,0)</f>
        <v>1</v>
      </c>
    </row>
    <row r="5958" spans="1:3" x14ac:dyDescent="0.25">
      <c r="A5958" s="15">
        <f>Sheet1!A5958</f>
        <v>0</v>
      </c>
      <c r="B5958">
        <f>Sheet1!B5958</f>
        <v>7.56</v>
      </c>
      <c r="C5958">
        <f>IF(Sheet1!B5958&gt;0,1,0)</f>
        <v>1</v>
      </c>
    </row>
    <row r="5959" spans="1:3" x14ac:dyDescent="0.25">
      <c r="A5959" s="15">
        <f>Sheet1!A5959</f>
        <v>0</v>
      </c>
      <c r="B5959">
        <f>Sheet1!B5959</f>
        <v>1.73</v>
      </c>
      <c r="C5959">
        <f>IF(Sheet1!B5959&gt;0,1,0)</f>
        <v>1</v>
      </c>
    </row>
    <row r="5960" spans="1:3" x14ac:dyDescent="0.25">
      <c r="A5960" s="15">
        <f>Sheet1!A5960</f>
        <v>0</v>
      </c>
      <c r="B5960">
        <f>Sheet1!B5960</f>
        <v>0</v>
      </c>
      <c r="C5960">
        <f>IF(Sheet1!B5960&gt;0,1,0)</f>
        <v>0</v>
      </c>
    </row>
    <row r="5961" spans="1:3" x14ac:dyDescent="0.25">
      <c r="A5961" s="15">
        <f>Sheet1!A5961</f>
        <v>0</v>
      </c>
      <c r="B5961">
        <f>Sheet1!B5961</f>
        <v>0</v>
      </c>
      <c r="C5961">
        <f>IF(Sheet1!B5961&gt;0,1,0)</f>
        <v>0</v>
      </c>
    </row>
    <row r="5962" spans="1:3" x14ac:dyDescent="0.25">
      <c r="A5962" s="15">
        <f>Sheet1!A5962</f>
        <v>0</v>
      </c>
      <c r="B5962">
        <f>Sheet1!B5962</f>
        <v>0</v>
      </c>
      <c r="C5962">
        <f>IF(Sheet1!B5962&gt;0,1,0)</f>
        <v>0</v>
      </c>
    </row>
    <row r="5963" spans="1:3" x14ac:dyDescent="0.25">
      <c r="A5963" s="15">
        <f>Sheet1!A5963</f>
        <v>0</v>
      </c>
      <c r="B5963">
        <f>Sheet1!B5963</f>
        <v>0</v>
      </c>
      <c r="C5963">
        <f>IF(Sheet1!B5963&gt;0,1,0)</f>
        <v>0</v>
      </c>
    </row>
    <row r="5964" spans="1:3" x14ac:dyDescent="0.25">
      <c r="A5964" s="15">
        <f>Sheet1!A5964</f>
        <v>0</v>
      </c>
      <c r="B5964">
        <f>Sheet1!B5964</f>
        <v>0</v>
      </c>
      <c r="C5964">
        <f>IF(Sheet1!B5964&gt;0,1,0)</f>
        <v>0</v>
      </c>
    </row>
    <row r="5965" spans="1:3" x14ac:dyDescent="0.25">
      <c r="A5965" s="15">
        <f>Sheet1!A5965</f>
        <v>0</v>
      </c>
      <c r="B5965">
        <f>Sheet1!B5965</f>
        <v>0</v>
      </c>
      <c r="C5965">
        <f>IF(Sheet1!B5965&gt;0,1,0)</f>
        <v>0</v>
      </c>
    </row>
    <row r="5966" spans="1:3" x14ac:dyDescent="0.25">
      <c r="A5966" s="15">
        <f>Sheet1!A5966</f>
        <v>0</v>
      </c>
      <c r="B5966">
        <f>Sheet1!B5966</f>
        <v>12.33</v>
      </c>
      <c r="C5966">
        <f>IF(Sheet1!B5966&gt;0,1,0)</f>
        <v>1</v>
      </c>
    </row>
    <row r="5967" spans="1:3" x14ac:dyDescent="0.25">
      <c r="A5967" s="15">
        <f>Sheet1!A5967</f>
        <v>0</v>
      </c>
      <c r="B5967">
        <f>Sheet1!B5967</f>
        <v>0</v>
      </c>
      <c r="C5967">
        <f>IF(Sheet1!B5967&gt;0,1,0)</f>
        <v>0</v>
      </c>
    </row>
    <row r="5968" spans="1:3" x14ac:dyDescent="0.25">
      <c r="A5968" s="15">
        <f>Sheet1!A5968</f>
        <v>0</v>
      </c>
      <c r="B5968">
        <f>Sheet1!B5968</f>
        <v>0</v>
      </c>
      <c r="C5968">
        <f>IF(Sheet1!B5968&gt;0,1,0)</f>
        <v>0</v>
      </c>
    </row>
    <row r="5969" spans="1:3" x14ac:dyDescent="0.25">
      <c r="A5969" s="15">
        <f>Sheet1!A5969</f>
        <v>0</v>
      </c>
      <c r="B5969">
        <f>Sheet1!B5969</f>
        <v>0</v>
      </c>
      <c r="C5969">
        <f>IF(Sheet1!B5969&gt;0,1,0)</f>
        <v>0</v>
      </c>
    </row>
    <row r="5970" spans="1:3" x14ac:dyDescent="0.25">
      <c r="A5970" s="15">
        <f>Sheet1!A5970</f>
        <v>0</v>
      </c>
      <c r="B5970">
        <f>Sheet1!B5970</f>
        <v>0</v>
      </c>
      <c r="C5970">
        <f>IF(Sheet1!B5970&gt;0,1,0)</f>
        <v>0</v>
      </c>
    </row>
    <row r="5971" spans="1:3" x14ac:dyDescent="0.25">
      <c r="A5971" s="15">
        <f>Sheet1!A5971</f>
        <v>0</v>
      </c>
      <c r="B5971">
        <f>Sheet1!B5971</f>
        <v>0</v>
      </c>
      <c r="C5971">
        <f>IF(Sheet1!B5971&gt;0,1,0)</f>
        <v>0</v>
      </c>
    </row>
    <row r="5972" spans="1:3" x14ac:dyDescent="0.25">
      <c r="A5972" s="15">
        <f>Sheet1!A5972</f>
        <v>0</v>
      </c>
      <c r="B5972">
        <f>Sheet1!B5972</f>
        <v>0</v>
      </c>
      <c r="C5972">
        <f>IF(Sheet1!B5972&gt;0,1,0)</f>
        <v>0</v>
      </c>
    </row>
    <row r="5973" spans="1:3" x14ac:dyDescent="0.25">
      <c r="A5973" s="15">
        <f>Sheet1!A5973</f>
        <v>0</v>
      </c>
      <c r="B5973">
        <f>Sheet1!B5973</f>
        <v>0</v>
      </c>
      <c r="C5973">
        <f>IF(Sheet1!B5973&gt;0,1,0)</f>
        <v>0</v>
      </c>
    </row>
    <row r="5974" spans="1:3" x14ac:dyDescent="0.25">
      <c r="A5974" s="15">
        <f>Sheet1!A5974</f>
        <v>0</v>
      </c>
      <c r="B5974">
        <f>Sheet1!B5974</f>
        <v>15.97</v>
      </c>
      <c r="C5974">
        <f>IF(Sheet1!B5974&gt;0,1,0)</f>
        <v>1</v>
      </c>
    </row>
    <row r="5975" spans="1:3" x14ac:dyDescent="0.25">
      <c r="A5975" s="15">
        <f>Sheet1!A5975</f>
        <v>0</v>
      </c>
      <c r="B5975">
        <f>Sheet1!B5975</f>
        <v>14.35</v>
      </c>
      <c r="C5975">
        <f>IF(Sheet1!B5975&gt;0,1,0)</f>
        <v>1</v>
      </c>
    </row>
    <row r="5976" spans="1:3" x14ac:dyDescent="0.25">
      <c r="A5976" s="15">
        <f>Sheet1!A5976</f>
        <v>0</v>
      </c>
      <c r="B5976">
        <f>Sheet1!B5976</f>
        <v>12.73</v>
      </c>
      <c r="C5976">
        <f>IF(Sheet1!B5976&gt;0,1,0)</f>
        <v>1</v>
      </c>
    </row>
    <row r="5977" spans="1:3" x14ac:dyDescent="0.25">
      <c r="A5977" s="15">
        <f>Sheet1!A5977</f>
        <v>0</v>
      </c>
      <c r="B5977">
        <f>Sheet1!B5977</f>
        <v>0</v>
      </c>
      <c r="C5977">
        <f>IF(Sheet1!B5977&gt;0,1,0)</f>
        <v>0</v>
      </c>
    </row>
    <row r="5978" spans="1:3" x14ac:dyDescent="0.25">
      <c r="A5978" s="15">
        <f>Sheet1!A5978</f>
        <v>0</v>
      </c>
      <c r="B5978">
        <f>Sheet1!B5978</f>
        <v>0</v>
      </c>
      <c r="C5978">
        <f>IF(Sheet1!B5978&gt;0,1,0)</f>
        <v>0</v>
      </c>
    </row>
    <row r="5979" spans="1:3" x14ac:dyDescent="0.25">
      <c r="A5979" s="15">
        <f>Sheet1!A5979</f>
        <v>0</v>
      </c>
      <c r="B5979">
        <f>Sheet1!B5979</f>
        <v>0</v>
      </c>
      <c r="C5979">
        <f>IF(Sheet1!B5979&gt;0,1,0)</f>
        <v>0</v>
      </c>
    </row>
    <row r="5980" spans="1:3" x14ac:dyDescent="0.25">
      <c r="A5980" s="15">
        <f>Sheet1!A5980</f>
        <v>0</v>
      </c>
      <c r="B5980">
        <f>Sheet1!B5980</f>
        <v>10.7</v>
      </c>
      <c r="C5980">
        <f>IF(Sheet1!B5980&gt;0,1,0)</f>
        <v>1</v>
      </c>
    </row>
    <row r="5981" spans="1:3" x14ac:dyDescent="0.25">
      <c r="A5981" s="15">
        <f>Sheet1!A5981</f>
        <v>0</v>
      </c>
      <c r="B5981">
        <f>Sheet1!B5981</f>
        <v>0</v>
      </c>
      <c r="C5981">
        <f>IF(Sheet1!B5981&gt;0,1,0)</f>
        <v>0</v>
      </c>
    </row>
    <row r="5982" spans="1:3" x14ac:dyDescent="0.25">
      <c r="A5982" s="15">
        <f>Sheet1!A5982</f>
        <v>0</v>
      </c>
      <c r="B5982">
        <f>Sheet1!B5982</f>
        <v>0</v>
      </c>
      <c r="C5982">
        <f>IF(Sheet1!B5982&gt;0,1,0)</f>
        <v>0</v>
      </c>
    </row>
    <row r="5983" spans="1:3" x14ac:dyDescent="0.25">
      <c r="A5983" s="15">
        <f>Sheet1!A5983</f>
        <v>0</v>
      </c>
      <c r="B5983">
        <f>Sheet1!B5983</f>
        <v>0</v>
      </c>
      <c r="C5983">
        <f>IF(Sheet1!B5983&gt;0,1,0)</f>
        <v>0</v>
      </c>
    </row>
    <row r="5984" spans="1:3" x14ac:dyDescent="0.25">
      <c r="A5984" s="15">
        <f>Sheet1!A5984</f>
        <v>0</v>
      </c>
      <c r="B5984">
        <f>Sheet1!B5984</f>
        <v>12.11</v>
      </c>
      <c r="C5984">
        <f>IF(Sheet1!B5984&gt;0,1,0)</f>
        <v>1</v>
      </c>
    </row>
    <row r="5985" spans="1:3" x14ac:dyDescent="0.25">
      <c r="A5985" s="15">
        <f>Sheet1!A5985</f>
        <v>0</v>
      </c>
      <c r="B5985">
        <f>Sheet1!B5985</f>
        <v>11.89</v>
      </c>
      <c r="C5985">
        <f>IF(Sheet1!B5985&gt;0,1,0)</f>
        <v>1</v>
      </c>
    </row>
    <row r="5986" spans="1:3" x14ac:dyDescent="0.25">
      <c r="A5986" s="15">
        <f>Sheet1!A5986</f>
        <v>0</v>
      </c>
      <c r="B5986">
        <f>Sheet1!B5986</f>
        <v>12.3</v>
      </c>
      <c r="C5986">
        <f>IF(Sheet1!B5986&gt;0,1,0)</f>
        <v>1</v>
      </c>
    </row>
    <row r="5987" spans="1:3" x14ac:dyDescent="0.25">
      <c r="A5987" s="15">
        <f>Sheet1!A5987</f>
        <v>0</v>
      </c>
      <c r="B5987">
        <f>Sheet1!B5987</f>
        <v>0</v>
      </c>
      <c r="C5987">
        <f>IF(Sheet1!B5987&gt;0,1,0)</f>
        <v>0</v>
      </c>
    </row>
    <row r="5988" spans="1:3" x14ac:dyDescent="0.25">
      <c r="A5988" s="15">
        <f>Sheet1!A5988</f>
        <v>0</v>
      </c>
      <c r="B5988">
        <f>Sheet1!B5988</f>
        <v>0</v>
      </c>
      <c r="C5988">
        <f>IF(Sheet1!B5988&gt;0,1,0)</f>
        <v>0</v>
      </c>
    </row>
    <row r="5989" spans="1:3" x14ac:dyDescent="0.25">
      <c r="A5989" s="15">
        <f>Sheet1!A5989</f>
        <v>0</v>
      </c>
      <c r="B5989">
        <f>Sheet1!B5989</f>
        <v>0</v>
      </c>
      <c r="C5989">
        <f>IF(Sheet1!B5989&gt;0,1,0)</f>
        <v>0</v>
      </c>
    </row>
    <row r="5990" spans="1:3" x14ac:dyDescent="0.25">
      <c r="A5990" s="15">
        <f>Sheet1!A5990</f>
        <v>0</v>
      </c>
      <c r="B5990">
        <f>Sheet1!B5990</f>
        <v>11.48</v>
      </c>
      <c r="C5990">
        <f>IF(Sheet1!B5990&gt;0,1,0)</f>
        <v>1</v>
      </c>
    </row>
    <row r="5991" spans="1:3" x14ac:dyDescent="0.25">
      <c r="A5991" s="15">
        <f>Sheet1!A5991</f>
        <v>0</v>
      </c>
      <c r="B5991">
        <f>Sheet1!B5991</f>
        <v>0</v>
      </c>
      <c r="C5991">
        <f>IF(Sheet1!B5991&gt;0,1,0)</f>
        <v>0</v>
      </c>
    </row>
    <row r="5992" spans="1:3" x14ac:dyDescent="0.25">
      <c r="A5992" s="15">
        <f>Sheet1!A5992</f>
        <v>0</v>
      </c>
      <c r="B5992">
        <f>Sheet1!B5992</f>
        <v>0</v>
      </c>
      <c r="C5992">
        <f>IF(Sheet1!B5992&gt;0,1,0)</f>
        <v>0</v>
      </c>
    </row>
    <row r="5993" spans="1:3" x14ac:dyDescent="0.25">
      <c r="A5993" s="15">
        <f>Sheet1!A5993</f>
        <v>0</v>
      </c>
      <c r="B5993">
        <f>Sheet1!B5993</f>
        <v>0</v>
      </c>
      <c r="C5993">
        <f>IF(Sheet1!B5993&gt;0,1,0)</f>
        <v>0</v>
      </c>
    </row>
    <row r="5994" spans="1:3" x14ac:dyDescent="0.25">
      <c r="A5994" s="15">
        <f>Sheet1!A5994</f>
        <v>0</v>
      </c>
      <c r="B5994">
        <f>Sheet1!B5994</f>
        <v>11.32</v>
      </c>
      <c r="C5994">
        <f>IF(Sheet1!B5994&gt;0,1,0)</f>
        <v>1</v>
      </c>
    </row>
    <row r="5995" spans="1:3" x14ac:dyDescent="0.25">
      <c r="A5995" s="15">
        <f>Sheet1!A5995</f>
        <v>0</v>
      </c>
      <c r="B5995">
        <f>Sheet1!B5995</f>
        <v>0</v>
      </c>
      <c r="C5995">
        <f>IF(Sheet1!B5995&gt;0,1,0)</f>
        <v>0</v>
      </c>
    </row>
    <row r="5996" spans="1:3" x14ac:dyDescent="0.25">
      <c r="A5996" s="15">
        <f>Sheet1!A5996</f>
        <v>0</v>
      </c>
      <c r="B5996">
        <f>Sheet1!B5996</f>
        <v>0</v>
      </c>
      <c r="C5996">
        <f>IF(Sheet1!B5996&gt;0,1,0)</f>
        <v>0</v>
      </c>
    </row>
    <row r="5997" spans="1:3" x14ac:dyDescent="0.25">
      <c r="A5997" s="15">
        <f>Sheet1!A5997</f>
        <v>0</v>
      </c>
      <c r="B5997">
        <f>Sheet1!B5997</f>
        <v>0</v>
      </c>
      <c r="C5997">
        <f>IF(Sheet1!B5997&gt;0,1,0)</f>
        <v>0</v>
      </c>
    </row>
    <row r="5998" spans="1:3" x14ac:dyDescent="0.25">
      <c r="A5998" s="15">
        <f>Sheet1!A5998</f>
        <v>0</v>
      </c>
      <c r="B5998">
        <f>Sheet1!B5998</f>
        <v>11.72</v>
      </c>
      <c r="C5998">
        <f>IF(Sheet1!B5998&gt;0,1,0)</f>
        <v>1</v>
      </c>
    </row>
    <row r="5999" spans="1:3" x14ac:dyDescent="0.25">
      <c r="A5999" s="15">
        <f>Sheet1!A5999</f>
        <v>0</v>
      </c>
      <c r="B5999">
        <f>Sheet1!B5999</f>
        <v>0</v>
      </c>
      <c r="C5999">
        <f>IF(Sheet1!B5999&gt;0,1,0)</f>
        <v>0</v>
      </c>
    </row>
    <row r="6000" spans="1:3" x14ac:dyDescent="0.25">
      <c r="A6000" s="15">
        <f>Sheet1!A6000</f>
        <v>0</v>
      </c>
      <c r="B6000">
        <f>Sheet1!B6000</f>
        <v>0</v>
      </c>
      <c r="C6000">
        <f>IF(Sheet1!B6000&gt;0,1,0)</f>
        <v>0</v>
      </c>
    </row>
    <row r="6001" spans="1:3" x14ac:dyDescent="0.25">
      <c r="A6001" s="15">
        <f>Sheet1!A6001</f>
        <v>0</v>
      </c>
      <c r="B6001">
        <f>Sheet1!B6001</f>
        <v>0</v>
      </c>
      <c r="C6001">
        <f>IF(Sheet1!B6001&gt;0,1,0)</f>
        <v>0</v>
      </c>
    </row>
    <row r="6002" spans="1:3" x14ac:dyDescent="0.25">
      <c r="A6002" s="15">
        <f>Sheet1!A6002</f>
        <v>0</v>
      </c>
      <c r="B6002">
        <f>Sheet1!B6002</f>
        <v>9.9700000000000006</v>
      </c>
      <c r="C6002">
        <f>IF(Sheet1!B6002&gt;0,1,0)</f>
        <v>1</v>
      </c>
    </row>
    <row r="6003" spans="1:3" x14ac:dyDescent="0.25">
      <c r="A6003" s="15">
        <f>Sheet1!A6003</f>
        <v>0</v>
      </c>
      <c r="B6003">
        <f>Sheet1!B6003</f>
        <v>9.75</v>
      </c>
      <c r="C6003">
        <f>IF(Sheet1!B6003&gt;0,1,0)</f>
        <v>1</v>
      </c>
    </row>
    <row r="6004" spans="1:3" x14ac:dyDescent="0.25">
      <c r="A6004" s="15">
        <f>Sheet1!A6004</f>
        <v>0</v>
      </c>
      <c r="B6004">
        <f>Sheet1!B6004</f>
        <v>9.6</v>
      </c>
      <c r="C6004">
        <f>IF(Sheet1!B6004&gt;0,1,0)</f>
        <v>1</v>
      </c>
    </row>
    <row r="6005" spans="1:3" x14ac:dyDescent="0.25">
      <c r="A6005" s="15">
        <f>Sheet1!A6005</f>
        <v>0</v>
      </c>
      <c r="B6005">
        <f>Sheet1!B6005</f>
        <v>9.06</v>
      </c>
      <c r="C6005">
        <f>IF(Sheet1!B6005&gt;0,1,0)</f>
        <v>1</v>
      </c>
    </row>
    <row r="6006" spans="1:3" x14ac:dyDescent="0.25">
      <c r="A6006" s="15">
        <f>Sheet1!A6006</f>
        <v>0</v>
      </c>
      <c r="B6006">
        <f>Sheet1!B6006</f>
        <v>8.8000000000000007</v>
      </c>
      <c r="C6006">
        <f>IF(Sheet1!B6006&gt;0,1,0)</f>
        <v>1</v>
      </c>
    </row>
    <row r="6007" spans="1:3" x14ac:dyDescent="0.25">
      <c r="A6007" s="15">
        <f>Sheet1!A6007</f>
        <v>0</v>
      </c>
      <c r="B6007">
        <f>Sheet1!B6007</f>
        <v>5.4</v>
      </c>
      <c r="C6007">
        <f>IF(Sheet1!B6007&gt;0,1,0)</f>
        <v>1</v>
      </c>
    </row>
    <row r="6008" spans="1:3" x14ac:dyDescent="0.25">
      <c r="A6008" s="15">
        <f>Sheet1!A6008</f>
        <v>0</v>
      </c>
      <c r="B6008">
        <f>Sheet1!B6008</f>
        <v>0</v>
      </c>
      <c r="C6008">
        <f>IF(Sheet1!B6008&gt;0,1,0)</f>
        <v>0</v>
      </c>
    </row>
    <row r="6009" spans="1:3" x14ac:dyDescent="0.25">
      <c r="A6009" s="15">
        <f>Sheet1!A6009</f>
        <v>0</v>
      </c>
      <c r="B6009">
        <f>Sheet1!B6009</f>
        <v>0</v>
      </c>
      <c r="C6009">
        <f>IF(Sheet1!B6009&gt;0,1,0)</f>
        <v>0</v>
      </c>
    </row>
    <row r="6010" spans="1:3" x14ac:dyDescent="0.25">
      <c r="A6010" s="15">
        <f>Sheet1!A6010</f>
        <v>0</v>
      </c>
      <c r="B6010">
        <f>Sheet1!B6010</f>
        <v>10.81</v>
      </c>
      <c r="C6010">
        <f>IF(Sheet1!B6010&gt;0,1,0)</f>
        <v>1</v>
      </c>
    </row>
    <row r="6011" spans="1:3" x14ac:dyDescent="0.25">
      <c r="A6011" s="15">
        <f>Sheet1!A6011</f>
        <v>0</v>
      </c>
      <c r="B6011">
        <f>Sheet1!B6011</f>
        <v>0</v>
      </c>
      <c r="C6011">
        <f>IF(Sheet1!B6011&gt;0,1,0)</f>
        <v>0</v>
      </c>
    </row>
    <row r="6012" spans="1:3" x14ac:dyDescent="0.25">
      <c r="A6012" s="15">
        <f>Sheet1!A6012</f>
        <v>0</v>
      </c>
      <c r="B6012">
        <f>Sheet1!B6012</f>
        <v>0</v>
      </c>
      <c r="C6012">
        <f>IF(Sheet1!B6012&gt;0,1,0)</f>
        <v>0</v>
      </c>
    </row>
    <row r="6013" spans="1:3" x14ac:dyDescent="0.25">
      <c r="A6013" s="15">
        <f>Sheet1!A6013</f>
        <v>0</v>
      </c>
      <c r="B6013">
        <f>Sheet1!B6013</f>
        <v>0</v>
      </c>
      <c r="C6013">
        <f>IF(Sheet1!B6013&gt;0,1,0)</f>
        <v>0</v>
      </c>
    </row>
    <row r="6014" spans="1:3" x14ac:dyDescent="0.25">
      <c r="A6014" s="15">
        <f>Sheet1!A6014</f>
        <v>0</v>
      </c>
      <c r="B6014">
        <f>Sheet1!B6014</f>
        <v>6.81</v>
      </c>
      <c r="C6014">
        <f>IF(Sheet1!B6014&gt;0,1,0)</f>
        <v>1</v>
      </c>
    </row>
    <row r="6015" spans="1:3" x14ac:dyDescent="0.25">
      <c r="A6015" s="15">
        <f>Sheet1!A6015</f>
        <v>0</v>
      </c>
      <c r="B6015">
        <f>Sheet1!B6015</f>
        <v>0</v>
      </c>
      <c r="C6015">
        <f>IF(Sheet1!B6015&gt;0,1,0)</f>
        <v>0</v>
      </c>
    </row>
    <row r="6016" spans="1:3" x14ac:dyDescent="0.25">
      <c r="A6016" s="15">
        <f>Sheet1!A6016</f>
        <v>0</v>
      </c>
      <c r="B6016">
        <f>Sheet1!B6016</f>
        <v>0</v>
      </c>
      <c r="C6016">
        <f>IF(Sheet1!B6016&gt;0,1,0)</f>
        <v>0</v>
      </c>
    </row>
    <row r="6017" spans="1:3" x14ac:dyDescent="0.25">
      <c r="A6017" s="15">
        <f>Sheet1!A6017</f>
        <v>0</v>
      </c>
      <c r="B6017">
        <f>Sheet1!B6017</f>
        <v>0</v>
      </c>
      <c r="C6017">
        <f>IF(Sheet1!B6017&gt;0,1,0)</f>
        <v>0</v>
      </c>
    </row>
    <row r="6018" spans="1:3" x14ac:dyDescent="0.25">
      <c r="A6018" s="15">
        <f>Sheet1!A6018</f>
        <v>0</v>
      </c>
      <c r="B6018">
        <f>Sheet1!B6018</f>
        <v>15.24</v>
      </c>
      <c r="C6018">
        <f>IF(Sheet1!B6018&gt;0,1,0)</f>
        <v>1</v>
      </c>
    </row>
    <row r="6019" spans="1:3" x14ac:dyDescent="0.25">
      <c r="A6019" s="15">
        <f>Sheet1!A6019</f>
        <v>0</v>
      </c>
      <c r="B6019">
        <f>Sheet1!B6019</f>
        <v>0</v>
      </c>
      <c r="C6019">
        <f>IF(Sheet1!B6019&gt;0,1,0)</f>
        <v>0</v>
      </c>
    </row>
    <row r="6020" spans="1:3" x14ac:dyDescent="0.25">
      <c r="A6020" s="15">
        <f>Sheet1!A6020</f>
        <v>0</v>
      </c>
      <c r="B6020">
        <f>Sheet1!B6020</f>
        <v>0</v>
      </c>
      <c r="C6020">
        <f>IF(Sheet1!B6020&gt;0,1,0)</f>
        <v>0</v>
      </c>
    </row>
    <row r="6021" spans="1:3" x14ac:dyDescent="0.25">
      <c r="A6021" s="15">
        <f>Sheet1!A6021</f>
        <v>0</v>
      </c>
      <c r="B6021">
        <f>Sheet1!B6021</f>
        <v>0</v>
      </c>
      <c r="C6021">
        <f>IF(Sheet1!B6021&gt;0,1,0)</f>
        <v>0</v>
      </c>
    </row>
    <row r="6022" spans="1:3" x14ac:dyDescent="0.25">
      <c r="A6022" s="15">
        <f>Sheet1!A6022</f>
        <v>0</v>
      </c>
      <c r="B6022">
        <f>Sheet1!B6022</f>
        <v>13.25</v>
      </c>
      <c r="C6022">
        <f>IF(Sheet1!B6022&gt;0,1,0)</f>
        <v>1</v>
      </c>
    </row>
    <row r="6023" spans="1:3" x14ac:dyDescent="0.25">
      <c r="A6023" s="15">
        <f>Sheet1!A6023</f>
        <v>0</v>
      </c>
      <c r="B6023">
        <f>Sheet1!B6023</f>
        <v>0</v>
      </c>
      <c r="C6023">
        <f>IF(Sheet1!B6023&gt;0,1,0)</f>
        <v>0</v>
      </c>
    </row>
    <row r="6024" spans="1:3" x14ac:dyDescent="0.25">
      <c r="A6024" s="15">
        <f>Sheet1!A6024</f>
        <v>0</v>
      </c>
      <c r="B6024">
        <f>Sheet1!B6024</f>
        <v>0</v>
      </c>
      <c r="C6024">
        <f>IF(Sheet1!B6024&gt;0,1,0)</f>
        <v>0</v>
      </c>
    </row>
    <row r="6025" spans="1:3" x14ac:dyDescent="0.25">
      <c r="A6025" s="15">
        <f>Sheet1!A6025</f>
        <v>0</v>
      </c>
      <c r="B6025">
        <f>Sheet1!B6025</f>
        <v>0</v>
      </c>
      <c r="C6025">
        <f>IF(Sheet1!B6025&gt;0,1,0)</f>
        <v>0</v>
      </c>
    </row>
    <row r="6026" spans="1:3" x14ac:dyDescent="0.25">
      <c r="A6026" s="15">
        <f>Sheet1!A6026</f>
        <v>0</v>
      </c>
      <c r="B6026">
        <f>Sheet1!B6026</f>
        <v>9.02</v>
      </c>
      <c r="C6026">
        <f>IF(Sheet1!B6026&gt;0,1,0)</f>
        <v>1</v>
      </c>
    </row>
    <row r="6027" spans="1:3" x14ac:dyDescent="0.25">
      <c r="A6027" s="15">
        <f>Sheet1!A6027</f>
        <v>0</v>
      </c>
      <c r="B6027">
        <f>Sheet1!B6027</f>
        <v>8.4600000000000009</v>
      </c>
      <c r="C6027">
        <f>IF(Sheet1!B6027&gt;0,1,0)</f>
        <v>1</v>
      </c>
    </row>
    <row r="6028" spans="1:3" x14ac:dyDescent="0.25">
      <c r="A6028" s="15">
        <f>Sheet1!A6028</f>
        <v>0</v>
      </c>
      <c r="B6028">
        <f>Sheet1!B6028</f>
        <v>8.17</v>
      </c>
      <c r="C6028">
        <f>IF(Sheet1!B6028&gt;0,1,0)</f>
        <v>1</v>
      </c>
    </row>
    <row r="6029" spans="1:3" x14ac:dyDescent="0.25">
      <c r="A6029" s="15">
        <f>Sheet1!A6029</f>
        <v>0</v>
      </c>
      <c r="B6029">
        <f>Sheet1!B6029</f>
        <v>0</v>
      </c>
      <c r="C6029">
        <f>IF(Sheet1!B6029&gt;0,1,0)</f>
        <v>0</v>
      </c>
    </row>
    <row r="6030" spans="1:3" x14ac:dyDescent="0.25">
      <c r="A6030" s="15">
        <f>Sheet1!A6030</f>
        <v>0</v>
      </c>
      <c r="B6030">
        <f>Sheet1!B6030</f>
        <v>0</v>
      </c>
      <c r="C6030">
        <f>IF(Sheet1!B6030&gt;0,1,0)</f>
        <v>0</v>
      </c>
    </row>
    <row r="6031" spans="1:3" x14ac:dyDescent="0.25">
      <c r="A6031" s="15">
        <f>Sheet1!A6031</f>
        <v>0</v>
      </c>
      <c r="B6031">
        <f>Sheet1!B6031</f>
        <v>0</v>
      </c>
      <c r="C6031">
        <f>IF(Sheet1!B6031&gt;0,1,0)</f>
        <v>0</v>
      </c>
    </row>
    <row r="6032" spans="1:3" x14ac:dyDescent="0.25">
      <c r="A6032" s="15">
        <f>Sheet1!A6032</f>
        <v>0</v>
      </c>
      <c r="B6032">
        <f>Sheet1!B6032</f>
        <v>5.82</v>
      </c>
      <c r="C6032">
        <f>IF(Sheet1!B6032&gt;0,1,0)</f>
        <v>1</v>
      </c>
    </row>
    <row r="6033" spans="1:3" x14ac:dyDescent="0.25">
      <c r="A6033" s="15">
        <f>Sheet1!A6033</f>
        <v>0</v>
      </c>
      <c r="B6033">
        <f>Sheet1!B6033</f>
        <v>0</v>
      </c>
      <c r="C6033">
        <f>IF(Sheet1!B6033&gt;0,1,0)</f>
        <v>0</v>
      </c>
    </row>
    <row r="6034" spans="1:3" x14ac:dyDescent="0.25">
      <c r="A6034" s="15">
        <f>Sheet1!A6034</f>
        <v>0</v>
      </c>
      <c r="B6034">
        <f>Sheet1!B6034</f>
        <v>0</v>
      </c>
      <c r="C6034">
        <f>IF(Sheet1!B6034&gt;0,1,0)</f>
        <v>0</v>
      </c>
    </row>
    <row r="6035" spans="1:3" x14ac:dyDescent="0.25">
      <c r="A6035" s="15">
        <f>Sheet1!A6035</f>
        <v>0</v>
      </c>
      <c r="B6035">
        <f>Sheet1!B6035</f>
        <v>0</v>
      </c>
      <c r="C6035">
        <f>IF(Sheet1!B6035&gt;0,1,0)</f>
        <v>0</v>
      </c>
    </row>
    <row r="6036" spans="1:3" x14ac:dyDescent="0.25">
      <c r="A6036" s="15">
        <f>Sheet1!A6036</f>
        <v>0</v>
      </c>
      <c r="B6036">
        <f>Sheet1!B6036</f>
        <v>0</v>
      </c>
      <c r="C6036">
        <f>IF(Sheet1!B6036&gt;0,1,0)</f>
        <v>0</v>
      </c>
    </row>
    <row r="6037" spans="1:3" x14ac:dyDescent="0.25">
      <c r="A6037" s="15">
        <f>Sheet1!A6037</f>
        <v>0</v>
      </c>
      <c r="B6037">
        <f>Sheet1!B6037</f>
        <v>0</v>
      </c>
      <c r="C6037">
        <f>IF(Sheet1!B6037&gt;0,1,0)</f>
        <v>0</v>
      </c>
    </row>
    <row r="6038" spans="1:3" x14ac:dyDescent="0.25">
      <c r="A6038" s="15">
        <f>Sheet1!A6038</f>
        <v>0</v>
      </c>
      <c r="B6038">
        <f>Sheet1!B6038</f>
        <v>0</v>
      </c>
      <c r="C6038">
        <f>IF(Sheet1!B6038&gt;0,1,0)</f>
        <v>0</v>
      </c>
    </row>
    <row r="6039" spans="1:3" x14ac:dyDescent="0.25">
      <c r="A6039" s="15">
        <f>Sheet1!A6039</f>
        <v>0</v>
      </c>
      <c r="B6039">
        <f>Sheet1!B6039</f>
        <v>0</v>
      </c>
      <c r="C6039">
        <f>IF(Sheet1!B6039&gt;0,1,0)</f>
        <v>0</v>
      </c>
    </row>
    <row r="6040" spans="1:3" x14ac:dyDescent="0.25">
      <c r="A6040" s="15">
        <f>Sheet1!A6040</f>
        <v>0</v>
      </c>
      <c r="B6040">
        <f>Sheet1!B6040</f>
        <v>0</v>
      </c>
      <c r="C6040">
        <f>IF(Sheet1!B6040&gt;0,1,0)</f>
        <v>0</v>
      </c>
    </row>
    <row r="6041" spans="1:3" x14ac:dyDescent="0.25">
      <c r="A6041" s="15">
        <f>Sheet1!A6041</f>
        <v>0</v>
      </c>
      <c r="B6041">
        <f>Sheet1!B6041</f>
        <v>0</v>
      </c>
      <c r="C6041">
        <f>IF(Sheet1!B6041&gt;0,1,0)</f>
        <v>0</v>
      </c>
    </row>
    <row r="6042" spans="1:3" x14ac:dyDescent="0.25">
      <c r="A6042" s="15">
        <f>Sheet1!A6042</f>
        <v>0</v>
      </c>
      <c r="B6042">
        <f>Sheet1!B6042</f>
        <v>12.92</v>
      </c>
      <c r="C6042">
        <f>IF(Sheet1!B6042&gt;0,1,0)</f>
        <v>1</v>
      </c>
    </row>
    <row r="6043" spans="1:3" x14ac:dyDescent="0.25">
      <c r="A6043" s="15">
        <f>Sheet1!A6043</f>
        <v>0</v>
      </c>
      <c r="B6043">
        <f>Sheet1!B6043</f>
        <v>0</v>
      </c>
      <c r="C6043">
        <f>IF(Sheet1!B6043&gt;0,1,0)</f>
        <v>0</v>
      </c>
    </row>
    <row r="6044" spans="1:3" x14ac:dyDescent="0.25">
      <c r="A6044" s="15">
        <f>Sheet1!A6044</f>
        <v>0</v>
      </c>
      <c r="B6044">
        <f>Sheet1!B6044</f>
        <v>0</v>
      </c>
      <c r="C6044">
        <f>IF(Sheet1!B6044&gt;0,1,0)</f>
        <v>0</v>
      </c>
    </row>
    <row r="6045" spans="1:3" x14ac:dyDescent="0.25">
      <c r="A6045" s="15">
        <f>Sheet1!A6045</f>
        <v>0</v>
      </c>
      <c r="B6045">
        <f>Sheet1!B6045</f>
        <v>0</v>
      </c>
      <c r="C6045">
        <f>IF(Sheet1!B6045&gt;0,1,0)</f>
        <v>0</v>
      </c>
    </row>
    <row r="6046" spans="1:3" x14ac:dyDescent="0.25">
      <c r="A6046" s="15">
        <f>Sheet1!A6046</f>
        <v>0</v>
      </c>
      <c r="B6046">
        <f>Sheet1!B6046</f>
        <v>12.89</v>
      </c>
      <c r="C6046">
        <f>IF(Sheet1!B6046&gt;0,1,0)</f>
        <v>1</v>
      </c>
    </row>
    <row r="6047" spans="1:3" x14ac:dyDescent="0.25">
      <c r="A6047" s="15">
        <f>Sheet1!A6047</f>
        <v>0</v>
      </c>
      <c r="B6047">
        <f>Sheet1!B6047</f>
        <v>0</v>
      </c>
      <c r="C6047">
        <f>IF(Sheet1!B6047&gt;0,1,0)</f>
        <v>0</v>
      </c>
    </row>
    <row r="6048" spans="1:3" x14ac:dyDescent="0.25">
      <c r="A6048" s="15">
        <f>Sheet1!A6048</f>
        <v>0</v>
      </c>
      <c r="B6048">
        <f>Sheet1!B6048</f>
        <v>0</v>
      </c>
      <c r="C6048">
        <f>IF(Sheet1!B6048&gt;0,1,0)</f>
        <v>0</v>
      </c>
    </row>
    <row r="6049" spans="1:3" x14ac:dyDescent="0.25">
      <c r="A6049" s="15">
        <f>Sheet1!A6049</f>
        <v>0</v>
      </c>
      <c r="B6049">
        <f>Sheet1!B6049</f>
        <v>0</v>
      </c>
      <c r="C6049">
        <f>IF(Sheet1!B6049&gt;0,1,0)</f>
        <v>0</v>
      </c>
    </row>
    <row r="6050" spans="1:3" x14ac:dyDescent="0.25">
      <c r="A6050" s="15">
        <f>Sheet1!A6050</f>
        <v>0</v>
      </c>
      <c r="B6050">
        <f>Sheet1!B6050</f>
        <v>8.82</v>
      </c>
      <c r="C6050">
        <f>IF(Sheet1!B6050&gt;0,1,0)</f>
        <v>1</v>
      </c>
    </row>
    <row r="6051" spans="1:3" x14ac:dyDescent="0.25">
      <c r="A6051" s="15">
        <f>Sheet1!A6051</f>
        <v>0</v>
      </c>
      <c r="B6051">
        <f>Sheet1!B6051</f>
        <v>8.68</v>
      </c>
      <c r="C6051">
        <f>IF(Sheet1!B6051&gt;0,1,0)</f>
        <v>1</v>
      </c>
    </row>
    <row r="6052" spans="1:3" x14ac:dyDescent="0.25">
      <c r="A6052" s="15">
        <f>Sheet1!A6052</f>
        <v>0</v>
      </c>
      <c r="B6052">
        <f>Sheet1!B6052</f>
        <v>9.6</v>
      </c>
      <c r="C6052">
        <f>IF(Sheet1!B6052&gt;0,1,0)</f>
        <v>1</v>
      </c>
    </row>
    <row r="6053" spans="1:3" x14ac:dyDescent="0.25">
      <c r="A6053" s="15">
        <f>Sheet1!A6053</f>
        <v>0</v>
      </c>
      <c r="B6053">
        <f>Sheet1!B6053</f>
        <v>9</v>
      </c>
      <c r="C6053">
        <f>IF(Sheet1!B6053&gt;0,1,0)</f>
        <v>1</v>
      </c>
    </row>
    <row r="6054" spans="1:3" x14ac:dyDescent="0.25">
      <c r="A6054" s="15">
        <f>Sheet1!A6054</f>
        <v>0</v>
      </c>
      <c r="B6054">
        <f>Sheet1!B6054</f>
        <v>8.8800000000000008</v>
      </c>
      <c r="C6054">
        <f>IF(Sheet1!B6054&gt;0,1,0)</f>
        <v>1</v>
      </c>
    </row>
    <row r="6055" spans="1:3" x14ac:dyDescent="0.25">
      <c r="A6055" s="15">
        <f>Sheet1!A6055</f>
        <v>0</v>
      </c>
      <c r="B6055">
        <f>Sheet1!B6055</f>
        <v>3.06</v>
      </c>
      <c r="C6055">
        <f>IF(Sheet1!B6055&gt;0,1,0)</f>
        <v>1</v>
      </c>
    </row>
    <row r="6056" spans="1:3" x14ac:dyDescent="0.25">
      <c r="A6056" s="15">
        <f>Sheet1!A6056</f>
        <v>0</v>
      </c>
      <c r="B6056">
        <f>Sheet1!B6056</f>
        <v>0</v>
      </c>
      <c r="C6056">
        <f>IF(Sheet1!B6056&gt;0,1,0)</f>
        <v>0</v>
      </c>
    </row>
    <row r="6057" spans="1:3" x14ac:dyDescent="0.25">
      <c r="A6057" s="15">
        <f>Sheet1!A6057</f>
        <v>0</v>
      </c>
      <c r="B6057">
        <f>Sheet1!B6057</f>
        <v>0</v>
      </c>
      <c r="C6057">
        <f>IF(Sheet1!B6057&gt;0,1,0)</f>
        <v>0</v>
      </c>
    </row>
    <row r="6058" spans="1:3" x14ac:dyDescent="0.25">
      <c r="A6058" s="15">
        <f>Sheet1!A6058</f>
        <v>0</v>
      </c>
      <c r="B6058">
        <f>Sheet1!B6058</f>
        <v>13.03</v>
      </c>
      <c r="C6058">
        <f>IF(Sheet1!B6058&gt;0,1,0)</f>
        <v>1</v>
      </c>
    </row>
    <row r="6059" spans="1:3" x14ac:dyDescent="0.25">
      <c r="A6059" s="15">
        <f>Sheet1!A6059</f>
        <v>0</v>
      </c>
      <c r="B6059">
        <f>Sheet1!B6059</f>
        <v>0</v>
      </c>
      <c r="C6059">
        <f>IF(Sheet1!B6059&gt;0,1,0)</f>
        <v>0</v>
      </c>
    </row>
    <row r="6060" spans="1:3" x14ac:dyDescent="0.25">
      <c r="A6060" s="15">
        <f>Sheet1!A6060</f>
        <v>0</v>
      </c>
      <c r="B6060">
        <f>Sheet1!B6060</f>
        <v>0</v>
      </c>
      <c r="C6060">
        <f>IF(Sheet1!B6060&gt;0,1,0)</f>
        <v>0</v>
      </c>
    </row>
    <row r="6061" spans="1:3" x14ac:dyDescent="0.25">
      <c r="A6061" s="15">
        <f>Sheet1!A6061</f>
        <v>0</v>
      </c>
      <c r="B6061">
        <f>Sheet1!B6061</f>
        <v>0</v>
      </c>
      <c r="C6061">
        <f>IF(Sheet1!B6061&gt;0,1,0)</f>
        <v>0</v>
      </c>
    </row>
    <row r="6062" spans="1:3" x14ac:dyDescent="0.25">
      <c r="A6062" s="15">
        <f>Sheet1!A6062</f>
        <v>0</v>
      </c>
      <c r="B6062">
        <f>Sheet1!B6062</f>
        <v>0</v>
      </c>
      <c r="C6062">
        <f>IF(Sheet1!B6062&gt;0,1,0)</f>
        <v>0</v>
      </c>
    </row>
    <row r="6063" spans="1:3" x14ac:dyDescent="0.25">
      <c r="A6063" s="15">
        <f>Sheet1!A6063</f>
        <v>0</v>
      </c>
      <c r="B6063">
        <f>Sheet1!B6063</f>
        <v>14.02</v>
      </c>
      <c r="C6063">
        <f>IF(Sheet1!B6063&gt;0,1,0)</f>
        <v>1</v>
      </c>
    </row>
    <row r="6064" spans="1:3" x14ac:dyDescent="0.25">
      <c r="A6064" s="15">
        <f>Sheet1!A6064</f>
        <v>0</v>
      </c>
      <c r="B6064">
        <f>Sheet1!B6064</f>
        <v>0</v>
      </c>
      <c r="C6064">
        <f>IF(Sheet1!B6064&gt;0,1,0)</f>
        <v>0</v>
      </c>
    </row>
    <row r="6065" spans="1:3" x14ac:dyDescent="0.25">
      <c r="A6065" s="15">
        <f>Sheet1!A6065</f>
        <v>0</v>
      </c>
      <c r="B6065">
        <f>Sheet1!B6065</f>
        <v>0</v>
      </c>
      <c r="C6065">
        <f>IF(Sheet1!B6065&gt;0,1,0)</f>
        <v>0</v>
      </c>
    </row>
    <row r="6066" spans="1:3" x14ac:dyDescent="0.25">
      <c r="A6066" s="15">
        <f>Sheet1!A6066</f>
        <v>0</v>
      </c>
      <c r="B6066">
        <f>Sheet1!B6066</f>
        <v>11.93</v>
      </c>
      <c r="C6066">
        <f>IF(Sheet1!B6066&gt;0,1,0)</f>
        <v>1</v>
      </c>
    </row>
    <row r="6067" spans="1:3" x14ac:dyDescent="0.25">
      <c r="A6067" s="15">
        <f>Sheet1!A6067</f>
        <v>0</v>
      </c>
      <c r="B6067">
        <f>Sheet1!B6067</f>
        <v>0</v>
      </c>
      <c r="C6067">
        <f>IF(Sheet1!B6067&gt;0,1,0)</f>
        <v>0</v>
      </c>
    </row>
    <row r="6068" spans="1:3" x14ac:dyDescent="0.25">
      <c r="A6068" s="15">
        <f>Sheet1!A6068</f>
        <v>0</v>
      </c>
      <c r="B6068">
        <f>Sheet1!B6068</f>
        <v>0</v>
      </c>
      <c r="C6068">
        <f>IF(Sheet1!B6068&gt;0,1,0)</f>
        <v>0</v>
      </c>
    </row>
    <row r="6069" spans="1:3" x14ac:dyDescent="0.25">
      <c r="A6069" s="15">
        <f>Sheet1!A6069</f>
        <v>0</v>
      </c>
      <c r="B6069">
        <f>Sheet1!B6069</f>
        <v>0</v>
      </c>
      <c r="C6069">
        <f>IF(Sheet1!B6069&gt;0,1,0)</f>
        <v>0</v>
      </c>
    </row>
    <row r="6070" spans="1:3" x14ac:dyDescent="0.25">
      <c r="A6070" s="15">
        <f>Sheet1!A6070</f>
        <v>0</v>
      </c>
      <c r="B6070">
        <f>Sheet1!B6070</f>
        <v>0</v>
      </c>
      <c r="C6070">
        <f>IF(Sheet1!B6070&gt;0,1,0)</f>
        <v>0</v>
      </c>
    </row>
    <row r="6071" spans="1:3" x14ac:dyDescent="0.25">
      <c r="A6071" s="15">
        <f>Sheet1!A6071</f>
        <v>0</v>
      </c>
      <c r="B6071">
        <f>Sheet1!B6071</f>
        <v>0</v>
      </c>
      <c r="C6071">
        <f>IF(Sheet1!B6071&gt;0,1,0)</f>
        <v>0</v>
      </c>
    </row>
    <row r="6072" spans="1:3" x14ac:dyDescent="0.25">
      <c r="A6072" s="15">
        <f>Sheet1!A6072</f>
        <v>0</v>
      </c>
      <c r="B6072">
        <f>Sheet1!B6072</f>
        <v>10.039999999999999</v>
      </c>
      <c r="C6072">
        <f>IF(Sheet1!B6072&gt;0,1,0)</f>
        <v>1</v>
      </c>
    </row>
    <row r="6073" spans="1:3" x14ac:dyDescent="0.25">
      <c r="A6073" s="15">
        <f>Sheet1!A6073</f>
        <v>0</v>
      </c>
      <c r="B6073">
        <f>Sheet1!B6073</f>
        <v>0</v>
      </c>
      <c r="C6073">
        <f>IF(Sheet1!B6073&gt;0,1,0)</f>
        <v>0</v>
      </c>
    </row>
    <row r="6074" spans="1:3" x14ac:dyDescent="0.25">
      <c r="A6074" s="15">
        <f>Sheet1!A6074</f>
        <v>0</v>
      </c>
      <c r="B6074">
        <f>Sheet1!B6074</f>
        <v>0</v>
      </c>
      <c r="C6074">
        <f>IF(Sheet1!B6074&gt;0,1,0)</f>
        <v>0</v>
      </c>
    </row>
    <row r="6075" spans="1:3" x14ac:dyDescent="0.25">
      <c r="A6075" s="15">
        <f>Sheet1!A6075</f>
        <v>0</v>
      </c>
      <c r="B6075">
        <f>Sheet1!B6075</f>
        <v>0</v>
      </c>
      <c r="C6075">
        <f>IF(Sheet1!B6075&gt;0,1,0)</f>
        <v>0</v>
      </c>
    </row>
    <row r="6076" spans="1:3" x14ac:dyDescent="0.25">
      <c r="A6076" s="15">
        <f>Sheet1!A6076</f>
        <v>0</v>
      </c>
      <c r="B6076">
        <f>Sheet1!B6076</f>
        <v>9.81</v>
      </c>
      <c r="C6076">
        <f>IF(Sheet1!B6076&gt;0,1,0)</f>
        <v>1</v>
      </c>
    </row>
    <row r="6077" spans="1:3" x14ac:dyDescent="0.25">
      <c r="A6077" s="15">
        <f>Sheet1!A6077</f>
        <v>0</v>
      </c>
      <c r="B6077">
        <f>Sheet1!B6077</f>
        <v>0</v>
      </c>
      <c r="C6077">
        <f>IF(Sheet1!B6077&gt;0,1,0)</f>
        <v>0</v>
      </c>
    </row>
    <row r="6078" spans="1:3" x14ac:dyDescent="0.25">
      <c r="A6078" s="15">
        <f>Sheet1!A6078</f>
        <v>0</v>
      </c>
      <c r="B6078">
        <f>Sheet1!B6078</f>
        <v>0</v>
      </c>
      <c r="C6078">
        <f>IF(Sheet1!B6078&gt;0,1,0)</f>
        <v>0</v>
      </c>
    </row>
    <row r="6079" spans="1:3" x14ac:dyDescent="0.25">
      <c r="A6079" s="15">
        <f>Sheet1!A6079</f>
        <v>0</v>
      </c>
      <c r="B6079">
        <f>Sheet1!B6079</f>
        <v>0</v>
      </c>
      <c r="C6079">
        <f>IF(Sheet1!B6079&gt;0,1,0)</f>
        <v>0</v>
      </c>
    </row>
    <row r="6080" spans="1:3" x14ac:dyDescent="0.25">
      <c r="A6080" s="15">
        <f>Sheet1!A6080</f>
        <v>0</v>
      </c>
      <c r="B6080">
        <f>Sheet1!B6080</f>
        <v>10.92</v>
      </c>
      <c r="C6080">
        <f>IF(Sheet1!B6080&gt;0,1,0)</f>
        <v>1</v>
      </c>
    </row>
    <row r="6081" spans="1:3" x14ac:dyDescent="0.25">
      <c r="A6081" s="15">
        <f>Sheet1!A6081</f>
        <v>0</v>
      </c>
      <c r="B6081">
        <f>Sheet1!B6081</f>
        <v>10.61</v>
      </c>
      <c r="C6081">
        <f>IF(Sheet1!B6081&gt;0,1,0)</f>
        <v>1</v>
      </c>
    </row>
    <row r="6082" spans="1:3" x14ac:dyDescent="0.25">
      <c r="A6082" s="15">
        <f>Sheet1!A6082</f>
        <v>0</v>
      </c>
      <c r="B6082">
        <f>Sheet1!B6082</f>
        <v>11.37</v>
      </c>
      <c r="C6082">
        <f>IF(Sheet1!B6082&gt;0,1,0)</f>
        <v>1</v>
      </c>
    </row>
    <row r="6083" spans="1:3" x14ac:dyDescent="0.25">
      <c r="A6083" s="15">
        <f>Sheet1!A6083</f>
        <v>0</v>
      </c>
      <c r="B6083">
        <f>Sheet1!B6083</f>
        <v>0</v>
      </c>
      <c r="C6083">
        <f>IF(Sheet1!B6083&gt;0,1,0)</f>
        <v>0</v>
      </c>
    </row>
    <row r="6084" spans="1:3" x14ac:dyDescent="0.25">
      <c r="A6084" s="15">
        <f>Sheet1!A6084</f>
        <v>0</v>
      </c>
      <c r="B6084">
        <f>Sheet1!B6084</f>
        <v>0</v>
      </c>
      <c r="C6084">
        <f>IF(Sheet1!B6084&gt;0,1,0)</f>
        <v>0</v>
      </c>
    </row>
    <row r="6085" spans="1:3" x14ac:dyDescent="0.25">
      <c r="A6085" s="15">
        <f>Sheet1!A6085</f>
        <v>0</v>
      </c>
      <c r="B6085">
        <f>Sheet1!B6085</f>
        <v>0</v>
      </c>
      <c r="C6085">
        <f>IF(Sheet1!B6085&gt;0,1,0)</f>
        <v>0</v>
      </c>
    </row>
    <row r="6086" spans="1:3" x14ac:dyDescent="0.25">
      <c r="A6086" s="15">
        <f>Sheet1!A6086</f>
        <v>0</v>
      </c>
      <c r="B6086">
        <f>Sheet1!B6086</f>
        <v>14.19</v>
      </c>
      <c r="C6086">
        <f>IF(Sheet1!B6086&gt;0,1,0)</f>
        <v>1</v>
      </c>
    </row>
    <row r="6087" spans="1:3" x14ac:dyDescent="0.25">
      <c r="A6087" s="15">
        <f>Sheet1!A6087</f>
        <v>0</v>
      </c>
      <c r="B6087">
        <f>Sheet1!B6087</f>
        <v>5.24</v>
      </c>
      <c r="C6087">
        <f>IF(Sheet1!B6087&gt;0,1,0)</f>
        <v>1</v>
      </c>
    </row>
    <row r="6088" spans="1:3" x14ac:dyDescent="0.25">
      <c r="A6088" s="15">
        <f>Sheet1!A6088</f>
        <v>0</v>
      </c>
      <c r="B6088">
        <f>Sheet1!B6088</f>
        <v>0</v>
      </c>
      <c r="C6088">
        <f>IF(Sheet1!B6088&gt;0,1,0)</f>
        <v>0</v>
      </c>
    </row>
    <row r="6089" spans="1:3" x14ac:dyDescent="0.25">
      <c r="A6089" s="15">
        <f>Sheet1!A6089</f>
        <v>0</v>
      </c>
      <c r="B6089">
        <f>Sheet1!B6089</f>
        <v>0</v>
      </c>
      <c r="C6089">
        <f>IF(Sheet1!B6089&gt;0,1,0)</f>
        <v>0</v>
      </c>
    </row>
    <row r="6090" spans="1:3" x14ac:dyDescent="0.25">
      <c r="A6090" s="15">
        <f>Sheet1!A6090</f>
        <v>0</v>
      </c>
      <c r="B6090">
        <f>Sheet1!B6090</f>
        <v>0</v>
      </c>
      <c r="C6090">
        <f>IF(Sheet1!B6090&gt;0,1,0)</f>
        <v>0</v>
      </c>
    </row>
    <row r="6091" spans="1:3" x14ac:dyDescent="0.25">
      <c r="A6091" s="15">
        <f>Sheet1!A6091</f>
        <v>0</v>
      </c>
      <c r="B6091">
        <f>Sheet1!B6091</f>
        <v>0</v>
      </c>
      <c r="C6091">
        <f>IF(Sheet1!B6091&gt;0,1,0)</f>
        <v>0</v>
      </c>
    </row>
    <row r="6092" spans="1:3" x14ac:dyDescent="0.25">
      <c r="A6092" s="15">
        <f>Sheet1!A6092</f>
        <v>0</v>
      </c>
      <c r="B6092">
        <f>Sheet1!B6092</f>
        <v>0</v>
      </c>
      <c r="C6092">
        <f>IF(Sheet1!B6092&gt;0,1,0)</f>
        <v>0</v>
      </c>
    </row>
    <row r="6093" spans="1:3" x14ac:dyDescent="0.25">
      <c r="A6093" s="15">
        <f>Sheet1!A6093</f>
        <v>0</v>
      </c>
      <c r="B6093">
        <f>Sheet1!B6093</f>
        <v>0</v>
      </c>
      <c r="C6093">
        <f>IF(Sheet1!B6093&gt;0,1,0)</f>
        <v>0</v>
      </c>
    </row>
    <row r="6094" spans="1:3" x14ac:dyDescent="0.25">
      <c r="A6094" s="15">
        <f>Sheet1!A6094</f>
        <v>0</v>
      </c>
      <c r="B6094">
        <f>Sheet1!B6094</f>
        <v>0</v>
      </c>
      <c r="C6094">
        <f>IF(Sheet1!B6094&gt;0,1,0)</f>
        <v>0</v>
      </c>
    </row>
    <row r="6095" spans="1:3" x14ac:dyDescent="0.25">
      <c r="A6095" s="15">
        <f>Sheet1!A6095</f>
        <v>0</v>
      </c>
      <c r="B6095">
        <f>Sheet1!B6095</f>
        <v>0</v>
      </c>
      <c r="C6095">
        <f>IF(Sheet1!B6095&gt;0,1,0)</f>
        <v>0</v>
      </c>
    </row>
    <row r="6096" spans="1:3" x14ac:dyDescent="0.25">
      <c r="A6096" s="15">
        <f>Sheet1!A6096</f>
        <v>0</v>
      </c>
      <c r="B6096">
        <f>Sheet1!B6096</f>
        <v>13.9</v>
      </c>
      <c r="C6096">
        <f>IF(Sheet1!B6096&gt;0,1,0)</f>
        <v>1</v>
      </c>
    </row>
    <row r="6097" spans="1:3" x14ac:dyDescent="0.25">
      <c r="A6097" s="15">
        <f>Sheet1!A6097</f>
        <v>0</v>
      </c>
      <c r="B6097">
        <f>Sheet1!B6097</f>
        <v>0</v>
      </c>
      <c r="C6097">
        <f>IF(Sheet1!B6097&gt;0,1,0)</f>
        <v>0</v>
      </c>
    </row>
    <row r="6098" spans="1:3" x14ac:dyDescent="0.25">
      <c r="A6098" s="15">
        <f>Sheet1!A6098</f>
        <v>0</v>
      </c>
      <c r="B6098">
        <f>Sheet1!B6098</f>
        <v>0</v>
      </c>
      <c r="C6098">
        <f>IF(Sheet1!B6098&gt;0,1,0)</f>
        <v>0</v>
      </c>
    </row>
    <row r="6099" spans="1:3" x14ac:dyDescent="0.25">
      <c r="A6099" s="15">
        <f>Sheet1!A6099</f>
        <v>0</v>
      </c>
      <c r="B6099">
        <f>Sheet1!B6099</f>
        <v>0</v>
      </c>
      <c r="C6099">
        <f>IF(Sheet1!B6099&gt;0,1,0)</f>
        <v>0</v>
      </c>
    </row>
    <row r="6100" spans="1:3" x14ac:dyDescent="0.25">
      <c r="A6100" s="15">
        <f>Sheet1!A6100</f>
        <v>0</v>
      </c>
      <c r="B6100">
        <f>Sheet1!B6100</f>
        <v>8.6300000000000008</v>
      </c>
      <c r="C6100">
        <f>IF(Sheet1!B6100&gt;0,1,0)</f>
        <v>1</v>
      </c>
    </row>
    <row r="6101" spans="1:3" x14ac:dyDescent="0.25">
      <c r="A6101" s="15">
        <f>Sheet1!A6101</f>
        <v>0</v>
      </c>
      <c r="B6101">
        <f>Sheet1!B6101</f>
        <v>0</v>
      </c>
      <c r="C6101">
        <f>IF(Sheet1!B6101&gt;0,1,0)</f>
        <v>0</v>
      </c>
    </row>
    <row r="6102" spans="1:3" x14ac:dyDescent="0.25">
      <c r="A6102" s="15">
        <f>Sheet1!A6102</f>
        <v>0</v>
      </c>
      <c r="B6102">
        <f>Sheet1!B6102</f>
        <v>0</v>
      </c>
      <c r="C6102">
        <f>IF(Sheet1!B6102&gt;0,1,0)</f>
        <v>0</v>
      </c>
    </row>
    <row r="6103" spans="1:3" x14ac:dyDescent="0.25">
      <c r="A6103" s="15">
        <f>Sheet1!A6103</f>
        <v>0</v>
      </c>
      <c r="B6103">
        <f>Sheet1!B6103</f>
        <v>0</v>
      </c>
      <c r="C6103">
        <f>IF(Sheet1!B6103&gt;0,1,0)</f>
        <v>0</v>
      </c>
    </row>
    <row r="6104" spans="1:3" x14ac:dyDescent="0.25">
      <c r="A6104" s="15">
        <f>Sheet1!A6104</f>
        <v>0</v>
      </c>
      <c r="B6104">
        <f>Sheet1!B6104</f>
        <v>9.5</v>
      </c>
      <c r="C6104">
        <f>IF(Sheet1!B6104&gt;0,1,0)</f>
        <v>1</v>
      </c>
    </row>
    <row r="6105" spans="1:3" x14ac:dyDescent="0.25">
      <c r="A6105" s="15">
        <f>Sheet1!A6105</f>
        <v>0</v>
      </c>
      <c r="B6105">
        <f>Sheet1!B6105</f>
        <v>0</v>
      </c>
      <c r="C6105">
        <f>IF(Sheet1!B6105&gt;0,1,0)</f>
        <v>0</v>
      </c>
    </row>
    <row r="6106" spans="1:3" x14ac:dyDescent="0.25">
      <c r="A6106" s="15">
        <f>Sheet1!A6106</f>
        <v>0</v>
      </c>
      <c r="B6106">
        <f>Sheet1!B6106</f>
        <v>0</v>
      </c>
      <c r="C6106">
        <f>IF(Sheet1!B6106&gt;0,1,0)</f>
        <v>0</v>
      </c>
    </row>
    <row r="6107" spans="1:3" x14ac:dyDescent="0.25">
      <c r="A6107" s="15">
        <f>Sheet1!A6107</f>
        <v>0</v>
      </c>
      <c r="B6107">
        <f>Sheet1!B6107</f>
        <v>0</v>
      </c>
      <c r="C6107">
        <f>IF(Sheet1!B6107&gt;0,1,0)</f>
        <v>0</v>
      </c>
    </row>
    <row r="6108" spans="1:3" x14ac:dyDescent="0.25">
      <c r="A6108" s="15">
        <f>Sheet1!A6108</f>
        <v>0</v>
      </c>
      <c r="B6108">
        <f>Sheet1!B6108</f>
        <v>0</v>
      </c>
      <c r="C6108">
        <f>IF(Sheet1!B6108&gt;0,1,0)</f>
        <v>0</v>
      </c>
    </row>
    <row r="6109" spans="1:3" x14ac:dyDescent="0.25">
      <c r="A6109" s="15">
        <f>Sheet1!A6109</f>
        <v>0</v>
      </c>
      <c r="B6109">
        <f>Sheet1!B6109</f>
        <v>0</v>
      </c>
      <c r="C6109">
        <f>IF(Sheet1!B6109&gt;0,1,0)</f>
        <v>0</v>
      </c>
    </row>
    <row r="6110" spans="1:3" x14ac:dyDescent="0.25">
      <c r="A6110" s="15">
        <f>Sheet1!A6110</f>
        <v>0</v>
      </c>
      <c r="B6110">
        <f>Sheet1!B6110</f>
        <v>9.74</v>
      </c>
      <c r="C6110">
        <f>IF(Sheet1!B6110&gt;0,1,0)</f>
        <v>1</v>
      </c>
    </row>
    <row r="6111" spans="1:3" x14ac:dyDescent="0.25">
      <c r="A6111" s="15">
        <f>Sheet1!A6111</f>
        <v>0</v>
      </c>
      <c r="B6111">
        <f>Sheet1!B6111</f>
        <v>0</v>
      </c>
      <c r="C6111">
        <f>IF(Sheet1!B6111&gt;0,1,0)</f>
        <v>0</v>
      </c>
    </row>
    <row r="6112" spans="1:3" x14ac:dyDescent="0.25">
      <c r="A6112" s="15">
        <f>Sheet1!A6112</f>
        <v>0</v>
      </c>
      <c r="B6112">
        <f>Sheet1!B6112</f>
        <v>0</v>
      </c>
      <c r="C6112">
        <f>IF(Sheet1!B6112&gt;0,1,0)</f>
        <v>0</v>
      </c>
    </row>
    <row r="6113" spans="1:3" x14ac:dyDescent="0.25">
      <c r="A6113" s="15">
        <f>Sheet1!A6113</f>
        <v>0</v>
      </c>
      <c r="B6113">
        <f>Sheet1!B6113</f>
        <v>0</v>
      </c>
      <c r="C6113">
        <f>IF(Sheet1!B6113&gt;0,1,0)</f>
        <v>0</v>
      </c>
    </row>
    <row r="6114" spans="1:3" x14ac:dyDescent="0.25">
      <c r="A6114" s="15">
        <f>Sheet1!A6114</f>
        <v>0</v>
      </c>
      <c r="B6114">
        <f>Sheet1!B6114</f>
        <v>0</v>
      </c>
      <c r="C6114">
        <f>IF(Sheet1!B6114&gt;0,1,0)</f>
        <v>0</v>
      </c>
    </row>
    <row r="6115" spans="1:3" x14ac:dyDescent="0.25">
      <c r="A6115" s="15">
        <f>Sheet1!A6115</f>
        <v>0</v>
      </c>
      <c r="B6115">
        <f>Sheet1!B6115</f>
        <v>0</v>
      </c>
      <c r="C6115">
        <f>IF(Sheet1!B6115&gt;0,1,0)</f>
        <v>0</v>
      </c>
    </row>
    <row r="6116" spans="1:3" x14ac:dyDescent="0.25">
      <c r="A6116" s="15">
        <f>Sheet1!A6116</f>
        <v>0</v>
      </c>
      <c r="B6116">
        <f>Sheet1!B6116</f>
        <v>10.3</v>
      </c>
      <c r="C6116">
        <f>IF(Sheet1!B6116&gt;0,1,0)</f>
        <v>1</v>
      </c>
    </row>
    <row r="6117" spans="1:3" x14ac:dyDescent="0.25">
      <c r="A6117" s="15">
        <f>Sheet1!A6117</f>
        <v>0</v>
      </c>
      <c r="B6117">
        <f>Sheet1!B6117</f>
        <v>0</v>
      </c>
      <c r="C6117">
        <f>IF(Sheet1!B6117&gt;0,1,0)</f>
        <v>0</v>
      </c>
    </row>
    <row r="6118" spans="1:3" x14ac:dyDescent="0.25">
      <c r="A6118" s="15">
        <f>Sheet1!A6118</f>
        <v>0</v>
      </c>
      <c r="B6118">
        <f>Sheet1!B6118</f>
        <v>0</v>
      </c>
      <c r="C6118">
        <f>IF(Sheet1!B6118&gt;0,1,0)</f>
        <v>0</v>
      </c>
    </row>
    <row r="6119" spans="1:3" x14ac:dyDescent="0.25">
      <c r="A6119" s="15">
        <f>Sheet1!A6119</f>
        <v>0</v>
      </c>
      <c r="B6119">
        <f>Sheet1!B6119</f>
        <v>0</v>
      </c>
      <c r="C6119">
        <f>IF(Sheet1!B6119&gt;0,1,0)</f>
        <v>0</v>
      </c>
    </row>
    <row r="6120" spans="1:3" x14ac:dyDescent="0.25">
      <c r="A6120" s="15">
        <f>Sheet1!A6120</f>
        <v>0</v>
      </c>
      <c r="B6120">
        <f>Sheet1!B6120</f>
        <v>8.9499999999999993</v>
      </c>
      <c r="C6120">
        <f>IF(Sheet1!B6120&gt;0,1,0)</f>
        <v>1</v>
      </c>
    </row>
    <row r="6121" spans="1:3" x14ac:dyDescent="0.25">
      <c r="A6121" s="15">
        <f>Sheet1!A6121</f>
        <v>0</v>
      </c>
      <c r="B6121">
        <f>Sheet1!B6121</f>
        <v>0</v>
      </c>
      <c r="C6121">
        <f>IF(Sheet1!B6121&gt;0,1,0)</f>
        <v>0</v>
      </c>
    </row>
    <row r="6122" spans="1:3" x14ac:dyDescent="0.25">
      <c r="A6122" s="15">
        <f>Sheet1!A6122</f>
        <v>0</v>
      </c>
      <c r="B6122">
        <f>Sheet1!B6122</f>
        <v>0</v>
      </c>
      <c r="C6122">
        <f>IF(Sheet1!B6122&gt;0,1,0)</f>
        <v>0</v>
      </c>
    </row>
    <row r="6123" spans="1:3" x14ac:dyDescent="0.25">
      <c r="A6123" s="15">
        <f>Sheet1!A6123</f>
        <v>0</v>
      </c>
      <c r="B6123">
        <f>Sheet1!B6123</f>
        <v>0</v>
      </c>
      <c r="C6123">
        <f>IF(Sheet1!B6123&gt;0,1,0)</f>
        <v>0</v>
      </c>
    </row>
    <row r="6124" spans="1:3" x14ac:dyDescent="0.25">
      <c r="A6124" s="15">
        <f>Sheet1!A6124</f>
        <v>0</v>
      </c>
      <c r="B6124">
        <f>Sheet1!B6124</f>
        <v>10.039999999999999</v>
      </c>
      <c r="C6124">
        <f>IF(Sheet1!B6124&gt;0,1,0)</f>
        <v>1</v>
      </c>
    </row>
    <row r="6125" spans="1:3" x14ac:dyDescent="0.25">
      <c r="A6125" s="15">
        <f>Sheet1!A6125</f>
        <v>0</v>
      </c>
      <c r="B6125">
        <f>Sheet1!B6125</f>
        <v>1.72</v>
      </c>
      <c r="C6125">
        <f>IF(Sheet1!B6125&gt;0,1,0)</f>
        <v>1</v>
      </c>
    </row>
    <row r="6126" spans="1:3" x14ac:dyDescent="0.25">
      <c r="A6126" s="15">
        <f>Sheet1!A6126</f>
        <v>0</v>
      </c>
      <c r="B6126">
        <f>Sheet1!B6126</f>
        <v>8.24</v>
      </c>
      <c r="C6126">
        <f>IF(Sheet1!B6126&gt;0,1,0)</f>
        <v>1</v>
      </c>
    </row>
    <row r="6127" spans="1:3" x14ac:dyDescent="0.25">
      <c r="A6127" s="15">
        <f>Sheet1!A6127</f>
        <v>0</v>
      </c>
      <c r="B6127">
        <f>Sheet1!B6127</f>
        <v>0</v>
      </c>
      <c r="C6127">
        <f>IF(Sheet1!B6127&gt;0,1,0)</f>
        <v>0</v>
      </c>
    </row>
    <row r="6128" spans="1:3" x14ac:dyDescent="0.25">
      <c r="A6128" s="15">
        <f>Sheet1!A6128</f>
        <v>0</v>
      </c>
      <c r="B6128">
        <f>Sheet1!B6128</f>
        <v>0</v>
      </c>
      <c r="C6128">
        <f>IF(Sheet1!B6128&gt;0,1,0)</f>
        <v>0</v>
      </c>
    </row>
    <row r="6129" spans="1:3" x14ac:dyDescent="0.25">
      <c r="A6129" s="15">
        <f>Sheet1!A6129</f>
        <v>0</v>
      </c>
      <c r="B6129">
        <f>Sheet1!B6129</f>
        <v>0</v>
      </c>
      <c r="C6129">
        <f>IF(Sheet1!B6129&gt;0,1,0)</f>
        <v>0</v>
      </c>
    </row>
    <row r="6130" spans="1:3" x14ac:dyDescent="0.25">
      <c r="A6130" s="15">
        <f>Sheet1!A6130</f>
        <v>0</v>
      </c>
      <c r="B6130">
        <f>Sheet1!B6130</f>
        <v>0</v>
      </c>
      <c r="C6130">
        <f>IF(Sheet1!B6130&gt;0,1,0)</f>
        <v>0</v>
      </c>
    </row>
    <row r="6131" spans="1:3" x14ac:dyDescent="0.25">
      <c r="A6131" s="15">
        <f>Sheet1!A6131</f>
        <v>0</v>
      </c>
      <c r="B6131">
        <f>Sheet1!B6131</f>
        <v>0</v>
      </c>
      <c r="C6131">
        <f>IF(Sheet1!B6131&gt;0,1,0)</f>
        <v>0</v>
      </c>
    </row>
    <row r="6132" spans="1:3" x14ac:dyDescent="0.25">
      <c r="A6132" s="15">
        <f>Sheet1!A6132</f>
        <v>0</v>
      </c>
      <c r="B6132">
        <f>Sheet1!B6132</f>
        <v>0</v>
      </c>
      <c r="C6132">
        <f>IF(Sheet1!B6132&gt;0,1,0)</f>
        <v>0</v>
      </c>
    </row>
    <row r="6133" spans="1:3" x14ac:dyDescent="0.25">
      <c r="A6133" s="15">
        <f>Sheet1!A6133</f>
        <v>0</v>
      </c>
      <c r="B6133">
        <f>Sheet1!B6133</f>
        <v>0</v>
      </c>
      <c r="C6133">
        <f>IF(Sheet1!B6133&gt;0,1,0)</f>
        <v>0</v>
      </c>
    </row>
    <row r="6134" spans="1:3" x14ac:dyDescent="0.25">
      <c r="A6134" s="15">
        <f>Sheet1!A6134</f>
        <v>0</v>
      </c>
      <c r="B6134">
        <f>Sheet1!B6134</f>
        <v>13.22</v>
      </c>
      <c r="C6134">
        <f>IF(Sheet1!B6134&gt;0,1,0)</f>
        <v>1</v>
      </c>
    </row>
    <row r="6135" spans="1:3" x14ac:dyDescent="0.25">
      <c r="A6135" s="15">
        <f>Sheet1!A6135</f>
        <v>0</v>
      </c>
      <c r="B6135">
        <f>Sheet1!B6135</f>
        <v>0</v>
      </c>
      <c r="C6135">
        <f>IF(Sheet1!B6135&gt;0,1,0)</f>
        <v>0</v>
      </c>
    </row>
    <row r="6136" spans="1:3" x14ac:dyDescent="0.25">
      <c r="A6136" s="15">
        <f>Sheet1!A6136</f>
        <v>0</v>
      </c>
      <c r="B6136">
        <f>Sheet1!B6136</f>
        <v>0</v>
      </c>
      <c r="C6136">
        <f>IF(Sheet1!B6136&gt;0,1,0)</f>
        <v>0</v>
      </c>
    </row>
    <row r="6137" spans="1:3" x14ac:dyDescent="0.25">
      <c r="A6137" s="15">
        <f>Sheet1!A6137</f>
        <v>0</v>
      </c>
      <c r="B6137">
        <f>Sheet1!B6137</f>
        <v>0</v>
      </c>
      <c r="C6137">
        <f>IF(Sheet1!B6137&gt;0,1,0)</f>
        <v>0</v>
      </c>
    </row>
    <row r="6138" spans="1:3" x14ac:dyDescent="0.25">
      <c r="A6138" s="15">
        <f>Sheet1!A6138</f>
        <v>0</v>
      </c>
      <c r="B6138">
        <f>Sheet1!B6138</f>
        <v>0</v>
      </c>
      <c r="C6138">
        <f>IF(Sheet1!B6138&gt;0,1,0)</f>
        <v>0</v>
      </c>
    </row>
    <row r="6139" spans="1:3" x14ac:dyDescent="0.25">
      <c r="A6139" s="15">
        <f>Sheet1!A6139</f>
        <v>0</v>
      </c>
      <c r="B6139">
        <f>Sheet1!B6139</f>
        <v>0</v>
      </c>
      <c r="C6139">
        <f>IF(Sheet1!B6139&gt;0,1,0)</f>
        <v>0</v>
      </c>
    </row>
    <row r="6140" spans="1:3" x14ac:dyDescent="0.25">
      <c r="A6140" s="15">
        <f>Sheet1!A6140</f>
        <v>0</v>
      </c>
      <c r="B6140">
        <f>Sheet1!B6140</f>
        <v>13.27</v>
      </c>
      <c r="C6140">
        <f>IF(Sheet1!B6140&gt;0,1,0)</f>
        <v>1</v>
      </c>
    </row>
    <row r="6141" spans="1:3" x14ac:dyDescent="0.25">
      <c r="A6141" s="15">
        <f>Sheet1!A6141</f>
        <v>0</v>
      </c>
      <c r="B6141">
        <f>Sheet1!B6141</f>
        <v>0</v>
      </c>
      <c r="C6141">
        <f>IF(Sheet1!B6141&gt;0,1,0)</f>
        <v>0</v>
      </c>
    </row>
    <row r="6142" spans="1:3" x14ac:dyDescent="0.25">
      <c r="A6142" s="15">
        <f>Sheet1!A6142</f>
        <v>0</v>
      </c>
      <c r="B6142">
        <f>Sheet1!B6142</f>
        <v>0</v>
      </c>
      <c r="C6142">
        <f>IF(Sheet1!B6142&gt;0,1,0)</f>
        <v>0</v>
      </c>
    </row>
    <row r="6143" spans="1:3" x14ac:dyDescent="0.25">
      <c r="A6143" s="15">
        <f>Sheet1!A6143</f>
        <v>0</v>
      </c>
      <c r="B6143">
        <f>Sheet1!B6143</f>
        <v>0</v>
      </c>
      <c r="C6143">
        <f>IF(Sheet1!B6143&gt;0,1,0)</f>
        <v>0</v>
      </c>
    </row>
    <row r="6144" spans="1:3" x14ac:dyDescent="0.25">
      <c r="A6144" s="15">
        <f>Sheet1!A6144</f>
        <v>0</v>
      </c>
      <c r="B6144">
        <f>Sheet1!B6144</f>
        <v>12.11</v>
      </c>
      <c r="C6144">
        <f>IF(Sheet1!B6144&gt;0,1,0)</f>
        <v>1</v>
      </c>
    </row>
    <row r="6145" spans="1:3" x14ac:dyDescent="0.25">
      <c r="A6145" s="15">
        <f>Sheet1!A6145</f>
        <v>0</v>
      </c>
      <c r="B6145">
        <f>Sheet1!B6145</f>
        <v>0</v>
      </c>
      <c r="C6145">
        <f>IF(Sheet1!B6145&gt;0,1,0)</f>
        <v>0</v>
      </c>
    </row>
    <row r="6146" spans="1:3" x14ac:dyDescent="0.25">
      <c r="A6146" s="15">
        <f>Sheet1!A6146</f>
        <v>0</v>
      </c>
      <c r="B6146">
        <f>Sheet1!B6146</f>
        <v>0</v>
      </c>
      <c r="C6146">
        <f>IF(Sheet1!B6146&gt;0,1,0)</f>
        <v>0</v>
      </c>
    </row>
    <row r="6147" spans="1:3" x14ac:dyDescent="0.25">
      <c r="A6147" s="15">
        <f>Sheet1!A6147</f>
        <v>0</v>
      </c>
      <c r="B6147">
        <f>Sheet1!B6147</f>
        <v>0</v>
      </c>
      <c r="C6147">
        <f>IF(Sheet1!B6147&gt;0,1,0)</f>
        <v>0</v>
      </c>
    </row>
    <row r="6148" spans="1:3" x14ac:dyDescent="0.25">
      <c r="A6148" s="15">
        <f>Sheet1!A6148</f>
        <v>0</v>
      </c>
      <c r="B6148">
        <f>Sheet1!B6148</f>
        <v>7.96</v>
      </c>
      <c r="C6148">
        <f>IF(Sheet1!B6148&gt;0,1,0)</f>
        <v>1</v>
      </c>
    </row>
    <row r="6149" spans="1:3" x14ac:dyDescent="0.25">
      <c r="A6149" s="15">
        <f>Sheet1!A6149</f>
        <v>0</v>
      </c>
      <c r="B6149">
        <f>Sheet1!B6149</f>
        <v>8.2100000000000009</v>
      </c>
      <c r="C6149">
        <f>IF(Sheet1!B6149&gt;0,1,0)</f>
        <v>1</v>
      </c>
    </row>
    <row r="6150" spans="1:3" x14ac:dyDescent="0.25">
      <c r="A6150" s="15">
        <f>Sheet1!A6150</f>
        <v>0</v>
      </c>
      <c r="B6150">
        <f>Sheet1!B6150</f>
        <v>8.24</v>
      </c>
      <c r="C6150">
        <f>IF(Sheet1!B6150&gt;0,1,0)</f>
        <v>1</v>
      </c>
    </row>
    <row r="6151" spans="1:3" x14ac:dyDescent="0.25">
      <c r="A6151" s="15">
        <f>Sheet1!A6151</f>
        <v>0</v>
      </c>
      <c r="B6151">
        <f>Sheet1!B6151</f>
        <v>0</v>
      </c>
      <c r="C6151">
        <f>IF(Sheet1!B6151&gt;0,1,0)</f>
        <v>0</v>
      </c>
    </row>
    <row r="6152" spans="1:3" x14ac:dyDescent="0.25">
      <c r="A6152" s="15">
        <f>Sheet1!A6152</f>
        <v>0</v>
      </c>
      <c r="B6152">
        <f>Sheet1!B6152</f>
        <v>0</v>
      </c>
      <c r="C6152">
        <f>IF(Sheet1!B6152&gt;0,1,0)</f>
        <v>0</v>
      </c>
    </row>
    <row r="6153" spans="1:3" x14ac:dyDescent="0.25">
      <c r="A6153" s="15">
        <f>Sheet1!A6153</f>
        <v>0</v>
      </c>
      <c r="B6153">
        <f>Sheet1!B6153</f>
        <v>0</v>
      </c>
      <c r="C6153">
        <f>IF(Sheet1!B6153&gt;0,1,0)</f>
        <v>0</v>
      </c>
    </row>
    <row r="6154" spans="1:3" x14ac:dyDescent="0.25">
      <c r="A6154" s="15">
        <f>Sheet1!A6154</f>
        <v>0</v>
      </c>
      <c r="B6154">
        <f>Sheet1!B6154</f>
        <v>9.69</v>
      </c>
      <c r="C6154">
        <f>IF(Sheet1!B6154&gt;0,1,0)</f>
        <v>1</v>
      </c>
    </row>
    <row r="6155" spans="1:3" x14ac:dyDescent="0.25">
      <c r="A6155" s="15">
        <f>Sheet1!A6155</f>
        <v>0</v>
      </c>
      <c r="B6155">
        <f>Sheet1!B6155</f>
        <v>0</v>
      </c>
      <c r="C6155">
        <f>IF(Sheet1!B6155&gt;0,1,0)</f>
        <v>0</v>
      </c>
    </row>
    <row r="6156" spans="1:3" x14ac:dyDescent="0.25">
      <c r="A6156" s="15">
        <f>Sheet1!A6156</f>
        <v>0</v>
      </c>
      <c r="B6156">
        <f>Sheet1!B6156</f>
        <v>0</v>
      </c>
      <c r="C6156">
        <f>IF(Sheet1!B6156&gt;0,1,0)</f>
        <v>0</v>
      </c>
    </row>
    <row r="6157" spans="1:3" x14ac:dyDescent="0.25">
      <c r="A6157" s="15">
        <f>Sheet1!A6157</f>
        <v>0</v>
      </c>
      <c r="B6157">
        <f>Sheet1!B6157</f>
        <v>0</v>
      </c>
      <c r="C6157">
        <f>IF(Sheet1!B6157&gt;0,1,0)</f>
        <v>0</v>
      </c>
    </row>
    <row r="6158" spans="1:3" x14ac:dyDescent="0.25">
      <c r="A6158" s="15">
        <f>Sheet1!A6158</f>
        <v>0</v>
      </c>
      <c r="B6158">
        <f>Sheet1!B6158</f>
        <v>13.35</v>
      </c>
      <c r="C6158">
        <f>IF(Sheet1!B6158&gt;0,1,0)</f>
        <v>1</v>
      </c>
    </row>
    <row r="6159" spans="1:3" x14ac:dyDescent="0.25">
      <c r="A6159" s="15">
        <f>Sheet1!A6159</f>
        <v>0</v>
      </c>
      <c r="B6159">
        <f>Sheet1!B6159</f>
        <v>0</v>
      </c>
      <c r="C6159">
        <f>IF(Sheet1!B6159&gt;0,1,0)</f>
        <v>0</v>
      </c>
    </row>
    <row r="6160" spans="1:3" x14ac:dyDescent="0.25">
      <c r="A6160" s="15">
        <f>Sheet1!A6160</f>
        <v>0</v>
      </c>
      <c r="B6160">
        <f>Sheet1!B6160</f>
        <v>0</v>
      </c>
      <c r="C6160">
        <f>IF(Sheet1!B6160&gt;0,1,0)</f>
        <v>0</v>
      </c>
    </row>
    <row r="6161" spans="1:3" x14ac:dyDescent="0.25">
      <c r="A6161" s="15">
        <f>Sheet1!A6161</f>
        <v>0</v>
      </c>
      <c r="B6161">
        <f>Sheet1!B6161</f>
        <v>0</v>
      </c>
      <c r="C6161">
        <f>IF(Sheet1!B6161&gt;0,1,0)</f>
        <v>0</v>
      </c>
    </row>
    <row r="6162" spans="1:3" x14ac:dyDescent="0.25">
      <c r="A6162" s="15">
        <f>Sheet1!A6162</f>
        <v>0</v>
      </c>
      <c r="B6162">
        <f>Sheet1!B6162</f>
        <v>0</v>
      </c>
      <c r="C6162">
        <f>IF(Sheet1!B6162&gt;0,1,0)</f>
        <v>0</v>
      </c>
    </row>
    <row r="6163" spans="1:3" x14ac:dyDescent="0.25">
      <c r="A6163" s="15">
        <f>Sheet1!A6163</f>
        <v>0</v>
      </c>
      <c r="B6163">
        <f>Sheet1!B6163</f>
        <v>0</v>
      </c>
      <c r="C6163">
        <f>IF(Sheet1!B6163&gt;0,1,0)</f>
        <v>0</v>
      </c>
    </row>
    <row r="6164" spans="1:3" x14ac:dyDescent="0.25">
      <c r="A6164" s="15">
        <f>Sheet1!A6164</f>
        <v>0</v>
      </c>
      <c r="B6164">
        <f>Sheet1!B6164</f>
        <v>9.98</v>
      </c>
      <c r="C6164">
        <f>IF(Sheet1!B6164&gt;0,1,0)</f>
        <v>1</v>
      </c>
    </row>
    <row r="6165" spans="1:3" x14ac:dyDescent="0.25">
      <c r="A6165" s="15">
        <f>Sheet1!A6165</f>
        <v>0</v>
      </c>
      <c r="B6165">
        <f>Sheet1!B6165</f>
        <v>0</v>
      </c>
      <c r="C6165">
        <f>IF(Sheet1!B6165&gt;0,1,0)</f>
        <v>0</v>
      </c>
    </row>
    <row r="6166" spans="1:3" x14ac:dyDescent="0.25">
      <c r="A6166" s="15">
        <f>Sheet1!A6166</f>
        <v>0</v>
      </c>
      <c r="B6166">
        <f>Sheet1!B6166</f>
        <v>0</v>
      </c>
      <c r="C6166">
        <f>IF(Sheet1!B6166&gt;0,1,0)</f>
        <v>0</v>
      </c>
    </row>
    <row r="6167" spans="1:3" x14ac:dyDescent="0.25">
      <c r="A6167" s="15">
        <f>Sheet1!A6167</f>
        <v>0</v>
      </c>
      <c r="B6167">
        <f>Sheet1!B6167</f>
        <v>0</v>
      </c>
      <c r="C6167">
        <f>IF(Sheet1!B6167&gt;0,1,0)</f>
        <v>0</v>
      </c>
    </row>
    <row r="6168" spans="1:3" x14ac:dyDescent="0.25">
      <c r="A6168" s="15">
        <f>Sheet1!A6168</f>
        <v>0</v>
      </c>
      <c r="B6168">
        <f>Sheet1!B6168</f>
        <v>13.35</v>
      </c>
      <c r="C6168">
        <f>IF(Sheet1!B6168&gt;0,1,0)</f>
        <v>1</v>
      </c>
    </row>
    <row r="6169" spans="1:3" x14ac:dyDescent="0.25">
      <c r="A6169" s="15">
        <f>Sheet1!A6169</f>
        <v>0</v>
      </c>
      <c r="B6169">
        <f>Sheet1!B6169</f>
        <v>0</v>
      </c>
      <c r="C6169">
        <f>IF(Sheet1!B6169&gt;0,1,0)</f>
        <v>0</v>
      </c>
    </row>
    <row r="6170" spans="1:3" x14ac:dyDescent="0.25">
      <c r="A6170" s="15">
        <f>Sheet1!A6170</f>
        <v>0</v>
      </c>
      <c r="B6170">
        <f>Sheet1!B6170</f>
        <v>0</v>
      </c>
      <c r="C6170">
        <f>IF(Sheet1!B6170&gt;0,1,0)</f>
        <v>0</v>
      </c>
    </row>
    <row r="6171" spans="1:3" x14ac:dyDescent="0.25">
      <c r="A6171" s="15">
        <f>Sheet1!A6171</f>
        <v>0</v>
      </c>
      <c r="B6171">
        <f>Sheet1!B6171</f>
        <v>0</v>
      </c>
      <c r="C6171">
        <f>IF(Sheet1!B6171&gt;0,1,0)</f>
        <v>0</v>
      </c>
    </row>
    <row r="6172" spans="1:3" x14ac:dyDescent="0.25">
      <c r="A6172" s="15">
        <f>Sheet1!A6172</f>
        <v>0</v>
      </c>
      <c r="B6172">
        <f>Sheet1!B6172</f>
        <v>9.1300000000000008</v>
      </c>
      <c r="C6172">
        <f>IF(Sheet1!B6172&gt;0,1,0)</f>
        <v>1</v>
      </c>
    </row>
    <row r="6173" spans="1:3" x14ac:dyDescent="0.25">
      <c r="A6173" s="15">
        <f>Sheet1!A6173</f>
        <v>0</v>
      </c>
      <c r="B6173">
        <f>Sheet1!B6173</f>
        <v>0</v>
      </c>
      <c r="C6173">
        <f>IF(Sheet1!B6173&gt;0,1,0)</f>
        <v>0</v>
      </c>
    </row>
    <row r="6174" spans="1:3" x14ac:dyDescent="0.25">
      <c r="A6174" s="15">
        <f>Sheet1!A6174</f>
        <v>0</v>
      </c>
      <c r="B6174">
        <f>Sheet1!B6174</f>
        <v>0</v>
      </c>
      <c r="C6174">
        <f>IF(Sheet1!B6174&gt;0,1,0)</f>
        <v>0</v>
      </c>
    </row>
    <row r="6175" spans="1:3" x14ac:dyDescent="0.25">
      <c r="A6175" s="15">
        <f>Sheet1!A6175</f>
        <v>0</v>
      </c>
      <c r="B6175">
        <f>Sheet1!B6175</f>
        <v>0</v>
      </c>
      <c r="C6175">
        <f>IF(Sheet1!B6175&gt;0,1,0)</f>
        <v>0</v>
      </c>
    </row>
    <row r="6176" spans="1:3" x14ac:dyDescent="0.25">
      <c r="A6176" s="15">
        <f>Sheet1!A6176</f>
        <v>0</v>
      </c>
      <c r="B6176">
        <f>Sheet1!B6176</f>
        <v>6.66</v>
      </c>
      <c r="C6176">
        <f>IF(Sheet1!B6176&gt;0,1,0)</f>
        <v>1</v>
      </c>
    </row>
    <row r="6177" spans="1:3" x14ac:dyDescent="0.25">
      <c r="A6177" s="15">
        <f>Sheet1!A6177</f>
        <v>0</v>
      </c>
      <c r="B6177">
        <f>Sheet1!B6177</f>
        <v>0</v>
      </c>
      <c r="C6177">
        <f>IF(Sheet1!B6177&gt;0,1,0)</f>
        <v>0</v>
      </c>
    </row>
    <row r="6178" spans="1:3" x14ac:dyDescent="0.25">
      <c r="A6178" s="15">
        <f>Sheet1!A6178</f>
        <v>0</v>
      </c>
      <c r="B6178">
        <f>Sheet1!B6178</f>
        <v>0</v>
      </c>
      <c r="C6178">
        <f>IF(Sheet1!B6178&gt;0,1,0)</f>
        <v>0</v>
      </c>
    </row>
    <row r="6179" spans="1:3" x14ac:dyDescent="0.25">
      <c r="A6179" s="15">
        <f>Sheet1!A6179</f>
        <v>0</v>
      </c>
      <c r="B6179">
        <f>Sheet1!B6179</f>
        <v>0</v>
      </c>
      <c r="C6179">
        <f>IF(Sheet1!B6179&gt;0,1,0)</f>
        <v>0</v>
      </c>
    </row>
    <row r="6180" spans="1:3" x14ac:dyDescent="0.25">
      <c r="A6180" s="15">
        <f>Sheet1!A6180</f>
        <v>0</v>
      </c>
      <c r="B6180">
        <f>Sheet1!B6180</f>
        <v>9.6999999999999993</v>
      </c>
      <c r="C6180">
        <f>IF(Sheet1!B6180&gt;0,1,0)</f>
        <v>1</v>
      </c>
    </row>
    <row r="6181" spans="1:3" x14ac:dyDescent="0.25">
      <c r="A6181" s="15">
        <f>Sheet1!A6181</f>
        <v>0</v>
      </c>
      <c r="B6181">
        <f>Sheet1!B6181</f>
        <v>0</v>
      </c>
      <c r="C6181">
        <f>IF(Sheet1!B6181&gt;0,1,0)</f>
        <v>0</v>
      </c>
    </row>
    <row r="6182" spans="1:3" x14ac:dyDescent="0.25">
      <c r="A6182" s="15">
        <f>Sheet1!A6182</f>
        <v>0</v>
      </c>
      <c r="B6182">
        <f>Sheet1!B6182</f>
        <v>0</v>
      </c>
      <c r="C6182">
        <f>IF(Sheet1!B6182&gt;0,1,0)</f>
        <v>0</v>
      </c>
    </row>
    <row r="6183" spans="1:3" x14ac:dyDescent="0.25">
      <c r="A6183" s="15">
        <f>Sheet1!A6183</f>
        <v>0</v>
      </c>
      <c r="B6183">
        <f>Sheet1!B6183</f>
        <v>0</v>
      </c>
      <c r="C6183">
        <f>IF(Sheet1!B6183&gt;0,1,0)</f>
        <v>0</v>
      </c>
    </row>
    <row r="6184" spans="1:3" x14ac:dyDescent="0.25">
      <c r="A6184" s="15">
        <f>Sheet1!A6184</f>
        <v>0</v>
      </c>
      <c r="B6184">
        <f>Sheet1!B6184</f>
        <v>13.54</v>
      </c>
      <c r="C6184">
        <f>IF(Sheet1!B6184&gt;0,1,0)</f>
        <v>1</v>
      </c>
    </row>
    <row r="6185" spans="1:3" x14ac:dyDescent="0.25">
      <c r="A6185" s="15">
        <f>Sheet1!A6185</f>
        <v>0</v>
      </c>
      <c r="B6185">
        <f>Sheet1!B6185</f>
        <v>0</v>
      </c>
      <c r="C6185">
        <f>IF(Sheet1!B6185&gt;0,1,0)</f>
        <v>0</v>
      </c>
    </row>
    <row r="6186" spans="1:3" x14ac:dyDescent="0.25">
      <c r="A6186" s="15">
        <f>Sheet1!A6186</f>
        <v>0</v>
      </c>
      <c r="B6186">
        <f>Sheet1!B6186</f>
        <v>0</v>
      </c>
      <c r="C6186">
        <f>IF(Sheet1!B6186&gt;0,1,0)</f>
        <v>0</v>
      </c>
    </row>
    <row r="6187" spans="1:3" x14ac:dyDescent="0.25">
      <c r="A6187" s="15">
        <f>Sheet1!A6187</f>
        <v>0</v>
      </c>
      <c r="B6187">
        <f>Sheet1!B6187</f>
        <v>0</v>
      </c>
      <c r="C6187">
        <f>IF(Sheet1!B6187&gt;0,1,0)</f>
        <v>0</v>
      </c>
    </row>
    <row r="6188" spans="1:3" x14ac:dyDescent="0.25">
      <c r="A6188" s="15">
        <f>Sheet1!A6188</f>
        <v>0</v>
      </c>
      <c r="B6188">
        <f>Sheet1!B6188</f>
        <v>5.24</v>
      </c>
      <c r="C6188">
        <f>IF(Sheet1!B6188&gt;0,1,0)</f>
        <v>1</v>
      </c>
    </row>
    <row r="6189" spans="1:3" x14ac:dyDescent="0.25">
      <c r="A6189" s="15">
        <f>Sheet1!A6189</f>
        <v>0</v>
      </c>
      <c r="B6189">
        <f>Sheet1!B6189</f>
        <v>0</v>
      </c>
      <c r="C6189">
        <f>IF(Sheet1!B6189&gt;0,1,0)</f>
        <v>0</v>
      </c>
    </row>
    <row r="6190" spans="1:3" x14ac:dyDescent="0.25">
      <c r="A6190" s="15">
        <f>Sheet1!A6190</f>
        <v>0</v>
      </c>
      <c r="B6190">
        <f>Sheet1!B6190</f>
        <v>0</v>
      </c>
      <c r="C6190">
        <f>IF(Sheet1!B6190&gt;0,1,0)</f>
        <v>0</v>
      </c>
    </row>
    <row r="6191" spans="1:3" x14ac:dyDescent="0.25">
      <c r="A6191" s="15">
        <f>Sheet1!A6191</f>
        <v>0</v>
      </c>
      <c r="B6191">
        <f>Sheet1!B6191</f>
        <v>0</v>
      </c>
      <c r="C6191">
        <f>IF(Sheet1!B6191&gt;0,1,0)</f>
        <v>0</v>
      </c>
    </row>
    <row r="6192" spans="1:3" x14ac:dyDescent="0.25">
      <c r="A6192" s="15">
        <f>Sheet1!A6192</f>
        <v>0</v>
      </c>
      <c r="B6192">
        <f>Sheet1!B6192</f>
        <v>0</v>
      </c>
      <c r="C6192">
        <f>IF(Sheet1!B6192&gt;0,1,0)</f>
        <v>0</v>
      </c>
    </row>
    <row r="6193" spans="1:3" x14ac:dyDescent="0.25">
      <c r="A6193" s="15">
        <f>Sheet1!A6193</f>
        <v>0</v>
      </c>
      <c r="B6193">
        <f>Sheet1!B6193</f>
        <v>8.5500000000000007</v>
      </c>
      <c r="C6193">
        <f>IF(Sheet1!B6193&gt;0,1,0)</f>
        <v>1</v>
      </c>
    </row>
    <row r="6194" spans="1:3" x14ac:dyDescent="0.25">
      <c r="A6194" s="15">
        <f>Sheet1!A6194</f>
        <v>0</v>
      </c>
      <c r="B6194">
        <f>Sheet1!B6194</f>
        <v>9.14</v>
      </c>
      <c r="C6194">
        <f>IF(Sheet1!B6194&gt;0,1,0)</f>
        <v>1</v>
      </c>
    </row>
    <row r="6195" spans="1:3" x14ac:dyDescent="0.25">
      <c r="A6195" s="15">
        <f>Sheet1!A6195</f>
        <v>0</v>
      </c>
      <c r="B6195">
        <f>Sheet1!B6195</f>
        <v>0</v>
      </c>
      <c r="C6195">
        <f>IF(Sheet1!B6195&gt;0,1,0)</f>
        <v>0</v>
      </c>
    </row>
    <row r="6196" spans="1:3" x14ac:dyDescent="0.25">
      <c r="A6196" s="15">
        <f>Sheet1!A6196</f>
        <v>0</v>
      </c>
      <c r="B6196">
        <f>Sheet1!B6196</f>
        <v>0</v>
      </c>
      <c r="C6196">
        <f>IF(Sheet1!B6196&gt;0,1,0)</f>
        <v>0</v>
      </c>
    </row>
    <row r="6197" spans="1:3" x14ac:dyDescent="0.25">
      <c r="A6197" s="15">
        <f>Sheet1!A6197</f>
        <v>0</v>
      </c>
      <c r="B6197">
        <f>Sheet1!B6197</f>
        <v>0</v>
      </c>
      <c r="C6197">
        <f>IF(Sheet1!B6197&gt;0,1,0)</f>
        <v>0</v>
      </c>
    </row>
    <row r="6198" spans="1:3" x14ac:dyDescent="0.25">
      <c r="A6198" s="15">
        <f>Sheet1!A6198</f>
        <v>0</v>
      </c>
      <c r="B6198">
        <f>Sheet1!B6198</f>
        <v>9.61</v>
      </c>
      <c r="C6198">
        <f>IF(Sheet1!B6198&gt;0,1,0)</f>
        <v>1</v>
      </c>
    </row>
    <row r="6199" spans="1:3" x14ac:dyDescent="0.25">
      <c r="A6199" s="15">
        <f>Sheet1!A6199</f>
        <v>0</v>
      </c>
      <c r="B6199">
        <f>Sheet1!B6199</f>
        <v>10.199999999999999</v>
      </c>
      <c r="C6199">
        <f>IF(Sheet1!B6199&gt;0,1,0)</f>
        <v>1</v>
      </c>
    </row>
    <row r="6200" spans="1:3" x14ac:dyDescent="0.25">
      <c r="A6200" s="15">
        <f>Sheet1!A6200</f>
        <v>0</v>
      </c>
      <c r="B6200">
        <f>Sheet1!B6200</f>
        <v>10.36</v>
      </c>
      <c r="C6200">
        <f>IF(Sheet1!B6200&gt;0,1,0)</f>
        <v>1</v>
      </c>
    </row>
    <row r="6201" spans="1:3" x14ac:dyDescent="0.25">
      <c r="A6201" s="15">
        <f>Sheet1!A6201</f>
        <v>0</v>
      </c>
      <c r="B6201">
        <f>Sheet1!B6201</f>
        <v>0</v>
      </c>
      <c r="C6201">
        <f>IF(Sheet1!B6201&gt;0,1,0)</f>
        <v>0</v>
      </c>
    </row>
    <row r="6202" spans="1:3" x14ac:dyDescent="0.25">
      <c r="A6202" s="15">
        <f>Sheet1!A6202</f>
        <v>0</v>
      </c>
      <c r="B6202">
        <f>Sheet1!B6202</f>
        <v>0</v>
      </c>
      <c r="C6202">
        <f>IF(Sheet1!B6202&gt;0,1,0)</f>
        <v>0</v>
      </c>
    </row>
    <row r="6203" spans="1:3" x14ac:dyDescent="0.25">
      <c r="A6203" s="15">
        <f>Sheet1!A6203</f>
        <v>0</v>
      </c>
      <c r="B6203">
        <f>Sheet1!B6203</f>
        <v>0</v>
      </c>
      <c r="C6203">
        <f>IF(Sheet1!B6203&gt;0,1,0)</f>
        <v>0</v>
      </c>
    </row>
    <row r="6204" spans="1:3" x14ac:dyDescent="0.25">
      <c r="A6204" s="15">
        <f>Sheet1!A6204</f>
        <v>0</v>
      </c>
      <c r="B6204">
        <f>Sheet1!B6204</f>
        <v>0</v>
      </c>
      <c r="C6204">
        <f>IF(Sheet1!B6204&gt;0,1,0)</f>
        <v>0</v>
      </c>
    </row>
    <row r="6205" spans="1:3" x14ac:dyDescent="0.25">
      <c r="A6205" s="15">
        <f>Sheet1!A6205</f>
        <v>0</v>
      </c>
      <c r="B6205">
        <f>Sheet1!B6205</f>
        <v>0</v>
      </c>
      <c r="C6205">
        <f>IF(Sheet1!B6205&gt;0,1,0)</f>
        <v>0</v>
      </c>
    </row>
    <row r="6206" spans="1:3" x14ac:dyDescent="0.25">
      <c r="A6206" s="15">
        <f>Sheet1!A6206</f>
        <v>0</v>
      </c>
      <c r="B6206">
        <f>Sheet1!B6206</f>
        <v>0</v>
      </c>
      <c r="C6206">
        <f>IF(Sheet1!B6206&gt;0,1,0)</f>
        <v>0</v>
      </c>
    </row>
    <row r="6207" spans="1:3" x14ac:dyDescent="0.25">
      <c r="A6207" s="15">
        <f>Sheet1!A6207</f>
        <v>0</v>
      </c>
      <c r="B6207">
        <f>Sheet1!B6207</f>
        <v>0</v>
      </c>
      <c r="C6207">
        <f>IF(Sheet1!B6207&gt;0,1,0)</f>
        <v>0</v>
      </c>
    </row>
    <row r="6208" spans="1:3" x14ac:dyDescent="0.25">
      <c r="A6208" s="15">
        <f>Sheet1!A6208</f>
        <v>0</v>
      </c>
      <c r="B6208">
        <f>Sheet1!B6208</f>
        <v>10.54</v>
      </c>
      <c r="C6208">
        <f>IF(Sheet1!B6208&gt;0,1,0)</f>
        <v>1</v>
      </c>
    </row>
    <row r="6209" spans="1:3" x14ac:dyDescent="0.25">
      <c r="A6209" s="15">
        <f>Sheet1!A6209</f>
        <v>0</v>
      </c>
      <c r="B6209">
        <f>Sheet1!B6209</f>
        <v>0</v>
      </c>
      <c r="C6209">
        <f>IF(Sheet1!B6209&gt;0,1,0)</f>
        <v>0</v>
      </c>
    </row>
    <row r="6210" spans="1:3" x14ac:dyDescent="0.25">
      <c r="A6210" s="15">
        <f>Sheet1!A6210</f>
        <v>0</v>
      </c>
      <c r="B6210">
        <f>Sheet1!B6210</f>
        <v>0</v>
      </c>
      <c r="C6210">
        <f>IF(Sheet1!B6210&gt;0,1,0)</f>
        <v>0</v>
      </c>
    </row>
    <row r="6211" spans="1:3" x14ac:dyDescent="0.25">
      <c r="A6211" s="15">
        <f>Sheet1!A6211</f>
        <v>0</v>
      </c>
      <c r="B6211">
        <f>Sheet1!B6211</f>
        <v>0</v>
      </c>
      <c r="C6211">
        <f>IF(Sheet1!B6211&gt;0,1,0)</f>
        <v>0</v>
      </c>
    </row>
    <row r="6212" spans="1:3" x14ac:dyDescent="0.25">
      <c r="A6212" s="15">
        <f>Sheet1!A6212</f>
        <v>0</v>
      </c>
      <c r="B6212">
        <f>Sheet1!B6212</f>
        <v>9.7200000000000006</v>
      </c>
      <c r="C6212">
        <f>IF(Sheet1!B6212&gt;0,1,0)</f>
        <v>1</v>
      </c>
    </row>
    <row r="6213" spans="1:3" x14ac:dyDescent="0.25">
      <c r="A6213" s="15">
        <f>Sheet1!A6213</f>
        <v>0</v>
      </c>
      <c r="B6213">
        <f>Sheet1!B6213</f>
        <v>0</v>
      </c>
      <c r="C6213">
        <f>IF(Sheet1!B6213&gt;0,1,0)</f>
        <v>0</v>
      </c>
    </row>
    <row r="6214" spans="1:3" x14ac:dyDescent="0.25">
      <c r="A6214" s="15">
        <f>Sheet1!A6214</f>
        <v>0</v>
      </c>
      <c r="B6214">
        <f>Sheet1!B6214</f>
        <v>0</v>
      </c>
      <c r="C6214">
        <f>IF(Sheet1!B6214&gt;0,1,0)</f>
        <v>0</v>
      </c>
    </row>
    <row r="6215" spans="1:3" x14ac:dyDescent="0.25">
      <c r="A6215" s="15">
        <f>Sheet1!A6215</f>
        <v>0</v>
      </c>
      <c r="B6215">
        <f>Sheet1!B6215</f>
        <v>0</v>
      </c>
      <c r="C6215">
        <f>IF(Sheet1!B6215&gt;0,1,0)</f>
        <v>0</v>
      </c>
    </row>
    <row r="6216" spans="1:3" x14ac:dyDescent="0.25">
      <c r="A6216" s="15">
        <f>Sheet1!A6216</f>
        <v>0</v>
      </c>
      <c r="B6216">
        <f>Sheet1!B6216</f>
        <v>10.119999999999999</v>
      </c>
      <c r="C6216">
        <f>IF(Sheet1!B6216&gt;0,1,0)</f>
        <v>1</v>
      </c>
    </row>
    <row r="6217" spans="1:3" x14ac:dyDescent="0.25">
      <c r="A6217" s="15">
        <f>Sheet1!A6217</f>
        <v>0</v>
      </c>
      <c r="B6217">
        <f>Sheet1!B6217</f>
        <v>0</v>
      </c>
      <c r="C6217">
        <f>IF(Sheet1!B6217&gt;0,1,0)</f>
        <v>0</v>
      </c>
    </row>
    <row r="6218" spans="1:3" x14ac:dyDescent="0.25">
      <c r="A6218" s="15">
        <f>Sheet1!A6218</f>
        <v>0</v>
      </c>
      <c r="B6218">
        <f>Sheet1!B6218</f>
        <v>0</v>
      </c>
      <c r="C6218">
        <f>IF(Sheet1!B6218&gt;0,1,0)</f>
        <v>0</v>
      </c>
    </row>
    <row r="6219" spans="1:3" x14ac:dyDescent="0.25">
      <c r="A6219" s="15">
        <f>Sheet1!A6219</f>
        <v>0</v>
      </c>
      <c r="B6219">
        <f>Sheet1!B6219</f>
        <v>0</v>
      </c>
      <c r="C6219">
        <f>IF(Sheet1!B6219&gt;0,1,0)</f>
        <v>0</v>
      </c>
    </row>
    <row r="6220" spans="1:3" x14ac:dyDescent="0.25">
      <c r="A6220" s="15">
        <f>Sheet1!A6220</f>
        <v>0</v>
      </c>
      <c r="B6220">
        <f>Sheet1!B6220</f>
        <v>9.39</v>
      </c>
      <c r="C6220">
        <f>IF(Sheet1!B6220&gt;0,1,0)</f>
        <v>1</v>
      </c>
    </row>
    <row r="6221" spans="1:3" x14ac:dyDescent="0.25">
      <c r="A6221" s="15">
        <f>Sheet1!A6221</f>
        <v>0</v>
      </c>
      <c r="B6221">
        <f>Sheet1!B6221</f>
        <v>9.67</v>
      </c>
      <c r="C6221">
        <f>IF(Sheet1!B6221&gt;0,1,0)</f>
        <v>1</v>
      </c>
    </row>
    <row r="6222" spans="1:3" x14ac:dyDescent="0.25">
      <c r="A6222" s="15">
        <f>Sheet1!A6222</f>
        <v>0</v>
      </c>
      <c r="B6222">
        <f>Sheet1!B6222</f>
        <v>9.2200000000000006</v>
      </c>
      <c r="C6222">
        <f>IF(Sheet1!B6222&gt;0,1,0)</f>
        <v>1</v>
      </c>
    </row>
    <row r="6223" spans="1:3" x14ac:dyDescent="0.25">
      <c r="A6223" s="15">
        <f>Sheet1!A6223</f>
        <v>0</v>
      </c>
      <c r="B6223">
        <f>Sheet1!B6223</f>
        <v>0</v>
      </c>
      <c r="C6223">
        <f>IF(Sheet1!B6223&gt;0,1,0)</f>
        <v>0</v>
      </c>
    </row>
    <row r="6224" spans="1:3" x14ac:dyDescent="0.25">
      <c r="A6224" s="15">
        <f>Sheet1!A6224</f>
        <v>0</v>
      </c>
      <c r="B6224">
        <f>Sheet1!B6224</f>
        <v>0</v>
      </c>
      <c r="C6224">
        <f>IF(Sheet1!B6224&gt;0,1,0)</f>
        <v>0</v>
      </c>
    </row>
    <row r="6225" spans="1:3" x14ac:dyDescent="0.25">
      <c r="A6225" s="15">
        <f>Sheet1!A6225</f>
        <v>0</v>
      </c>
      <c r="B6225">
        <f>Sheet1!B6225</f>
        <v>0</v>
      </c>
      <c r="C6225">
        <f>IF(Sheet1!B6225&gt;0,1,0)</f>
        <v>0</v>
      </c>
    </row>
    <row r="6226" spans="1:3" x14ac:dyDescent="0.25">
      <c r="A6226" s="15">
        <f>Sheet1!A6226</f>
        <v>0</v>
      </c>
      <c r="B6226">
        <f>Sheet1!B6226</f>
        <v>0</v>
      </c>
      <c r="C6226">
        <f>IF(Sheet1!B6226&gt;0,1,0)</f>
        <v>0</v>
      </c>
    </row>
    <row r="6227" spans="1:3" x14ac:dyDescent="0.25">
      <c r="A6227" s="15">
        <f>Sheet1!A6227</f>
        <v>0</v>
      </c>
      <c r="B6227">
        <f>Sheet1!B6227</f>
        <v>0</v>
      </c>
      <c r="C6227">
        <f>IF(Sheet1!B6227&gt;0,1,0)</f>
        <v>0</v>
      </c>
    </row>
    <row r="6228" spans="1:3" x14ac:dyDescent="0.25">
      <c r="A6228" s="15">
        <f>Sheet1!A6228</f>
        <v>0</v>
      </c>
      <c r="B6228">
        <f>Sheet1!B6228</f>
        <v>0</v>
      </c>
      <c r="C6228">
        <f>IF(Sheet1!B6228&gt;0,1,0)</f>
        <v>0</v>
      </c>
    </row>
    <row r="6229" spans="1:3" x14ac:dyDescent="0.25">
      <c r="A6229" s="15">
        <f>Sheet1!A6229</f>
        <v>0</v>
      </c>
      <c r="B6229">
        <f>Sheet1!B6229</f>
        <v>0</v>
      </c>
      <c r="C6229">
        <f>IF(Sheet1!B6229&gt;0,1,0)</f>
        <v>0</v>
      </c>
    </row>
    <row r="6230" spans="1:3" x14ac:dyDescent="0.25">
      <c r="A6230" s="15">
        <f>Sheet1!A6230</f>
        <v>0</v>
      </c>
      <c r="B6230">
        <f>Sheet1!B6230</f>
        <v>0</v>
      </c>
      <c r="C6230">
        <f>IF(Sheet1!B6230&gt;0,1,0)</f>
        <v>0</v>
      </c>
    </row>
    <row r="6231" spans="1:3" x14ac:dyDescent="0.25">
      <c r="A6231" s="15">
        <f>Sheet1!A6231</f>
        <v>0</v>
      </c>
      <c r="B6231">
        <f>Sheet1!B6231</f>
        <v>0</v>
      </c>
      <c r="C6231">
        <f>IF(Sheet1!B6231&gt;0,1,0)</f>
        <v>0</v>
      </c>
    </row>
    <row r="6232" spans="1:3" x14ac:dyDescent="0.25">
      <c r="A6232" s="15">
        <f>Sheet1!A6232</f>
        <v>0</v>
      </c>
      <c r="B6232">
        <f>Sheet1!B6232</f>
        <v>0</v>
      </c>
      <c r="C6232">
        <f>IF(Sheet1!B6232&gt;0,1,0)</f>
        <v>0</v>
      </c>
    </row>
    <row r="6233" spans="1:3" x14ac:dyDescent="0.25">
      <c r="A6233" s="15">
        <f>Sheet1!A6233</f>
        <v>0</v>
      </c>
      <c r="B6233">
        <f>Sheet1!B6233</f>
        <v>0</v>
      </c>
      <c r="C6233">
        <f>IF(Sheet1!B6233&gt;0,1,0)</f>
        <v>0</v>
      </c>
    </row>
    <row r="6234" spans="1:3" x14ac:dyDescent="0.25">
      <c r="A6234" s="15">
        <f>Sheet1!A6234</f>
        <v>0</v>
      </c>
      <c r="B6234">
        <f>Sheet1!B6234</f>
        <v>0</v>
      </c>
      <c r="C6234">
        <f>IF(Sheet1!B6234&gt;0,1,0)</f>
        <v>0</v>
      </c>
    </row>
    <row r="6235" spans="1:3" x14ac:dyDescent="0.25">
      <c r="A6235" s="15">
        <f>Sheet1!A6235</f>
        <v>0</v>
      </c>
      <c r="B6235">
        <f>Sheet1!B6235</f>
        <v>0</v>
      </c>
      <c r="C6235">
        <f>IF(Sheet1!B6235&gt;0,1,0)</f>
        <v>0</v>
      </c>
    </row>
    <row r="6236" spans="1:3" x14ac:dyDescent="0.25">
      <c r="A6236" s="15">
        <f>Sheet1!A6236</f>
        <v>0</v>
      </c>
      <c r="B6236">
        <f>Sheet1!B6236</f>
        <v>13.31</v>
      </c>
      <c r="C6236">
        <f>IF(Sheet1!B6236&gt;0,1,0)</f>
        <v>1</v>
      </c>
    </row>
    <row r="6237" spans="1:3" x14ac:dyDescent="0.25">
      <c r="A6237" s="15">
        <f>Sheet1!A6237</f>
        <v>0</v>
      </c>
      <c r="B6237">
        <f>Sheet1!B6237</f>
        <v>0</v>
      </c>
      <c r="C6237">
        <f>IF(Sheet1!B6237&gt;0,1,0)</f>
        <v>0</v>
      </c>
    </row>
    <row r="6238" spans="1:3" x14ac:dyDescent="0.25">
      <c r="A6238" s="15">
        <f>Sheet1!A6238</f>
        <v>0</v>
      </c>
      <c r="B6238">
        <f>Sheet1!B6238</f>
        <v>0</v>
      </c>
      <c r="C6238">
        <f>IF(Sheet1!B6238&gt;0,1,0)</f>
        <v>0</v>
      </c>
    </row>
    <row r="6239" spans="1:3" x14ac:dyDescent="0.25">
      <c r="A6239" s="15">
        <f>Sheet1!A6239</f>
        <v>0</v>
      </c>
      <c r="B6239">
        <f>Sheet1!B6239</f>
        <v>0</v>
      </c>
      <c r="C6239">
        <f>IF(Sheet1!B6239&gt;0,1,0)</f>
        <v>0</v>
      </c>
    </row>
    <row r="6240" spans="1:3" x14ac:dyDescent="0.25">
      <c r="A6240" s="15">
        <f>Sheet1!A6240</f>
        <v>0</v>
      </c>
      <c r="B6240">
        <f>Sheet1!B6240</f>
        <v>0</v>
      </c>
      <c r="C6240">
        <f>IF(Sheet1!B6240&gt;0,1,0)</f>
        <v>0</v>
      </c>
    </row>
    <row r="6241" spans="1:3" x14ac:dyDescent="0.25">
      <c r="A6241" s="15">
        <f>Sheet1!A6241</f>
        <v>0</v>
      </c>
      <c r="B6241">
        <f>Sheet1!B6241</f>
        <v>0</v>
      </c>
      <c r="C6241">
        <f>IF(Sheet1!B6241&gt;0,1,0)</f>
        <v>0</v>
      </c>
    </row>
    <row r="6242" spans="1:3" x14ac:dyDescent="0.25">
      <c r="A6242" s="15">
        <f>Sheet1!A6242</f>
        <v>0</v>
      </c>
      <c r="B6242">
        <f>Sheet1!B6242</f>
        <v>10.86</v>
      </c>
      <c r="C6242">
        <f>IF(Sheet1!B6242&gt;0,1,0)</f>
        <v>1</v>
      </c>
    </row>
    <row r="6243" spans="1:3" x14ac:dyDescent="0.25">
      <c r="A6243" s="15">
        <f>Sheet1!A6243</f>
        <v>0</v>
      </c>
      <c r="B6243">
        <f>Sheet1!B6243</f>
        <v>0.99</v>
      </c>
      <c r="C6243">
        <f>IF(Sheet1!B6243&gt;0,1,0)</f>
        <v>1</v>
      </c>
    </row>
    <row r="6244" spans="1:3" x14ac:dyDescent="0.25">
      <c r="A6244" s="15">
        <f>Sheet1!A6244</f>
        <v>0</v>
      </c>
      <c r="B6244">
        <f>Sheet1!B6244</f>
        <v>0</v>
      </c>
      <c r="C6244">
        <f>IF(Sheet1!B6244&gt;0,1,0)</f>
        <v>0</v>
      </c>
    </row>
    <row r="6245" spans="1:3" x14ac:dyDescent="0.25">
      <c r="A6245" s="15">
        <f>Sheet1!A6245</f>
        <v>0</v>
      </c>
      <c r="B6245">
        <f>Sheet1!B6245</f>
        <v>0</v>
      </c>
      <c r="C6245">
        <f>IF(Sheet1!B6245&gt;0,1,0)</f>
        <v>0</v>
      </c>
    </row>
    <row r="6246" spans="1:3" x14ac:dyDescent="0.25">
      <c r="A6246" s="15">
        <f>Sheet1!A6246</f>
        <v>0</v>
      </c>
      <c r="B6246">
        <f>Sheet1!B6246</f>
        <v>8.82</v>
      </c>
      <c r="C6246">
        <f>IF(Sheet1!B6246&gt;0,1,0)</f>
        <v>1</v>
      </c>
    </row>
    <row r="6247" spans="1:3" x14ac:dyDescent="0.25">
      <c r="A6247" s="15">
        <f>Sheet1!A6247</f>
        <v>0</v>
      </c>
      <c r="B6247">
        <f>Sheet1!B6247</f>
        <v>0</v>
      </c>
      <c r="C6247">
        <f>IF(Sheet1!B6247&gt;0,1,0)</f>
        <v>0</v>
      </c>
    </row>
    <row r="6248" spans="1:3" x14ac:dyDescent="0.25">
      <c r="A6248" s="15">
        <f>Sheet1!A6248</f>
        <v>0</v>
      </c>
      <c r="B6248">
        <f>Sheet1!B6248</f>
        <v>0</v>
      </c>
      <c r="C6248">
        <f>IF(Sheet1!B6248&gt;0,1,0)</f>
        <v>0</v>
      </c>
    </row>
    <row r="6249" spans="1:3" x14ac:dyDescent="0.25">
      <c r="A6249" s="15">
        <f>Sheet1!A6249</f>
        <v>0</v>
      </c>
      <c r="B6249">
        <f>Sheet1!B6249</f>
        <v>0</v>
      </c>
      <c r="C6249">
        <f>IF(Sheet1!B6249&gt;0,1,0)</f>
        <v>0</v>
      </c>
    </row>
    <row r="6250" spans="1:3" x14ac:dyDescent="0.25">
      <c r="A6250" s="15">
        <f>Sheet1!A6250</f>
        <v>0</v>
      </c>
      <c r="B6250">
        <f>Sheet1!B6250</f>
        <v>4.68</v>
      </c>
      <c r="C6250">
        <f>IF(Sheet1!B6250&gt;0,1,0)</f>
        <v>1</v>
      </c>
    </row>
    <row r="6251" spans="1:3" x14ac:dyDescent="0.25">
      <c r="A6251" s="15">
        <f>Sheet1!A6251</f>
        <v>0</v>
      </c>
      <c r="B6251">
        <f>Sheet1!B6251</f>
        <v>0</v>
      </c>
      <c r="C6251">
        <f>IF(Sheet1!B6251&gt;0,1,0)</f>
        <v>0</v>
      </c>
    </row>
    <row r="6252" spans="1:3" x14ac:dyDescent="0.25">
      <c r="A6252" s="15">
        <f>Sheet1!A6252</f>
        <v>0</v>
      </c>
      <c r="B6252">
        <f>Sheet1!B6252</f>
        <v>0</v>
      </c>
      <c r="C6252">
        <f>IF(Sheet1!B6252&gt;0,1,0)</f>
        <v>0</v>
      </c>
    </row>
    <row r="6253" spans="1:3" x14ac:dyDescent="0.25">
      <c r="A6253" s="15">
        <f>Sheet1!A6253</f>
        <v>0</v>
      </c>
      <c r="B6253">
        <f>Sheet1!B6253</f>
        <v>0</v>
      </c>
      <c r="C6253">
        <f>IF(Sheet1!B6253&gt;0,1,0)</f>
        <v>0</v>
      </c>
    </row>
    <row r="6254" spans="1:3" x14ac:dyDescent="0.25">
      <c r="A6254" s="15">
        <f>Sheet1!A6254</f>
        <v>0</v>
      </c>
      <c r="B6254">
        <f>Sheet1!B6254</f>
        <v>9.5399999999999991</v>
      </c>
      <c r="C6254">
        <f>IF(Sheet1!B6254&gt;0,1,0)</f>
        <v>1</v>
      </c>
    </row>
    <row r="6255" spans="1:3" x14ac:dyDescent="0.25">
      <c r="A6255" s="15">
        <f>Sheet1!A6255</f>
        <v>0</v>
      </c>
      <c r="B6255">
        <f>Sheet1!B6255</f>
        <v>0</v>
      </c>
      <c r="C6255">
        <f>IF(Sheet1!B6255&gt;0,1,0)</f>
        <v>0</v>
      </c>
    </row>
    <row r="6256" spans="1:3" x14ac:dyDescent="0.25">
      <c r="A6256" s="15">
        <f>Sheet1!A6256</f>
        <v>0</v>
      </c>
      <c r="B6256">
        <f>Sheet1!B6256</f>
        <v>0</v>
      </c>
      <c r="C6256">
        <f>IF(Sheet1!B6256&gt;0,1,0)</f>
        <v>0</v>
      </c>
    </row>
    <row r="6257" spans="1:3" x14ac:dyDescent="0.25">
      <c r="A6257" s="15">
        <f>Sheet1!A6257</f>
        <v>0</v>
      </c>
      <c r="B6257">
        <f>Sheet1!B6257</f>
        <v>0</v>
      </c>
      <c r="C6257">
        <f>IF(Sheet1!B6257&gt;0,1,0)</f>
        <v>0</v>
      </c>
    </row>
    <row r="6258" spans="1:3" x14ac:dyDescent="0.25">
      <c r="A6258" s="15">
        <f>Sheet1!A6258</f>
        <v>0</v>
      </c>
      <c r="B6258">
        <f>Sheet1!B6258</f>
        <v>0</v>
      </c>
      <c r="C6258">
        <f>IF(Sheet1!B6258&gt;0,1,0)</f>
        <v>0</v>
      </c>
    </row>
    <row r="6259" spans="1:3" x14ac:dyDescent="0.25">
      <c r="A6259" s="15">
        <f>Sheet1!A6259</f>
        <v>0</v>
      </c>
      <c r="B6259">
        <f>Sheet1!B6259</f>
        <v>0</v>
      </c>
      <c r="C6259">
        <f>IF(Sheet1!B6259&gt;0,1,0)</f>
        <v>0</v>
      </c>
    </row>
    <row r="6260" spans="1:3" x14ac:dyDescent="0.25">
      <c r="A6260" s="15">
        <f>Sheet1!A6260</f>
        <v>0</v>
      </c>
      <c r="B6260">
        <f>Sheet1!B6260</f>
        <v>0</v>
      </c>
      <c r="C6260">
        <f>IF(Sheet1!B6260&gt;0,1,0)</f>
        <v>0</v>
      </c>
    </row>
    <row r="6261" spans="1:3" x14ac:dyDescent="0.25">
      <c r="A6261" s="15">
        <f>Sheet1!A6261</f>
        <v>0</v>
      </c>
      <c r="B6261">
        <f>Sheet1!B6261</f>
        <v>0</v>
      </c>
      <c r="C6261">
        <f>IF(Sheet1!B6261&gt;0,1,0)</f>
        <v>0</v>
      </c>
    </row>
    <row r="6262" spans="1:3" x14ac:dyDescent="0.25">
      <c r="A6262" s="15">
        <f>Sheet1!A6262</f>
        <v>0</v>
      </c>
      <c r="B6262">
        <f>Sheet1!B6262</f>
        <v>0</v>
      </c>
      <c r="C6262">
        <f>IF(Sheet1!B6262&gt;0,1,0)</f>
        <v>0</v>
      </c>
    </row>
    <row r="6263" spans="1:3" x14ac:dyDescent="0.25">
      <c r="A6263" s="15">
        <f>Sheet1!A6263</f>
        <v>0</v>
      </c>
      <c r="B6263">
        <f>Sheet1!B6263</f>
        <v>0</v>
      </c>
      <c r="C6263">
        <f>IF(Sheet1!B6263&gt;0,1,0)</f>
        <v>0</v>
      </c>
    </row>
    <row r="6264" spans="1:3" x14ac:dyDescent="0.25">
      <c r="A6264" s="15">
        <f>Sheet1!A6264</f>
        <v>0</v>
      </c>
      <c r="B6264">
        <f>Sheet1!B6264</f>
        <v>13.66</v>
      </c>
      <c r="C6264">
        <f>IF(Sheet1!B6264&gt;0,1,0)</f>
        <v>1</v>
      </c>
    </row>
    <row r="6265" spans="1:3" x14ac:dyDescent="0.25">
      <c r="A6265" s="15">
        <f>Sheet1!A6265</f>
        <v>0</v>
      </c>
      <c r="B6265">
        <f>Sheet1!B6265</f>
        <v>0</v>
      </c>
      <c r="C6265">
        <f>IF(Sheet1!B6265&gt;0,1,0)</f>
        <v>0</v>
      </c>
    </row>
    <row r="6266" spans="1:3" x14ac:dyDescent="0.25">
      <c r="A6266" s="15">
        <f>Sheet1!A6266</f>
        <v>0</v>
      </c>
      <c r="B6266">
        <f>Sheet1!B6266</f>
        <v>0</v>
      </c>
      <c r="C6266">
        <f>IF(Sheet1!B6266&gt;0,1,0)</f>
        <v>0</v>
      </c>
    </row>
    <row r="6267" spans="1:3" x14ac:dyDescent="0.25">
      <c r="A6267" s="15">
        <f>Sheet1!A6267</f>
        <v>0</v>
      </c>
      <c r="B6267">
        <f>Sheet1!B6267</f>
        <v>0</v>
      </c>
      <c r="C6267">
        <f>IF(Sheet1!B6267&gt;0,1,0)</f>
        <v>0</v>
      </c>
    </row>
    <row r="6268" spans="1:3" x14ac:dyDescent="0.25">
      <c r="A6268" s="15">
        <f>Sheet1!A6268</f>
        <v>0</v>
      </c>
      <c r="B6268">
        <f>Sheet1!B6268</f>
        <v>4.2</v>
      </c>
      <c r="C6268">
        <f>IF(Sheet1!B6268&gt;0,1,0)</f>
        <v>1</v>
      </c>
    </row>
    <row r="6269" spans="1:3" x14ac:dyDescent="0.25">
      <c r="A6269" s="15">
        <f>Sheet1!A6269</f>
        <v>0</v>
      </c>
      <c r="B6269">
        <f>Sheet1!B6269</f>
        <v>10.68</v>
      </c>
      <c r="C6269">
        <f>IF(Sheet1!B6269&gt;0,1,0)</f>
        <v>1</v>
      </c>
    </row>
    <row r="6270" spans="1:3" x14ac:dyDescent="0.25">
      <c r="A6270" s="15">
        <f>Sheet1!A6270</f>
        <v>0</v>
      </c>
      <c r="B6270">
        <f>Sheet1!B6270</f>
        <v>10.43</v>
      </c>
      <c r="C6270">
        <f>IF(Sheet1!B6270&gt;0,1,0)</f>
        <v>1</v>
      </c>
    </row>
    <row r="6271" spans="1:3" x14ac:dyDescent="0.25">
      <c r="A6271" s="15">
        <f>Sheet1!A6271</f>
        <v>0</v>
      </c>
      <c r="B6271">
        <f>Sheet1!B6271</f>
        <v>0</v>
      </c>
      <c r="C6271">
        <f>IF(Sheet1!B6271&gt;0,1,0)</f>
        <v>0</v>
      </c>
    </row>
    <row r="6272" spans="1:3" x14ac:dyDescent="0.25">
      <c r="A6272" s="15">
        <f>Sheet1!A6272</f>
        <v>0</v>
      </c>
      <c r="B6272">
        <f>Sheet1!B6272</f>
        <v>0</v>
      </c>
      <c r="C6272">
        <f>IF(Sheet1!B6272&gt;0,1,0)</f>
        <v>0</v>
      </c>
    </row>
    <row r="6273" spans="1:3" x14ac:dyDescent="0.25">
      <c r="A6273" s="15">
        <f>Sheet1!A6273</f>
        <v>0</v>
      </c>
      <c r="B6273">
        <f>Sheet1!B6273</f>
        <v>0</v>
      </c>
      <c r="C6273">
        <f>IF(Sheet1!B6273&gt;0,1,0)</f>
        <v>0</v>
      </c>
    </row>
    <row r="6274" spans="1:3" x14ac:dyDescent="0.25">
      <c r="A6274" s="15">
        <f>Sheet1!A6274</f>
        <v>0</v>
      </c>
      <c r="B6274">
        <f>Sheet1!B6274</f>
        <v>11.93</v>
      </c>
      <c r="C6274">
        <f>IF(Sheet1!B6274&gt;0,1,0)</f>
        <v>1</v>
      </c>
    </row>
    <row r="6275" spans="1:3" x14ac:dyDescent="0.25">
      <c r="A6275" s="15">
        <f>Sheet1!A6275</f>
        <v>0</v>
      </c>
      <c r="B6275">
        <f>Sheet1!B6275</f>
        <v>0</v>
      </c>
      <c r="C6275">
        <f>IF(Sheet1!B6275&gt;0,1,0)</f>
        <v>0</v>
      </c>
    </row>
    <row r="6276" spans="1:3" x14ac:dyDescent="0.25">
      <c r="A6276" s="15">
        <f>Sheet1!A6276</f>
        <v>0</v>
      </c>
      <c r="B6276">
        <f>Sheet1!B6276</f>
        <v>0</v>
      </c>
      <c r="C6276">
        <f>IF(Sheet1!B6276&gt;0,1,0)</f>
        <v>0</v>
      </c>
    </row>
    <row r="6277" spans="1:3" x14ac:dyDescent="0.25">
      <c r="A6277" s="15">
        <f>Sheet1!A6277</f>
        <v>0</v>
      </c>
      <c r="B6277">
        <f>Sheet1!B6277</f>
        <v>0</v>
      </c>
      <c r="C6277">
        <f>IF(Sheet1!B6277&gt;0,1,0)</f>
        <v>0</v>
      </c>
    </row>
    <row r="6278" spans="1:3" x14ac:dyDescent="0.25">
      <c r="A6278" s="15">
        <f>Sheet1!A6278</f>
        <v>0</v>
      </c>
      <c r="B6278">
        <f>Sheet1!B6278</f>
        <v>12.22</v>
      </c>
      <c r="C6278">
        <f>IF(Sheet1!B6278&gt;0,1,0)</f>
        <v>1</v>
      </c>
    </row>
    <row r="6279" spans="1:3" x14ac:dyDescent="0.25">
      <c r="A6279" s="15">
        <f>Sheet1!A6279</f>
        <v>0</v>
      </c>
      <c r="B6279">
        <f>Sheet1!B6279</f>
        <v>0</v>
      </c>
      <c r="C6279">
        <f>IF(Sheet1!B6279&gt;0,1,0)</f>
        <v>0</v>
      </c>
    </row>
    <row r="6280" spans="1:3" x14ac:dyDescent="0.25">
      <c r="A6280" s="15">
        <f>Sheet1!A6280</f>
        <v>0</v>
      </c>
      <c r="B6280">
        <f>Sheet1!B6280</f>
        <v>0</v>
      </c>
      <c r="C6280">
        <f>IF(Sheet1!B6280&gt;0,1,0)</f>
        <v>0</v>
      </c>
    </row>
    <row r="6281" spans="1:3" x14ac:dyDescent="0.25">
      <c r="A6281" s="15">
        <f>Sheet1!A6281</f>
        <v>0</v>
      </c>
      <c r="B6281">
        <f>Sheet1!B6281</f>
        <v>0</v>
      </c>
      <c r="C6281">
        <f>IF(Sheet1!B6281&gt;0,1,0)</f>
        <v>0</v>
      </c>
    </row>
    <row r="6282" spans="1:3" x14ac:dyDescent="0.25">
      <c r="A6282" s="15">
        <f>Sheet1!A6282</f>
        <v>0</v>
      </c>
      <c r="B6282">
        <f>Sheet1!B6282</f>
        <v>7.84</v>
      </c>
      <c r="C6282">
        <f>IF(Sheet1!B6282&gt;0,1,0)</f>
        <v>1</v>
      </c>
    </row>
    <row r="6283" spans="1:3" x14ac:dyDescent="0.25">
      <c r="A6283" s="15">
        <f>Sheet1!A6283</f>
        <v>0</v>
      </c>
      <c r="B6283">
        <f>Sheet1!B6283</f>
        <v>0</v>
      </c>
      <c r="C6283">
        <f>IF(Sheet1!B6283&gt;0,1,0)</f>
        <v>0</v>
      </c>
    </row>
    <row r="6284" spans="1:3" x14ac:dyDescent="0.25">
      <c r="A6284" s="15">
        <f>Sheet1!A6284</f>
        <v>0</v>
      </c>
      <c r="B6284">
        <f>Sheet1!B6284</f>
        <v>0</v>
      </c>
      <c r="C6284">
        <f>IF(Sheet1!B6284&gt;0,1,0)</f>
        <v>0</v>
      </c>
    </row>
    <row r="6285" spans="1:3" x14ac:dyDescent="0.25">
      <c r="A6285" s="15">
        <f>Sheet1!A6285</f>
        <v>0</v>
      </c>
      <c r="B6285">
        <f>Sheet1!B6285</f>
        <v>0</v>
      </c>
      <c r="C6285">
        <f>IF(Sheet1!B6285&gt;0,1,0)</f>
        <v>0</v>
      </c>
    </row>
    <row r="6286" spans="1:3" x14ac:dyDescent="0.25">
      <c r="A6286" s="15">
        <f>Sheet1!A6286</f>
        <v>0</v>
      </c>
      <c r="B6286">
        <f>Sheet1!B6286</f>
        <v>8.24</v>
      </c>
      <c r="C6286">
        <f>IF(Sheet1!B6286&gt;0,1,0)</f>
        <v>1</v>
      </c>
    </row>
    <row r="6287" spans="1:3" x14ac:dyDescent="0.25">
      <c r="A6287" s="15">
        <f>Sheet1!A6287</f>
        <v>0</v>
      </c>
      <c r="B6287">
        <f>Sheet1!B6287</f>
        <v>0</v>
      </c>
      <c r="C6287">
        <f>IF(Sheet1!B6287&gt;0,1,0)</f>
        <v>0</v>
      </c>
    </row>
    <row r="6288" spans="1:3" x14ac:dyDescent="0.25">
      <c r="A6288" s="15">
        <f>Sheet1!A6288</f>
        <v>0</v>
      </c>
      <c r="B6288">
        <f>Sheet1!B6288</f>
        <v>0</v>
      </c>
      <c r="C6288">
        <f>IF(Sheet1!B6288&gt;0,1,0)</f>
        <v>0</v>
      </c>
    </row>
    <row r="6289" spans="1:3" x14ac:dyDescent="0.25">
      <c r="A6289" s="15">
        <f>Sheet1!A6289</f>
        <v>0</v>
      </c>
      <c r="B6289">
        <f>Sheet1!B6289</f>
        <v>0</v>
      </c>
      <c r="C6289">
        <f>IF(Sheet1!B6289&gt;0,1,0)</f>
        <v>0</v>
      </c>
    </row>
    <row r="6290" spans="1:3" x14ac:dyDescent="0.25">
      <c r="A6290" s="15">
        <f>Sheet1!A6290</f>
        <v>0</v>
      </c>
      <c r="B6290">
        <f>Sheet1!B6290</f>
        <v>11.46</v>
      </c>
      <c r="C6290">
        <f>IF(Sheet1!B6290&gt;0,1,0)</f>
        <v>1</v>
      </c>
    </row>
    <row r="6291" spans="1:3" x14ac:dyDescent="0.25">
      <c r="A6291" s="15">
        <f>Sheet1!A6291</f>
        <v>0</v>
      </c>
      <c r="B6291">
        <f>Sheet1!B6291</f>
        <v>0</v>
      </c>
      <c r="C6291">
        <f>IF(Sheet1!B6291&gt;0,1,0)</f>
        <v>0</v>
      </c>
    </row>
    <row r="6292" spans="1:3" x14ac:dyDescent="0.25">
      <c r="A6292" s="15">
        <f>Sheet1!A6292</f>
        <v>0</v>
      </c>
      <c r="B6292">
        <f>Sheet1!B6292</f>
        <v>0</v>
      </c>
      <c r="C6292">
        <f>IF(Sheet1!B6292&gt;0,1,0)</f>
        <v>0</v>
      </c>
    </row>
    <row r="6293" spans="1:3" x14ac:dyDescent="0.25">
      <c r="A6293" s="15">
        <f>Sheet1!A6293</f>
        <v>0</v>
      </c>
      <c r="B6293">
        <f>Sheet1!B6293</f>
        <v>0</v>
      </c>
      <c r="C6293">
        <f>IF(Sheet1!B6293&gt;0,1,0)</f>
        <v>0</v>
      </c>
    </row>
    <row r="6294" spans="1:3" x14ac:dyDescent="0.25">
      <c r="A6294" s="15">
        <f>Sheet1!A6294</f>
        <v>0</v>
      </c>
      <c r="B6294">
        <f>Sheet1!B6294</f>
        <v>9.25</v>
      </c>
      <c r="C6294">
        <f>IF(Sheet1!B6294&gt;0,1,0)</f>
        <v>1</v>
      </c>
    </row>
    <row r="6295" spans="1:3" x14ac:dyDescent="0.25">
      <c r="A6295" s="15">
        <f>Sheet1!A6295</f>
        <v>0</v>
      </c>
      <c r="B6295">
        <f>Sheet1!B6295</f>
        <v>9.3699999999999992</v>
      </c>
      <c r="C6295">
        <f>IF(Sheet1!B6295&gt;0,1,0)</f>
        <v>1</v>
      </c>
    </row>
    <row r="6296" spans="1:3" x14ac:dyDescent="0.25">
      <c r="A6296" s="15">
        <f>Sheet1!A6296</f>
        <v>0</v>
      </c>
      <c r="B6296">
        <f>Sheet1!B6296</f>
        <v>9.26</v>
      </c>
      <c r="C6296">
        <f>IF(Sheet1!B6296&gt;0,1,0)</f>
        <v>1</v>
      </c>
    </row>
    <row r="6297" spans="1:3" x14ac:dyDescent="0.25">
      <c r="A6297" s="15">
        <f>Sheet1!A6297</f>
        <v>0</v>
      </c>
      <c r="B6297">
        <f>Sheet1!B6297</f>
        <v>7.79</v>
      </c>
      <c r="C6297">
        <f>IF(Sheet1!B6297&gt;0,1,0)</f>
        <v>1</v>
      </c>
    </row>
    <row r="6298" spans="1:3" x14ac:dyDescent="0.25">
      <c r="A6298" s="15">
        <f>Sheet1!A6298</f>
        <v>0</v>
      </c>
      <c r="B6298">
        <f>Sheet1!B6298</f>
        <v>0</v>
      </c>
      <c r="C6298">
        <f>IF(Sheet1!B6298&gt;0,1,0)</f>
        <v>0</v>
      </c>
    </row>
    <row r="6299" spans="1:3" x14ac:dyDescent="0.25">
      <c r="A6299" s="15">
        <f>Sheet1!A6299</f>
        <v>0</v>
      </c>
      <c r="B6299">
        <f>Sheet1!B6299</f>
        <v>0</v>
      </c>
      <c r="C6299">
        <f>IF(Sheet1!B6299&gt;0,1,0)</f>
        <v>0</v>
      </c>
    </row>
    <row r="6300" spans="1:3" x14ac:dyDescent="0.25">
      <c r="A6300" s="15">
        <f>Sheet1!A6300</f>
        <v>0</v>
      </c>
      <c r="B6300">
        <f>Sheet1!B6300</f>
        <v>11.27</v>
      </c>
      <c r="C6300">
        <f>IF(Sheet1!B6300&gt;0,1,0)</f>
        <v>1</v>
      </c>
    </row>
    <row r="6301" spans="1:3" x14ac:dyDescent="0.25">
      <c r="A6301" s="15">
        <f>Sheet1!A6301</f>
        <v>0</v>
      </c>
      <c r="B6301">
        <f>Sheet1!B6301</f>
        <v>13.08</v>
      </c>
      <c r="C6301">
        <f>IF(Sheet1!B6301&gt;0,1,0)</f>
        <v>1</v>
      </c>
    </row>
    <row r="6302" spans="1:3" x14ac:dyDescent="0.25">
      <c r="A6302" s="15">
        <f>Sheet1!A6302</f>
        <v>0</v>
      </c>
      <c r="B6302">
        <f>Sheet1!B6302</f>
        <v>14.73</v>
      </c>
      <c r="C6302">
        <f>IF(Sheet1!B6302&gt;0,1,0)</f>
        <v>1</v>
      </c>
    </row>
    <row r="6303" spans="1:3" x14ac:dyDescent="0.25">
      <c r="A6303" s="15">
        <f>Sheet1!A6303</f>
        <v>0</v>
      </c>
      <c r="B6303">
        <f>Sheet1!B6303</f>
        <v>0</v>
      </c>
      <c r="C6303">
        <f>IF(Sheet1!B6303&gt;0,1,0)</f>
        <v>0</v>
      </c>
    </row>
    <row r="6304" spans="1:3" x14ac:dyDescent="0.25">
      <c r="A6304" s="15">
        <f>Sheet1!A6304</f>
        <v>0</v>
      </c>
      <c r="B6304">
        <f>Sheet1!B6304</f>
        <v>0</v>
      </c>
      <c r="C6304">
        <f>IF(Sheet1!B6304&gt;0,1,0)</f>
        <v>0</v>
      </c>
    </row>
    <row r="6305" spans="1:3" x14ac:dyDescent="0.25">
      <c r="A6305" s="15">
        <f>Sheet1!A6305</f>
        <v>0</v>
      </c>
      <c r="B6305">
        <f>Sheet1!B6305</f>
        <v>0</v>
      </c>
      <c r="C6305">
        <f>IF(Sheet1!B6305&gt;0,1,0)</f>
        <v>0</v>
      </c>
    </row>
    <row r="6306" spans="1:3" x14ac:dyDescent="0.25">
      <c r="A6306" s="15">
        <f>Sheet1!A6306</f>
        <v>0</v>
      </c>
      <c r="B6306">
        <f>Sheet1!B6306</f>
        <v>16.72</v>
      </c>
      <c r="C6306">
        <f>IF(Sheet1!B6306&gt;0,1,0)</f>
        <v>1</v>
      </c>
    </row>
    <row r="6307" spans="1:3" x14ac:dyDescent="0.25">
      <c r="A6307" s="15">
        <f>Sheet1!A6307</f>
        <v>0</v>
      </c>
      <c r="B6307">
        <f>Sheet1!B6307</f>
        <v>0</v>
      </c>
      <c r="C6307">
        <f>IF(Sheet1!B6307&gt;0,1,0)</f>
        <v>0</v>
      </c>
    </row>
    <row r="6308" spans="1:3" x14ac:dyDescent="0.25">
      <c r="A6308" s="15">
        <f>Sheet1!A6308</f>
        <v>0</v>
      </c>
      <c r="B6308">
        <f>Sheet1!B6308</f>
        <v>0</v>
      </c>
      <c r="C6308">
        <f>IF(Sheet1!B6308&gt;0,1,0)</f>
        <v>0</v>
      </c>
    </row>
    <row r="6309" spans="1:3" x14ac:dyDescent="0.25">
      <c r="A6309" s="15">
        <f>Sheet1!A6309</f>
        <v>0</v>
      </c>
      <c r="B6309">
        <f>Sheet1!B6309</f>
        <v>0</v>
      </c>
      <c r="C6309">
        <f>IF(Sheet1!B6309&gt;0,1,0)</f>
        <v>0</v>
      </c>
    </row>
    <row r="6310" spans="1:3" x14ac:dyDescent="0.25">
      <c r="A6310" s="15">
        <f>Sheet1!A6310</f>
        <v>0</v>
      </c>
      <c r="B6310">
        <f>Sheet1!B6310</f>
        <v>14.05</v>
      </c>
      <c r="C6310">
        <f>IF(Sheet1!B6310&gt;0,1,0)</f>
        <v>1</v>
      </c>
    </row>
    <row r="6311" spans="1:3" x14ac:dyDescent="0.25">
      <c r="A6311" s="15">
        <f>Sheet1!A6311</f>
        <v>0</v>
      </c>
      <c r="B6311">
        <f>Sheet1!B6311</f>
        <v>0</v>
      </c>
      <c r="C6311">
        <f>IF(Sheet1!B6311&gt;0,1,0)</f>
        <v>0</v>
      </c>
    </row>
    <row r="6312" spans="1:3" x14ac:dyDescent="0.25">
      <c r="A6312" s="15">
        <f>Sheet1!A6312</f>
        <v>0</v>
      </c>
      <c r="B6312">
        <f>Sheet1!B6312</f>
        <v>0</v>
      </c>
      <c r="C6312">
        <f>IF(Sheet1!B6312&gt;0,1,0)</f>
        <v>0</v>
      </c>
    </row>
    <row r="6313" spans="1:3" x14ac:dyDescent="0.25">
      <c r="A6313" s="15">
        <f>Sheet1!A6313</f>
        <v>0</v>
      </c>
      <c r="B6313">
        <f>Sheet1!B6313</f>
        <v>0</v>
      </c>
      <c r="C6313">
        <f>IF(Sheet1!B6313&gt;0,1,0)</f>
        <v>0</v>
      </c>
    </row>
    <row r="6314" spans="1:3" x14ac:dyDescent="0.25">
      <c r="A6314" s="15">
        <f>Sheet1!A6314</f>
        <v>0</v>
      </c>
      <c r="B6314">
        <f>Sheet1!B6314</f>
        <v>12.34</v>
      </c>
      <c r="C6314">
        <f>IF(Sheet1!B6314&gt;0,1,0)</f>
        <v>1</v>
      </c>
    </row>
    <row r="6315" spans="1:3" x14ac:dyDescent="0.25">
      <c r="A6315" s="15">
        <f>Sheet1!A6315</f>
        <v>0</v>
      </c>
      <c r="B6315">
        <f>Sheet1!B6315</f>
        <v>9.5399999999999991</v>
      </c>
      <c r="C6315">
        <f>IF(Sheet1!B6315&gt;0,1,0)</f>
        <v>1</v>
      </c>
    </row>
    <row r="6316" spans="1:3" x14ac:dyDescent="0.25">
      <c r="A6316" s="15">
        <f>Sheet1!A6316</f>
        <v>0</v>
      </c>
      <c r="B6316">
        <f>Sheet1!B6316</f>
        <v>9.16</v>
      </c>
      <c r="C6316">
        <f>IF(Sheet1!B6316&gt;0,1,0)</f>
        <v>1</v>
      </c>
    </row>
    <row r="6317" spans="1:3" x14ac:dyDescent="0.25">
      <c r="A6317" s="15">
        <f>Sheet1!A6317</f>
        <v>0</v>
      </c>
      <c r="B6317">
        <f>Sheet1!B6317</f>
        <v>0</v>
      </c>
      <c r="C6317">
        <f>IF(Sheet1!B6317&gt;0,1,0)</f>
        <v>0</v>
      </c>
    </row>
    <row r="6318" spans="1:3" x14ac:dyDescent="0.25">
      <c r="A6318" s="15">
        <f>Sheet1!A6318</f>
        <v>0</v>
      </c>
      <c r="B6318">
        <f>Sheet1!B6318</f>
        <v>0</v>
      </c>
      <c r="C6318">
        <f>IF(Sheet1!B6318&gt;0,1,0)</f>
        <v>0</v>
      </c>
    </row>
    <row r="6319" spans="1:3" x14ac:dyDescent="0.25">
      <c r="A6319" s="15">
        <f>Sheet1!A6319</f>
        <v>0</v>
      </c>
      <c r="B6319">
        <f>Sheet1!B6319</f>
        <v>0</v>
      </c>
      <c r="C6319">
        <f>IF(Sheet1!B6319&gt;0,1,0)</f>
        <v>0</v>
      </c>
    </row>
    <row r="6320" spans="1:3" x14ac:dyDescent="0.25">
      <c r="A6320" s="15">
        <f>Sheet1!A6320</f>
        <v>0</v>
      </c>
      <c r="B6320">
        <f>Sheet1!B6320</f>
        <v>0</v>
      </c>
      <c r="C6320">
        <f>IF(Sheet1!B6320&gt;0,1,0)</f>
        <v>0</v>
      </c>
    </row>
    <row r="6321" spans="1:3" x14ac:dyDescent="0.25">
      <c r="A6321" s="15">
        <f>Sheet1!A6321</f>
        <v>0</v>
      </c>
      <c r="B6321">
        <f>Sheet1!B6321</f>
        <v>0</v>
      </c>
      <c r="C6321">
        <f>IF(Sheet1!B6321&gt;0,1,0)</f>
        <v>0</v>
      </c>
    </row>
    <row r="6322" spans="1:3" x14ac:dyDescent="0.25">
      <c r="A6322" s="15">
        <f>Sheet1!A6322</f>
        <v>0</v>
      </c>
      <c r="B6322">
        <f>Sheet1!B6322</f>
        <v>0</v>
      </c>
      <c r="C6322">
        <f>IF(Sheet1!B6322&gt;0,1,0)</f>
        <v>0</v>
      </c>
    </row>
    <row r="6323" spans="1:3" x14ac:dyDescent="0.25">
      <c r="A6323" s="15">
        <f>Sheet1!A6323</f>
        <v>0</v>
      </c>
      <c r="B6323">
        <f>Sheet1!B6323</f>
        <v>0</v>
      </c>
      <c r="C6323">
        <f>IF(Sheet1!B6323&gt;0,1,0)</f>
        <v>0</v>
      </c>
    </row>
    <row r="6324" spans="1:3" x14ac:dyDescent="0.25">
      <c r="A6324" s="15">
        <f>Sheet1!A6324</f>
        <v>0</v>
      </c>
      <c r="B6324">
        <f>Sheet1!B6324</f>
        <v>11.6</v>
      </c>
      <c r="C6324">
        <f>IF(Sheet1!B6324&gt;0,1,0)</f>
        <v>1</v>
      </c>
    </row>
    <row r="6325" spans="1:3" x14ac:dyDescent="0.25">
      <c r="A6325" s="15">
        <f>Sheet1!A6325</f>
        <v>0</v>
      </c>
      <c r="B6325">
        <f>Sheet1!B6325</f>
        <v>11.34</v>
      </c>
      <c r="C6325">
        <f>IF(Sheet1!B6325&gt;0,1,0)</f>
        <v>1</v>
      </c>
    </row>
    <row r="6326" spans="1:3" x14ac:dyDescent="0.25">
      <c r="A6326" s="15">
        <f>Sheet1!A6326</f>
        <v>0</v>
      </c>
      <c r="B6326">
        <f>Sheet1!B6326</f>
        <v>11.64</v>
      </c>
      <c r="C6326">
        <f>IF(Sheet1!B6326&gt;0,1,0)</f>
        <v>1</v>
      </c>
    </row>
    <row r="6327" spans="1:3" x14ac:dyDescent="0.25">
      <c r="A6327" s="15">
        <f>Sheet1!A6327</f>
        <v>0</v>
      </c>
      <c r="B6327">
        <f>Sheet1!B6327</f>
        <v>0</v>
      </c>
      <c r="C6327">
        <f>IF(Sheet1!B6327&gt;0,1,0)</f>
        <v>0</v>
      </c>
    </row>
    <row r="6328" spans="1:3" x14ac:dyDescent="0.25">
      <c r="A6328" s="15">
        <f>Sheet1!A6328</f>
        <v>0</v>
      </c>
      <c r="B6328">
        <f>Sheet1!B6328</f>
        <v>0</v>
      </c>
      <c r="C6328">
        <f>IF(Sheet1!B6328&gt;0,1,0)</f>
        <v>0</v>
      </c>
    </row>
    <row r="6329" spans="1:3" x14ac:dyDescent="0.25">
      <c r="A6329" s="15">
        <f>Sheet1!A6329</f>
        <v>0</v>
      </c>
      <c r="B6329">
        <f>Sheet1!B6329</f>
        <v>0</v>
      </c>
      <c r="C6329">
        <f>IF(Sheet1!B6329&gt;0,1,0)</f>
        <v>0</v>
      </c>
    </row>
    <row r="6330" spans="1:3" x14ac:dyDescent="0.25">
      <c r="A6330" s="15">
        <f>Sheet1!A6330</f>
        <v>0</v>
      </c>
      <c r="B6330">
        <f>Sheet1!B6330</f>
        <v>0</v>
      </c>
      <c r="C6330">
        <f>IF(Sheet1!B6330&gt;0,1,0)</f>
        <v>0</v>
      </c>
    </row>
    <row r="6331" spans="1:3" x14ac:dyDescent="0.25">
      <c r="A6331" s="15">
        <f>Sheet1!A6331</f>
        <v>0</v>
      </c>
      <c r="B6331">
        <f>Sheet1!B6331</f>
        <v>0</v>
      </c>
      <c r="C6331">
        <f>IF(Sheet1!B6331&gt;0,1,0)</f>
        <v>0</v>
      </c>
    </row>
    <row r="6332" spans="1:3" x14ac:dyDescent="0.25">
      <c r="A6332" s="15">
        <f>Sheet1!A6332</f>
        <v>0</v>
      </c>
      <c r="B6332">
        <f>Sheet1!B6332</f>
        <v>0</v>
      </c>
      <c r="C6332">
        <f>IF(Sheet1!B6332&gt;0,1,0)</f>
        <v>0</v>
      </c>
    </row>
    <row r="6333" spans="1:3" x14ac:dyDescent="0.25">
      <c r="A6333" s="15">
        <f>Sheet1!A6333</f>
        <v>0</v>
      </c>
      <c r="B6333">
        <f>Sheet1!B6333</f>
        <v>0</v>
      </c>
      <c r="C6333">
        <f>IF(Sheet1!B6333&gt;0,1,0)</f>
        <v>0</v>
      </c>
    </row>
    <row r="6334" spans="1:3" x14ac:dyDescent="0.25">
      <c r="A6334" s="15">
        <f>Sheet1!A6334</f>
        <v>0</v>
      </c>
      <c r="B6334">
        <f>Sheet1!B6334</f>
        <v>13.04</v>
      </c>
      <c r="C6334">
        <f>IF(Sheet1!B6334&gt;0,1,0)</f>
        <v>1</v>
      </c>
    </row>
    <row r="6335" spans="1:3" x14ac:dyDescent="0.25">
      <c r="A6335" s="15">
        <f>Sheet1!A6335</f>
        <v>0</v>
      </c>
      <c r="B6335">
        <f>Sheet1!B6335</f>
        <v>0</v>
      </c>
      <c r="C6335">
        <f>IF(Sheet1!B6335&gt;0,1,0)</f>
        <v>0</v>
      </c>
    </row>
    <row r="6336" spans="1:3" x14ac:dyDescent="0.25">
      <c r="A6336" s="15">
        <f>Sheet1!A6336</f>
        <v>0</v>
      </c>
      <c r="B6336">
        <f>Sheet1!B6336</f>
        <v>0</v>
      </c>
      <c r="C6336">
        <f>IF(Sheet1!B6336&gt;0,1,0)</f>
        <v>0</v>
      </c>
    </row>
    <row r="6337" spans="1:3" x14ac:dyDescent="0.25">
      <c r="A6337" s="15">
        <f>Sheet1!A6337</f>
        <v>0</v>
      </c>
      <c r="B6337">
        <f>Sheet1!B6337</f>
        <v>0</v>
      </c>
      <c r="C6337">
        <f>IF(Sheet1!B6337&gt;0,1,0)</f>
        <v>0</v>
      </c>
    </row>
    <row r="6338" spans="1:3" x14ac:dyDescent="0.25">
      <c r="A6338" s="15">
        <f>Sheet1!A6338</f>
        <v>0</v>
      </c>
      <c r="B6338">
        <f>Sheet1!B6338</f>
        <v>8.9600000000000009</v>
      </c>
      <c r="C6338">
        <f>IF(Sheet1!B6338&gt;0,1,0)</f>
        <v>1</v>
      </c>
    </row>
    <row r="6339" spans="1:3" x14ac:dyDescent="0.25">
      <c r="A6339" s="15">
        <f>Sheet1!A6339</f>
        <v>0</v>
      </c>
      <c r="B6339">
        <f>Sheet1!B6339</f>
        <v>8.99</v>
      </c>
      <c r="C6339">
        <f>IF(Sheet1!B6339&gt;0,1,0)</f>
        <v>1</v>
      </c>
    </row>
    <row r="6340" spans="1:3" x14ac:dyDescent="0.25">
      <c r="A6340" s="15">
        <f>Sheet1!A6340</f>
        <v>0</v>
      </c>
      <c r="B6340">
        <f>Sheet1!B6340</f>
        <v>9.3000000000000007</v>
      </c>
      <c r="C6340">
        <f>IF(Sheet1!B6340&gt;0,1,0)</f>
        <v>1</v>
      </c>
    </row>
    <row r="6341" spans="1:3" x14ac:dyDescent="0.25">
      <c r="A6341" s="15">
        <f>Sheet1!A6341</f>
        <v>0</v>
      </c>
      <c r="B6341">
        <f>Sheet1!B6341</f>
        <v>0</v>
      </c>
      <c r="C6341">
        <f>IF(Sheet1!B6341&gt;0,1,0)</f>
        <v>0</v>
      </c>
    </row>
    <row r="6342" spans="1:3" x14ac:dyDescent="0.25">
      <c r="A6342" s="15">
        <f>Sheet1!A6342</f>
        <v>0</v>
      </c>
      <c r="B6342">
        <f>Sheet1!B6342</f>
        <v>0</v>
      </c>
      <c r="C6342">
        <f>IF(Sheet1!B6342&gt;0,1,0)</f>
        <v>0</v>
      </c>
    </row>
    <row r="6343" spans="1:3" x14ac:dyDescent="0.25">
      <c r="A6343" s="15">
        <f>Sheet1!A6343</f>
        <v>0</v>
      </c>
      <c r="B6343">
        <f>Sheet1!B6343</f>
        <v>0</v>
      </c>
      <c r="C6343">
        <f>IF(Sheet1!B6343&gt;0,1,0)</f>
        <v>0</v>
      </c>
    </row>
    <row r="6344" spans="1:3" x14ac:dyDescent="0.25">
      <c r="A6344" s="15">
        <f>Sheet1!A6344</f>
        <v>0</v>
      </c>
      <c r="B6344">
        <f>Sheet1!B6344</f>
        <v>10.75</v>
      </c>
      <c r="C6344">
        <f>IF(Sheet1!B6344&gt;0,1,0)</f>
        <v>1</v>
      </c>
    </row>
    <row r="6345" spans="1:3" x14ac:dyDescent="0.25">
      <c r="A6345" s="15">
        <f>Sheet1!A6345</f>
        <v>0</v>
      </c>
      <c r="B6345">
        <f>Sheet1!B6345</f>
        <v>10.92</v>
      </c>
      <c r="C6345">
        <f>IF(Sheet1!B6345&gt;0,1,0)</f>
        <v>1</v>
      </c>
    </row>
    <row r="6346" spans="1:3" x14ac:dyDescent="0.25">
      <c r="A6346" s="15">
        <f>Sheet1!A6346</f>
        <v>0</v>
      </c>
      <c r="B6346">
        <f>Sheet1!B6346</f>
        <v>11.28</v>
      </c>
      <c r="C6346">
        <f>IF(Sheet1!B6346&gt;0,1,0)</f>
        <v>1</v>
      </c>
    </row>
    <row r="6347" spans="1:3" x14ac:dyDescent="0.25">
      <c r="A6347" s="15">
        <f>Sheet1!A6347</f>
        <v>0</v>
      </c>
      <c r="B6347">
        <f>Sheet1!B6347</f>
        <v>0</v>
      </c>
      <c r="C6347">
        <f>IF(Sheet1!B6347&gt;0,1,0)</f>
        <v>0</v>
      </c>
    </row>
    <row r="6348" spans="1:3" x14ac:dyDescent="0.25">
      <c r="A6348" s="15">
        <f>Sheet1!A6348</f>
        <v>0</v>
      </c>
      <c r="B6348">
        <f>Sheet1!B6348</f>
        <v>0</v>
      </c>
      <c r="C6348">
        <f>IF(Sheet1!B6348&gt;0,1,0)</f>
        <v>0</v>
      </c>
    </row>
    <row r="6349" spans="1:3" x14ac:dyDescent="0.25">
      <c r="A6349" s="15">
        <f>Sheet1!A6349</f>
        <v>0</v>
      </c>
      <c r="B6349">
        <f>Sheet1!B6349</f>
        <v>0</v>
      </c>
      <c r="C6349">
        <f>IF(Sheet1!B6349&gt;0,1,0)</f>
        <v>0</v>
      </c>
    </row>
    <row r="6350" spans="1:3" x14ac:dyDescent="0.25">
      <c r="A6350" s="15">
        <f>Sheet1!A6350</f>
        <v>0</v>
      </c>
      <c r="B6350">
        <f>Sheet1!B6350</f>
        <v>12.3</v>
      </c>
      <c r="C6350">
        <f>IF(Sheet1!B6350&gt;0,1,0)</f>
        <v>1</v>
      </c>
    </row>
    <row r="6351" spans="1:3" x14ac:dyDescent="0.25">
      <c r="A6351" s="15">
        <f>Sheet1!A6351</f>
        <v>0</v>
      </c>
      <c r="B6351">
        <f>Sheet1!B6351</f>
        <v>0</v>
      </c>
      <c r="C6351">
        <f>IF(Sheet1!B6351&gt;0,1,0)</f>
        <v>0</v>
      </c>
    </row>
    <row r="6352" spans="1:3" x14ac:dyDescent="0.25">
      <c r="A6352" s="15">
        <f>Sheet1!A6352</f>
        <v>0</v>
      </c>
      <c r="B6352">
        <f>Sheet1!B6352</f>
        <v>0</v>
      </c>
      <c r="C6352">
        <f>IF(Sheet1!B6352&gt;0,1,0)</f>
        <v>0</v>
      </c>
    </row>
    <row r="6353" spans="1:3" x14ac:dyDescent="0.25">
      <c r="A6353" s="15">
        <f>Sheet1!A6353</f>
        <v>0</v>
      </c>
      <c r="B6353">
        <f>Sheet1!B6353</f>
        <v>0</v>
      </c>
      <c r="C6353">
        <f>IF(Sheet1!B6353&gt;0,1,0)</f>
        <v>0</v>
      </c>
    </row>
    <row r="6354" spans="1:3" x14ac:dyDescent="0.25">
      <c r="A6354" s="15">
        <f>Sheet1!A6354</f>
        <v>0</v>
      </c>
      <c r="B6354">
        <f>Sheet1!B6354</f>
        <v>11.79</v>
      </c>
      <c r="C6354">
        <f>IF(Sheet1!B6354&gt;0,1,0)</f>
        <v>1</v>
      </c>
    </row>
    <row r="6355" spans="1:3" x14ac:dyDescent="0.25">
      <c r="A6355" s="15">
        <f>Sheet1!A6355</f>
        <v>0</v>
      </c>
      <c r="B6355">
        <f>Sheet1!B6355</f>
        <v>0</v>
      </c>
      <c r="C6355">
        <f>IF(Sheet1!B6355&gt;0,1,0)</f>
        <v>0</v>
      </c>
    </row>
    <row r="6356" spans="1:3" x14ac:dyDescent="0.25">
      <c r="A6356" s="15">
        <f>Sheet1!A6356</f>
        <v>0</v>
      </c>
      <c r="B6356">
        <f>Sheet1!B6356</f>
        <v>0</v>
      </c>
      <c r="C6356">
        <f>IF(Sheet1!B6356&gt;0,1,0)</f>
        <v>0</v>
      </c>
    </row>
    <row r="6357" spans="1:3" x14ac:dyDescent="0.25">
      <c r="A6357" s="15">
        <f>Sheet1!A6357</f>
        <v>0</v>
      </c>
      <c r="B6357">
        <f>Sheet1!B6357</f>
        <v>0</v>
      </c>
      <c r="C6357">
        <f>IF(Sheet1!B6357&gt;0,1,0)</f>
        <v>0</v>
      </c>
    </row>
    <row r="6358" spans="1:3" x14ac:dyDescent="0.25">
      <c r="A6358" s="15">
        <f>Sheet1!A6358</f>
        <v>0</v>
      </c>
      <c r="B6358">
        <f>Sheet1!B6358</f>
        <v>11.17</v>
      </c>
      <c r="C6358">
        <f>IF(Sheet1!B6358&gt;0,1,0)</f>
        <v>1</v>
      </c>
    </row>
    <row r="6359" spans="1:3" x14ac:dyDescent="0.25">
      <c r="A6359" s="15">
        <f>Sheet1!A6359</f>
        <v>0</v>
      </c>
      <c r="B6359">
        <f>Sheet1!B6359</f>
        <v>0</v>
      </c>
      <c r="C6359">
        <f>IF(Sheet1!B6359&gt;0,1,0)</f>
        <v>0</v>
      </c>
    </row>
    <row r="6360" spans="1:3" x14ac:dyDescent="0.25">
      <c r="A6360" s="15">
        <f>Sheet1!A6360</f>
        <v>0</v>
      </c>
      <c r="B6360">
        <f>Sheet1!B6360</f>
        <v>0</v>
      </c>
      <c r="C6360">
        <f>IF(Sheet1!B6360&gt;0,1,0)</f>
        <v>0</v>
      </c>
    </row>
    <row r="6361" spans="1:3" x14ac:dyDescent="0.25">
      <c r="A6361" s="15">
        <f>Sheet1!A6361</f>
        <v>0</v>
      </c>
      <c r="B6361">
        <f>Sheet1!B6361</f>
        <v>0</v>
      </c>
      <c r="C6361">
        <f>IF(Sheet1!B6361&gt;0,1,0)</f>
        <v>0</v>
      </c>
    </row>
    <row r="6362" spans="1:3" x14ac:dyDescent="0.25">
      <c r="A6362" s="15">
        <f>Sheet1!A6362</f>
        <v>0</v>
      </c>
      <c r="B6362">
        <f>Sheet1!B6362</f>
        <v>0</v>
      </c>
      <c r="C6362">
        <f>IF(Sheet1!B6362&gt;0,1,0)</f>
        <v>0</v>
      </c>
    </row>
    <row r="6363" spans="1:3" x14ac:dyDescent="0.25">
      <c r="A6363" s="15">
        <f>Sheet1!A6363</f>
        <v>0</v>
      </c>
      <c r="B6363">
        <f>Sheet1!B6363</f>
        <v>0</v>
      </c>
      <c r="C6363">
        <f>IF(Sheet1!B6363&gt;0,1,0)</f>
        <v>0</v>
      </c>
    </row>
    <row r="6364" spans="1:3" x14ac:dyDescent="0.25">
      <c r="A6364" s="15">
        <f>Sheet1!A6364</f>
        <v>0</v>
      </c>
      <c r="B6364">
        <f>Sheet1!B6364</f>
        <v>8.9499999999999993</v>
      </c>
      <c r="C6364">
        <f>IF(Sheet1!B6364&gt;0,1,0)</f>
        <v>1</v>
      </c>
    </row>
    <row r="6365" spans="1:3" x14ac:dyDescent="0.25">
      <c r="A6365" s="15">
        <f>Sheet1!A6365</f>
        <v>0</v>
      </c>
      <c r="B6365">
        <f>Sheet1!B6365</f>
        <v>0</v>
      </c>
      <c r="C6365">
        <f>IF(Sheet1!B6365&gt;0,1,0)</f>
        <v>0</v>
      </c>
    </row>
    <row r="6366" spans="1:3" x14ac:dyDescent="0.25">
      <c r="A6366" s="15">
        <f>Sheet1!A6366</f>
        <v>0</v>
      </c>
      <c r="B6366">
        <f>Sheet1!B6366</f>
        <v>0</v>
      </c>
      <c r="C6366">
        <f>IF(Sheet1!B6366&gt;0,1,0)</f>
        <v>0</v>
      </c>
    </row>
    <row r="6367" spans="1:3" x14ac:dyDescent="0.25">
      <c r="A6367" s="15">
        <f>Sheet1!A6367</f>
        <v>0</v>
      </c>
      <c r="B6367">
        <f>Sheet1!B6367</f>
        <v>0</v>
      </c>
      <c r="C6367">
        <f>IF(Sheet1!B6367&gt;0,1,0)</f>
        <v>0</v>
      </c>
    </row>
    <row r="6368" spans="1:3" x14ac:dyDescent="0.25">
      <c r="A6368" s="15">
        <f>Sheet1!A6368</f>
        <v>0</v>
      </c>
      <c r="B6368">
        <f>Sheet1!B6368</f>
        <v>9.91</v>
      </c>
      <c r="C6368">
        <f>IF(Sheet1!B6368&gt;0,1,0)</f>
        <v>1</v>
      </c>
    </row>
    <row r="6369" spans="1:3" x14ac:dyDescent="0.25">
      <c r="A6369" s="15">
        <f>Sheet1!A6369</f>
        <v>0</v>
      </c>
      <c r="B6369">
        <f>Sheet1!B6369</f>
        <v>10.51</v>
      </c>
      <c r="C6369">
        <f>IF(Sheet1!B6369&gt;0,1,0)</f>
        <v>1</v>
      </c>
    </row>
    <row r="6370" spans="1:3" x14ac:dyDescent="0.25">
      <c r="A6370" s="15">
        <f>Sheet1!A6370</f>
        <v>0</v>
      </c>
      <c r="B6370">
        <f>Sheet1!B6370</f>
        <v>10.61</v>
      </c>
      <c r="C6370">
        <f>IF(Sheet1!B6370&gt;0,1,0)</f>
        <v>1</v>
      </c>
    </row>
    <row r="6371" spans="1:3" x14ac:dyDescent="0.25">
      <c r="A6371" s="15">
        <f>Sheet1!A6371</f>
        <v>0</v>
      </c>
      <c r="B6371">
        <f>Sheet1!B6371</f>
        <v>0</v>
      </c>
      <c r="C6371">
        <f>IF(Sheet1!B6371&gt;0,1,0)</f>
        <v>0</v>
      </c>
    </row>
    <row r="6372" spans="1:3" x14ac:dyDescent="0.25">
      <c r="A6372" s="15">
        <f>Sheet1!A6372</f>
        <v>0</v>
      </c>
      <c r="B6372">
        <f>Sheet1!B6372</f>
        <v>0</v>
      </c>
      <c r="C6372">
        <f>IF(Sheet1!B6372&gt;0,1,0)</f>
        <v>0</v>
      </c>
    </row>
    <row r="6373" spans="1:3" x14ac:dyDescent="0.25">
      <c r="A6373" s="15">
        <f>Sheet1!A6373</f>
        <v>0</v>
      </c>
      <c r="B6373">
        <f>Sheet1!B6373</f>
        <v>0</v>
      </c>
      <c r="C6373">
        <f>IF(Sheet1!B6373&gt;0,1,0)</f>
        <v>0</v>
      </c>
    </row>
    <row r="6374" spans="1:3" x14ac:dyDescent="0.25">
      <c r="A6374" s="15">
        <f>Sheet1!A6374</f>
        <v>0</v>
      </c>
      <c r="B6374">
        <f>Sheet1!B6374</f>
        <v>11.62</v>
      </c>
      <c r="C6374">
        <f>IF(Sheet1!B6374&gt;0,1,0)</f>
        <v>1</v>
      </c>
    </row>
    <row r="6375" spans="1:3" x14ac:dyDescent="0.25">
      <c r="A6375" s="15">
        <f>Sheet1!A6375</f>
        <v>0</v>
      </c>
      <c r="B6375">
        <f>Sheet1!B6375</f>
        <v>0</v>
      </c>
      <c r="C6375">
        <f>IF(Sheet1!B6375&gt;0,1,0)</f>
        <v>0</v>
      </c>
    </row>
    <row r="6376" spans="1:3" x14ac:dyDescent="0.25">
      <c r="A6376" s="15">
        <f>Sheet1!A6376</f>
        <v>0</v>
      </c>
      <c r="B6376">
        <f>Sheet1!B6376</f>
        <v>0</v>
      </c>
      <c r="C6376">
        <f>IF(Sheet1!B6376&gt;0,1,0)</f>
        <v>0</v>
      </c>
    </row>
    <row r="6377" spans="1:3" x14ac:dyDescent="0.25">
      <c r="A6377" s="15">
        <f>Sheet1!A6377</f>
        <v>0</v>
      </c>
      <c r="B6377">
        <f>Sheet1!B6377</f>
        <v>0</v>
      </c>
      <c r="C6377">
        <f>IF(Sheet1!B6377&gt;0,1,0)</f>
        <v>0</v>
      </c>
    </row>
    <row r="6378" spans="1:3" x14ac:dyDescent="0.25">
      <c r="A6378" s="15">
        <f>Sheet1!A6378</f>
        <v>0</v>
      </c>
      <c r="B6378">
        <f>Sheet1!B6378</f>
        <v>9.75</v>
      </c>
      <c r="C6378">
        <f>IF(Sheet1!B6378&gt;0,1,0)</f>
        <v>1</v>
      </c>
    </row>
    <row r="6379" spans="1:3" x14ac:dyDescent="0.25">
      <c r="A6379" s="15">
        <f>Sheet1!A6379</f>
        <v>0</v>
      </c>
      <c r="B6379">
        <f>Sheet1!B6379</f>
        <v>0</v>
      </c>
      <c r="C6379">
        <f>IF(Sheet1!B6379&gt;0,1,0)</f>
        <v>0</v>
      </c>
    </row>
    <row r="6380" spans="1:3" x14ac:dyDescent="0.25">
      <c r="A6380" s="15">
        <f>Sheet1!A6380</f>
        <v>0</v>
      </c>
      <c r="B6380">
        <f>Sheet1!B6380</f>
        <v>0</v>
      </c>
      <c r="C6380">
        <f>IF(Sheet1!B6380&gt;0,1,0)</f>
        <v>0</v>
      </c>
    </row>
    <row r="6381" spans="1:3" x14ac:dyDescent="0.25">
      <c r="A6381" s="15">
        <f>Sheet1!A6381</f>
        <v>0</v>
      </c>
      <c r="B6381">
        <f>Sheet1!B6381</f>
        <v>0</v>
      </c>
      <c r="C6381">
        <f>IF(Sheet1!B6381&gt;0,1,0)</f>
        <v>0</v>
      </c>
    </row>
    <row r="6382" spans="1:3" x14ac:dyDescent="0.25">
      <c r="A6382" s="15">
        <f>Sheet1!A6382</f>
        <v>0</v>
      </c>
      <c r="B6382">
        <f>Sheet1!B6382</f>
        <v>10.24</v>
      </c>
      <c r="C6382">
        <f>IF(Sheet1!B6382&gt;0,1,0)</f>
        <v>1</v>
      </c>
    </row>
    <row r="6383" spans="1:3" x14ac:dyDescent="0.25">
      <c r="A6383" s="15">
        <f>Sheet1!A6383</f>
        <v>0</v>
      </c>
      <c r="B6383">
        <f>Sheet1!B6383</f>
        <v>0</v>
      </c>
      <c r="C6383">
        <f>IF(Sheet1!B6383&gt;0,1,0)</f>
        <v>0</v>
      </c>
    </row>
    <row r="6384" spans="1:3" x14ac:dyDescent="0.25">
      <c r="A6384" s="15">
        <f>Sheet1!A6384</f>
        <v>0</v>
      </c>
      <c r="B6384">
        <f>Sheet1!B6384</f>
        <v>9.73</v>
      </c>
      <c r="C6384">
        <f>IF(Sheet1!B6384&gt;0,1,0)</f>
        <v>1</v>
      </c>
    </row>
    <row r="6385" spans="1:3" x14ac:dyDescent="0.25">
      <c r="A6385" s="15">
        <f>Sheet1!A6385</f>
        <v>0</v>
      </c>
      <c r="B6385">
        <f>Sheet1!B6385</f>
        <v>6.54</v>
      </c>
      <c r="C6385">
        <f>IF(Sheet1!B6385&gt;0,1,0)</f>
        <v>1</v>
      </c>
    </row>
    <row r="6386" spans="1:3" x14ac:dyDescent="0.25">
      <c r="A6386" s="15">
        <f>Sheet1!A6386</f>
        <v>0</v>
      </c>
      <c r="B6386">
        <f>Sheet1!B6386</f>
        <v>7.55</v>
      </c>
      <c r="C6386">
        <f>IF(Sheet1!B6386&gt;0,1,0)</f>
        <v>1</v>
      </c>
    </row>
    <row r="6387" spans="1:3" x14ac:dyDescent="0.25">
      <c r="A6387" s="15">
        <f>Sheet1!A6387</f>
        <v>0</v>
      </c>
      <c r="B6387">
        <f>Sheet1!B6387</f>
        <v>0</v>
      </c>
      <c r="C6387">
        <f>IF(Sheet1!B6387&gt;0,1,0)</f>
        <v>0</v>
      </c>
    </row>
    <row r="6388" spans="1:3" x14ac:dyDescent="0.25">
      <c r="A6388" s="15">
        <f>Sheet1!A6388</f>
        <v>0</v>
      </c>
      <c r="B6388">
        <f>Sheet1!B6388</f>
        <v>0</v>
      </c>
      <c r="C6388">
        <f>IF(Sheet1!B6388&gt;0,1,0)</f>
        <v>0</v>
      </c>
    </row>
    <row r="6389" spans="1:3" x14ac:dyDescent="0.25">
      <c r="A6389" s="15">
        <f>Sheet1!A6389</f>
        <v>0</v>
      </c>
      <c r="B6389">
        <f>Sheet1!B6389</f>
        <v>0</v>
      </c>
      <c r="C6389">
        <f>IF(Sheet1!B6389&gt;0,1,0)</f>
        <v>0</v>
      </c>
    </row>
    <row r="6390" spans="1:3" x14ac:dyDescent="0.25">
      <c r="A6390" s="15">
        <f>Sheet1!A6390</f>
        <v>0</v>
      </c>
      <c r="B6390">
        <f>Sheet1!B6390</f>
        <v>9.41</v>
      </c>
      <c r="C6390">
        <f>IF(Sheet1!B6390&gt;0,1,0)</f>
        <v>1</v>
      </c>
    </row>
    <row r="6391" spans="1:3" x14ac:dyDescent="0.25">
      <c r="A6391" s="15">
        <f>Sheet1!A6391</f>
        <v>0</v>
      </c>
      <c r="B6391">
        <f>Sheet1!B6391</f>
        <v>8.93</v>
      </c>
      <c r="C6391">
        <f>IF(Sheet1!B6391&gt;0,1,0)</f>
        <v>1</v>
      </c>
    </row>
    <row r="6392" spans="1:3" x14ac:dyDescent="0.25">
      <c r="A6392" s="15">
        <f>Sheet1!A6392</f>
        <v>0</v>
      </c>
      <c r="B6392">
        <f>Sheet1!B6392</f>
        <v>9.24</v>
      </c>
      <c r="C6392">
        <f>IF(Sheet1!B6392&gt;0,1,0)</f>
        <v>1</v>
      </c>
    </row>
    <row r="6393" spans="1:3" x14ac:dyDescent="0.25">
      <c r="A6393" s="15">
        <f>Sheet1!A6393</f>
        <v>0</v>
      </c>
      <c r="B6393">
        <f>Sheet1!B6393</f>
        <v>0</v>
      </c>
      <c r="C6393">
        <f>IF(Sheet1!B6393&gt;0,1,0)</f>
        <v>0</v>
      </c>
    </row>
    <row r="6394" spans="1:3" x14ac:dyDescent="0.25">
      <c r="A6394" s="15">
        <f>Sheet1!A6394</f>
        <v>0</v>
      </c>
      <c r="B6394">
        <f>Sheet1!B6394</f>
        <v>0</v>
      </c>
      <c r="C6394">
        <f>IF(Sheet1!B6394&gt;0,1,0)</f>
        <v>0</v>
      </c>
    </row>
    <row r="6395" spans="1:3" x14ac:dyDescent="0.25">
      <c r="A6395" s="15">
        <f>Sheet1!A6395</f>
        <v>0</v>
      </c>
      <c r="B6395">
        <f>Sheet1!B6395</f>
        <v>0</v>
      </c>
      <c r="C6395">
        <f>IF(Sheet1!B6395&gt;0,1,0)</f>
        <v>0</v>
      </c>
    </row>
    <row r="6396" spans="1:3" x14ac:dyDescent="0.25">
      <c r="A6396" s="15">
        <f>Sheet1!A6396</f>
        <v>0</v>
      </c>
      <c r="B6396">
        <f>Sheet1!B6396</f>
        <v>11.51</v>
      </c>
      <c r="C6396">
        <f>IF(Sheet1!B6396&gt;0,1,0)</f>
        <v>1</v>
      </c>
    </row>
    <row r="6397" spans="1:3" x14ac:dyDescent="0.25">
      <c r="A6397" s="15">
        <f>Sheet1!A6397</f>
        <v>0</v>
      </c>
      <c r="B6397">
        <f>Sheet1!B6397</f>
        <v>0</v>
      </c>
      <c r="C6397">
        <f>IF(Sheet1!B6397&gt;0,1,0)</f>
        <v>0</v>
      </c>
    </row>
    <row r="6398" spans="1:3" x14ac:dyDescent="0.25">
      <c r="A6398" s="15">
        <f>Sheet1!A6398</f>
        <v>0</v>
      </c>
      <c r="B6398">
        <f>Sheet1!B6398</f>
        <v>0</v>
      </c>
      <c r="C6398">
        <f>IF(Sheet1!B6398&gt;0,1,0)</f>
        <v>0</v>
      </c>
    </row>
    <row r="6399" spans="1:3" x14ac:dyDescent="0.25">
      <c r="A6399" s="15">
        <f>Sheet1!A6399</f>
        <v>0</v>
      </c>
      <c r="B6399">
        <f>Sheet1!B6399</f>
        <v>0</v>
      </c>
      <c r="C6399">
        <f>IF(Sheet1!B6399&gt;0,1,0)</f>
        <v>0</v>
      </c>
    </row>
    <row r="6400" spans="1:3" x14ac:dyDescent="0.25">
      <c r="A6400" s="15">
        <f>Sheet1!A6400</f>
        <v>0</v>
      </c>
      <c r="B6400">
        <f>Sheet1!B6400</f>
        <v>0</v>
      </c>
      <c r="C6400">
        <f>IF(Sheet1!B6400&gt;0,1,0)</f>
        <v>0</v>
      </c>
    </row>
    <row r="6401" spans="1:3" x14ac:dyDescent="0.25">
      <c r="A6401" s="15">
        <f>Sheet1!A6401</f>
        <v>0</v>
      </c>
      <c r="B6401">
        <f>Sheet1!B6401</f>
        <v>0</v>
      </c>
      <c r="C6401">
        <f>IF(Sheet1!B6401&gt;0,1,0)</f>
        <v>0</v>
      </c>
    </row>
    <row r="6402" spans="1:3" x14ac:dyDescent="0.25">
      <c r="A6402" s="15">
        <f>Sheet1!A6402</f>
        <v>0</v>
      </c>
      <c r="B6402">
        <f>Sheet1!B6402</f>
        <v>7.3</v>
      </c>
      <c r="C6402">
        <f>IF(Sheet1!B6402&gt;0,1,0)</f>
        <v>1</v>
      </c>
    </row>
    <row r="6403" spans="1:3" x14ac:dyDescent="0.25">
      <c r="A6403" s="15">
        <f>Sheet1!A6403</f>
        <v>0</v>
      </c>
      <c r="B6403">
        <f>Sheet1!B6403</f>
        <v>0</v>
      </c>
      <c r="C6403">
        <f>IF(Sheet1!B6403&gt;0,1,0)</f>
        <v>0</v>
      </c>
    </row>
    <row r="6404" spans="1:3" x14ac:dyDescent="0.25">
      <c r="A6404" s="15">
        <f>Sheet1!A6404</f>
        <v>0</v>
      </c>
      <c r="B6404">
        <f>Sheet1!B6404</f>
        <v>0</v>
      </c>
      <c r="C6404">
        <f>IF(Sheet1!B6404&gt;0,1,0)</f>
        <v>0</v>
      </c>
    </row>
    <row r="6405" spans="1:3" x14ac:dyDescent="0.25">
      <c r="A6405" s="15">
        <f>Sheet1!A6405</f>
        <v>0</v>
      </c>
      <c r="B6405">
        <f>Sheet1!B6405</f>
        <v>0</v>
      </c>
      <c r="C6405">
        <f>IF(Sheet1!B6405&gt;0,1,0)</f>
        <v>0</v>
      </c>
    </row>
    <row r="6406" spans="1:3" x14ac:dyDescent="0.25">
      <c r="A6406" s="15">
        <f>Sheet1!A6406</f>
        <v>0</v>
      </c>
      <c r="B6406">
        <f>Sheet1!B6406</f>
        <v>7.68</v>
      </c>
      <c r="C6406">
        <f>IF(Sheet1!B6406&gt;0,1,0)</f>
        <v>1</v>
      </c>
    </row>
    <row r="6407" spans="1:3" x14ac:dyDescent="0.25">
      <c r="A6407" s="15">
        <f>Sheet1!A6407</f>
        <v>0</v>
      </c>
      <c r="B6407">
        <f>Sheet1!B6407</f>
        <v>0</v>
      </c>
      <c r="C6407">
        <f>IF(Sheet1!B6407&gt;0,1,0)</f>
        <v>0</v>
      </c>
    </row>
    <row r="6408" spans="1:3" x14ac:dyDescent="0.25">
      <c r="A6408" s="15">
        <f>Sheet1!A6408</f>
        <v>0</v>
      </c>
      <c r="B6408">
        <f>Sheet1!B6408</f>
        <v>0</v>
      </c>
      <c r="C6408">
        <f>IF(Sheet1!B6408&gt;0,1,0)</f>
        <v>0</v>
      </c>
    </row>
    <row r="6409" spans="1:3" x14ac:dyDescent="0.25">
      <c r="A6409" s="15">
        <f>Sheet1!A6409</f>
        <v>0</v>
      </c>
      <c r="B6409">
        <f>Sheet1!B6409</f>
        <v>0</v>
      </c>
      <c r="C6409">
        <f>IF(Sheet1!B6409&gt;0,1,0)</f>
        <v>0</v>
      </c>
    </row>
    <row r="6410" spans="1:3" x14ac:dyDescent="0.25">
      <c r="A6410" s="15">
        <f>Sheet1!A6410</f>
        <v>0</v>
      </c>
      <c r="B6410">
        <f>Sheet1!B6410</f>
        <v>5</v>
      </c>
      <c r="C6410">
        <f>IF(Sheet1!B6410&gt;0,1,0)</f>
        <v>1</v>
      </c>
    </row>
    <row r="6411" spans="1:3" x14ac:dyDescent="0.25">
      <c r="A6411" s="15">
        <f>Sheet1!A6411</f>
        <v>0</v>
      </c>
      <c r="B6411">
        <f>Sheet1!B6411</f>
        <v>6.78</v>
      </c>
      <c r="C6411">
        <f>IF(Sheet1!B6411&gt;0,1,0)</f>
        <v>1</v>
      </c>
    </row>
    <row r="6412" spans="1:3" x14ac:dyDescent="0.25">
      <c r="A6412" s="15">
        <f>Sheet1!A6412</f>
        <v>0</v>
      </c>
      <c r="B6412">
        <f>Sheet1!B6412</f>
        <v>5.59</v>
      </c>
      <c r="C6412">
        <f>IF(Sheet1!B6412&gt;0,1,0)</f>
        <v>1</v>
      </c>
    </row>
    <row r="6413" spans="1:3" x14ac:dyDescent="0.25">
      <c r="A6413" s="15">
        <f>Sheet1!A6413</f>
        <v>0</v>
      </c>
      <c r="B6413">
        <f>Sheet1!B6413</f>
        <v>0</v>
      </c>
      <c r="C6413">
        <f>IF(Sheet1!B6413&gt;0,1,0)</f>
        <v>0</v>
      </c>
    </row>
    <row r="6414" spans="1:3" x14ac:dyDescent="0.25">
      <c r="A6414" s="15">
        <f>Sheet1!A6414</f>
        <v>0</v>
      </c>
      <c r="B6414">
        <f>Sheet1!B6414</f>
        <v>0</v>
      </c>
      <c r="C6414">
        <f>IF(Sheet1!B6414&gt;0,1,0)</f>
        <v>0</v>
      </c>
    </row>
    <row r="6415" spans="1:3" x14ac:dyDescent="0.25">
      <c r="A6415" s="15">
        <f>Sheet1!A6415</f>
        <v>0</v>
      </c>
      <c r="B6415">
        <f>Sheet1!B6415</f>
        <v>0</v>
      </c>
      <c r="C6415">
        <f>IF(Sheet1!B6415&gt;0,1,0)</f>
        <v>0</v>
      </c>
    </row>
    <row r="6416" spans="1:3" x14ac:dyDescent="0.25">
      <c r="A6416" s="15">
        <f>Sheet1!A6416</f>
        <v>0</v>
      </c>
      <c r="B6416">
        <f>Sheet1!B6416</f>
        <v>7.76</v>
      </c>
      <c r="C6416">
        <f>IF(Sheet1!B6416&gt;0,1,0)</f>
        <v>1</v>
      </c>
    </row>
    <row r="6417" spans="1:3" x14ac:dyDescent="0.25">
      <c r="A6417" s="15">
        <f>Sheet1!A6417</f>
        <v>0</v>
      </c>
      <c r="B6417">
        <f>Sheet1!B6417</f>
        <v>7.82</v>
      </c>
      <c r="C6417">
        <f>IF(Sheet1!B6417&gt;0,1,0)</f>
        <v>1</v>
      </c>
    </row>
    <row r="6418" spans="1:3" x14ac:dyDescent="0.25">
      <c r="A6418" s="15">
        <f>Sheet1!A6418</f>
        <v>0</v>
      </c>
      <c r="B6418">
        <f>Sheet1!B6418</f>
        <v>8.1999999999999993</v>
      </c>
      <c r="C6418">
        <f>IF(Sheet1!B6418&gt;0,1,0)</f>
        <v>1</v>
      </c>
    </row>
    <row r="6419" spans="1:3" x14ac:dyDescent="0.25">
      <c r="A6419" s="15">
        <f>Sheet1!A6419</f>
        <v>0</v>
      </c>
      <c r="B6419">
        <f>Sheet1!B6419</f>
        <v>0</v>
      </c>
      <c r="C6419">
        <f>IF(Sheet1!B6419&gt;0,1,0)</f>
        <v>0</v>
      </c>
    </row>
    <row r="6420" spans="1:3" x14ac:dyDescent="0.25">
      <c r="A6420" s="15">
        <f>Sheet1!A6420</f>
        <v>0</v>
      </c>
      <c r="B6420">
        <f>Sheet1!B6420</f>
        <v>0</v>
      </c>
      <c r="C6420">
        <f>IF(Sheet1!B6420&gt;0,1,0)</f>
        <v>0</v>
      </c>
    </row>
    <row r="6421" spans="1:3" x14ac:dyDescent="0.25">
      <c r="A6421" s="15">
        <f>Sheet1!A6421</f>
        <v>0</v>
      </c>
      <c r="B6421">
        <f>Sheet1!B6421</f>
        <v>0</v>
      </c>
      <c r="C6421">
        <f>IF(Sheet1!B6421&gt;0,1,0)</f>
        <v>0</v>
      </c>
    </row>
    <row r="6422" spans="1:3" x14ac:dyDescent="0.25">
      <c r="A6422" s="15">
        <f>Sheet1!A6422</f>
        <v>0</v>
      </c>
      <c r="B6422">
        <f>Sheet1!B6422</f>
        <v>0</v>
      </c>
      <c r="C6422">
        <f>IF(Sheet1!B6422&gt;0,1,0)</f>
        <v>0</v>
      </c>
    </row>
    <row r="6423" spans="1:3" x14ac:dyDescent="0.25">
      <c r="A6423" s="15">
        <f>Sheet1!A6423</f>
        <v>0</v>
      </c>
      <c r="B6423">
        <f>Sheet1!B6423</f>
        <v>0</v>
      </c>
      <c r="C6423">
        <f>IF(Sheet1!B6423&gt;0,1,0)</f>
        <v>0</v>
      </c>
    </row>
    <row r="6424" spans="1:3" x14ac:dyDescent="0.25">
      <c r="A6424" s="15">
        <f>Sheet1!A6424</f>
        <v>0</v>
      </c>
      <c r="B6424">
        <f>Sheet1!B6424</f>
        <v>0</v>
      </c>
      <c r="C6424">
        <f>IF(Sheet1!B6424&gt;0,1,0)</f>
        <v>0</v>
      </c>
    </row>
    <row r="6425" spans="1:3" x14ac:dyDescent="0.25">
      <c r="A6425" s="15">
        <f>Sheet1!A6425</f>
        <v>0</v>
      </c>
      <c r="B6425">
        <f>Sheet1!B6425</f>
        <v>0</v>
      </c>
      <c r="C6425">
        <f>IF(Sheet1!B6425&gt;0,1,0)</f>
        <v>0</v>
      </c>
    </row>
    <row r="6426" spans="1:3" x14ac:dyDescent="0.25">
      <c r="A6426" s="15">
        <f>Sheet1!A6426</f>
        <v>0</v>
      </c>
      <c r="B6426">
        <f>Sheet1!B6426</f>
        <v>7.96</v>
      </c>
      <c r="C6426">
        <f>IF(Sheet1!B6426&gt;0,1,0)</f>
        <v>1</v>
      </c>
    </row>
    <row r="6427" spans="1:3" x14ac:dyDescent="0.25">
      <c r="A6427" s="15">
        <f>Sheet1!A6427</f>
        <v>0</v>
      </c>
      <c r="B6427">
        <f>Sheet1!B6427</f>
        <v>0</v>
      </c>
      <c r="C6427">
        <f>IF(Sheet1!B6427&gt;0,1,0)</f>
        <v>0</v>
      </c>
    </row>
    <row r="6428" spans="1:3" x14ac:dyDescent="0.25">
      <c r="A6428" s="15">
        <f>Sheet1!A6428</f>
        <v>0</v>
      </c>
      <c r="B6428">
        <f>Sheet1!B6428</f>
        <v>0</v>
      </c>
      <c r="C6428">
        <f>IF(Sheet1!B6428&gt;0,1,0)</f>
        <v>0</v>
      </c>
    </row>
    <row r="6429" spans="1:3" x14ac:dyDescent="0.25">
      <c r="A6429" s="15">
        <f>Sheet1!A6429</f>
        <v>0</v>
      </c>
      <c r="B6429">
        <f>Sheet1!B6429</f>
        <v>0</v>
      </c>
      <c r="C6429">
        <f>IF(Sheet1!B6429&gt;0,1,0)</f>
        <v>0</v>
      </c>
    </row>
    <row r="6430" spans="1:3" x14ac:dyDescent="0.25">
      <c r="A6430" s="15">
        <f>Sheet1!A6430</f>
        <v>0</v>
      </c>
      <c r="B6430">
        <f>Sheet1!B6430</f>
        <v>9.43</v>
      </c>
      <c r="C6430">
        <f>IF(Sheet1!B6430&gt;0,1,0)</f>
        <v>1</v>
      </c>
    </row>
    <row r="6431" spans="1:3" x14ac:dyDescent="0.25">
      <c r="A6431" s="15">
        <f>Sheet1!A6431</f>
        <v>0</v>
      </c>
      <c r="B6431">
        <f>Sheet1!B6431</f>
        <v>0</v>
      </c>
      <c r="C6431">
        <f>IF(Sheet1!B6431&gt;0,1,0)</f>
        <v>0</v>
      </c>
    </row>
    <row r="6432" spans="1:3" x14ac:dyDescent="0.25">
      <c r="A6432" s="15">
        <f>Sheet1!A6432</f>
        <v>0</v>
      </c>
      <c r="B6432">
        <f>Sheet1!B6432</f>
        <v>0</v>
      </c>
      <c r="C6432">
        <f>IF(Sheet1!B6432&gt;0,1,0)</f>
        <v>0</v>
      </c>
    </row>
    <row r="6433" spans="1:3" x14ac:dyDescent="0.25">
      <c r="A6433" s="15">
        <f>Sheet1!A6433</f>
        <v>0</v>
      </c>
      <c r="B6433">
        <f>Sheet1!B6433</f>
        <v>0</v>
      </c>
      <c r="C6433">
        <f>IF(Sheet1!B6433&gt;0,1,0)</f>
        <v>0</v>
      </c>
    </row>
    <row r="6434" spans="1:3" x14ac:dyDescent="0.25">
      <c r="A6434" s="15">
        <f>Sheet1!A6434</f>
        <v>0</v>
      </c>
      <c r="B6434">
        <f>Sheet1!B6434</f>
        <v>9.3699999999999992</v>
      </c>
      <c r="C6434">
        <f>IF(Sheet1!B6434&gt;0,1,0)</f>
        <v>1</v>
      </c>
    </row>
    <row r="6435" spans="1:3" x14ac:dyDescent="0.25">
      <c r="A6435" s="15">
        <f>Sheet1!A6435</f>
        <v>0</v>
      </c>
      <c r="B6435">
        <f>Sheet1!B6435</f>
        <v>9.27</v>
      </c>
      <c r="C6435">
        <f>IF(Sheet1!B6435&gt;0,1,0)</f>
        <v>1</v>
      </c>
    </row>
    <row r="6436" spans="1:3" x14ac:dyDescent="0.25">
      <c r="A6436" s="15">
        <f>Sheet1!A6436</f>
        <v>0</v>
      </c>
      <c r="B6436">
        <f>Sheet1!B6436</f>
        <v>8.58</v>
      </c>
      <c r="C6436">
        <f>IF(Sheet1!B6436&gt;0,1,0)</f>
        <v>1</v>
      </c>
    </row>
    <row r="6437" spans="1:3" x14ac:dyDescent="0.25">
      <c r="A6437" s="15">
        <f>Sheet1!A6437</f>
        <v>0</v>
      </c>
      <c r="B6437">
        <f>Sheet1!B6437</f>
        <v>8.85</v>
      </c>
      <c r="C6437">
        <f>IF(Sheet1!B6437&gt;0,1,0)</f>
        <v>1</v>
      </c>
    </row>
    <row r="6438" spans="1:3" x14ac:dyDescent="0.25">
      <c r="A6438" s="15">
        <f>Sheet1!A6438</f>
        <v>0</v>
      </c>
      <c r="B6438">
        <f>Sheet1!B6438</f>
        <v>0</v>
      </c>
      <c r="C6438">
        <f>IF(Sheet1!B6438&gt;0,1,0)</f>
        <v>0</v>
      </c>
    </row>
    <row r="6439" spans="1:3" x14ac:dyDescent="0.25">
      <c r="A6439" s="15">
        <f>Sheet1!A6439</f>
        <v>0</v>
      </c>
      <c r="B6439">
        <f>Sheet1!B6439</f>
        <v>0</v>
      </c>
      <c r="C6439">
        <f>IF(Sheet1!B6439&gt;0,1,0)</f>
        <v>0</v>
      </c>
    </row>
    <row r="6440" spans="1:3" x14ac:dyDescent="0.25">
      <c r="A6440" s="15">
        <f>Sheet1!A6440</f>
        <v>0</v>
      </c>
      <c r="B6440">
        <f>Sheet1!B6440</f>
        <v>9.57</v>
      </c>
      <c r="C6440">
        <f>IF(Sheet1!B6440&gt;0,1,0)</f>
        <v>1</v>
      </c>
    </row>
    <row r="6441" spans="1:3" x14ac:dyDescent="0.25">
      <c r="A6441" s="15">
        <f>Sheet1!A6441</f>
        <v>0</v>
      </c>
      <c r="B6441">
        <f>Sheet1!B6441</f>
        <v>9.74</v>
      </c>
      <c r="C6441">
        <f>IF(Sheet1!B6441&gt;0,1,0)</f>
        <v>1</v>
      </c>
    </row>
    <row r="6442" spans="1:3" x14ac:dyDescent="0.25">
      <c r="A6442" s="15">
        <f>Sheet1!A6442</f>
        <v>0</v>
      </c>
      <c r="B6442">
        <f>Sheet1!B6442</f>
        <v>9.98</v>
      </c>
      <c r="C6442">
        <f>IF(Sheet1!B6442&gt;0,1,0)</f>
        <v>1</v>
      </c>
    </row>
    <row r="6443" spans="1:3" x14ac:dyDescent="0.25">
      <c r="A6443" s="15">
        <f>Sheet1!A6443</f>
        <v>0</v>
      </c>
      <c r="B6443">
        <f>Sheet1!B6443</f>
        <v>0</v>
      </c>
      <c r="C6443">
        <f>IF(Sheet1!B6443&gt;0,1,0)</f>
        <v>0</v>
      </c>
    </row>
    <row r="6444" spans="1:3" x14ac:dyDescent="0.25">
      <c r="A6444" s="15">
        <f>Sheet1!A6444</f>
        <v>0</v>
      </c>
      <c r="B6444">
        <f>Sheet1!B6444</f>
        <v>0</v>
      </c>
      <c r="C6444">
        <f>IF(Sheet1!B6444&gt;0,1,0)</f>
        <v>0</v>
      </c>
    </row>
    <row r="6445" spans="1:3" x14ac:dyDescent="0.25">
      <c r="A6445" s="15">
        <f>Sheet1!A6445</f>
        <v>0</v>
      </c>
      <c r="B6445">
        <f>Sheet1!B6445</f>
        <v>0</v>
      </c>
      <c r="C6445">
        <f>IF(Sheet1!B6445&gt;0,1,0)</f>
        <v>0</v>
      </c>
    </row>
    <row r="6446" spans="1:3" x14ac:dyDescent="0.25">
      <c r="A6446" s="15">
        <f>Sheet1!A6446</f>
        <v>0</v>
      </c>
      <c r="B6446">
        <f>Sheet1!B6446</f>
        <v>9.1300000000000008</v>
      </c>
      <c r="C6446">
        <f>IF(Sheet1!B6446&gt;0,1,0)</f>
        <v>1</v>
      </c>
    </row>
    <row r="6447" spans="1:3" x14ac:dyDescent="0.25">
      <c r="A6447" s="15">
        <f>Sheet1!A6447</f>
        <v>0</v>
      </c>
      <c r="B6447">
        <f>Sheet1!B6447</f>
        <v>0</v>
      </c>
      <c r="C6447">
        <f>IF(Sheet1!B6447&gt;0,1,0)</f>
        <v>0</v>
      </c>
    </row>
    <row r="6448" spans="1:3" x14ac:dyDescent="0.25">
      <c r="A6448" s="15">
        <f>Sheet1!A6448</f>
        <v>0</v>
      </c>
      <c r="B6448">
        <f>Sheet1!B6448</f>
        <v>0</v>
      </c>
      <c r="C6448">
        <f>IF(Sheet1!B6448&gt;0,1,0)</f>
        <v>0</v>
      </c>
    </row>
    <row r="6449" spans="1:3" x14ac:dyDescent="0.25">
      <c r="A6449" s="15">
        <f>Sheet1!A6449</f>
        <v>0</v>
      </c>
      <c r="B6449">
        <f>Sheet1!B6449</f>
        <v>0</v>
      </c>
      <c r="C6449">
        <f>IF(Sheet1!B6449&gt;0,1,0)</f>
        <v>0</v>
      </c>
    </row>
    <row r="6450" spans="1:3" x14ac:dyDescent="0.25">
      <c r="A6450" s="15">
        <f>Sheet1!A6450</f>
        <v>0</v>
      </c>
      <c r="B6450">
        <f>Sheet1!B6450</f>
        <v>12.21</v>
      </c>
      <c r="C6450">
        <f>IF(Sheet1!B6450&gt;0,1,0)</f>
        <v>1</v>
      </c>
    </row>
    <row r="6451" spans="1:3" x14ac:dyDescent="0.25">
      <c r="A6451" s="15">
        <f>Sheet1!A6451</f>
        <v>0</v>
      </c>
      <c r="B6451">
        <f>Sheet1!B6451</f>
        <v>0</v>
      </c>
      <c r="C6451">
        <f>IF(Sheet1!B6451&gt;0,1,0)</f>
        <v>0</v>
      </c>
    </row>
    <row r="6452" spans="1:3" x14ac:dyDescent="0.25">
      <c r="A6452" s="15">
        <f>Sheet1!A6452</f>
        <v>0</v>
      </c>
      <c r="B6452">
        <f>Sheet1!B6452</f>
        <v>0</v>
      </c>
      <c r="C6452">
        <f>IF(Sheet1!B6452&gt;0,1,0)</f>
        <v>0</v>
      </c>
    </row>
    <row r="6453" spans="1:3" x14ac:dyDescent="0.25">
      <c r="A6453" s="15">
        <f>Sheet1!A6453</f>
        <v>0</v>
      </c>
      <c r="B6453">
        <f>Sheet1!B6453</f>
        <v>0</v>
      </c>
      <c r="C6453">
        <f>IF(Sheet1!B6453&gt;0,1,0)</f>
        <v>0</v>
      </c>
    </row>
    <row r="6454" spans="1:3" x14ac:dyDescent="0.25">
      <c r="A6454" s="15">
        <f>Sheet1!A6454</f>
        <v>0</v>
      </c>
      <c r="B6454">
        <f>Sheet1!B6454</f>
        <v>9.7200000000000006</v>
      </c>
      <c r="C6454">
        <f>IF(Sheet1!B6454&gt;0,1,0)</f>
        <v>1</v>
      </c>
    </row>
    <row r="6455" spans="1:3" x14ac:dyDescent="0.25">
      <c r="A6455" s="15">
        <f>Sheet1!A6455</f>
        <v>0</v>
      </c>
      <c r="B6455">
        <f>Sheet1!B6455</f>
        <v>0</v>
      </c>
      <c r="C6455">
        <f>IF(Sheet1!B6455&gt;0,1,0)</f>
        <v>0</v>
      </c>
    </row>
    <row r="6456" spans="1:3" x14ac:dyDescent="0.25">
      <c r="A6456" s="15">
        <f>Sheet1!A6456</f>
        <v>0</v>
      </c>
      <c r="B6456">
        <f>Sheet1!B6456</f>
        <v>0</v>
      </c>
      <c r="C6456">
        <f>IF(Sheet1!B6456&gt;0,1,0)</f>
        <v>0</v>
      </c>
    </row>
    <row r="6457" spans="1:3" x14ac:dyDescent="0.25">
      <c r="A6457" s="15">
        <f>Sheet1!A6457</f>
        <v>0</v>
      </c>
      <c r="B6457">
        <f>Sheet1!B6457</f>
        <v>0</v>
      </c>
      <c r="C6457">
        <f>IF(Sheet1!B6457&gt;0,1,0)</f>
        <v>0</v>
      </c>
    </row>
    <row r="6458" spans="1:3" x14ac:dyDescent="0.25">
      <c r="A6458" s="15">
        <f>Sheet1!A6458</f>
        <v>0</v>
      </c>
      <c r="B6458">
        <f>Sheet1!B6458</f>
        <v>6.54</v>
      </c>
      <c r="C6458">
        <f>IF(Sheet1!B6458&gt;0,1,0)</f>
        <v>1</v>
      </c>
    </row>
    <row r="6459" spans="1:3" x14ac:dyDescent="0.25">
      <c r="A6459" s="15">
        <f>Sheet1!A6459</f>
        <v>0</v>
      </c>
      <c r="B6459">
        <f>Sheet1!B6459</f>
        <v>3.69</v>
      </c>
      <c r="C6459">
        <f>IF(Sheet1!B6459&gt;0,1,0)</f>
        <v>1</v>
      </c>
    </row>
    <row r="6460" spans="1:3" x14ac:dyDescent="0.25">
      <c r="A6460" s="15">
        <f>Sheet1!A6460</f>
        <v>0</v>
      </c>
      <c r="B6460">
        <f>Sheet1!B6460</f>
        <v>6.67</v>
      </c>
      <c r="C6460">
        <f>IF(Sheet1!B6460&gt;0,1,0)</f>
        <v>1</v>
      </c>
    </row>
    <row r="6461" spans="1:3" x14ac:dyDescent="0.25">
      <c r="A6461" s="15">
        <f>Sheet1!A6461</f>
        <v>0</v>
      </c>
      <c r="B6461">
        <f>Sheet1!B6461</f>
        <v>0</v>
      </c>
      <c r="C6461">
        <f>IF(Sheet1!B6461&gt;0,1,0)</f>
        <v>0</v>
      </c>
    </row>
    <row r="6462" spans="1:3" x14ac:dyDescent="0.25">
      <c r="A6462" s="15">
        <f>Sheet1!A6462</f>
        <v>0</v>
      </c>
      <c r="B6462">
        <f>Sheet1!B6462</f>
        <v>6.92</v>
      </c>
      <c r="C6462">
        <f>IF(Sheet1!B6462&gt;0,1,0)</f>
        <v>1</v>
      </c>
    </row>
    <row r="6463" spans="1:3" x14ac:dyDescent="0.25">
      <c r="A6463" s="15">
        <f>Sheet1!A6463</f>
        <v>0</v>
      </c>
      <c r="B6463">
        <f>Sheet1!B6463</f>
        <v>8.2100000000000009</v>
      </c>
      <c r="C6463">
        <f>IF(Sheet1!B6463&gt;0,1,0)</f>
        <v>1</v>
      </c>
    </row>
    <row r="6464" spans="1:3" x14ac:dyDescent="0.25">
      <c r="A6464" s="15">
        <f>Sheet1!A6464</f>
        <v>0</v>
      </c>
      <c r="B6464">
        <f>Sheet1!B6464</f>
        <v>9.44</v>
      </c>
      <c r="C6464">
        <f>IF(Sheet1!B6464&gt;0,1,0)</f>
        <v>1</v>
      </c>
    </row>
    <row r="6465" spans="1:3" x14ac:dyDescent="0.25">
      <c r="A6465" s="15">
        <f>Sheet1!A6465</f>
        <v>0</v>
      </c>
      <c r="B6465">
        <f>Sheet1!B6465</f>
        <v>0</v>
      </c>
      <c r="C6465">
        <f>IF(Sheet1!B6465&gt;0,1,0)</f>
        <v>0</v>
      </c>
    </row>
    <row r="6466" spans="1:3" x14ac:dyDescent="0.25">
      <c r="A6466" s="15">
        <f>Sheet1!A6466</f>
        <v>0</v>
      </c>
      <c r="B6466">
        <f>Sheet1!B6466</f>
        <v>0</v>
      </c>
      <c r="C6466">
        <f>IF(Sheet1!B6466&gt;0,1,0)</f>
        <v>0</v>
      </c>
    </row>
    <row r="6467" spans="1:3" x14ac:dyDescent="0.25">
      <c r="A6467" s="15">
        <f>Sheet1!A6467</f>
        <v>0</v>
      </c>
      <c r="B6467">
        <f>Sheet1!B6467</f>
        <v>0</v>
      </c>
      <c r="C6467">
        <f>IF(Sheet1!B6467&gt;0,1,0)</f>
        <v>0</v>
      </c>
    </row>
    <row r="6468" spans="1:3" x14ac:dyDescent="0.25">
      <c r="A6468" s="15">
        <f>Sheet1!A6468</f>
        <v>0</v>
      </c>
      <c r="B6468">
        <f>Sheet1!B6468</f>
        <v>0</v>
      </c>
      <c r="C6468">
        <f>IF(Sheet1!B6468&gt;0,1,0)</f>
        <v>0</v>
      </c>
    </row>
    <row r="6469" spans="1:3" x14ac:dyDescent="0.25">
      <c r="A6469" s="15">
        <f>Sheet1!A6469</f>
        <v>0</v>
      </c>
      <c r="B6469">
        <f>Sheet1!B6469</f>
        <v>0</v>
      </c>
      <c r="C6469">
        <f>IF(Sheet1!B6469&gt;0,1,0)</f>
        <v>0</v>
      </c>
    </row>
    <row r="6470" spans="1:3" x14ac:dyDescent="0.25">
      <c r="A6470" s="15">
        <f>Sheet1!A6470</f>
        <v>0</v>
      </c>
      <c r="B6470">
        <f>Sheet1!B6470</f>
        <v>0</v>
      </c>
      <c r="C6470">
        <f>IF(Sheet1!B6470&gt;0,1,0)</f>
        <v>0</v>
      </c>
    </row>
    <row r="6471" spans="1:3" x14ac:dyDescent="0.25">
      <c r="A6471" s="15">
        <f>Sheet1!A6471</f>
        <v>0</v>
      </c>
      <c r="B6471">
        <f>Sheet1!B6471</f>
        <v>0</v>
      </c>
      <c r="C6471">
        <f>IF(Sheet1!B6471&gt;0,1,0)</f>
        <v>0</v>
      </c>
    </row>
    <row r="6472" spans="1:3" x14ac:dyDescent="0.25">
      <c r="A6472" s="15">
        <f>Sheet1!A6472</f>
        <v>0</v>
      </c>
      <c r="B6472">
        <f>Sheet1!B6472</f>
        <v>0</v>
      </c>
      <c r="C6472">
        <f>IF(Sheet1!B6472&gt;0,1,0)</f>
        <v>0</v>
      </c>
    </row>
    <row r="6473" spans="1:3" x14ac:dyDescent="0.25">
      <c r="A6473" s="15">
        <f>Sheet1!A6473</f>
        <v>0</v>
      </c>
      <c r="B6473">
        <f>Sheet1!B6473</f>
        <v>0</v>
      </c>
      <c r="C6473">
        <f>IF(Sheet1!B6473&gt;0,1,0)</f>
        <v>0</v>
      </c>
    </row>
    <row r="6474" spans="1:3" x14ac:dyDescent="0.25">
      <c r="A6474" s="15">
        <f>Sheet1!A6474</f>
        <v>0</v>
      </c>
      <c r="B6474">
        <f>Sheet1!B6474</f>
        <v>10.97</v>
      </c>
      <c r="C6474">
        <f>IF(Sheet1!B6474&gt;0,1,0)</f>
        <v>1</v>
      </c>
    </row>
    <row r="6475" spans="1:3" x14ac:dyDescent="0.25">
      <c r="A6475" s="15">
        <f>Sheet1!A6475</f>
        <v>0</v>
      </c>
      <c r="B6475">
        <f>Sheet1!B6475</f>
        <v>0</v>
      </c>
      <c r="C6475">
        <f>IF(Sheet1!B6475&gt;0,1,0)</f>
        <v>0</v>
      </c>
    </row>
    <row r="6476" spans="1:3" x14ac:dyDescent="0.25">
      <c r="A6476" s="15">
        <f>Sheet1!A6476</f>
        <v>0</v>
      </c>
      <c r="B6476">
        <f>Sheet1!B6476</f>
        <v>0</v>
      </c>
      <c r="C6476">
        <f>IF(Sheet1!B6476&gt;0,1,0)</f>
        <v>0</v>
      </c>
    </row>
    <row r="6477" spans="1:3" x14ac:dyDescent="0.25">
      <c r="A6477" s="15">
        <f>Sheet1!A6477</f>
        <v>0</v>
      </c>
      <c r="B6477">
        <f>Sheet1!B6477</f>
        <v>0</v>
      </c>
      <c r="C6477">
        <f>IF(Sheet1!B6477&gt;0,1,0)</f>
        <v>0</v>
      </c>
    </row>
    <row r="6478" spans="1:3" x14ac:dyDescent="0.25">
      <c r="A6478" s="15">
        <f>Sheet1!A6478</f>
        <v>0</v>
      </c>
      <c r="B6478">
        <f>Sheet1!B6478</f>
        <v>10.17</v>
      </c>
      <c r="C6478">
        <f>IF(Sheet1!B6478&gt;0,1,0)</f>
        <v>1</v>
      </c>
    </row>
    <row r="6479" spans="1:3" x14ac:dyDescent="0.25">
      <c r="A6479" s="15">
        <f>Sheet1!A6479</f>
        <v>0</v>
      </c>
      <c r="B6479">
        <f>Sheet1!B6479</f>
        <v>9.15</v>
      </c>
      <c r="C6479">
        <f>IF(Sheet1!B6479&gt;0,1,0)</f>
        <v>1</v>
      </c>
    </row>
    <row r="6480" spans="1:3" x14ac:dyDescent="0.25">
      <c r="A6480" s="15">
        <f>Sheet1!A6480</f>
        <v>0</v>
      </c>
      <c r="B6480">
        <f>Sheet1!B6480</f>
        <v>7.86</v>
      </c>
      <c r="C6480">
        <f>IF(Sheet1!B6480&gt;0,1,0)</f>
        <v>1</v>
      </c>
    </row>
    <row r="6481" spans="1:3" x14ac:dyDescent="0.25">
      <c r="A6481" s="15">
        <f>Sheet1!A6481</f>
        <v>0</v>
      </c>
      <c r="B6481">
        <f>Sheet1!B6481</f>
        <v>0</v>
      </c>
      <c r="C6481">
        <f>IF(Sheet1!B6481&gt;0,1,0)</f>
        <v>0</v>
      </c>
    </row>
    <row r="6482" spans="1:3" x14ac:dyDescent="0.25">
      <c r="A6482" s="15">
        <f>Sheet1!A6482</f>
        <v>0</v>
      </c>
      <c r="B6482">
        <f>Sheet1!B6482</f>
        <v>0</v>
      </c>
      <c r="C6482">
        <f>IF(Sheet1!B6482&gt;0,1,0)</f>
        <v>0</v>
      </c>
    </row>
    <row r="6483" spans="1:3" x14ac:dyDescent="0.25">
      <c r="A6483" s="15">
        <f>Sheet1!A6483</f>
        <v>0</v>
      </c>
      <c r="B6483">
        <f>Sheet1!B6483</f>
        <v>7.28</v>
      </c>
      <c r="C6483">
        <f>IF(Sheet1!B6483&gt;0,1,0)</f>
        <v>1</v>
      </c>
    </row>
    <row r="6484" spans="1:3" x14ac:dyDescent="0.25">
      <c r="A6484" s="15">
        <f>Sheet1!A6484</f>
        <v>0</v>
      </c>
      <c r="B6484">
        <f>Sheet1!B6484</f>
        <v>7.15</v>
      </c>
      <c r="C6484">
        <f>IF(Sheet1!B6484&gt;0,1,0)</f>
        <v>1</v>
      </c>
    </row>
    <row r="6485" spans="1:3" x14ac:dyDescent="0.25">
      <c r="A6485" s="15">
        <f>Sheet1!A6485</f>
        <v>0</v>
      </c>
      <c r="B6485">
        <f>Sheet1!B6485</f>
        <v>6.95</v>
      </c>
      <c r="C6485">
        <f>IF(Sheet1!B6485&gt;0,1,0)</f>
        <v>1</v>
      </c>
    </row>
    <row r="6486" spans="1:3" x14ac:dyDescent="0.25">
      <c r="A6486" s="15">
        <f>Sheet1!A6486</f>
        <v>0</v>
      </c>
      <c r="B6486">
        <f>Sheet1!B6486</f>
        <v>6.82</v>
      </c>
      <c r="C6486">
        <f>IF(Sheet1!B6486&gt;0,1,0)</f>
        <v>1</v>
      </c>
    </row>
    <row r="6487" spans="1:3" x14ac:dyDescent="0.25">
      <c r="A6487" s="15">
        <f>Sheet1!A6487</f>
        <v>0</v>
      </c>
      <c r="B6487">
        <f>Sheet1!B6487</f>
        <v>6.83</v>
      </c>
      <c r="C6487">
        <f>IF(Sheet1!B6487&gt;0,1,0)</f>
        <v>1</v>
      </c>
    </row>
    <row r="6488" spans="1:3" x14ac:dyDescent="0.25">
      <c r="A6488" s="15">
        <f>Sheet1!A6488</f>
        <v>0</v>
      </c>
      <c r="B6488">
        <f>Sheet1!B6488</f>
        <v>7.01</v>
      </c>
      <c r="C6488">
        <f>IF(Sheet1!B6488&gt;0,1,0)</f>
        <v>1</v>
      </c>
    </row>
    <row r="6489" spans="1:3" x14ac:dyDescent="0.25">
      <c r="A6489" s="15">
        <f>Sheet1!A6489</f>
        <v>0</v>
      </c>
      <c r="B6489">
        <f>Sheet1!B6489</f>
        <v>6.99</v>
      </c>
      <c r="C6489">
        <f>IF(Sheet1!B6489&gt;0,1,0)</f>
        <v>1</v>
      </c>
    </row>
    <row r="6490" spans="1:3" x14ac:dyDescent="0.25">
      <c r="A6490" s="15">
        <f>Sheet1!A6490</f>
        <v>0</v>
      </c>
      <c r="B6490">
        <f>Sheet1!B6490</f>
        <v>7.31</v>
      </c>
      <c r="C6490">
        <f>IF(Sheet1!B6490&gt;0,1,0)</f>
        <v>1</v>
      </c>
    </row>
    <row r="6491" spans="1:3" x14ac:dyDescent="0.25">
      <c r="A6491" s="15">
        <f>Sheet1!A6491</f>
        <v>0</v>
      </c>
      <c r="B6491">
        <f>Sheet1!B6491</f>
        <v>0</v>
      </c>
      <c r="C6491">
        <f>IF(Sheet1!B6491&gt;0,1,0)</f>
        <v>0</v>
      </c>
    </row>
    <row r="6492" spans="1:3" x14ac:dyDescent="0.25">
      <c r="A6492" s="15">
        <f>Sheet1!A6492</f>
        <v>0</v>
      </c>
      <c r="B6492">
        <f>Sheet1!B6492</f>
        <v>0</v>
      </c>
      <c r="C6492">
        <f>IF(Sheet1!B6492&gt;0,1,0)</f>
        <v>0</v>
      </c>
    </row>
    <row r="6493" spans="1:3" x14ac:dyDescent="0.25">
      <c r="A6493" s="15">
        <f>Sheet1!A6493</f>
        <v>0</v>
      </c>
      <c r="B6493">
        <f>Sheet1!B6493</f>
        <v>0</v>
      </c>
      <c r="C6493">
        <f>IF(Sheet1!B6493&gt;0,1,0)</f>
        <v>0</v>
      </c>
    </row>
    <row r="6494" spans="1:3" x14ac:dyDescent="0.25">
      <c r="A6494" s="15">
        <f>Sheet1!A6494</f>
        <v>0</v>
      </c>
      <c r="B6494">
        <f>Sheet1!B6494</f>
        <v>10.44</v>
      </c>
      <c r="C6494">
        <f>IF(Sheet1!B6494&gt;0,1,0)</f>
        <v>1</v>
      </c>
    </row>
    <row r="6495" spans="1:3" x14ac:dyDescent="0.25">
      <c r="A6495" s="15">
        <f>Sheet1!A6495</f>
        <v>0</v>
      </c>
      <c r="B6495">
        <f>Sheet1!B6495</f>
        <v>13.65</v>
      </c>
      <c r="C6495">
        <f>IF(Sheet1!B6495&gt;0,1,0)</f>
        <v>1</v>
      </c>
    </row>
    <row r="6496" spans="1:3" x14ac:dyDescent="0.25">
      <c r="A6496" s="15">
        <f>Sheet1!A6496</f>
        <v>0</v>
      </c>
      <c r="B6496">
        <f>Sheet1!B6496</f>
        <v>6.2</v>
      </c>
      <c r="C6496">
        <f>IF(Sheet1!B6496&gt;0,1,0)</f>
        <v>1</v>
      </c>
    </row>
    <row r="6497" spans="1:3" x14ac:dyDescent="0.25">
      <c r="A6497" s="15">
        <f>Sheet1!A6497</f>
        <v>0</v>
      </c>
      <c r="B6497">
        <f>Sheet1!B6497</f>
        <v>0</v>
      </c>
      <c r="C6497">
        <f>IF(Sheet1!B6497&gt;0,1,0)</f>
        <v>0</v>
      </c>
    </row>
    <row r="6498" spans="1:3" x14ac:dyDescent="0.25">
      <c r="A6498" s="15">
        <f>Sheet1!A6498</f>
        <v>0</v>
      </c>
      <c r="B6498">
        <f>Sheet1!B6498</f>
        <v>0</v>
      </c>
      <c r="C6498">
        <f>IF(Sheet1!B6498&gt;0,1,0)</f>
        <v>0</v>
      </c>
    </row>
    <row r="6499" spans="1:3" x14ac:dyDescent="0.25">
      <c r="A6499" s="15">
        <f>Sheet1!A6499</f>
        <v>0</v>
      </c>
      <c r="B6499">
        <f>Sheet1!B6499</f>
        <v>0</v>
      </c>
      <c r="C6499">
        <f>IF(Sheet1!B6499&gt;0,1,0)</f>
        <v>0</v>
      </c>
    </row>
    <row r="6500" spans="1:3" x14ac:dyDescent="0.25">
      <c r="A6500" s="15">
        <f>Sheet1!A6500</f>
        <v>0</v>
      </c>
      <c r="B6500">
        <f>Sheet1!B6500</f>
        <v>8.11</v>
      </c>
      <c r="C6500">
        <f>IF(Sheet1!B6500&gt;0,1,0)</f>
        <v>1</v>
      </c>
    </row>
    <row r="6501" spans="1:3" x14ac:dyDescent="0.25">
      <c r="A6501" s="15">
        <f>Sheet1!A6501</f>
        <v>0</v>
      </c>
      <c r="B6501">
        <f>Sheet1!B6501</f>
        <v>0</v>
      </c>
      <c r="C6501">
        <f>IF(Sheet1!B6501&gt;0,1,0)</f>
        <v>0</v>
      </c>
    </row>
    <row r="6502" spans="1:3" x14ac:dyDescent="0.25">
      <c r="A6502" s="15">
        <f>Sheet1!A6502</f>
        <v>0</v>
      </c>
      <c r="B6502">
        <f>Sheet1!B6502</f>
        <v>0</v>
      </c>
      <c r="C6502">
        <f>IF(Sheet1!B6502&gt;0,1,0)</f>
        <v>0</v>
      </c>
    </row>
    <row r="6503" spans="1:3" x14ac:dyDescent="0.25">
      <c r="A6503" s="15">
        <f>Sheet1!A6503</f>
        <v>0</v>
      </c>
      <c r="B6503">
        <f>Sheet1!B6503</f>
        <v>0</v>
      </c>
      <c r="C6503">
        <f>IF(Sheet1!B6503&gt;0,1,0)</f>
        <v>0</v>
      </c>
    </row>
    <row r="6504" spans="1:3" x14ac:dyDescent="0.25">
      <c r="A6504" s="15">
        <f>Sheet1!A6504</f>
        <v>0</v>
      </c>
      <c r="B6504">
        <f>Sheet1!B6504</f>
        <v>5.85</v>
      </c>
      <c r="C6504">
        <f>IF(Sheet1!B6504&gt;0,1,0)</f>
        <v>1</v>
      </c>
    </row>
    <row r="6505" spans="1:3" x14ac:dyDescent="0.25">
      <c r="A6505" s="15">
        <f>Sheet1!A6505</f>
        <v>0</v>
      </c>
      <c r="B6505">
        <f>Sheet1!B6505</f>
        <v>7.87</v>
      </c>
      <c r="C6505">
        <f>IF(Sheet1!B6505&gt;0,1,0)</f>
        <v>1</v>
      </c>
    </row>
    <row r="6506" spans="1:3" x14ac:dyDescent="0.25">
      <c r="A6506" s="15">
        <f>Sheet1!A6506</f>
        <v>0</v>
      </c>
      <c r="B6506">
        <f>Sheet1!B6506</f>
        <v>8.35</v>
      </c>
      <c r="C6506">
        <f>IF(Sheet1!B6506&gt;0,1,0)</f>
        <v>1</v>
      </c>
    </row>
    <row r="6507" spans="1:3" x14ac:dyDescent="0.25">
      <c r="A6507" s="15">
        <f>Sheet1!A6507</f>
        <v>0</v>
      </c>
      <c r="B6507">
        <f>Sheet1!B6507</f>
        <v>7.21</v>
      </c>
      <c r="C6507">
        <f>IF(Sheet1!B6507&gt;0,1,0)</f>
        <v>1</v>
      </c>
    </row>
    <row r="6508" spans="1:3" x14ac:dyDescent="0.25">
      <c r="A6508" s="15">
        <f>Sheet1!A6508</f>
        <v>0</v>
      </c>
      <c r="B6508">
        <f>Sheet1!B6508</f>
        <v>6.53</v>
      </c>
      <c r="C6508">
        <f>IF(Sheet1!B6508&gt;0,1,0)</f>
        <v>1</v>
      </c>
    </row>
    <row r="6509" spans="1:3" x14ac:dyDescent="0.25">
      <c r="A6509" s="15">
        <f>Sheet1!A6509</f>
        <v>0</v>
      </c>
      <c r="B6509">
        <f>Sheet1!B6509</f>
        <v>6.47</v>
      </c>
      <c r="C6509">
        <f>IF(Sheet1!B6509&gt;0,1,0)</f>
        <v>1</v>
      </c>
    </row>
    <row r="6510" spans="1:3" x14ac:dyDescent="0.25">
      <c r="A6510" s="15">
        <f>Sheet1!A6510</f>
        <v>0</v>
      </c>
      <c r="B6510">
        <f>Sheet1!B6510</f>
        <v>6.43</v>
      </c>
      <c r="C6510">
        <f>IF(Sheet1!B6510&gt;0,1,0)</f>
        <v>1</v>
      </c>
    </row>
    <row r="6511" spans="1:3" x14ac:dyDescent="0.25">
      <c r="A6511" s="15">
        <f>Sheet1!A6511</f>
        <v>0</v>
      </c>
      <c r="B6511">
        <f>Sheet1!B6511</f>
        <v>6.78</v>
      </c>
      <c r="C6511">
        <f>IF(Sheet1!B6511&gt;0,1,0)</f>
        <v>1</v>
      </c>
    </row>
    <row r="6512" spans="1:3" x14ac:dyDescent="0.25">
      <c r="A6512" s="15">
        <f>Sheet1!A6512</f>
        <v>0</v>
      </c>
      <c r="B6512">
        <f>Sheet1!B6512</f>
        <v>6.68</v>
      </c>
      <c r="C6512">
        <f>IF(Sheet1!B6512&gt;0,1,0)</f>
        <v>1</v>
      </c>
    </row>
    <row r="6513" spans="1:3" x14ac:dyDescent="0.25">
      <c r="A6513" s="15">
        <f>Sheet1!A6513</f>
        <v>0</v>
      </c>
      <c r="B6513">
        <f>Sheet1!B6513</f>
        <v>0</v>
      </c>
      <c r="C6513">
        <f>IF(Sheet1!B6513&gt;0,1,0)</f>
        <v>0</v>
      </c>
    </row>
    <row r="6514" spans="1:3" x14ac:dyDescent="0.25">
      <c r="A6514" s="15">
        <f>Sheet1!A6514</f>
        <v>0</v>
      </c>
      <c r="B6514">
        <f>Sheet1!B6514</f>
        <v>0</v>
      </c>
      <c r="C6514">
        <f>IF(Sheet1!B6514&gt;0,1,0)</f>
        <v>0</v>
      </c>
    </row>
    <row r="6515" spans="1:3" x14ac:dyDescent="0.25">
      <c r="A6515" s="15">
        <f>Sheet1!A6515</f>
        <v>0</v>
      </c>
      <c r="B6515">
        <f>Sheet1!B6515</f>
        <v>0</v>
      </c>
      <c r="C6515">
        <f>IF(Sheet1!B6515&gt;0,1,0)</f>
        <v>0</v>
      </c>
    </row>
    <row r="6516" spans="1:3" x14ac:dyDescent="0.25">
      <c r="A6516" s="15">
        <f>Sheet1!A6516</f>
        <v>0</v>
      </c>
      <c r="B6516">
        <f>Sheet1!B6516</f>
        <v>0</v>
      </c>
      <c r="C6516">
        <f>IF(Sheet1!B6516&gt;0,1,0)</f>
        <v>0</v>
      </c>
    </row>
    <row r="6517" spans="1:3" x14ac:dyDescent="0.25">
      <c r="A6517" s="15">
        <f>Sheet1!A6517</f>
        <v>0</v>
      </c>
      <c r="B6517">
        <f>Sheet1!B6517</f>
        <v>10.16</v>
      </c>
      <c r="C6517">
        <f>IF(Sheet1!B6517&gt;0,1,0)</f>
        <v>1</v>
      </c>
    </row>
    <row r="6518" spans="1:3" x14ac:dyDescent="0.25">
      <c r="A6518" s="15">
        <f>Sheet1!A6518</f>
        <v>0</v>
      </c>
      <c r="B6518">
        <f>Sheet1!B6518</f>
        <v>0</v>
      </c>
      <c r="C6518">
        <f>IF(Sheet1!B6518&gt;0,1,0)</f>
        <v>0</v>
      </c>
    </row>
    <row r="6519" spans="1:3" x14ac:dyDescent="0.25">
      <c r="A6519" s="15">
        <f>Sheet1!A6519</f>
        <v>0</v>
      </c>
      <c r="B6519">
        <f>Sheet1!B6519</f>
        <v>0</v>
      </c>
      <c r="C6519">
        <f>IF(Sheet1!B6519&gt;0,1,0)</f>
        <v>0</v>
      </c>
    </row>
    <row r="6520" spans="1:3" x14ac:dyDescent="0.25">
      <c r="A6520" s="15">
        <f>Sheet1!A6520</f>
        <v>0</v>
      </c>
      <c r="B6520">
        <f>Sheet1!B6520</f>
        <v>7.2</v>
      </c>
      <c r="C6520">
        <f>IF(Sheet1!B6520&gt;0,1,0)</f>
        <v>1</v>
      </c>
    </row>
    <row r="6521" spans="1:3" x14ac:dyDescent="0.25">
      <c r="A6521" s="15">
        <f>Sheet1!A6521</f>
        <v>0</v>
      </c>
      <c r="B6521">
        <f>Sheet1!B6521</f>
        <v>7.91</v>
      </c>
      <c r="C6521">
        <f>IF(Sheet1!B6521&gt;0,1,0)</f>
        <v>1</v>
      </c>
    </row>
    <row r="6522" spans="1:3" x14ac:dyDescent="0.25">
      <c r="A6522" s="15">
        <f>Sheet1!A6522</f>
        <v>0</v>
      </c>
      <c r="B6522">
        <f>Sheet1!B6522</f>
        <v>7.03</v>
      </c>
      <c r="C6522">
        <f>IF(Sheet1!B6522&gt;0,1,0)</f>
        <v>1</v>
      </c>
    </row>
    <row r="6523" spans="1:3" x14ac:dyDescent="0.25">
      <c r="A6523" s="15">
        <f>Sheet1!A6523</f>
        <v>0</v>
      </c>
      <c r="B6523">
        <f>Sheet1!B6523</f>
        <v>0</v>
      </c>
      <c r="C6523">
        <f>IF(Sheet1!B6523&gt;0,1,0)</f>
        <v>0</v>
      </c>
    </row>
    <row r="6524" spans="1:3" x14ac:dyDescent="0.25">
      <c r="A6524" s="15">
        <f>Sheet1!A6524</f>
        <v>0</v>
      </c>
      <c r="B6524">
        <f>Sheet1!B6524</f>
        <v>0</v>
      </c>
      <c r="C6524">
        <f>IF(Sheet1!B6524&gt;0,1,0)</f>
        <v>0</v>
      </c>
    </row>
    <row r="6525" spans="1:3" x14ac:dyDescent="0.25">
      <c r="A6525" s="15">
        <f>Sheet1!A6525</f>
        <v>0</v>
      </c>
      <c r="B6525">
        <f>Sheet1!B6525</f>
        <v>0</v>
      </c>
      <c r="C6525">
        <f>IF(Sheet1!B6525&gt;0,1,0)</f>
        <v>0</v>
      </c>
    </row>
    <row r="6526" spans="1:3" x14ac:dyDescent="0.25">
      <c r="A6526" s="15">
        <f>Sheet1!A6526</f>
        <v>0</v>
      </c>
      <c r="B6526">
        <f>Sheet1!B6526</f>
        <v>8.39</v>
      </c>
      <c r="C6526">
        <f>IF(Sheet1!B6526&gt;0,1,0)</f>
        <v>1</v>
      </c>
    </row>
    <row r="6527" spans="1:3" x14ac:dyDescent="0.25">
      <c r="A6527" s="15">
        <f>Sheet1!A6527</f>
        <v>0</v>
      </c>
      <c r="B6527">
        <f>Sheet1!B6527</f>
        <v>8.15</v>
      </c>
      <c r="C6527">
        <f>IF(Sheet1!B6527&gt;0,1,0)</f>
        <v>1</v>
      </c>
    </row>
    <row r="6528" spans="1:3" x14ac:dyDescent="0.25">
      <c r="A6528" s="15">
        <f>Sheet1!A6528</f>
        <v>0</v>
      </c>
      <c r="B6528">
        <f>Sheet1!B6528</f>
        <v>9.02</v>
      </c>
      <c r="C6528">
        <f>IF(Sheet1!B6528&gt;0,1,0)</f>
        <v>1</v>
      </c>
    </row>
    <row r="6529" spans="1:3" x14ac:dyDescent="0.25">
      <c r="A6529" s="15">
        <f>Sheet1!A6529</f>
        <v>0</v>
      </c>
      <c r="B6529">
        <f>Sheet1!B6529</f>
        <v>7.04</v>
      </c>
      <c r="C6529">
        <f>IF(Sheet1!B6529&gt;0,1,0)</f>
        <v>1</v>
      </c>
    </row>
    <row r="6530" spans="1:3" x14ac:dyDescent="0.25">
      <c r="A6530" s="15">
        <f>Sheet1!A6530</f>
        <v>0</v>
      </c>
      <c r="B6530">
        <f>Sheet1!B6530</f>
        <v>4.84</v>
      </c>
      <c r="C6530">
        <f>IF(Sheet1!B6530&gt;0,1,0)</f>
        <v>1</v>
      </c>
    </row>
    <row r="6531" spans="1:3" x14ac:dyDescent="0.25">
      <c r="A6531" s="15">
        <f>Sheet1!A6531</f>
        <v>0</v>
      </c>
      <c r="B6531">
        <f>Sheet1!B6531</f>
        <v>5.28</v>
      </c>
      <c r="C6531">
        <f>IF(Sheet1!B6531&gt;0,1,0)</f>
        <v>1</v>
      </c>
    </row>
    <row r="6532" spans="1:3" x14ac:dyDescent="0.25">
      <c r="A6532" s="15">
        <f>Sheet1!A6532</f>
        <v>0</v>
      </c>
      <c r="B6532">
        <f>Sheet1!B6532</f>
        <v>5.66</v>
      </c>
      <c r="C6532">
        <f>IF(Sheet1!B6532&gt;0,1,0)</f>
        <v>1</v>
      </c>
    </row>
    <row r="6533" spans="1:3" x14ac:dyDescent="0.25">
      <c r="A6533" s="15">
        <f>Sheet1!A6533</f>
        <v>0</v>
      </c>
      <c r="B6533">
        <f>Sheet1!B6533</f>
        <v>6.09</v>
      </c>
      <c r="C6533">
        <f>IF(Sheet1!B6533&gt;0,1,0)</f>
        <v>1</v>
      </c>
    </row>
    <row r="6534" spans="1:3" x14ac:dyDescent="0.25">
      <c r="A6534" s="15">
        <f>Sheet1!A6534</f>
        <v>0</v>
      </c>
      <c r="B6534">
        <f>Sheet1!B6534</f>
        <v>6.01</v>
      </c>
      <c r="C6534">
        <f>IF(Sheet1!B6534&gt;0,1,0)</f>
        <v>1</v>
      </c>
    </row>
    <row r="6535" spans="1:3" x14ac:dyDescent="0.25">
      <c r="A6535" s="15">
        <f>Sheet1!A6535</f>
        <v>0</v>
      </c>
      <c r="B6535">
        <f>Sheet1!B6535</f>
        <v>4.87</v>
      </c>
      <c r="C6535">
        <f>IF(Sheet1!B6535&gt;0,1,0)</f>
        <v>1</v>
      </c>
    </row>
    <row r="6536" spans="1:3" x14ac:dyDescent="0.25">
      <c r="A6536" s="15">
        <f>Sheet1!A6536</f>
        <v>0</v>
      </c>
      <c r="B6536">
        <f>Sheet1!B6536</f>
        <v>0</v>
      </c>
      <c r="C6536">
        <f>IF(Sheet1!B6536&gt;0,1,0)</f>
        <v>0</v>
      </c>
    </row>
    <row r="6537" spans="1:3" x14ac:dyDescent="0.25">
      <c r="A6537" s="15">
        <f>Sheet1!A6537</f>
        <v>0</v>
      </c>
      <c r="B6537">
        <f>Sheet1!B6537</f>
        <v>0</v>
      </c>
      <c r="C6537">
        <f>IF(Sheet1!B6537&gt;0,1,0)</f>
        <v>0</v>
      </c>
    </row>
    <row r="6538" spans="1:3" x14ac:dyDescent="0.25">
      <c r="A6538" s="15">
        <f>Sheet1!A6538</f>
        <v>0</v>
      </c>
      <c r="B6538">
        <f>Sheet1!B6538</f>
        <v>4.1100000000000003</v>
      </c>
      <c r="C6538">
        <f>IF(Sheet1!B6538&gt;0,1,0)</f>
        <v>1</v>
      </c>
    </row>
    <row r="6539" spans="1:3" x14ac:dyDescent="0.25">
      <c r="A6539" s="15">
        <f>Sheet1!A6539</f>
        <v>0</v>
      </c>
      <c r="B6539">
        <f>Sheet1!B6539</f>
        <v>4.09</v>
      </c>
      <c r="C6539">
        <f>IF(Sheet1!B6539&gt;0,1,0)</f>
        <v>1</v>
      </c>
    </row>
    <row r="6540" spans="1:3" x14ac:dyDescent="0.25">
      <c r="A6540" s="15">
        <f>Sheet1!A6540</f>
        <v>0</v>
      </c>
      <c r="B6540">
        <f>Sheet1!B6540</f>
        <v>3.5</v>
      </c>
      <c r="C6540">
        <f>IF(Sheet1!B6540&gt;0,1,0)</f>
        <v>1</v>
      </c>
    </row>
    <row r="6541" spans="1:3" x14ac:dyDescent="0.25">
      <c r="A6541" s="15">
        <f>Sheet1!A6541</f>
        <v>0</v>
      </c>
      <c r="B6541">
        <f>Sheet1!B6541</f>
        <v>5.16</v>
      </c>
      <c r="C6541">
        <f>IF(Sheet1!B6541&gt;0,1,0)</f>
        <v>1</v>
      </c>
    </row>
    <row r="6542" spans="1:3" x14ac:dyDescent="0.25">
      <c r="A6542" s="15">
        <f>Sheet1!A6542</f>
        <v>0</v>
      </c>
      <c r="B6542">
        <f>Sheet1!B6542</f>
        <v>0</v>
      </c>
      <c r="C6542">
        <f>IF(Sheet1!B6542&gt;0,1,0)</f>
        <v>0</v>
      </c>
    </row>
    <row r="6543" spans="1:3" x14ac:dyDescent="0.25">
      <c r="A6543" s="15">
        <f>Sheet1!A6543</f>
        <v>0</v>
      </c>
      <c r="B6543">
        <f>Sheet1!B6543</f>
        <v>0</v>
      </c>
      <c r="C6543">
        <f>IF(Sheet1!B6543&gt;0,1,0)</f>
        <v>0</v>
      </c>
    </row>
    <row r="6544" spans="1:3" x14ac:dyDescent="0.25">
      <c r="A6544" s="15">
        <f>Sheet1!A6544</f>
        <v>0</v>
      </c>
      <c r="B6544">
        <f>Sheet1!B6544</f>
        <v>5.42</v>
      </c>
      <c r="C6544">
        <f>IF(Sheet1!B6544&gt;0,1,0)</f>
        <v>1</v>
      </c>
    </row>
    <row r="6545" spans="1:3" x14ac:dyDescent="0.25">
      <c r="A6545" s="15">
        <f>Sheet1!A6545</f>
        <v>0</v>
      </c>
      <c r="B6545">
        <f>Sheet1!B6545</f>
        <v>5.97</v>
      </c>
      <c r="C6545">
        <f>IF(Sheet1!B6545&gt;0,1,0)</f>
        <v>1</v>
      </c>
    </row>
    <row r="6546" spans="1:3" x14ac:dyDescent="0.25">
      <c r="A6546" s="15">
        <f>Sheet1!A6546</f>
        <v>0</v>
      </c>
      <c r="B6546">
        <f>Sheet1!B6546</f>
        <v>6.89</v>
      </c>
      <c r="C6546">
        <f>IF(Sheet1!B6546&gt;0,1,0)</f>
        <v>1</v>
      </c>
    </row>
    <row r="6547" spans="1:3" x14ac:dyDescent="0.25">
      <c r="A6547" s="15">
        <f>Sheet1!A6547</f>
        <v>0</v>
      </c>
      <c r="B6547">
        <f>Sheet1!B6547</f>
        <v>0</v>
      </c>
      <c r="C6547">
        <f>IF(Sheet1!B6547&gt;0,1,0)</f>
        <v>0</v>
      </c>
    </row>
    <row r="6548" spans="1:3" x14ac:dyDescent="0.25">
      <c r="A6548" s="15">
        <f>Sheet1!A6548</f>
        <v>0</v>
      </c>
      <c r="B6548">
        <f>Sheet1!B6548</f>
        <v>0</v>
      </c>
      <c r="C6548">
        <f>IF(Sheet1!B6548&gt;0,1,0)</f>
        <v>0</v>
      </c>
    </row>
    <row r="6549" spans="1:3" x14ac:dyDescent="0.25">
      <c r="A6549" s="15">
        <f>Sheet1!A6549</f>
        <v>0</v>
      </c>
      <c r="B6549">
        <f>Sheet1!B6549</f>
        <v>0</v>
      </c>
      <c r="C6549">
        <f>IF(Sheet1!B6549&gt;0,1,0)</f>
        <v>0</v>
      </c>
    </row>
    <row r="6550" spans="1:3" x14ac:dyDescent="0.25">
      <c r="A6550" s="15">
        <f>Sheet1!A6550</f>
        <v>0</v>
      </c>
      <c r="B6550">
        <f>Sheet1!B6550</f>
        <v>10.69</v>
      </c>
      <c r="C6550">
        <f>IF(Sheet1!B6550&gt;0,1,0)</f>
        <v>1</v>
      </c>
    </row>
    <row r="6551" spans="1:3" x14ac:dyDescent="0.25">
      <c r="A6551" s="15">
        <f>Sheet1!A6551</f>
        <v>0</v>
      </c>
      <c r="B6551">
        <f>Sheet1!B6551</f>
        <v>0</v>
      </c>
      <c r="C6551">
        <f>IF(Sheet1!B6551&gt;0,1,0)</f>
        <v>0</v>
      </c>
    </row>
    <row r="6552" spans="1:3" x14ac:dyDescent="0.25">
      <c r="A6552" s="15">
        <f>Sheet1!A6552</f>
        <v>0</v>
      </c>
      <c r="B6552">
        <f>Sheet1!B6552</f>
        <v>0</v>
      </c>
      <c r="C6552">
        <f>IF(Sheet1!B6552&gt;0,1,0)</f>
        <v>0</v>
      </c>
    </row>
    <row r="6553" spans="1:3" x14ac:dyDescent="0.25">
      <c r="A6553" s="15">
        <f>Sheet1!A6553</f>
        <v>0</v>
      </c>
      <c r="B6553">
        <f>Sheet1!B6553</f>
        <v>0</v>
      </c>
      <c r="C6553">
        <f>IF(Sheet1!B6553&gt;0,1,0)</f>
        <v>0</v>
      </c>
    </row>
    <row r="6554" spans="1:3" x14ac:dyDescent="0.25">
      <c r="A6554" s="15">
        <f>Sheet1!A6554</f>
        <v>0</v>
      </c>
      <c r="B6554">
        <f>Sheet1!B6554</f>
        <v>3.89</v>
      </c>
      <c r="C6554">
        <f>IF(Sheet1!B6554&gt;0,1,0)</f>
        <v>1</v>
      </c>
    </row>
    <row r="6555" spans="1:3" x14ac:dyDescent="0.25">
      <c r="A6555" s="15">
        <f>Sheet1!A6555</f>
        <v>0</v>
      </c>
      <c r="B6555">
        <f>Sheet1!B6555</f>
        <v>3.75</v>
      </c>
      <c r="C6555">
        <f>IF(Sheet1!B6555&gt;0,1,0)</f>
        <v>1</v>
      </c>
    </row>
    <row r="6556" spans="1:3" x14ac:dyDescent="0.25">
      <c r="A6556" s="15">
        <f>Sheet1!A6556</f>
        <v>0</v>
      </c>
      <c r="B6556">
        <f>Sheet1!B6556</f>
        <v>3.74</v>
      </c>
      <c r="C6556">
        <f>IF(Sheet1!B6556&gt;0,1,0)</f>
        <v>1</v>
      </c>
    </row>
    <row r="6557" spans="1:3" x14ac:dyDescent="0.25">
      <c r="A6557" s="15">
        <f>Sheet1!A6557</f>
        <v>0</v>
      </c>
      <c r="B6557">
        <f>Sheet1!B6557</f>
        <v>3.66</v>
      </c>
      <c r="C6557">
        <f>IF(Sheet1!B6557&gt;0,1,0)</f>
        <v>1</v>
      </c>
    </row>
    <row r="6558" spans="1:3" x14ac:dyDescent="0.25">
      <c r="A6558" s="15">
        <f>Sheet1!A6558</f>
        <v>0</v>
      </c>
      <c r="B6558">
        <f>Sheet1!B6558</f>
        <v>2.81</v>
      </c>
      <c r="C6558">
        <f>IF(Sheet1!B6558&gt;0,1,0)</f>
        <v>1</v>
      </c>
    </row>
    <row r="6559" spans="1:3" x14ac:dyDescent="0.25">
      <c r="A6559" s="15">
        <f>Sheet1!A6559</f>
        <v>0</v>
      </c>
      <c r="B6559">
        <f>Sheet1!B6559</f>
        <v>2.76</v>
      </c>
      <c r="C6559">
        <f>IF(Sheet1!B6559&gt;0,1,0)</f>
        <v>1</v>
      </c>
    </row>
    <row r="6560" spans="1:3" x14ac:dyDescent="0.25">
      <c r="A6560" s="15">
        <f>Sheet1!A6560</f>
        <v>0</v>
      </c>
      <c r="B6560">
        <f>Sheet1!B6560</f>
        <v>2.67</v>
      </c>
      <c r="C6560">
        <f>IF(Sheet1!B6560&gt;0,1,0)</f>
        <v>1</v>
      </c>
    </row>
    <row r="6561" spans="1:3" x14ac:dyDescent="0.25">
      <c r="A6561" s="15">
        <f>Sheet1!A6561</f>
        <v>0</v>
      </c>
      <c r="B6561">
        <f>Sheet1!B6561</f>
        <v>0</v>
      </c>
      <c r="C6561">
        <f>IF(Sheet1!B6561&gt;0,1,0)</f>
        <v>0</v>
      </c>
    </row>
    <row r="6562" spans="1:3" x14ac:dyDescent="0.25">
      <c r="A6562" s="15">
        <f>Sheet1!A6562</f>
        <v>0</v>
      </c>
      <c r="B6562">
        <f>Sheet1!B6562</f>
        <v>1.1399999999999999</v>
      </c>
      <c r="C6562">
        <f>IF(Sheet1!B6562&gt;0,1,0)</f>
        <v>1</v>
      </c>
    </row>
    <row r="6563" spans="1:3" x14ac:dyDescent="0.25">
      <c r="A6563" s="15">
        <f>Sheet1!A6563</f>
        <v>0</v>
      </c>
      <c r="B6563">
        <f>Sheet1!B6563</f>
        <v>2.2200000000000002</v>
      </c>
      <c r="C6563">
        <f>IF(Sheet1!B6563&gt;0,1,0)</f>
        <v>1</v>
      </c>
    </row>
    <row r="6564" spans="1:3" x14ac:dyDescent="0.25">
      <c r="A6564" s="15">
        <f>Sheet1!A6564</f>
        <v>0</v>
      </c>
      <c r="B6564">
        <f>Sheet1!B6564</f>
        <v>3.73</v>
      </c>
      <c r="C6564">
        <f>IF(Sheet1!B6564&gt;0,1,0)</f>
        <v>1</v>
      </c>
    </row>
    <row r="6565" spans="1:3" x14ac:dyDescent="0.25">
      <c r="A6565" s="15">
        <f>Sheet1!A6565</f>
        <v>0</v>
      </c>
      <c r="B6565">
        <f>Sheet1!B6565</f>
        <v>3.57</v>
      </c>
      <c r="C6565">
        <f>IF(Sheet1!B6565&gt;0,1,0)</f>
        <v>1</v>
      </c>
    </row>
    <row r="6566" spans="1:3" x14ac:dyDescent="0.25">
      <c r="A6566" s="15">
        <f>Sheet1!A6566</f>
        <v>0</v>
      </c>
      <c r="B6566">
        <f>Sheet1!B6566</f>
        <v>0</v>
      </c>
      <c r="C6566">
        <f>IF(Sheet1!B6566&gt;0,1,0)</f>
        <v>0</v>
      </c>
    </row>
    <row r="6567" spans="1:3" x14ac:dyDescent="0.25">
      <c r="A6567" s="15">
        <f>Sheet1!A6567</f>
        <v>0</v>
      </c>
      <c r="B6567">
        <f>Sheet1!B6567</f>
        <v>0</v>
      </c>
      <c r="C6567">
        <f>IF(Sheet1!B6567&gt;0,1,0)</f>
        <v>0</v>
      </c>
    </row>
    <row r="6568" spans="1:3" x14ac:dyDescent="0.25">
      <c r="A6568" s="15">
        <f>Sheet1!A6568</f>
        <v>0</v>
      </c>
      <c r="B6568">
        <f>Sheet1!B6568</f>
        <v>0</v>
      </c>
      <c r="C6568">
        <f>IF(Sheet1!B6568&gt;0,1,0)</f>
        <v>0</v>
      </c>
    </row>
    <row r="6569" spans="1:3" x14ac:dyDescent="0.25">
      <c r="A6569" s="15">
        <f>Sheet1!A6569</f>
        <v>0</v>
      </c>
      <c r="B6569">
        <f>Sheet1!B6569</f>
        <v>3.52</v>
      </c>
      <c r="C6569">
        <f>IF(Sheet1!B6569&gt;0,1,0)</f>
        <v>1</v>
      </c>
    </row>
    <row r="6570" spans="1:3" x14ac:dyDescent="0.25">
      <c r="A6570" s="15">
        <f>Sheet1!A6570</f>
        <v>0</v>
      </c>
      <c r="B6570">
        <f>Sheet1!B6570</f>
        <v>3.44</v>
      </c>
      <c r="C6570">
        <f>IF(Sheet1!B6570&gt;0,1,0)</f>
        <v>1</v>
      </c>
    </row>
    <row r="6571" spans="1:3" x14ac:dyDescent="0.25">
      <c r="A6571" s="15">
        <f>Sheet1!A6571</f>
        <v>0</v>
      </c>
      <c r="B6571">
        <f>Sheet1!B6571</f>
        <v>0</v>
      </c>
      <c r="C6571">
        <f>IF(Sheet1!B6571&gt;0,1,0)</f>
        <v>0</v>
      </c>
    </row>
    <row r="6572" spans="1:3" x14ac:dyDescent="0.25">
      <c r="A6572" s="15">
        <f>Sheet1!A6572</f>
        <v>0</v>
      </c>
      <c r="B6572">
        <f>Sheet1!B6572</f>
        <v>0</v>
      </c>
      <c r="C6572">
        <f>IF(Sheet1!B6572&gt;0,1,0)</f>
        <v>0</v>
      </c>
    </row>
    <row r="6573" spans="1:3" x14ac:dyDescent="0.25">
      <c r="A6573" s="15">
        <f>Sheet1!A6573</f>
        <v>0</v>
      </c>
      <c r="B6573">
        <f>Sheet1!B6573</f>
        <v>0</v>
      </c>
      <c r="C6573">
        <f>IF(Sheet1!B6573&gt;0,1,0)</f>
        <v>0</v>
      </c>
    </row>
    <row r="6574" spans="1:3" x14ac:dyDescent="0.25">
      <c r="A6574" s="15">
        <f>Sheet1!A6574</f>
        <v>0</v>
      </c>
      <c r="B6574">
        <f>Sheet1!B6574</f>
        <v>2.5299999999999998</v>
      </c>
      <c r="C6574">
        <f>IF(Sheet1!B6574&gt;0,1,0)</f>
        <v>1</v>
      </c>
    </row>
    <row r="6575" spans="1:3" x14ac:dyDescent="0.25">
      <c r="A6575" s="15">
        <f>Sheet1!A6575</f>
        <v>0</v>
      </c>
      <c r="B6575">
        <f>Sheet1!B6575</f>
        <v>2.92</v>
      </c>
      <c r="C6575">
        <f>IF(Sheet1!B6575&gt;0,1,0)</f>
        <v>1</v>
      </c>
    </row>
    <row r="6576" spans="1:3" x14ac:dyDescent="0.25">
      <c r="A6576" s="15">
        <f>Sheet1!A6576</f>
        <v>0</v>
      </c>
      <c r="B6576">
        <f>Sheet1!B6576</f>
        <v>3.64</v>
      </c>
      <c r="C6576">
        <f>IF(Sheet1!B6576&gt;0,1,0)</f>
        <v>1</v>
      </c>
    </row>
    <row r="6577" spans="1:3" x14ac:dyDescent="0.25">
      <c r="A6577" s="15">
        <f>Sheet1!A6577</f>
        <v>0</v>
      </c>
      <c r="B6577">
        <f>Sheet1!B6577</f>
        <v>3.59</v>
      </c>
      <c r="C6577">
        <f>IF(Sheet1!B6577&gt;0,1,0)</f>
        <v>1</v>
      </c>
    </row>
    <row r="6578" spans="1:3" x14ac:dyDescent="0.25">
      <c r="A6578" s="15">
        <f>Sheet1!A6578</f>
        <v>0</v>
      </c>
      <c r="B6578">
        <f>Sheet1!B6578</f>
        <v>3.54</v>
      </c>
      <c r="C6578">
        <f>IF(Sheet1!B6578&gt;0,1,0)</f>
        <v>1</v>
      </c>
    </row>
    <row r="6579" spans="1:3" x14ac:dyDescent="0.25">
      <c r="A6579" s="15">
        <f>Sheet1!A6579</f>
        <v>0</v>
      </c>
      <c r="B6579">
        <f>Sheet1!B6579</f>
        <v>3.45</v>
      </c>
      <c r="C6579">
        <f>IF(Sheet1!B6579&gt;0,1,0)</f>
        <v>1</v>
      </c>
    </row>
    <row r="6580" spans="1:3" x14ac:dyDescent="0.25">
      <c r="A6580" s="15">
        <f>Sheet1!A6580</f>
        <v>0</v>
      </c>
      <c r="B6580">
        <f>Sheet1!B6580</f>
        <v>3.51</v>
      </c>
      <c r="C6580">
        <f>IF(Sheet1!B6580&gt;0,1,0)</f>
        <v>1</v>
      </c>
    </row>
    <row r="6581" spans="1:3" x14ac:dyDescent="0.25">
      <c r="A6581" s="15">
        <f>Sheet1!A6581</f>
        <v>0</v>
      </c>
      <c r="B6581">
        <f>Sheet1!B6581</f>
        <v>3.44</v>
      </c>
      <c r="C6581">
        <f>IF(Sheet1!B6581&gt;0,1,0)</f>
        <v>1</v>
      </c>
    </row>
    <row r="6582" spans="1:3" x14ac:dyDescent="0.25">
      <c r="A6582" s="15">
        <f>Sheet1!A6582</f>
        <v>0</v>
      </c>
      <c r="B6582">
        <f>Sheet1!B6582</f>
        <v>2.79</v>
      </c>
      <c r="C6582">
        <f>IF(Sheet1!B6582&gt;0,1,0)</f>
        <v>1</v>
      </c>
    </row>
    <row r="6583" spans="1:3" x14ac:dyDescent="0.25">
      <c r="A6583" s="15">
        <f>Sheet1!A6583</f>
        <v>0</v>
      </c>
      <c r="B6583">
        <f>Sheet1!B6583</f>
        <v>2.21</v>
      </c>
      <c r="C6583">
        <f>IF(Sheet1!B6583&gt;0,1,0)</f>
        <v>1</v>
      </c>
    </row>
    <row r="6584" spans="1:3" x14ac:dyDescent="0.25">
      <c r="A6584" s="15">
        <f>Sheet1!A6584</f>
        <v>0</v>
      </c>
      <c r="B6584">
        <f>Sheet1!B6584</f>
        <v>2.71</v>
      </c>
      <c r="C6584">
        <f>IF(Sheet1!B6584&gt;0,1,0)</f>
        <v>1</v>
      </c>
    </row>
    <row r="6585" spans="1:3" x14ac:dyDescent="0.25">
      <c r="A6585" s="15">
        <f>Sheet1!A6585</f>
        <v>0</v>
      </c>
      <c r="B6585">
        <f>Sheet1!B6585</f>
        <v>2.73</v>
      </c>
      <c r="C6585">
        <f>IF(Sheet1!B6585&gt;0,1,0)</f>
        <v>1</v>
      </c>
    </row>
    <row r="6586" spans="1:3" x14ac:dyDescent="0.25">
      <c r="A6586" s="15">
        <f>Sheet1!A6586</f>
        <v>0</v>
      </c>
      <c r="B6586">
        <f>Sheet1!B6586</f>
        <v>2</v>
      </c>
      <c r="C6586">
        <f>IF(Sheet1!B6586&gt;0,1,0)</f>
        <v>1</v>
      </c>
    </row>
    <row r="6587" spans="1:3" x14ac:dyDescent="0.25">
      <c r="A6587" s="15">
        <f>Sheet1!A6587</f>
        <v>0</v>
      </c>
      <c r="B6587">
        <f>Sheet1!B6587</f>
        <v>2.4700000000000002</v>
      </c>
      <c r="C6587">
        <f>IF(Sheet1!B6587&gt;0,1,0)</f>
        <v>1</v>
      </c>
    </row>
    <row r="6588" spans="1:3" x14ac:dyDescent="0.25">
      <c r="A6588" s="15">
        <f>Sheet1!A6588</f>
        <v>0</v>
      </c>
      <c r="B6588">
        <f>Sheet1!B6588</f>
        <v>3.18</v>
      </c>
      <c r="C6588">
        <f>IF(Sheet1!B6588&gt;0,1,0)</f>
        <v>1</v>
      </c>
    </row>
    <row r="6589" spans="1:3" x14ac:dyDescent="0.25">
      <c r="A6589" s="15">
        <f>Sheet1!A6589</f>
        <v>0</v>
      </c>
      <c r="B6589">
        <f>Sheet1!B6589</f>
        <v>3.27</v>
      </c>
      <c r="C6589">
        <f>IF(Sheet1!B6589&gt;0,1,0)</f>
        <v>1</v>
      </c>
    </row>
    <row r="6590" spans="1:3" x14ac:dyDescent="0.25">
      <c r="A6590" s="15">
        <f>Sheet1!A6590</f>
        <v>0</v>
      </c>
      <c r="B6590">
        <f>Sheet1!B6590</f>
        <v>0</v>
      </c>
      <c r="C6590">
        <f>IF(Sheet1!B6590&gt;0,1,0)</f>
        <v>0</v>
      </c>
    </row>
    <row r="6591" spans="1:3" x14ac:dyDescent="0.25">
      <c r="A6591" s="15">
        <f>Sheet1!A6591</f>
        <v>0</v>
      </c>
      <c r="B6591">
        <f>Sheet1!B6591</f>
        <v>0</v>
      </c>
      <c r="C6591">
        <f>IF(Sheet1!B6591&gt;0,1,0)</f>
        <v>0</v>
      </c>
    </row>
    <row r="6592" spans="1:3" x14ac:dyDescent="0.25">
      <c r="A6592" s="15">
        <f>Sheet1!A6592</f>
        <v>0</v>
      </c>
      <c r="B6592">
        <f>Sheet1!B6592</f>
        <v>2.71</v>
      </c>
      <c r="C6592">
        <f>IF(Sheet1!B6592&gt;0,1,0)</f>
        <v>1</v>
      </c>
    </row>
    <row r="6593" spans="1:3" x14ac:dyDescent="0.25">
      <c r="A6593" s="15">
        <f>Sheet1!A6593</f>
        <v>0</v>
      </c>
      <c r="B6593">
        <f>Sheet1!B6593</f>
        <v>3.93</v>
      </c>
      <c r="C6593">
        <f>IF(Sheet1!B6593&gt;0,1,0)</f>
        <v>1</v>
      </c>
    </row>
    <row r="6594" spans="1:3" x14ac:dyDescent="0.25">
      <c r="A6594" s="15">
        <f>Sheet1!A6594</f>
        <v>0</v>
      </c>
      <c r="B6594">
        <f>Sheet1!B6594</f>
        <v>3.32</v>
      </c>
      <c r="C6594">
        <f>IF(Sheet1!B6594&gt;0,1,0)</f>
        <v>1</v>
      </c>
    </row>
    <row r="6595" spans="1:3" x14ac:dyDescent="0.25">
      <c r="A6595" s="15">
        <f>Sheet1!A6595</f>
        <v>0</v>
      </c>
      <c r="B6595">
        <f>Sheet1!B6595</f>
        <v>2.1800000000000002</v>
      </c>
      <c r="C6595">
        <f>IF(Sheet1!B6595&gt;0,1,0)</f>
        <v>1</v>
      </c>
    </row>
    <row r="6596" spans="1:3" x14ac:dyDescent="0.25">
      <c r="A6596" s="15">
        <f>Sheet1!A6596</f>
        <v>0</v>
      </c>
      <c r="B6596">
        <f>Sheet1!B6596</f>
        <v>2.61</v>
      </c>
      <c r="C6596">
        <f>IF(Sheet1!B6596&gt;0,1,0)</f>
        <v>1</v>
      </c>
    </row>
    <row r="6597" spans="1:3" x14ac:dyDescent="0.25">
      <c r="A6597" s="15">
        <f>Sheet1!A6597</f>
        <v>0</v>
      </c>
      <c r="B6597">
        <f>Sheet1!B6597</f>
        <v>2.2000000000000002</v>
      </c>
      <c r="C6597">
        <f>IF(Sheet1!B6597&gt;0,1,0)</f>
        <v>1</v>
      </c>
    </row>
    <row r="6598" spans="1:3" x14ac:dyDescent="0.25">
      <c r="A6598" s="15">
        <f>Sheet1!A6598</f>
        <v>0</v>
      </c>
      <c r="B6598">
        <f>Sheet1!B6598</f>
        <v>2.61</v>
      </c>
      <c r="C6598">
        <f>IF(Sheet1!B6598&gt;0,1,0)</f>
        <v>1</v>
      </c>
    </row>
    <row r="6599" spans="1:3" x14ac:dyDescent="0.25">
      <c r="A6599" s="15">
        <f>Sheet1!A6599</f>
        <v>0</v>
      </c>
      <c r="B6599">
        <f>Sheet1!B6599</f>
        <v>2.5</v>
      </c>
      <c r="C6599">
        <f>IF(Sheet1!B6599&gt;0,1,0)</f>
        <v>1</v>
      </c>
    </row>
    <row r="6600" spans="1:3" x14ac:dyDescent="0.25">
      <c r="A6600" s="15">
        <f>Sheet1!A6600</f>
        <v>0</v>
      </c>
      <c r="B6600">
        <f>Sheet1!B6600</f>
        <v>2.17</v>
      </c>
      <c r="C6600">
        <f>IF(Sheet1!B6600&gt;0,1,0)</f>
        <v>1</v>
      </c>
    </row>
    <row r="6601" spans="1:3" x14ac:dyDescent="0.25">
      <c r="A6601" s="15">
        <f>Sheet1!A6601</f>
        <v>0</v>
      </c>
      <c r="B6601">
        <f>Sheet1!B6601</f>
        <v>2.5499999999999998</v>
      </c>
      <c r="C6601">
        <f>IF(Sheet1!B6601&gt;0,1,0)</f>
        <v>1</v>
      </c>
    </row>
    <row r="6602" spans="1:3" x14ac:dyDescent="0.25">
      <c r="A6602" s="15">
        <f>Sheet1!A6602</f>
        <v>0</v>
      </c>
      <c r="B6602">
        <f>Sheet1!B6602</f>
        <v>2.4300000000000002</v>
      </c>
      <c r="C6602">
        <f>IF(Sheet1!B6602&gt;0,1,0)</f>
        <v>1</v>
      </c>
    </row>
    <row r="6603" spans="1:3" x14ac:dyDescent="0.25">
      <c r="A6603" s="15">
        <f>Sheet1!A6603</f>
        <v>0</v>
      </c>
      <c r="B6603">
        <f>Sheet1!B6603</f>
        <v>1.35</v>
      </c>
      <c r="C6603">
        <f>IF(Sheet1!B6603&gt;0,1,0)</f>
        <v>1</v>
      </c>
    </row>
    <row r="6604" spans="1:3" x14ac:dyDescent="0.25">
      <c r="A6604" s="15">
        <f>Sheet1!A6604</f>
        <v>0</v>
      </c>
      <c r="B6604">
        <f>Sheet1!B6604</f>
        <v>1.1100000000000001</v>
      </c>
      <c r="C6604">
        <f>IF(Sheet1!B6604&gt;0,1,0)</f>
        <v>1</v>
      </c>
    </row>
    <row r="6605" spans="1:3" x14ac:dyDescent="0.25">
      <c r="A6605" s="15">
        <f>Sheet1!A6605</f>
        <v>0</v>
      </c>
      <c r="B6605">
        <f>Sheet1!B6605</f>
        <v>2.5099999999999998</v>
      </c>
      <c r="C6605">
        <f>IF(Sheet1!B6605&gt;0,1,0)</f>
        <v>1</v>
      </c>
    </row>
    <row r="6606" spans="1:3" x14ac:dyDescent="0.25">
      <c r="A6606" s="15">
        <f>Sheet1!A6606</f>
        <v>0</v>
      </c>
      <c r="B6606">
        <f>Sheet1!B6606</f>
        <v>1.59</v>
      </c>
      <c r="C6606">
        <f>IF(Sheet1!B6606&gt;0,1,0)</f>
        <v>1</v>
      </c>
    </row>
    <row r="6607" spans="1:3" x14ac:dyDescent="0.25">
      <c r="A6607" s="15">
        <f>Sheet1!A6607</f>
        <v>0</v>
      </c>
      <c r="B6607">
        <f>Sheet1!B6607</f>
        <v>1.51</v>
      </c>
      <c r="C6607">
        <f>IF(Sheet1!B6607&gt;0,1,0)</f>
        <v>1</v>
      </c>
    </row>
    <row r="6608" spans="1:3" x14ac:dyDescent="0.25">
      <c r="A6608" s="15">
        <f>Sheet1!A6608</f>
        <v>0</v>
      </c>
      <c r="B6608">
        <f>Sheet1!B6608</f>
        <v>1.48</v>
      </c>
      <c r="C6608">
        <f>IF(Sheet1!B6608&gt;0,1,0)</f>
        <v>1</v>
      </c>
    </row>
    <row r="6609" spans="1:3" x14ac:dyDescent="0.25">
      <c r="A6609" s="15">
        <f>Sheet1!A6609</f>
        <v>0</v>
      </c>
      <c r="B6609">
        <f>Sheet1!B6609</f>
        <v>0.8</v>
      </c>
      <c r="C6609">
        <f>IF(Sheet1!B6609&gt;0,1,0)</f>
        <v>1</v>
      </c>
    </row>
    <row r="6610" spans="1:3" x14ac:dyDescent="0.25">
      <c r="A6610" s="15">
        <f>Sheet1!A6610</f>
        <v>0</v>
      </c>
      <c r="B6610">
        <f>Sheet1!B6610</f>
        <v>0.64</v>
      </c>
      <c r="C6610">
        <f>IF(Sheet1!B6610&gt;0,1,0)</f>
        <v>1</v>
      </c>
    </row>
    <row r="6611" spans="1:3" x14ac:dyDescent="0.25">
      <c r="A6611" s="15">
        <f>Sheet1!A6611</f>
        <v>0</v>
      </c>
      <c r="B6611">
        <f>Sheet1!B6611</f>
        <v>1.02</v>
      </c>
      <c r="C6611">
        <f>IF(Sheet1!B6611&gt;0,1,0)</f>
        <v>1</v>
      </c>
    </row>
    <row r="6612" spans="1:3" x14ac:dyDescent="0.25">
      <c r="A6612" s="15">
        <f>Sheet1!A6612</f>
        <v>0</v>
      </c>
      <c r="B6612">
        <f>Sheet1!B6612</f>
        <v>1.95</v>
      </c>
      <c r="C6612">
        <f>IF(Sheet1!B6612&gt;0,1,0)</f>
        <v>1</v>
      </c>
    </row>
    <row r="6613" spans="1:3" x14ac:dyDescent="0.25">
      <c r="A6613" s="15">
        <f>Sheet1!A6613</f>
        <v>0</v>
      </c>
      <c r="B6613">
        <f>Sheet1!B6613</f>
        <v>1.83</v>
      </c>
      <c r="C6613">
        <f>IF(Sheet1!B6613&gt;0,1,0)</f>
        <v>1</v>
      </c>
    </row>
    <row r="6614" spans="1:3" x14ac:dyDescent="0.25">
      <c r="A6614" s="15">
        <f>Sheet1!A6614</f>
        <v>0</v>
      </c>
      <c r="B6614">
        <f>Sheet1!B6614</f>
        <v>0</v>
      </c>
      <c r="C6614">
        <f>IF(Sheet1!B6614&gt;0,1,0)</f>
        <v>0</v>
      </c>
    </row>
    <row r="6615" spans="1:3" x14ac:dyDescent="0.25">
      <c r="A6615" s="15">
        <f>Sheet1!A6615</f>
        <v>0</v>
      </c>
      <c r="B6615">
        <f>Sheet1!B6615</f>
        <v>0</v>
      </c>
      <c r="C6615">
        <f>IF(Sheet1!B6615&gt;0,1,0)</f>
        <v>0</v>
      </c>
    </row>
    <row r="6616" spans="1:3" x14ac:dyDescent="0.25">
      <c r="A6616" s="15">
        <f>Sheet1!A6616</f>
        <v>0</v>
      </c>
      <c r="B6616">
        <f>Sheet1!B6616</f>
        <v>1.64</v>
      </c>
      <c r="C6616">
        <f>IF(Sheet1!B6616&gt;0,1,0)</f>
        <v>1</v>
      </c>
    </row>
    <row r="6617" spans="1:3" x14ac:dyDescent="0.25">
      <c r="A6617" s="15">
        <f>Sheet1!A6617</f>
        <v>0</v>
      </c>
      <c r="B6617">
        <f>Sheet1!B6617</f>
        <v>1.3</v>
      </c>
      <c r="C6617">
        <f>IF(Sheet1!B6617&gt;0,1,0)</f>
        <v>1</v>
      </c>
    </row>
    <row r="6618" spans="1:3" x14ac:dyDescent="0.25">
      <c r="A6618" s="15">
        <f>Sheet1!A6618</f>
        <v>0</v>
      </c>
      <c r="B6618">
        <f>Sheet1!B6618</f>
        <v>2.4500000000000002</v>
      </c>
      <c r="C6618">
        <f>IF(Sheet1!B6618&gt;0,1,0)</f>
        <v>1</v>
      </c>
    </row>
    <row r="6619" spans="1:3" x14ac:dyDescent="0.25">
      <c r="A6619" s="15">
        <f>Sheet1!A6619</f>
        <v>0</v>
      </c>
      <c r="B6619">
        <f>Sheet1!B6619</f>
        <v>3.33</v>
      </c>
      <c r="C6619">
        <f>IF(Sheet1!B6619&gt;0,1,0)</f>
        <v>1</v>
      </c>
    </row>
    <row r="6620" spans="1:3" x14ac:dyDescent="0.25">
      <c r="A6620" s="15">
        <f>Sheet1!A6620</f>
        <v>0</v>
      </c>
      <c r="B6620">
        <f>Sheet1!B6620</f>
        <v>0</v>
      </c>
      <c r="C6620">
        <f>IF(Sheet1!B6620&gt;0,1,0)</f>
        <v>0</v>
      </c>
    </row>
    <row r="6621" spans="1:3" x14ac:dyDescent="0.25">
      <c r="A6621" s="15">
        <f>Sheet1!A6621</f>
        <v>0</v>
      </c>
      <c r="B6621">
        <f>Sheet1!B6621</f>
        <v>3.32</v>
      </c>
      <c r="C6621">
        <f>IF(Sheet1!B6621&gt;0,1,0)</f>
        <v>1</v>
      </c>
    </row>
    <row r="6622" spans="1:3" x14ac:dyDescent="0.25">
      <c r="A6622" s="15">
        <f>Sheet1!A6622</f>
        <v>0</v>
      </c>
      <c r="B6622">
        <f>Sheet1!B6622</f>
        <v>2.7</v>
      </c>
      <c r="C6622">
        <f>IF(Sheet1!B6622&gt;0,1,0)</f>
        <v>1</v>
      </c>
    </row>
    <row r="6623" spans="1:3" x14ac:dyDescent="0.25">
      <c r="A6623" s="15">
        <f>Sheet1!A6623</f>
        <v>0</v>
      </c>
      <c r="B6623">
        <f>Sheet1!B6623</f>
        <v>1.45</v>
      </c>
      <c r="C6623">
        <f>IF(Sheet1!B6623&gt;0,1,0)</f>
        <v>1</v>
      </c>
    </row>
    <row r="6624" spans="1:3" x14ac:dyDescent="0.25">
      <c r="A6624" s="15">
        <f>Sheet1!A6624</f>
        <v>0</v>
      </c>
      <c r="B6624">
        <f>Sheet1!B6624</f>
        <v>2.4900000000000002</v>
      </c>
      <c r="C6624">
        <f>IF(Sheet1!B6624&gt;0,1,0)</f>
        <v>1</v>
      </c>
    </row>
    <row r="6625" spans="1:3" x14ac:dyDescent="0.25">
      <c r="A6625" s="15">
        <f>Sheet1!A6625</f>
        <v>0</v>
      </c>
      <c r="B6625">
        <f>Sheet1!B6625</f>
        <v>2.25</v>
      </c>
      <c r="C6625">
        <f>IF(Sheet1!B6625&gt;0,1,0)</f>
        <v>1</v>
      </c>
    </row>
    <row r="6626" spans="1:3" x14ac:dyDescent="0.25">
      <c r="A6626" s="15">
        <f>Sheet1!A6626</f>
        <v>0</v>
      </c>
      <c r="B6626">
        <f>Sheet1!B6626</f>
        <v>2.2200000000000002</v>
      </c>
      <c r="C6626">
        <f>IF(Sheet1!B6626&gt;0,1,0)</f>
        <v>1</v>
      </c>
    </row>
    <row r="6627" spans="1:3" x14ac:dyDescent="0.25">
      <c r="A6627" s="15">
        <f>Sheet1!A6627</f>
        <v>0</v>
      </c>
      <c r="B6627">
        <f>Sheet1!B6627</f>
        <v>2.12</v>
      </c>
      <c r="C6627">
        <f>IF(Sheet1!B6627&gt;0,1,0)</f>
        <v>1</v>
      </c>
    </row>
    <row r="6628" spans="1:3" x14ac:dyDescent="0.25">
      <c r="A6628" s="15">
        <f>Sheet1!A6628</f>
        <v>0</v>
      </c>
      <c r="B6628">
        <f>Sheet1!B6628</f>
        <v>2.17</v>
      </c>
      <c r="C6628">
        <f>IF(Sheet1!B6628&gt;0,1,0)</f>
        <v>1</v>
      </c>
    </row>
    <row r="6629" spans="1:3" x14ac:dyDescent="0.25">
      <c r="A6629" s="15">
        <f>Sheet1!A6629</f>
        <v>0</v>
      </c>
      <c r="B6629">
        <f>Sheet1!B6629</f>
        <v>2.09</v>
      </c>
      <c r="C6629">
        <f>IF(Sheet1!B6629&gt;0,1,0)</f>
        <v>1</v>
      </c>
    </row>
    <row r="6630" spans="1:3" x14ac:dyDescent="0.25">
      <c r="A6630" s="15">
        <f>Sheet1!A6630</f>
        <v>0</v>
      </c>
      <c r="B6630">
        <f>Sheet1!B6630</f>
        <v>1.48</v>
      </c>
      <c r="C6630">
        <f>IF(Sheet1!B6630&gt;0,1,0)</f>
        <v>1</v>
      </c>
    </row>
    <row r="6631" spans="1:3" x14ac:dyDescent="0.25">
      <c r="A6631" s="15">
        <f>Sheet1!A6631</f>
        <v>0</v>
      </c>
      <c r="B6631">
        <f>Sheet1!B6631</f>
        <v>1.53</v>
      </c>
      <c r="C6631">
        <f>IF(Sheet1!B6631&gt;0,1,0)</f>
        <v>1</v>
      </c>
    </row>
    <row r="6632" spans="1:3" x14ac:dyDescent="0.25">
      <c r="A6632" s="15">
        <f>Sheet1!A6632</f>
        <v>0</v>
      </c>
      <c r="B6632">
        <f>Sheet1!B6632</f>
        <v>1.44</v>
      </c>
      <c r="C6632">
        <f>IF(Sheet1!B6632&gt;0,1,0)</f>
        <v>1</v>
      </c>
    </row>
    <row r="6633" spans="1:3" x14ac:dyDescent="0.25">
      <c r="A6633" s="15">
        <f>Sheet1!A6633</f>
        <v>0</v>
      </c>
      <c r="B6633">
        <f>Sheet1!B6633</f>
        <v>1.71</v>
      </c>
      <c r="C6633">
        <f>IF(Sheet1!B6633&gt;0,1,0)</f>
        <v>1</v>
      </c>
    </row>
    <row r="6634" spans="1:3" x14ac:dyDescent="0.25">
      <c r="A6634" s="15">
        <f>Sheet1!A6634</f>
        <v>0</v>
      </c>
      <c r="B6634">
        <f>Sheet1!B6634</f>
        <v>0.84</v>
      </c>
      <c r="C6634">
        <f>IF(Sheet1!B6634&gt;0,1,0)</f>
        <v>1</v>
      </c>
    </row>
    <row r="6635" spans="1:3" x14ac:dyDescent="0.25">
      <c r="A6635" s="15">
        <f>Sheet1!A6635</f>
        <v>0</v>
      </c>
      <c r="B6635">
        <f>Sheet1!B6635</f>
        <v>0.6</v>
      </c>
      <c r="C6635">
        <f>IF(Sheet1!B6635&gt;0,1,0)</f>
        <v>1</v>
      </c>
    </row>
    <row r="6636" spans="1:3" x14ac:dyDescent="0.25">
      <c r="A6636" s="15">
        <f>Sheet1!A6636</f>
        <v>0</v>
      </c>
      <c r="B6636">
        <f>Sheet1!B6636</f>
        <v>0.59</v>
      </c>
      <c r="C6636">
        <f>IF(Sheet1!B6636&gt;0,1,0)</f>
        <v>1</v>
      </c>
    </row>
    <row r="6637" spans="1:3" x14ac:dyDescent="0.25">
      <c r="A6637" s="15">
        <f>Sheet1!A6637</f>
        <v>0</v>
      </c>
      <c r="B6637">
        <f>Sheet1!B6637</f>
        <v>1.3</v>
      </c>
      <c r="C6637">
        <f>IF(Sheet1!B6637&gt;0,1,0)</f>
        <v>1</v>
      </c>
    </row>
    <row r="6638" spans="1:3" x14ac:dyDescent="0.25">
      <c r="A6638" s="15">
        <f>Sheet1!A6638</f>
        <v>0</v>
      </c>
      <c r="B6638">
        <f>Sheet1!B6638</f>
        <v>1.01</v>
      </c>
      <c r="C6638">
        <f>IF(Sheet1!B6638&gt;0,1,0)</f>
        <v>1</v>
      </c>
    </row>
    <row r="6639" spans="1:3" x14ac:dyDescent="0.25">
      <c r="A6639" s="15">
        <f>Sheet1!A6639</f>
        <v>0</v>
      </c>
      <c r="B6639">
        <f>Sheet1!B6639</f>
        <v>0.82</v>
      </c>
      <c r="C6639">
        <f>IF(Sheet1!B6639&gt;0,1,0)</f>
        <v>1</v>
      </c>
    </row>
    <row r="6640" spans="1:3" x14ac:dyDescent="0.25">
      <c r="A6640" s="15">
        <f>Sheet1!A6640</f>
        <v>0</v>
      </c>
      <c r="B6640">
        <f>Sheet1!B6640</f>
        <v>1.1599999999999999</v>
      </c>
      <c r="C6640">
        <f>IF(Sheet1!B6640&gt;0,1,0)</f>
        <v>1</v>
      </c>
    </row>
    <row r="6641" spans="1:3" x14ac:dyDescent="0.25">
      <c r="A6641" s="15">
        <f>Sheet1!A6641</f>
        <v>0</v>
      </c>
      <c r="B6641">
        <f>Sheet1!B6641</f>
        <v>5.81</v>
      </c>
      <c r="C6641">
        <f>IF(Sheet1!B6641&gt;0,1,0)</f>
        <v>1</v>
      </c>
    </row>
    <row r="6642" spans="1:3" x14ac:dyDescent="0.25">
      <c r="A6642" s="15">
        <f>Sheet1!A6642</f>
        <v>0</v>
      </c>
      <c r="B6642">
        <f>Sheet1!B6642</f>
        <v>9.4600000000000009</v>
      </c>
      <c r="C6642">
        <f>IF(Sheet1!B6642&gt;0,1,0)</f>
        <v>1</v>
      </c>
    </row>
    <row r="6643" spans="1:3" x14ac:dyDescent="0.25">
      <c r="A6643" s="15">
        <f>Sheet1!A6643</f>
        <v>0</v>
      </c>
      <c r="B6643">
        <f>Sheet1!B6643</f>
        <v>10.09</v>
      </c>
      <c r="C6643">
        <f>IF(Sheet1!B6643&gt;0,1,0)</f>
        <v>1</v>
      </c>
    </row>
    <row r="6644" spans="1:3" x14ac:dyDescent="0.25">
      <c r="A6644" s="15">
        <f>Sheet1!A6644</f>
        <v>0</v>
      </c>
      <c r="B6644">
        <f>Sheet1!B6644</f>
        <v>10.67</v>
      </c>
      <c r="C6644">
        <f>IF(Sheet1!B6644&gt;0,1,0)</f>
        <v>1</v>
      </c>
    </row>
    <row r="6645" spans="1:3" x14ac:dyDescent="0.25">
      <c r="A6645" s="15">
        <f>Sheet1!A6645</f>
        <v>0</v>
      </c>
      <c r="B6645">
        <f>Sheet1!B6645</f>
        <v>10.53</v>
      </c>
      <c r="C6645">
        <f>IF(Sheet1!B6645&gt;0,1,0)</f>
        <v>1</v>
      </c>
    </row>
    <row r="6646" spans="1:3" x14ac:dyDescent="0.25">
      <c r="A6646" s="15">
        <f>Sheet1!A6646</f>
        <v>0</v>
      </c>
      <c r="B6646">
        <f>Sheet1!B6646</f>
        <v>9.93</v>
      </c>
      <c r="C6646">
        <f>IF(Sheet1!B6646&gt;0,1,0)</f>
        <v>1</v>
      </c>
    </row>
    <row r="6647" spans="1:3" x14ac:dyDescent="0.25">
      <c r="A6647" s="15">
        <f>Sheet1!A6647</f>
        <v>0</v>
      </c>
      <c r="B6647">
        <f>Sheet1!B6647</f>
        <v>7.96</v>
      </c>
      <c r="C6647">
        <f>IF(Sheet1!B6647&gt;0,1,0)</f>
        <v>1</v>
      </c>
    </row>
    <row r="6648" spans="1:3" x14ac:dyDescent="0.25">
      <c r="A6648" s="15">
        <f>Sheet1!A6648</f>
        <v>0</v>
      </c>
      <c r="B6648">
        <f>Sheet1!B6648</f>
        <v>5.49</v>
      </c>
      <c r="C6648">
        <f>IF(Sheet1!B6648&gt;0,1,0)</f>
        <v>1</v>
      </c>
    </row>
    <row r="6649" spans="1:3" x14ac:dyDescent="0.25">
      <c r="A6649" s="15">
        <f>Sheet1!A6649</f>
        <v>0</v>
      </c>
      <c r="B6649">
        <f>Sheet1!B6649</f>
        <v>5.33</v>
      </c>
      <c r="C6649">
        <f>IF(Sheet1!B6649&gt;0,1,0)</f>
        <v>1</v>
      </c>
    </row>
    <row r="6650" spans="1:3" x14ac:dyDescent="0.25">
      <c r="A6650" s="15">
        <f>Sheet1!A6650</f>
        <v>0</v>
      </c>
      <c r="B6650">
        <f>Sheet1!B6650</f>
        <v>5.1100000000000003</v>
      </c>
      <c r="C6650">
        <f>IF(Sheet1!B6650&gt;0,1,0)</f>
        <v>1</v>
      </c>
    </row>
    <row r="6651" spans="1:3" x14ac:dyDescent="0.25">
      <c r="A6651" s="15">
        <f>Sheet1!A6651</f>
        <v>0</v>
      </c>
      <c r="B6651">
        <f>Sheet1!B6651</f>
        <v>4.99</v>
      </c>
      <c r="C6651">
        <f>IF(Sheet1!B6651&gt;0,1,0)</f>
        <v>1</v>
      </c>
    </row>
    <row r="6652" spans="1:3" x14ac:dyDescent="0.25">
      <c r="A6652" s="15">
        <f>Sheet1!A6652</f>
        <v>0</v>
      </c>
      <c r="B6652">
        <f>Sheet1!B6652</f>
        <v>4.91</v>
      </c>
      <c r="C6652">
        <f>IF(Sheet1!B6652&gt;0,1,0)</f>
        <v>1</v>
      </c>
    </row>
    <row r="6653" spans="1:3" x14ac:dyDescent="0.25">
      <c r="A6653" s="15">
        <f>Sheet1!A6653</f>
        <v>0</v>
      </c>
      <c r="B6653">
        <f>Sheet1!B6653</f>
        <v>5.04</v>
      </c>
      <c r="C6653">
        <f>IF(Sheet1!B6653&gt;0,1,0)</f>
        <v>1</v>
      </c>
    </row>
    <row r="6654" spans="1:3" x14ac:dyDescent="0.25">
      <c r="A6654" s="15">
        <f>Sheet1!A6654</f>
        <v>0</v>
      </c>
      <c r="B6654">
        <f>Sheet1!B6654</f>
        <v>4.22</v>
      </c>
      <c r="C6654">
        <f>IF(Sheet1!B6654&gt;0,1,0)</f>
        <v>1</v>
      </c>
    </row>
    <row r="6655" spans="1:3" x14ac:dyDescent="0.25">
      <c r="A6655" s="15">
        <f>Sheet1!A6655</f>
        <v>0</v>
      </c>
      <c r="B6655">
        <f>Sheet1!B6655</f>
        <v>4.26</v>
      </c>
      <c r="C6655">
        <f>IF(Sheet1!B6655&gt;0,1,0)</f>
        <v>1</v>
      </c>
    </row>
    <row r="6656" spans="1:3" x14ac:dyDescent="0.25">
      <c r="A6656" s="15">
        <f>Sheet1!A6656</f>
        <v>0</v>
      </c>
      <c r="B6656">
        <f>Sheet1!B6656</f>
        <v>4.29</v>
      </c>
      <c r="C6656">
        <f>IF(Sheet1!B6656&gt;0,1,0)</f>
        <v>1</v>
      </c>
    </row>
    <row r="6657" spans="1:3" x14ac:dyDescent="0.25">
      <c r="A6657" s="15">
        <f>Sheet1!A6657</f>
        <v>0</v>
      </c>
      <c r="B6657">
        <f>Sheet1!B6657</f>
        <v>4.47</v>
      </c>
      <c r="C6657">
        <f>IF(Sheet1!B6657&gt;0,1,0)</f>
        <v>1</v>
      </c>
    </row>
    <row r="6658" spans="1:3" x14ac:dyDescent="0.25">
      <c r="A6658" s="15">
        <f>Sheet1!A6658</f>
        <v>0</v>
      </c>
      <c r="B6658">
        <f>Sheet1!B6658</f>
        <v>0</v>
      </c>
      <c r="C6658">
        <f>IF(Sheet1!B6658&gt;0,1,0)</f>
        <v>0</v>
      </c>
    </row>
    <row r="6659" spans="1:3" x14ac:dyDescent="0.25">
      <c r="A6659" s="15">
        <f>Sheet1!A6659</f>
        <v>0</v>
      </c>
      <c r="B6659">
        <f>Sheet1!B6659</f>
        <v>0</v>
      </c>
      <c r="C6659">
        <f>IF(Sheet1!B6659&gt;0,1,0)</f>
        <v>0</v>
      </c>
    </row>
    <row r="6660" spans="1:3" x14ac:dyDescent="0.25">
      <c r="A6660" s="15">
        <f>Sheet1!A6660</f>
        <v>0</v>
      </c>
      <c r="B6660">
        <f>Sheet1!B6660</f>
        <v>0</v>
      </c>
      <c r="C6660">
        <f>IF(Sheet1!B6660&gt;0,1,0)</f>
        <v>0</v>
      </c>
    </row>
    <row r="6661" spans="1:3" x14ac:dyDescent="0.25">
      <c r="A6661" s="15">
        <f>Sheet1!A6661</f>
        <v>0</v>
      </c>
      <c r="B6661">
        <f>Sheet1!B6661</f>
        <v>8.4</v>
      </c>
      <c r="C6661">
        <f>IF(Sheet1!B6661&gt;0,1,0)</f>
        <v>1</v>
      </c>
    </row>
    <row r="6662" spans="1:3" x14ac:dyDescent="0.25">
      <c r="A6662" s="15">
        <f>Sheet1!A6662</f>
        <v>0</v>
      </c>
      <c r="B6662">
        <f>Sheet1!B6662</f>
        <v>7.98</v>
      </c>
      <c r="C6662">
        <f>IF(Sheet1!B6662&gt;0,1,0)</f>
        <v>1</v>
      </c>
    </row>
    <row r="6663" spans="1:3" x14ac:dyDescent="0.25">
      <c r="A6663" s="15">
        <f>Sheet1!A6663</f>
        <v>0</v>
      </c>
      <c r="B6663">
        <f>Sheet1!B6663</f>
        <v>7.23</v>
      </c>
      <c r="C6663">
        <f>IF(Sheet1!B6663&gt;0,1,0)</f>
        <v>1</v>
      </c>
    </row>
    <row r="6664" spans="1:3" x14ac:dyDescent="0.25">
      <c r="A6664" s="15">
        <f>Sheet1!A6664</f>
        <v>0</v>
      </c>
      <c r="B6664">
        <f>Sheet1!B6664</f>
        <v>8.24</v>
      </c>
      <c r="C6664">
        <f>IF(Sheet1!B6664&gt;0,1,0)</f>
        <v>1</v>
      </c>
    </row>
    <row r="6665" spans="1:3" x14ac:dyDescent="0.25">
      <c r="A6665" s="15">
        <f>Sheet1!A6665</f>
        <v>0</v>
      </c>
      <c r="B6665">
        <f>Sheet1!B6665</f>
        <v>7.78</v>
      </c>
      <c r="C6665">
        <f>IF(Sheet1!B6665&gt;0,1,0)</f>
        <v>1</v>
      </c>
    </row>
    <row r="6666" spans="1:3" x14ac:dyDescent="0.25">
      <c r="A6666" s="15">
        <f>Sheet1!A6666</f>
        <v>0</v>
      </c>
      <c r="B6666">
        <f>Sheet1!B6666</f>
        <v>8.02</v>
      </c>
      <c r="C6666">
        <f>IF(Sheet1!B6666&gt;0,1,0)</f>
        <v>1</v>
      </c>
    </row>
    <row r="6667" spans="1:3" x14ac:dyDescent="0.25">
      <c r="A6667" s="15">
        <f>Sheet1!A6667</f>
        <v>0</v>
      </c>
      <c r="B6667">
        <f>Sheet1!B6667</f>
        <v>7.6</v>
      </c>
      <c r="C6667">
        <f>IF(Sheet1!B6667&gt;0,1,0)</f>
        <v>1</v>
      </c>
    </row>
    <row r="6668" spans="1:3" x14ac:dyDescent="0.25">
      <c r="A6668" s="15">
        <f>Sheet1!A6668</f>
        <v>0</v>
      </c>
      <c r="B6668">
        <f>Sheet1!B6668</f>
        <v>7.03</v>
      </c>
      <c r="C6668">
        <f>IF(Sheet1!B6668&gt;0,1,0)</f>
        <v>1</v>
      </c>
    </row>
    <row r="6669" spans="1:3" x14ac:dyDescent="0.25">
      <c r="A6669" s="15">
        <f>Sheet1!A6669</f>
        <v>0</v>
      </c>
      <c r="B6669">
        <f>Sheet1!B6669</f>
        <v>5.43</v>
      </c>
      <c r="C6669">
        <f>IF(Sheet1!B6669&gt;0,1,0)</f>
        <v>1</v>
      </c>
    </row>
    <row r="6670" spans="1:3" x14ac:dyDescent="0.25">
      <c r="A6670" s="15">
        <f>Sheet1!A6670</f>
        <v>0</v>
      </c>
      <c r="B6670">
        <f>Sheet1!B6670</f>
        <v>3.06</v>
      </c>
      <c r="C6670">
        <f>IF(Sheet1!B6670&gt;0,1,0)</f>
        <v>1</v>
      </c>
    </row>
    <row r="6671" spans="1:3" x14ac:dyDescent="0.25">
      <c r="A6671" s="15">
        <f>Sheet1!A6671</f>
        <v>0</v>
      </c>
      <c r="B6671">
        <f>Sheet1!B6671</f>
        <v>2.38</v>
      </c>
      <c r="C6671">
        <f>IF(Sheet1!B6671&gt;0,1,0)</f>
        <v>1</v>
      </c>
    </row>
    <row r="6672" spans="1:3" x14ac:dyDescent="0.25">
      <c r="A6672" s="15">
        <f>Sheet1!A6672</f>
        <v>0</v>
      </c>
      <c r="B6672">
        <f>Sheet1!B6672</f>
        <v>2.4</v>
      </c>
      <c r="C6672">
        <f>IF(Sheet1!B6672&gt;0,1,0)</f>
        <v>1</v>
      </c>
    </row>
    <row r="6673" spans="1:3" x14ac:dyDescent="0.25">
      <c r="A6673" s="15">
        <f>Sheet1!A6673</f>
        <v>0</v>
      </c>
      <c r="B6673">
        <f>Sheet1!B6673</f>
        <v>2.0299999999999998</v>
      </c>
      <c r="C6673">
        <f>IF(Sheet1!B6673&gt;0,1,0)</f>
        <v>1</v>
      </c>
    </row>
    <row r="6674" spans="1:3" x14ac:dyDescent="0.25">
      <c r="A6674" s="15">
        <f>Sheet1!A6674</f>
        <v>0</v>
      </c>
      <c r="B6674">
        <f>Sheet1!B6674</f>
        <v>2.4700000000000002</v>
      </c>
      <c r="C6674">
        <f>IF(Sheet1!B6674&gt;0,1,0)</f>
        <v>1</v>
      </c>
    </row>
    <row r="6675" spans="1:3" x14ac:dyDescent="0.25">
      <c r="A6675" s="15">
        <f>Sheet1!A6675</f>
        <v>0</v>
      </c>
      <c r="B6675">
        <f>Sheet1!B6675</f>
        <v>3.19</v>
      </c>
      <c r="C6675">
        <f>IF(Sheet1!B6675&gt;0,1,0)</f>
        <v>1</v>
      </c>
    </row>
    <row r="6676" spans="1:3" x14ac:dyDescent="0.25">
      <c r="A6676" s="15">
        <f>Sheet1!A6676</f>
        <v>0</v>
      </c>
      <c r="B6676">
        <f>Sheet1!B6676</f>
        <v>3.48</v>
      </c>
      <c r="C6676">
        <f>IF(Sheet1!B6676&gt;0,1,0)</f>
        <v>1</v>
      </c>
    </row>
    <row r="6677" spans="1:3" x14ac:dyDescent="0.25">
      <c r="A6677" s="15">
        <f>Sheet1!A6677</f>
        <v>0</v>
      </c>
      <c r="B6677">
        <f>Sheet1!B6677</f>
        <v>3.32</v>
      </c>
      <c r="C6677">
        <f>IF(Sheet1!B6677&gt;0,1,0)</f>
        <v>1</v>
      </c>
    </row>
    <row r="6678" spans="1:3" x14ac:dyDescent="0.25">
      <c r="A6678" s="15">
        <f>Sheet1!A6678</f>
        <v>0</v>
      </c>
      <c r="B6678">
        <f>Sheet1!B6678</f>
        <v>3.44</v>
      </c>
      <c r="C6678">
        <f>IF(Sheet1!B6678&gt;0,1,0)</f>
        <v>1</v>
      </c>
    </row>
    <row r="6679" spans="1:3" x14ac:dyDescent="0.25">
      <c r="A6679" s="15">
        <f>Sheet1!A6679</f>
        <v>0</v>
      </c>
      <c r="B6679">
        <f>Sheet1!B6679</f>
        <v>2.6</v>
      </c>
      <c r="C6679">
        <f>IF(Sheet1!B6679&gt;0,1,0)</f>
        <v>1</v>
      </c>
    </row>
    <row r="6680" spans="1:3" x14ac:dyDescent="0.25">
      <c r="A6680" s="15">
        <f>Sheet1!A6680</f>
        <v>0</v>
      </c>
      <c r="B6680">
        <f>Sheet1!B6680</f>
        <v>1.82</v>
      </c>
      <c r="C6680">
        <f>IF(Sheet1!B6680&gt;0,1,0)</f>
        <v>1</v>
      </c>
    </row>
    <row r="6681" spans="1:3" x14ac:dyDescent="0.25">
      <c r="A6681" s="15">
        <f>Sheet1!A6681</f>
        <v>0</v>
      </c>
      <c r="B6681">
        <f>Sheet1!B6681</f>
        <v>1.54</v>
      </c>
      <c r="C6681">
        <f>IF(Sheet1!B6681&gt;0,1,0)</f>
        <v>1</v>
      </c>
    </row>
    <row r="6682" spans="1:3" x14ac:dyDescent="0.25">
      <c r="A6682" s="15">
        <f>Sheet1!A6682</f>
        <v>0</v>
      </c>
      <c r="B6682">
        <f>Sheet1!B6682</f>
        <v>1.96</v>
      </c>
      <c r="C6682">
        <f>IF(Sheet1!B6682&gt;0,1,0)</f>
        <v>1</v>
      </c>
    </row>
    <row r="6683" spans="1:3" x14ac:dyDescent="0.25">
      <c r="A6683" s="15">
        <f>Sheet1!A6683</f>
        <v>0</v>
      </c>
      <c r="B6683">
        <f>Sheet1!B6683</f>
        <v>1.19</v>
      </c>
      <c r="C6683">
        <f>IF(Sheet1!B6683&gt;0,1,0)</f>
        <v>1</v>
      </c>
    </row>
    <row r="6684" spans="1:3" x14ac:dyDescent="0.25">
      <c r="A6684" s="15">
        <f>Sheet1!A6684</f>
        <v>0</v>
      </c>
      <c r="B6684">
        <f>Sheet1!B6684</f>
        <v>1.1399999999999999</v>
      </c>
      <c r="C6684">
        <f>IF(Sheet1!B6684&gt;0,1,0)</f>
        <v>1</v>
      </c>
    </row>
    <row r="6685" spans="1:3" x14ac:dyDescent="0.25">
      <c r="A6685" s="15">
        <f>Sheet1!A6685</f>
        <v>0</v>
      </c>
      <c r="B6685">
        <f>Sheet1!B6685</f>
        <v>0.66</v>
      </c>
      <c r="C6685">
        <f>IF(Sheet1!B6685&gt;0,1,0)</f>
        <v>1</v>
      </c>
    </row>
    <row r="6686" spans="1:3" x14ac:dyDescent="0.25">
      <c r="A6686" s="15">
        <f>Sheet1!A6686</f>
        <v>0</v>
      </c>
      <c r="B6686">
        <f>Sheet1!B6686</f>
        <v>0.63</v>
      </c>
      <c r="C6686">
        <f>IF(Sheet1!B6686&gt;0,1,0)</f>
        <v>1</v>
      </c>
    </row>
    <row r="6687" spans="1:3" x14ac:dyDescent="0.25">
      <c r="A6687" s="15">
        <f>Sheet1!A6687</f>
        <v>0</v>
      </c>
      <c r="B6687">
        <f>Sheet1!B6687</f>
        <v>0.62</v>
      </c>
      <c r="C6687">
        <f>IF(Sheet1!B6687&gt;0,1,0)</f>
        <v>1</v>
      </c>
    </row>
    <row r="6688" spans="1:3" x14ac:dyDescent="0.25">
      <c r="A6688" s="15">
        <f>Sheet1!A6688</f>
        <v>0</v>
      </c>
      <c r="B6688">
        <f>Sheet1!B6688</f>
        <v>1.68</v>
      </c>
      <c r="C6688">
        <f>IF(Sheet1!B6688&gt;0,1,0)</f>
        <v>1</v>
      </c>
    </row>
    <row r="6689" spans="1:3" x14ac:dyDescent="0.25">
      <c r="A6689" s="15">
        <f>Sheet1!A6689</f>
        <v>0</v>
      </c>
      <c r="B6689">
        <f>Sheet1!B6689</f>
        <v>1.1499999999999999</v>
      </c>
      <c r="C6689">
        <f>IF(Sheet1!B6689&gt;0,1,0)</f>
        <v>1</v>
      </c>
    </row>
    <row r="6690" spans="1:3" x14ac:dyDescent="0.25">
      <c r="A6690" s="15">
        <f>Sheet1!A6690</f>
        <v>0</v>
      </c>
      <c r="B6690">
        <f>Sheet1!B6690</f>
        <v>0.88</v>
      </c>
      <c r="C6690">
        <f>IF(Sheet1!B6690&gt;0,1,0)</f>
        <v>1</v>
      </c>
    </row>
    <row r="6691" spans="1:3" x14ac:dyDescent="0.25">
      <c r="A6691" s="15">
        <f>Sheet1!A6691</f>
        <v>0</v>
      </c>
      <c r="B6691">
        <f>Sheet1!B6691</f>
        <v>1.05</v>
      </c>
      <c r="C6691">
        <f>IF(Sheet1!B6691&gt;0,1,0)</f>
        <v>1</v>
      </c>
    </row>
    <row r="6692" spans="1:3" x14ac:dyDescent="0.25">
      <c r="A6692" s="15">
        <f>Sheet1!A6692</f>
        <v>0</v>
      </c>
      <c r="B6692">
        <f>Sheet1!B6692</f>
        <v>1.07</v>
      </c>
      <c r="C6692">
        <f>IF(Sheet1!B6692&gt;0,1,0)</f>
        <v>1</v>
      </c>
    </row>
    <row r="6693" spans="1:3" x14ac:dyDescent="0.25">
      <c r="A6693" s="15">
        <f>Sheet1!A6693</f>
        <v>0</v>
      </c>
      <c r="B6693">
        <f>Sheet1!B6693</f>
        <v>1.04</v>
      </c>
      <c r="C6693">
        <f>IF(Sheet1!B6693&gt;0,1,0)</f>
        <v>1</v>
      </c>
    </row>
    <row r="6694" spans="1:3" x14ac:dyDescent="0.25">
      <c r="A6694" s="15">
        <f>Sheet1!A6694</f>
        <v>0</v>
      </c>
      <c r="B6694">
        <f>Sheet1!B6694</f>
        <v>1.01</v>
      </c>
      <c r="C6694">
        <f>IF(Sheet1!B6694&gt;0,1,0)</f>
        <v>1</v>
      </c>
    </row>
    <row r="6695" spans="1:3" x14ac:dyDescent="0.25">
      <c r="A6695" s="15">
        <f>Sheet1!A6695</f>
        <v>0</v>
      </c>
      <c r="B6695">
        <f>Sheet1!B6695</f>
        <v>2.5</v>
      </c>
      <c r="C6695">
        <f>IF(Sheet1!B6695&gt;0,1,0)</f>
        <v>1</v>
      </c>
    </row>
    <row r="6696" spans="1:3" x14ac:dyDescent="0.25">
      <c r="A6696" s="15">
        <f>Sheet1!A6696</f>
        <v>0</v>
      </c>
      <c r="B6696">
        <f>Sheet1!B6696</f>
        <v>3.22</v>
      </c>
      <c r="C6696">
        <f>IF(Sheet1!B6696&gt;0,1,0)</f>
        <v>1</v>
      </c>
    </row>
    <row r="6697" spans="1:3" x14ac:dyDescent="0.25">
      <c r="A6697" s="15">
        <f>Sheet1!A6697</f>
        <v>0</v>
      </c>
      <c r="B6697">
        <f>Sheet1!B6697</f>
        <v>2.1800000000000002</v>
      </c>
      <c r="C6697">
        <f>IF(Sheet1!B6697&gt;0,1,0)</f>
        <v>1</v>
      </c>
    </row>
    <row r="6698" spans="1:3" x14ac:dyDescent="0.25">
      <c r="A6698" s="15">
        <f>Sheet1!A6698</f>
        <v>0</v>
      </c>
      <c r="B6698">
        <f>Sheet1!B6698</f>
        <v>2.3199999999999998</v>
      </c>
      <c r="C6698">
        <f>IF(Sheet1!B6698&gt;0,1,0)</f>
        <v>1</v>
      </c>
    </row>
    <row r="6699" spans="1:3" x14ac:dyDescent="0.25">
      <c r="A6699" s="15">
        <f>Sheet1!A6699</f>
        <v>0</v>
      </c>
      <c r="B6699">
        <f>Sheet1!B6699</f>
        <v>2.2000000000000002</v>
      </c>
      <c r="C6699">
        <f>IF(Sheet1!B6699&gt;0,1,0)</f>
        <v>1</v>
      </c>
    </row>
    <row r="6700" spans="1:3" x14ac:dyDescent="0.25">
      <c r="A6700" s="15">
        <f>Sheet1!A6700</f>
        <v>0</v>
      </c>
      <c r="B6700">
        <f>Sheet1!B6700</f>
        <v>2.13</v>
      </c>
      <c r="C6700">
        <f>IF(Sheet1!B6700&gt;0,1,0)</f>
        <v>1</v>
      </c>
    </row>
    <row r="6701" spans="1:3" x14ac:dyDescent="0.25">
      <c r="A6701" s="15">
        <f>Sheet1!A6701</f>
        <v>0</v>
      </c>
      <c r="B6701">
        <f>Sheet1!B6701</f>
        <v>1.64</v>
      </c>
      <c r="C6701">
        <f>IF(Sheet1!B6701&gt;0,1,0)</f>
        <v>1</v>
      </c>
    </row>
    <row r="6702" spans="1:3" x14ac:dyDescent="0.25">
      <c r="A6702" s="15">
        <f>Sheet1!A6702</f>
        <v>0</v>
      </c>
      <c r="B6702">
        <f>Sheet1!B6702</f>
        <v>1.98</v>
      </c>
      <c r="C6702">
        <f>IF(Sheet1!B6702&gt;0,1,0)</f>
        <v>1</v>
      </c>
    </row>
    <row r="6703" spans="1:3" x14ac:dyDescent="0.25">
      <c r="A6703" s="15">
        <f>Sheet1!A6703</f>
        <v>0</v>
      </c>
      <c r="B6703">
        <f>Sheet1!B6703</f>
        <v>1.41</v>
      </c>
      <c r="C6703">
        <f>IF(Sheet1!B6703&gt;0,1,0)</f>
        <v>1</v>
      </c>
    </row>
    <row r="6704" spans="1:3" x14ac:dyDescent="0.25">
      <c r="A6704" s="15">
        <f>Sheet1!A6704</f>
        <v>0</v>
      </c>
      <c r="B6704">
        <f>Sheet1!B6704</f>
        <v>1.61</v>
      </c>
      <c r="C6704">
        <f>IF(Sheet1!B6704&gt;0,1,0)</f>
        <v>1</v>
      </c>
    </row>
    <row r="6705" spans="1:3" x14ac:dyDescent="0.25">
      <c r="A6705" s="15">
        <f>Sheet1!A6705</f>
        <v>0</v>
      </c>
      <c r="B6705">
        <f>Sheet1!B6705</f>
        <v>0.94</v>
      </c>
      <c r="C6705">
        <f>IF(Sheet1!B6705&gt;0,1,0)</f>
        <v>1</v>
      </c>
    </row>
    <row r="6706" spans="1:3" x14ac:dyDescent="0.25">
      <c r="A6706" s="15">
        <f>Sheet1!A6706</f>
        <v>0</v>
      </c>
      <c r="B6706">
        <f>Sheet1!B6706</f>
        <v>0.7</v>
      </c>
      <c r="C6706">
        <f>IF(Sheet1!B6706&gt;0,1,0)</f>
        <v>1</v>
      </c>
    </row>
    <row r="6707" spans="1:3" x14ac:dyDescent="0.25">
      <c r="A6707" s="15">
        <f>Sheet1!A6707</f>
        <v>0</v>
      </c>
      <c r="B6707">
        <f>Sheet1!B6707</f>
        <v>1.38</v>
      </c>
      <c r="C6707">
        <f>IF(Sheet1!B6707&gt;0,1,0)</f>
        <v>1</v>
      </c>
    </row>
    <row r="6708" spans="1:3" x14ac:dyDescent="0.25">
      <c r="A6708" s="15">
        <f>Sheet1!A6708</f>
        <v>0</v>
      </c>
      <c r="B6708">
        <f>Sheet1!B6708</f>
        <v>1.42</v>
      </c>
      <c r="C6708">
        <f>IF(Sheet1!B6708&gt;0,1,0)</f>
        <v>1</v>
      </c>
    </row>
    <row r="6709" spans="1:3" x14ac:dyDescent="0.25">
      <c r="A6709" s="15">
        <f>Sheet1!A6709</f>
        <v>0</v>
      </c>
      <c r="B6709">
        <f>Sheet1!B6709</f>
        <v>1.21</v>
      </c>
      <c r="C6709">
        <f>IF(Sheet1!B6709&gt;0,1,0)</f>
        <v>1</v>
      </c>
    </row>
    <row r="6710" spans="1:3" x14ac:dyDescent="0.25">
      <c r="A6710" s="15">
        <f>Sheet1!A6710</f>
        <v>0</v>
      </c>
      <c r="B6710">
        <f>Sheet1!B6710</f>
        <v>0</v>
      </c>
      <c r="C6710">
        <f>IF(Sheet1!B6710&gt;0,1,0)</f>
        <v>0</v>
      </c>
    </row>
    <row r="6711" spans="1:3" x14ac:dyDescent="0.25">
      <c r="A6711" s="15">
        <f>Sheet1!A6711</f>
        <v>0</v>
      </c>
      <c r="B6711">
        <f>Sheet1!B6711</f>
        <v>0</v>
      </c>
      <c r="C6711">
        <f>IF(Sheet1!B6711&gt;0,1,0)</f>
        <v>0</v>
      </c>
    </row>
    <row r="6712" spans="1:3" x14ac:dyDescent="0.25">
      <c r="A6712" s="15">
        <f>Sheet1!A6712</f>
        <v>0</v>
      </c>
      <c r="B6712">
        <f>Sheet1!B6712</f>
        <v>5.96</v>
      </c>
      <c r="C6712">
        <f>IF(Sheet1!B6712&gt;0,1,0)</f>
        <v>1</v>
      </c>
    </row>
    <row r="6713" spans="1:3" x14ac:dyDescent="0.25">
      <c r="A6713" s="15">
        <f>Sheet1!A6713</f>
        <v>0</v>
      </c>
      <c r="B6713">
        <f>Sheet1!B6713</f>
        <v>6.28</v>
      </c>
      <c r="C6713">
        <f>IF(Sheet1!B6713&gt;0,1,0)</f>
        <v>1</v>
      </c>
    </row>
    <row r="6714" spans="1:3" x14ac:dyDescent="0.25">
      <c r="A6714" s="15">
        <f>Sheet1!A6714</f>
        <v>0</v>
      </c>
      <c r="B6714">
        <f>Sheet1!B6714</f>
        <v>4.82</v>
      </c>
      <c r="C6714">
        <f>IF(Sheet1!B6714&gt;0,1,0)</f>
        <v>1</v>
      </c>
    </row>
    <row r="6715" spans="1:3" x14ac:dyDescent="0.25">
      <c r="A6715" s="15">
        <f>Sheet1!A6715</f>
        <v>0</v>
      </c>
      <c r="B6715">
        <f>Sheet1!B6715</f>
        <v>5.22</v>
      </c>
      <c r="C6715">
        <f>IF(Sheet1!B6715&gt;0,1,0)</f>
        <v>1</v>
      </c>
    </row>
    <row r="6716" spans="1:3" x14ac:dyDescent="0.25">
      <c r="A6716" s="15">
        <f>Sheet1!A6716</f>
        <v>0</v>
      </c>
      <c r="B6716">
        <f>Sheet1!B6716</f>
        <v>0</v>
      </c>
      <c r="C6716">
        <f>IF(Sheet1!B6716&gt;0,1,0)</f>
        <v>0</v>
      </c>
    </row>
    <row r="6717" spans="1:3" x14ac:dyDescent="0.25">
      <c r="A6717" s="15">
        <f>Sheet1!A6717</f>
        <v>0</v>
      </c>
      <c r="B6717">
        <f>Sheet1!B6717</f>
        <v>0</v>
      </c>
      <c r="C6717">
        <f>IF(Sheet1!B6717&gt;0,1,0)</f>
        <v>0</v>
      </c>
    </row>
    <row r="6718" spans="1:3" x14ac:dyDescent="0.25">
      <c r="A6718" s="15">
        <f>Sheet1!A6718</f>
        <v>0</v>
      </c>
      <c r="B6718">
        <f>Sheet1!B6718</f>
        <v>2.27</v>
      </c>
      <c r="C6718">
        <f>IF(Sheet1!B6718&gt;0,1,0)</f>
        <v>1</v>
      </c>
    </row>
    <row r="6719" spans="1:3" x14ac:dyDescent="0.25">
      <c r="A6719" s="15">
        <f>Sheet1!A6719</f>
        <v>0</v>
      </c>
      <c r="B6719">
        <f>Sheet1!B6719</f>
        <v>4.04</v>
      </c>
      <c r="C6719">
        <f>IF(Sheet1!B6719&gt;0,1,0)</f>
        <v>1</v>
      </c>
    </row>
    <row r="6720" spans="1:3" x14ac:dyDescent="0.25">
      <c r="A6720" s="15">
        <f>Sheet1!A6720</f>
        <v>0</v>
      </c>
      <c r="B6720">
        <f>Sheet1!B6720</f>
        <v>2.73</v>
      </c>
      <c r="C6720">
        <f>IF(Sheet1!B6720&gt;0,1,0)</f>
        <v>1</v>
      </c>
    </row>
    <row r="6721" spans="1:3" x14ac:dyDescent="0.25">
      <c r="A6721" s="15">
        <f>Sheet1!A6721</f>
        <v>0</v>
      </c>
      <c r="B6721">
        <f>Sheet1!B6721</f>
        <v>2.44</v>
      </c>
      <c r="C6721">
        <f>IF(Sheet1!B6721&gt;0,1,0)</f>
        <v>1</v>
      </c>
    </row>
    <row r="6722" spans="1:3" x14ac:dyDescent="0.25">
      <c r="A6722" s="15">
        <f>Sheet1!A6722</f>
        <v>0</v>
      </c>
      <c r="B6722">
        <f>Sheet1!B6722</f>
        <v>2.4700000000000002</v>
      </c>
      <c r="C6722">
        <f>IF(Sheet1!B6722&gt;0,1,0)</f>
        <v>1</v>
      </c>
    </row>
    <row r="6723" spans="1:3" x14ac:dyDescent="0.25">
      <c r="A6723" s="15">
        <f>Sheet1!A6723</f>
        <v>0</v>
      </c>
      <c r="B6723">
        <f>Sheet1!B6723</f>
        <v>2.33</v>
      </c>
      <c r="C6723">
        <f>IF(Sheet1!B6723&gt;0,1,0)</f>
        <v>1</v>
      </c>
    </row>
    <row r="6724" spans="1:3" x14ac:dyDescent="0.25">
      <c r="A6724" s="15">
        <f>Sheet1!A6724</f>
        <v>0</v>
      </c>
      <c r="B6724">
        <f>Sheet1!B6724</f>
        <v>2.4</v>
      </c>
      <c r="C6724">
        <f>IF(Sheet1!B6724&gt;0,1,0)</f>
        <v>1</v>
      </c>
    </row>
    <row r="6725" spans="1:3" x14ac:dyDescent="0.25">
      <c r="A6725" s="15">
        <f>Sheet1!A6725</f>
        <v>0</v>
      </c>
      <c r="B6725">
        <f>Sheet1!B6725</f>
        <v>2.39</v>
      </c>
      <c r="C6725">
        <f>IF(Sheet1!B6725&gt;0,1,0)</f>
        <v>1</v>
      </c>
    </row>
    <row r="6726" spans="1:3" x14ac:dyDescent="0.25">
      <c r="A6726" s="15">
        <f>Sheet1!A6726</f>
        <v>0</v>
      </c>
      <c r="B6726">
        <f>Sheet1!B6726</f>
        <v>1.58</v>
      </c>
      <c r="C6726">
        <f>IF(Sheet1!B6726&gt;0,1,0)</f>
        <v>1</v>
      </c>
    </row>
    <row r="6727" spans="1:3" x14ac:dyDescent="0.25">
      <c r="A6727" s="15">
        <f>Sheet1!A6727</f>
        <v>0</v>
      </c>
      <c r="B6727">
        <f>Sheet1!B6727</f>
        <v>1.5</v>
      </c>
      <c r="C6727">
        <f>IF(Sheet1!B6727&gt;0,1,0)</f>
        <v>1</v>
      </c>
    </row>
    <row r="6728" spans="1:3" x14ac:dyDescent="0.25">
      <c r="A6728" s="15">
        <f>Sheet1!A6728</f>
        <v>0</v>
      </c>
      <c r="B6728">
        <f>Sheet1!B6728</f>
        <v>1.5</v>
      </c>
      <c r="C6728">
        <f>IF(Sheet1!B6728&gt;0,1,0)</f>
        <v>1</v>
      </c>
    </row>
    <row r="6729" spans="1:3" x14ac:dyDescent="0.25">
      <c r="A6729" s="15">
        <f>Sheet1!A6729</f>
        <v>0</v>
      </c>
      <c r="B6729">
        <f>Sheet1!B6729</f>
        <v>1.96</v>
      </c>
      <c r="C6729">
        <f>IF(Sheet1!B6729&gt;0,1,0)</f>
        <v>1</v>
      </c>
    </row>
    <row r="6730" spans="1:3" x14ac:dyDescent="0.25">
      <c r="A6730" s="15">
        <f>Sheet1!A6730</f>
        <v>0</v>
      </c>
      <c r="B6730">
        <f>Sheet1!B6730</f>
        <v>2.75</v>
      </c>
      <c r="C6730">
        <f>IF(Sheet1!B6730&gt;0,1,0)</f>
        <v>1</v>
      </c>
    </row>
    <row r="6731" spans="1:3" x14ac:dyDescent="0.25">
      <c r="A6731" s="15">
        <f>Sheet1!A6731</f>
        <v>0</v>
      </c>
      <c r="B6731">
        <f>Sheet1!B6731</f>
        <v>2.97</v>
      </c>
      <c r="C6731">
        <f>IF(Sheet1!B6731&gt;0,1,0)</f>
        <v>1</v>
      </c>
    </row>
    <row r="6732" spans="1:3" x14ac:dyDescent="0.25">
      <c r="A6732" s="15">
        <f>Sheet1!A6732</f>
        <v>0</v>
      </c>
      <c r="B6732">
        <f>Sheet1!B6732</f>
        <v>2.89</v>
      </c>
      <c r="C6732">
        <f>IF(Sheet1!B6732&gt;0,1,0)</f>
        <v>1</v>
      </c>
    </row>
    <row r="6733" spans="1:3" x14ac:dyDescent="0.25">
      <c r="A6733" s="15">
        <f>Sheet1!A6733</f>
        <v>0</v>
      </c>
      <c r="B6733">
        <f>Sheet1!B6733</f>
        <v>0</v>
      </c>
      <c r="C6733">
        <f>IF(Sheet1!B6733&gt;0,1,0)</f>
        <v>0</v>
      </c>
    </row>
    <row r="6734" spans="1:3" x14ac:dyDescent="0.25">
      <c r="A6734" s="15">
        <f>Sheet1!A6734</f>
        <v>0</v>
      </c>
      <c r="B6734">
        <f>Sheet1!B6734</f>
        <v>0</v>
      </c>
      <c r="C6734">
        <f>IF(Sheet1!B6734&gt;0,1,0)</f>
        <v>0</v>
      </c>
    </row>
    <row r="6735" spans="1:3" x14ac:dyDescent="0.25">
      <c r="A6735" s="15">
        <f>Sheet1!A6735</f>
        <v>0</v>
      </c>
      <c r="B6735">
        <f>Sheet1!B6735</f>
        <v>6.86</v>
      </c>
      <c r="C6735">
        <f>IF(Sheet1!B6735&gt;0,1,0)</f>
        <v>1</v>
      </c>
    </row>
    <row r="6736" spans="1:3" x14ac:dyDescent="0.25">
      <c r="A6736" s="15">
        <f>Sheet1!A6736</f>
        <v>0</v>
      </c>
      <c r="B6736">
        <f>Sheet1!B6736</f>
        <v>4.53</v>
      </c>
      <c r="C6736">
        <f>IF(Sheet1!B6736&gt;0,1,0)</f>
        <v>1</v>
      </c>
    </row>
    <row r="6737" spans="1:3" x14ac:dyDescent="0.25">
      <c r="A6737" s="15">
        <f>Sheet1!A6737</f>
        <v>0</v>
      </c>
      <c r="B6737">
        <f>Sheet1!B6737</f>
        <v>5.33</v>
      </c>
      <c r="C6737">
        <f>IF(Sheet1!B6737&gt;0,1,0)</f>
        <v>1</v>
      </c>
    </row>
    <row r="6738" spans="1:3" x14ac:dyDescent="0.25">
      <c r="A6738" s="15">
        <f>Sheet1!A6738</f>
        <v>0</v>
      </c>
      <c r="B6738">
        <f>Sheet1!B6738</f>
        <v>4.67</v>
      </c>
      <c r="C6738">
        <f>IF(Sheet1!B6738&gt;0,1,0)</f>
        <v>1</v>
      </c>
    </row>
    <row r="6739" spans="1:3" x14ac:dyDescent="0.25">
      <c r="A6739" s="15">
        <f>Sheet1!A6739</f>
        <v>0</v>
      </c>
      <c r="B6739">
        <f>Sheet1!B6739</f>
        <v>5.4</v>
      </c>
      <c r="C6739">
        <f>IF(Sheet1!B6739&gt;0,1,0)</f>
        <v>1</v>
      </c>
    </row>
    <row r="6740" spans="1:3" x14ac:dyDescent="0.25">
      <c r="A6740" s="15">
        <f>Sheet1!A6740</f>
        <v>0</v>
      </c>
      <c r="B6740">
        <f>Sheet1!B6740</f>
        <v>5.69</v>
      </c>
      <c r="C6740">
        <f>IF(Sheet1!B6740&gt;0,1,0)</f>
        <v>1</v>
      </c>
    </row>
    <row r="6741" spans="1:3" x14ac:dyDescent="0.25">
      <c r="A6741" s="15">
        <f>Sheet1!A6741</f>
        <v>0</v>
      </c>
      <c r="B6741">
        <f>Sheet1!B6741</f>
        <v>4.76</v>
      </c>
      <c r="C6741">
        <f>IF(Sheet1!B6741&gt;0,1,0)</f>
        <v>1</v>
      </c>
    </row>
    <row r="6742" spans="1:3" x14ac:dyDescent="0.25">
      <c r="A6742" s="15">
        <f>Sheet1!A6742</f>
        <v>0</v>
      </c>
      <c r="B6742">
        <f>Sheet1!B6742</f>
        <v>4.4800000000000004</v>
      </c>
      <c r="C6742">
        <f>IF(Sheet1!B6742&gt;0,1,0)</f>
        <v>1</v>
      </c>
    </row>
    <row r="6743" spans="1:3" x14ac:dyDescent="0.25">
      <c r="A6743" s="15">
        <f>Sheet1!A6743</f>
        <v>0</v>
      </c>
      <c r="B6743">
        <f>Sheet1!B6743</f>
        <v>4.9000000000000004</v>
      </c>
      <c r="C6743">
        <f>IF(Sheet1!B6743&gt;0,1,0)</f>
        <v>1</v>
      </c>
    </row>
    <row r="6744" spans="1:3" x14ac:dyDescent="0.25">
      <c r="A6744" s="15">
        <f>Sheet1!A6744</f>
        <v>0</v>
      </c>
      <c r="B6744">
        <f>Sheet1!B6744</f>
        <v>6.13</v>
      </c>
      <c r="C6744">
        <f>IF(Sheet1!B6744&gt;0,1,0)</f>
        <v>1</v>
      </c>
    </row>
    <row r="6745" spans="1:3" x14ac:dyDescent="0.25">
      <c r="A6745" s="15">
        <f>Sheet1!A6745</f>
        <v>0</v>
      </c>
      <c r="B6745">
        <f>Sheet1!B6745</f>
        <v>5.0199999999999996</v>
      </c>
      <c r="C6745">
        <f>IF(Sheet1!B6745&gt;0,1,0)</f>
        <v>1</v>
      </c>
    </row>
    <row r="6746" spans="1:3" x14ac:dyDescent="0.25">
      <c r="A6746" s="15">
        <f>Sheet1!A6746</f>
        <v>0</v>
      </c>
      <c r="B6746">
        <f>Sheet1!B6746</f>
        <v>4.8</v>
      </c>
      <c r="C6746">
        <f>IF(Sheet1!B6746&gt;0,1,0)</f>
        <v>1</v>
      </c>
    </row>
    <row r="6747" spans="1:3" x14ac:dyDescent="0.25">
      <c r="A6747" s="15">
        <f>Sheet1!A6747</f>
        <v>0</v>
      </c>
      <c r="B6747">
        <f>Sheet1!B6747</f>
        <v>4.2699999999999996</v>
      </c>
      <c r="C6747">
        <f>IF(Sheet1!B6747&gt;0,1,0)</f>
        <v>1</v>
      </c>
    </row>
    <row r="6748" spans="1:3" x14ac:dyDescent="0.25">
      <c r="A6748" s="15">
        <f>Sheet1!A6748</f>
        <v>0</v>
      </c>
      <c r="B6748">
        <f>Sheet1!B6748</f>
        <v>4.41</v>
      </c>
      <c r="C6748">
        <f>IF(Sheet1!B6748&gt;0,1,0)</f>
        <v>1</v>
      </c>
    </row>
    <row r="6749" spans="1:3" x14ac:dyDescent="0.25">
      <c r="A6749" s="15">
        <f>Sheet1!A6749</f>
        <v>0</v>
      </c>
      <c r="B6749">
        <f>Sheet1!B6749</f>
        <v>4.12</v>
      </c>
      <c r="C6749">
        <f>IF(Sheet1!B6749&gt;0,1,0)</f>
        <v>1</v>
      </c>
    </row>
    <row r="6750" spans="1:3" x14ac:dyDescent="0.25">
      <c r="A6750" s="15">
        <f>Sheet1!A6750</f>
        <v>0</v>
      </c>
      <c r="B6750">
        <f>Sheet1!B6750</f>
        <v>3.21</v>
      </c>
      <c r="C6750">
        <f>IF(Sheet1!B6750&gt;0,1,0)</f>
        <v>1</v>
      </c>
    </row>
    <row r="6751" spans="1:3" x14ac:dyDescent="0.25">
      <c r="A6751" s="15">
        <f>Sheet1!A6751</f>
        <v>0</v>
      </c>
      <c r="B6751">
        <f>Sheet1!B6751</f>
        <v>4.05</v>
      </c>
      <c r="C6751">
        <f>IF(Sheet1!B6751&gt;0,1,0)</f>
        <v>1</v>
      </c>
    </row>
    <row r="6752" spans="1:3" x14ac:dyDescent="0.25">
      <c r="A6752" s="15">
        <f>Sheet1!A6752</f>
        <v>0</v>
      </c>
      <c r="B6752">
        <f>Sheet1!B6752</f>
        <v>3.91</v>
      </c>
      <c r="C6752">
        <f>IF(Sheet1!B6752&gt;0,1,0)</f>
        <v>1</v>
      </c>
    </row>
    <row r="6753" spans="1:3" x14ac:dyDescent="0.25">
      <c r="A6753" s="15">
        <f>Sheet1!A6753</f>
        <v>0</v>
      </c>
      <c r="B6753">
        <f>Sheet1!B6753</f>
        <v>3.81</v>
      </c>
      <c r="C6753">
        <f>IF(Sheet1!B6753&gt;0,1,0)</f>
        <v>1</v>
      </c>
    </row>
    <row r="6754" spans="1:3" x14ac:dyDescent="0.25">
      <c r="A6754" s="15">
        <f>Sheet1!A6754</f>
        <v>0</v>
      </c>
      <c r="B6754">
        <f>Sheet1!B6754</f>
        <v>0</v>
      </c>
      <c r="C6754">
        <f>IF(Sheet1!B6754&gt;0,1,0)</f>
        <v>0</v>
      </c>
    </row>
    <row r="6755" spans="1:3" x14ac:dyDescent="0.25">
      <c r="A6755" s="15">
        <f>Sheet1!A6755</f>
        <v>0</v>
      </c>
      <c r="B6755">
        <f>Sheet1!B6755</f>
        <v>0</v>
      </c>
      <c r="C6755">
        <f>IF(Sheet1!B6755&gt;0,1,0)</f>
        <v>0</v>
      </c>
    </row>
    <row r="6756" spans="1:3" x14ac:dyDescent="0.25">
      <c r="A6756" s="15">
        <f>Sheet1!A6756</f>
        <v>0</v>
      </c>
      <c r="B6756">
        <f>Sheet1!B6756</f>
        <v>0</v>
      </c>
      <c r="C6756">
        <f>IF(Sheet1!B6756&gt;0,1,0)</f>
        <v>0</v>
      </c>
    </row>
    <row r="6757" spans="1:3" x14ac:dyDescent="0.25">
      <c r="A6757" s="15">
        <f>Sheet1!A6757</f>
        <v>0</v>
      </c>
      <c r="B6757">
        <f>Sheet1!B6757</f>
        <v>0</v>
      </c>
      <c r="C6757">
        <f>IF(Sheet1!B6757&gt;0,1,0)</f>
        <v>0</v>
      </c>
    </row>
    <row r="6758" spans="1:3" x14ac:dyDescent="0.25">
      <c r="A6758" s="15">
        <f>Sheet1!A6758</f>
        <v>0</v>
      </c>
      <c r="B6758">
        <f>Sheet1!B6758</f>
        <v>0</v>
      </c>
      <c r="C6758">
        <f>IF(Sheet1!B6758&gt;0,1,0)</f>
        <v>0</v>
      </c>
    </row>
    <row r="6759" spans="1:3" x14ac:dyDescent="0.25">
      <c r="A6759" s="15">
        <f>Sheet1!A6759</f>
        <v>0</v>
      </c>
      <c r="B6759">
        <f>Sheet1!B6759</f>
        <v>4.07</v>
      </c>
      <c r="C6759">
        <f>IF(Sheet1!B6759&gt;0,1,0)</f>
        <v>1</v>
      </c>
    </row>
    <row r="6760" spans="1:3" x14ac:dyDescent="0.25">
      <c r="A6760" s="15">
        <f>Sheet1!A6760</f>
        <v>0</v>
      </c>
      <c r="B6760">
        <f>Sheet1!B6760</f>
        <v>0</v>
      </c>
      <c r="C6760">
        <f>IF(Sheet1!B6760&gt;0,1,0)</f>
        <v>0</v>
      </c>
    </row>
    <row r="6761" spans="1:3" x14ac:dyDescent="0.25">
      <c r="A6761" s="15">
        <f>Sheet1!A6761</f>
        <v>0</v>
      </c>
      <c r="B6761">
        <f>Sheet1!B6761</f>
        <v>0</v>
      </c>
      <c r="C6761">
        <f>IF(Sheet1!B6761&gt;0,1,0)</f>
        <v>0</v>
      </c>
    </row>
    <row r="6762" spans="1:3" x14ac:dyDescent="0.25">
      <c r="A6762" s="15">
        <f>Sheet1!A6762</f>
        <v>0</v>
      </c>
      <c r="B6762">
        <f>Sheet1!B6762</f>
        <v>0</v>
      </c>
      <c r="C6762">
        <f>IF(Sheet1!B6762&gt;0,1,0)</f>
        <v>0</v>
      </c>
    </row>
    <row r="6763" spans="1:3" x14ac:dyDescent="0.25">
      <c r="A6763" s="15">
        <f>Sheet1!A6763</f>
        <v>0</v>
      </c>
      <c r="B6763">
        <f>Sheet1!B6763</f>
        <v>4.49</v>
      </c>
      <c r="C6763">
        <f>IF(Sheet1!B6763&gt;0,1,0)</f>
        <v>1</v>
      </c>
    </row>
    <row r="6764" spans="1:3" x14ac:dyDescent="0.25">
      <c r="A6764" s="15">
        <f>Sheet1!A6764</f>
        <v>0</v>
      </c>
      <c r="B6764">
        <f>Sheet1!B6764</f>
        <v>0</v>
      </c>
      <c r="C6764">
        <f>IF(Sheet1!B6764&gt;0,1,0)</f>
        <v>0</v>
      </c>
    </row>
    <row r="6765" spans="1:3" x14ac:dyDescent="0.25">
      <c r="A6765" s="15">
        <f>Sheet1!A6765</f>
        <v>0</v>
      </c>
      <c r="B6765">
        <f>Sheet1!B6765</f>
        <v>0</v>
      </c>
      <c r="C6765">
        <f>IF(Sheet1!B6765&gt;0,1,0)</f>
        <v>0</v>
      </c>
    </row>
    <row r="6766" spans="1:3" x14ac:dyDescent="0.25">
      <c r="A6766" s="15">
        <f>Sheet1!A6766</f>
        <v>0</v>
      </c>
      <c r="B6766">
        <f>Sheet1!B6766</f>
        <v>0</v>
      </c>
      <c r="C6766">
        <f>IF(Sheet1!B6766&gt;0,1,0)</f>
        <v>0</v>
      </c>
    </row>
    <row r="6767" spans="1:3" x14ac:dyDescent="0.25">
      <c r="A6767" s="15">
        <f>Sheet1!A6767</f>
        <v>0</v>
      </c>
      <c r="B6767">
        <f>Sheet1!B6767</f>
        <v>6.2</v>
      </c>
      <c r="C6767">
        <f>IF(Sheet1!B6767&gt;0,1,0)</f>
        <v>1</v>
      </c>
    </row>
    <row r="6768" spans="1:3" x14ac:dyDescent="0.25">
      <c r="A6768" s="15">
        <f>Sheet1!A6768</f>
        <v>0</v>
      </c>
      <c r="B6768">
        <f>Sheet1!B6768</f>
        <v>7.07</v>
      </c>
      <c r="C6768">
        <f>IF(Sheet1!B6768&gt;0,1,0)</f>
        <v>1</v>
      </c>
    </row>
    <row r="6769" spans="1:3" x14ac:dyDescent="0.25">
      <c r="A6769" s="15">
        <f>Sheet1!A6769</f>
        <v>0</v>
      </c>
      <c r="B6769">
        <f>Sheet1!B6769</f>
        <v>6.36</v>
      </c>
      <c r="C6769">
        <f>IF(Sheet1!B6769&gt;0,1,0)</f>
        <v>1</v>
      </c>
    </row>
    <row r="6770" spans="1:3" x14ac:dyDescent="0.25">
      <c r="A6770" s="15">
        <f>Sheet1!A6770</f>
        <v>0</v>
      </c>
      <c r="B6770">
        <f>Sheet1!B6770</f>
        <v>6.1</v>
      </c>
      <c r="C6770">
        <f>IF(Sheet1!B6770&gt;0,1,0)</f>
        <v>1</v>
      </c>
    </row>
    <row r="6771" spans="1:3" x14ac:dyDescent="0.25">
      <c r="A6771" s="15">
        <f>Sheet1!A6771</f>
        <v>0</v>
      </c>
      <c r="B6771">
        <f>Sheet1!B6771</f>
        <v>5.97</v>
      </c>
      <c r="C6771">
        <f>IF(Sheet1!B6771&gt;0,1,0)</f>
        <v>1</v>
      </c>
    </row>
    <row r="6772" spans="1:3" x14ac:dyDescent="0.25">
      <c r="A6772" s="15">
        <f>Sheet1!A6772</f>
        <v>0</v>
      </c>
      <c r="B6772">
        <f>Sheet1!B6772</f>
        <v>6.04</v>
      </c>
      <c r="C6772">
        <f>IF(Sheet1!B6772&gt;0,1,0)</f>
        <v>1</v>
      </c>
    </row>
    <row r="6773" spans="1:3" x14ac:dyDescent="0.25">
      <c r="A6773" s="15">
        <f>Sheet1!A6773</f>
        <v>0</v>
      </c>
      <c r="B6773">
        <f>Sheet1!B6773</f>
        <v>5.77</v>
      </c>
      <c r="C6773">
        <f>IF(Sheet1!B6773&gt;0,1,0)</f>
        <v>1</v>
      </c>
    </row>
    <row r="6774" spans="1:3" x14ac:dyDescent="0.25">
      <c r="A6774" s="15">
        <f>Sheet1!A6774</f>
        <v>0</v>
      </c>
      <c r="B6774">
        <f>Sheet1!B6774</f>
        <v>4.9800000000000004</v>
      </c>
      <c r="C6774">
        <f>IF(Sheet1!B6774&gt;0,1,0)</f>
        <v>1</v>
      </c>
    </row>
    <row r="6775" spans="1:3" x14ac:dyDescent="0.25">
      <c r="A6775" s="15">
        <f>Sheet1!A6775</f>
        <v>0</v>
      </c>
      <c r="B6775">
        <f>Sheet1!B6775</f>
        <v>5.19</v>
      </c>
      <c r="C6775">
        <f>IF(Sheet1!B6775&gt;0,1,0)</f>
        <v>1</v>
      </c>
    </row>
    <row r="6776" spans="1:3" x14ac:dyDescent="0.25">
      <c r="A6776" s="15">
        <f>Sheet1!A6776</f>
        <v>0</v>
      </c>
      <c r="B6776">
        <f>Sheet1!B6776</f>
        <v>0</v>
      </c>
      <c r="C6776">
        <f>IF(Sheet1!B6776&gt;0,1,0)</f>
        <v>0</v>
      </c>
    </row>
    <row r="6777" spans="1:3" x14ac:dyDescent="0.25">
      <c r="A6777" s="15">
        <f>Sheet1!A6777</f>
        <v>0</v>
      </c>
      <c r="B6777">
        <f>Sheet1!B6777</f>
        <v>0</v>
      </c>
      <c r="C6777">
        <f>IF(Sheet1!B6777&gt;0,1,0)</f>
        <v>0</v>
      </c>
    </row>
    <row r="6778" spans="1:3" x14ac:dyDescent="0.25">
      <c r="A6778" s="15">
        <f>Sheet1!A6778</f>
        <v>0</v>
      </c>
      <c r="B6778">
        <f>Sheet1!B6778</f>
        <v>0</v>
      </c>
      <c r="C6778">
        <f>IF(Sheet1!B6778&gt;0,1,0)</f>
        <v>0</v>
      </c>
    </row>
    <row r="6779" spans="1:3" x14ac:dyDescent="0.25">
      <c r="A6779" s="15">
        <f>Sheet1!A6779</f>
        <v>0</v>
      </c>
      <c r="B6779">
        <f>Sheet1!B6779</f>
        <v>4.18</v>
      </c>
      <c r="C6779">
        <f>IF(Sheet1!B6779&gt;0,1,0)</f>
        <v>1</v>
      </c>
    </row>
    <row r="6780" spans="1:3" x14ac:dyDescent="0.25">
      <c r="A6780" s="15">
        <f>Sheet1!A6780</f>
        <v>0</v>
      </c>
      <c r="B6780">
        <f>Sheet1!B6780</f>
        <v>0</v>
      </c>
      <c r="C6780">
        <f>IF(Sheet1!B6780&gt;0,1,0)</f>
        <v>0</v>
      </c>
    </row>
    <row r="6781" spans="1:3" x14ac:dyDescent="0.25">
      <c r="A6781" s="15">
        <f>Sheet1!A6781</f>
        <v>0</v>
      </c>
      <c r="B6781">
        <f>Sheet1!B6781</f>
        <v>0</v>
      </c>
      <c r="C6781">
        <f>IF(Sheet1!B6781&gt;0,1,0)</f>
        <v>0</v>
      </c>
    </row>
    <row r="6782" spans="1:3" x14ac:dyDescent="0.25">
      <c r="A6782" s="15">
        <f>Sheet1!A6782</f>
        <v>0</v>
      </c>
      <c r="B6782">
        <f>Sheet1!B6782</f>
        <v>0</v>
      </c>
      <c r="C6782">
        <f>IF(Sheet1!B6782&gt;0,1,0)</f>
        <v>0</v>
      </c>
    </row>
    <row r="6783" spans="1:3" x14ac:dyDescent="0.25">
      <c r="A6783" s="15">
        <f>Sheet1!A6783</f>
        <v>0</v>
      </c>
      <c r="B6783">
        <f>Sheet1!B6783</f>
        <v>0</v>
      </c>
      <c r="C6783">
        <f>IF(Sheet1!B6783&gt;0,1,0)</f>
        <v>0</v>
      </c>
    </row>
    <row r="6784" spans="1:3" x14ac:dyDescent="0.25">
      <c r="A6784" s="15">
        <f>Sheet1!A6784</f>
        <v>0</v>
      </c>
      <c r="B6784">
        <f>Sheet1!B6784</f>
        <v>0</v>
      </c>
      <c r="C6784">
        <f>IF(Sheet1!B6784&gt;0,1,0)</f>
        <v>0</v>
      </c>
    </row>
    <row r="6785" spans="1:3" x14ac:dyDescent="0.25">
      <c r="A6785" s="15">
        <f>Sheet1!A6785</f>
        <v>0</v>
      </c>
      <c r="B6785">
        <f>Sheet1!B6785</f>
        <v>8.2100000000000009</v>
      </c>
      <c r="C6785">
        <f>IF(Sheet1!B6785&gt;0,1,0)</f>
        <v>1</v>
      </c>
    </row>
    <row r="6786" spans="1:3" x14ac:dyDescent="0.25">
      <c r="A6786" s="15">
        <f>Sheet1!A6786</f>
        <v>0</v>
      </c>
      <c r="B6786">
        <f>Sheet1!B6786</f>
        <v>0</v>
      </c>
      <c r="C6786">
        <f>IF(Sheet1!B6786&gt;0,1,0)</f>
        <v>0</v>
      </c>
    </row>
    <row r="6787" spans="1:3" x14ac:dyDescent="0.25">
      <c r="A6787" s="15">
        <f>Sheet1!A6787</f>
        <v>0</v>
      </c>
      <c r="B6787">
        <f>Sheet1!B6787</f>
        <v>0</v>
      </c>
      <c r="C6787">
        <f>IF(Sheet1!B6787&gt;0,1,0)</f>
        <v>0</v>
      </c>
    </row>
    <row r="6788" spans="1:3" x14ac:dyDescent="0.25">
      <c r="A6788" s="15">
        <f>Sheet1!A6788</f>
        <v>0</v>
      </c>
      <c r="B6788">
        <f>Sheet1!B6788</f>
        <v>0</v>
      </c>
      <c r="C6788">
        <f>IF(Sheet1!B6788&gt;0,1,0)</f>
        <v>0</v>
      </c>
    </row>
    <row r="6789" spans="1:3" x14ac:dyDescent="0.25">
      <c r="A6789" s="15">
        <f>Sheet1!A6789</f>
        <v>0</v>
      </c>
      <c r="B6789">
        <f>Sheet1!B6789</f>
        <v>6.32</v>
      </c>
      <c r="C6789">
        <f>IF(Sheet1!B6789&gt;0,1,0)</f>
        <v>1</v>
      </c>
    </row>
    <row r="6790" spans="1:3" x14ac:dyDescent="0.25">
      <c r="A6790" s="15">
        <f>Sheet1!A6790</f>
        <v>0</v>
      </c>
      <c r="B6790">
        <f>Sheet1!B6790</f>
        <v>0</v>
      </c>
      <c r="C6790">
        <f>IF(Sheet1!B6790&gt;0,1,0)</f>
        <v>0</v>
      </c>
    </row>
    <row r="6791" spans="1:3" x14ac:dyDescent="0.25">
      <c r="A6791" s="15">
        <f>Sheet1!A6791</f>
        <v>0</v>
      </c>
      <c r="B6791">
        <f>Sheet1!B6791</f>
        <v>0</v>
      </c>
      <c r="C6791">
        <f>IF(Sheet1!B6791&gt;0,1,0)</f>
        <v>0</v>
      </c>
    </row>
    <row r="6792" spans="1:3" x14ac:dyDescent="0.25">
      <c r="A6792" s="15">
        <f>Sheet1!A6792</f>
        <v>0</v>
      </c>
      <c r="B6792">
        <f>Sheet1!B6792</f>
        <v>0</v>
      </c>
      <c r="C6792">
        <f>IF(Sheet1!B6792&gt;0,1,0)</f>
        <v>0</v>
      </c>
    </row>
    <row r="6793" spans="1:3" x14ac:dyDescent="0.25">
      <c r="A6793" s="15">
        <f>Sheet1!A6793</f>
        <v>0</v>
      </c>
      <c r="B6793">
        <f>Sheet1!B6793</f>
        <v>5.17</v>
      </c>
      <c r="C6793">
        <f>IF(Sheet1!B6793&gt;0,1,0)</f>
        <v>1</v>
      </c>
    </row>
    <row r="6794" spans="1:3" x14ac:dyDescent="0.25">
      <c r="A6794" s="15">
        <f>Sheet1!A6794</f>
        <v>0</v>
      </c>
      <c r="B6794">
        <f>Sheet1!B6794</f>
        <v>5.6</v>
      </c>
      <c r="C6794">
        <f>IF(Sheet1!B6794&gt;0,1,0)</f>
        <v>1</v>
      </c>
    </row>
    <row r="6795" spans="1:3" x14ac:dyDescent="0.25">
      <c r="A6795" s="15">
        <f>Sheet1!A6795</f>
        <v>0</v>
      </c>
      <c r="B6795">
        <f>Sheet1!B6795</f>
        <v>5.81</v>
      </c>
      <c r="C6795">
        <f>IF(Sheet1!B6795&gt;0,1,0)</f>
        <v>1</v>
      </c>
    </row>
    <row r="6796" spans="1:3" x14ac:dyDescent="0.25">
      <c r="A6796" s="15">
        <f>Sheet1!A6796</f>
        <v>0</v>
      </c>
      <c r="B6796">
        <f>Sheet1!B6796</f>
        <v>5.43</v>
      </c>
      <c r="C6796">
        <f>IF(Sheet1!B6796&gt;0,1,0)</f>
        <v>1</v>
      </c>
    </row>
    <row r="6797" spans="1:3" x14ac:dyDescent="0.25">
      <c r="A6797" s="15">
        <f>Sheet1!A6797</f>
        <v>0</v>
      </c>
      <c r="B6797">
        <f>Sheet1!B6797</f>
        <v>5.62</v>
      </c>
      <c r="C6797">
        <f>IF(Sheet1!B6797&gt;0,1,0)</f>
        <v>1</v>
      </c>
    </row>
    <row r="6798" spans="1:3" x14ac:dyDescent="0.25">
      <c r="A6798" s="15">
        <f>Sheet1!A6798</f>
        <v>0</v>
      </c>
      <c r="B6798">
        <f>Sheet1!B6798</f>
        <v>6.04</v>
      </c>
      <c r="C6798">
        <f>IF(Sheet1!B6798&gt;0,1,0)</f>
        <v>1</v>
      </c>
    </row>
    <row r="6799" spans="1:3" x14ac:dyDescent="0.25">
      <c r="A6799" s="15">
        <f>Sheet1!A6799</f>
        <v>0</v>
      </c>
      <c r="B6799">
        <f>Sheet1!B6799</f>
        <v>6.37</v>
      </c>
      <c r="C6799">
        <f>IF(Sheet1!B6799&gt;0,1,0)</f>
        <v>1</v>
      </c>
    </row>
    <row r="6800" spans="1:3" x14ac:dyDescent="0.25">
      <c r="A6800" s="15">
        <f>Sheet1!A6800</f>
        <v>0</v>
      </c>
      <c r="B6800">
        <f>Sheet1!B6800</f>
        <v>5.44</v>
      </c>
      <c r="C6800">
        <f>IF(Sheet1!B6800&gt;0,1,0)</f>
        <v>1</v>
      </c>
    </row>
    <row r="6801" spans="1:3" x14ac:dyDescent="0.25">
      <c r="A6801" s="15">
        <f>Sheet1!A6801</f>
        <v>0</v>
      </c>
      <c r="B6801">
        <f>Sheet1!B6801</f>
        <v>2.11</v>
      </c>
      <c r="C6801">
        <f>IF(Sheet1!B6801&gt;0,1,0)</f>
        <v>1</v>
      </c>
    </row>
    <row r="6802" spans="1:3" x14ac:dyDescent="0.25">
      <c r="A6802" s="15">
        <f>Sheet1!A6802</f>
        <v>0</v>
      </c>
      <c r="B6802">
        <f>Sheet1!B6802</f>
        <v>2.95</v>
      </c>
      <c r="C6802">
        <f>IF(Sheet1!B6802&gt;0,1,0)</f>
        <v>1</v>
      </c>
    </row>
    <row r="6803" spans="1:3" x14ac:dyDescent="0.25">
      <c r="A6803" s="15">
        <f>Sheet1!A6803</f>
        <v>0</v>
      </c>
      <c r="B6803">
        <f>Sheet1!B6803</f>
        <v>2.19</v>
      </c>
      <c r="C6803">
        <f>IF(Sheet1!B6803&gt;0,1,0)</f>
        <v>1</v>
      </c>
    </row>
    <row r="6804" spans="1:3" x14ac:dyDescent="0.25">
      <c r="A6804" s="15">
        <f>Sheet1!A6804</f>
        <v>0</v>
      </c>
      <c r="B6804">
        <f>Sheet1!B6804</f>
        <v>3.78</v>
      </c>
      <c r="C6804">
        <f>IF(Sheet1!B6804&gt;0,1,0)</f>
        <v>1</v>
      </c>
    </row>
    <row r="6805" spans="1:3" x14ac:dyDescent="0.25">
      <c r="A6805" s="15">
        <f>Sheet1!A6805</f>
        <v>0</v>
      </c>
      <c r="B6805">
        <f>Sheet1!B6805</f>
        <v>3.61</v>
      </c>
      <c r="C6805">
        <f>IF(Sheet1!B6805&gt;0,1,0)</f>
        <v>1</v>
      </c>
    </row>
    <row r="6806" spans="1:3" x14ac:dyDescent="0.25">
      <c r="A6806" s="15">
        <f>Sheet1!A6806</f>
        <v>0</v>
      </c>
      <c r="B6806">
        <f>Sheet1!B6806</f>
        <v>3.44</v>
      </c>
      <c r="C6806">
        <f>IF(Sheet1!B6806&gt;0,1,0)</f>
        <v>1</v>
      </c>
    </row>
    <row r="6807" spans="1:3" x14ac:dyDescent="0.25">
      <c r="A6807" s="15">
        <f>Sheet1!A6807</f>
        <v>0</v>
      </c>
      <c r="B6807">
        <f>Sheet1!B6807</f>
        <v>3.99</v>
      </c>
      <c r="C6807">
        <f>IF(Sheet1!B6807&gt;0,1,0)</f>
        <v>1</v>
      </c>
    </row>
    <row r="6808" spans="1:3" x14ac:dyDescent="0.25">
      <c r="A6808" s="15">
        <f>Sheet1!A6808</f>
        <v>0</v>
      </c>
      <c r="B6808">
        <f>Sheet1!B6808</f>
        <v>0</v>
      </c>
      <c r="C6808">
        <f>IF(Sheet1!B6808&gt;0,1,0)</f>
        <v>0</v>
      </c>
    </row>
    <row r="6809" spans="1:3" x14ac:dyDescent="0.25">
      <c r="A6809" s="15">
        <f>Sheet1!A6809</f>
        <v>0</v>
      </c>
      <c r="B6809">
        <f>Sheet1!B6809</f>
        <v>0</v>
      </c>
      <c r="C6809">
        <f>IF(Sheet1!B6809&gt;0,1,0)</f>
        <v>0</v>
      </c>
    </row>
    <row r="6810" spans="1:3" x14ac:dyDescent="0.25">
      <c r="A6810" s="15">
        <f>Sheet1!A6810</f>
        <v>0</v>
      </c>
      <c r="B6810">
        <f>Sheet1!B6810</f>
        <v>0</v>
      </c>
      <c r="C6810">
        <f>IF(Sheet1!B6810&gt;0,1,0)</f>
        <v>0</v>
      </c>
    </row>
    <row r="6811" spans="1:3" x14ac:dyDescent="0.25">
      <c r="A6811" s="15">
        <f>Sheet1!A6811</f>
        <v>0</v>
      </c>
      <c r="B6811">
        <f>Sheet1!B6811</f>
        <v>4.18</v>
      </c>
      <c r="C6811">
        <f>IF(Sheet1!B6811&gt;0,1,0)</f>
        <v>1</v>
      </c>
    </row>
    <row r="6812" spans="1:3" x14ac:dyDescent="0.25">
      <c r="A6812" s="15">
        <f>Sheet1!A6812</f>
        <v>0</v>
      </c>
      <c r="B6812">
        <f>Sheet1!B6812</f>
        <v>3.71</v>
      </c>
      <c r="C6812">
        <f>IF(Sheet1!B6812&gt;0,1,0)</f>
        <v>1</v>
      </c>
    </row>
    <row r="6813" spans="1:3" x14ac:dyDescent="0.25">
      <c r="A6813" s="15">
        <f>Sheet1!A6813</f>
        <v>0</v>
      </c>
      <c r="B6813">
        <f>Sheet1!B6813</f>
        <v>4.17</v>
      </c>
      <c r="C6813">
        <f>IF(Sheet1!B6813&gt;0,1,0)</f>
        <v>1</v>
      </c>
    </row>
    <row r="6814" spans="1:3" x14ac:dyDescent="0.25">
      <c r="A6814" s="15">
        <f>Sheet1!A6814</f>
        <v>0</v>
      </c>
      <c r="B6814">
        <f>Sheet1!B6814</f>
        <v>4.75</v>
      </c>
      <c r="C6814">
        <f>IF(Sheet1!B6814&gt;0,1,0)</f>
        <v>1</v>
      </c>
    </row>
    <row r="6815" spans="1:3" x14ac:dyDescent="0.25">
      <c r="A6815" s="15">
        <f>Sheet1!A6815</f>
        <v>0</v>
      </c>
      <c r="B6815">
        <f>Sheet1!B6815</f>
        <v>3.97</v>
      </c>
      <c r="C6815">
        <f>IF(Sheet1!B6815&gt;0,1,0)</f>
        <v>1</v>
      </c>
    </row>
    <row r="6816" spans="1:3" x14ac:dyDescent="0.25">
      <c r="A6816" s="15">
        <f>Sheet1!A6816</f>
        <v>0</v>
      </c>
      <c r="B6816">
        <f>Sheet1!B6816</f>
        <v>3.64</v>
      </c>
      <c r="C6816">
        <f>IF(Sheet1!B6816&gt;0,1,0)</f>
        <v>1</v>
      </c>
    </row>
    <row r="6817" spans="1:3" x14ac:dyDescent="0.25">
      <c r="A6817" s="15">
        <f>Sheet1!A6817</f>
        <v>0</v>
      </c>
      <c r="B6817">
        <f>Sheet1!B6817</f>
        <v>3.74</v>
      </c>
      <c r="C6817">
        <f>IF(Sheet1!B6817&gt;0,1,0)</f>
        <v>1</v>
      </c>
    </row>
    <row r="6818" spans="1:3" x14ac:dyDescent="0.25">
      <c r="A6818" s="15">
        <f>Sheet1!A6818</f>
        <v>0</v>
      </c>
      <c r="B6818">
        <f>Sheet1!B6818</f>
        <v>3.58</v>
      </c>
      <c r="C6818">
        <f>IF(Sheet1!B6818&gt;0,1,0)</f>
        <v>1</v>
      </c>
    </row>
    <row r="6819" spans="1:3" x14ac:dyDescent="0.25">
      <c r="A6819" s="15">
        <f>Sheet1!A6819</f>
        <v>0</v>
      </c>
      <c r="B6819">
        <f>Sheet1!B6819</f>
        <v>3.64</v>
      </c>
      <c r="C6819">
        <f>IF(Sheet1!B6819&gt;0,1,0)</f>
        <v>1</v>
      </c>
    </row>
    <row r="6820" spans="1:3" x14ac:dyDescent="0.25">
      <c r="A6820" s="15">
        <f>Sheet1!A6820</f>
        <v>0</v>
      </c>
      <c r="B6820">
        <f>Sheet1!B6820</f>
        <v>3.73</v>
      </c>
      <c r="C6820">
        <f>IF(Sheet1!B6820&gt;0,1,0)</f>
        <v>1</v>
      </c>
    </row>
    <row r="6821" spans="1:3" x14ac:dyDescent="0.25">
      <c r="A6821" s="15">
        <f>Sheet1!A6821</f>
        <v>0</v>
      </c>
      <c r="B6821">
        <f>Sheet1!B6821</f>
        <v>3.2</v>
      </c>
      <c r="C6821">
        <f>IF(Sheet1!B6821&gt;0,1,0)</f>
        <v>1</v>
      </c>
    </row>
    <row r="6822" spans="1:3" x14ac:dyDescent="0.25">
      <c r="A6822" s="15">
        <f>Sheet1!A6822</f>
        <v>0</v>
      </c>
      <c r="B6822">
        <f>Sheet1!B6822</f>
        <v>2.81</v>
      </c>
      <c r="C6822">
        <f>IF(Sheet1!B6822&gt;0,1,0)</f>
        <v>1</v>
      </c>
    </row>
    <row r="6823" spans="1:3" x14ac:dyDescent="0.25">
      <c r="A6823" s="15">
        <f>Sheet1!A6823</f>
        <v>0</v>
      </c>
      <c r="B6823">
        <f>Sheet1!B6823</f>
        <v>2.73</v>
      </c>
      <c r="C6823">
        <f>IF(Sheet1!B6823&gt;0,1,0)</f>
        <v>1</v>
      </c>
    </row>
    <row r="6824" spans="1:3" x14ac:dyDescent="0.25">
      <c r="A6824" s="15">
        <f>Sheet1!A6824</f>
        <v>0</v>
      </c>
      <c r="B6824">
        <f>Sheet1!B6824</f>
        <v>2.65</v>
      </c>
      <c r="C6824">
        <f>IF(Sheet1!B6824&gt;0,1,0)</f>
        <v>1</v>
      </c>
    </row>
    <row r="6825" spans="1:3" x14ac:dyDescent="0.25">
      <c r="A6825" s="15">
        <f>Sheet1!A6825</f>
        <v>0</v>
      </c>
      <c r="B6825">
        <f>Sheet1!B6825</f>
        <v>2.0499999999999998</v>
      </c>
      <c r="C6825">
        <f>IF(Sheet1!B6825&gt;0,1,0)</f>
        <v>1</v>
      </c>
    </row>
    <row r="6826" spans="1:3" x14ac:dyDescent="0.25">
      <c r="A6826" s="15">
        <f>Sheet1!A6826</f>
        <v>0</v>
      </c>
      <c r="B6826">
        <f>Sheet1!B6826</f>
        <v>1.83</v>
      </c>
      <c r="C6826">
        <f>IF(Sheet1!B6826&gt;0,1,0)</f>
        <v>1</v>
      </c>
    </row>
    <row r="6827" spans="1:3" x14ac:dyDescent="0.25">
      <c r="A6827" s="15">
        <f>Sheet1!A6827</f>
        <v>0</v>
      </c>
      <c r="B6827">
        <f>Sheet1!B6827</f>
        <v>1.98</v>
      </c>
      <c r="C6827">
        <f>IF(Sheet1!B6827&gt;0,1,0)</f>
        <v>1</v>
      </c>
    </row>
    <row r="6828" spans="1:3" x14ac:dyDescent="0.25">
      <c r="A6828" s="15">
        <f>Sheet1!A6828</f>
        <v>0</v>
      </c>
      <c r="B6828">
        <f>Sheet1!B6828</f>
        <v>3.25</v>
      </c>
      <c r="C6828">
        <f>IF(Sheet1!B6828&gt;0,1,0)</f>
        <v>1</v>
      </c>
    </row>
    <row r="6829" spans="1:3" x14ac:dyDescent="0.25">
      <c r="A6829" s="15">
        <f>Sheet1!A6829</f>
        <v>0</v>
      </c>
      <c r="B6829">
        <f>Sheet1!B6829</f>
        <v>0</v>
      </c>
      <c r="C6829">
        <f>IF(Sheet1!B6829&gt;0,1,0)</f>
        <v>0</v>
      </c>
    </row>
    <row r="6830" spans="1:3" x14ac:dyDescent="0.25">
      <c r="A6830" s="15">
        <f>Sheet1!A6830</f>
        <v>0</v>
      </c>
      <c r="B6830">
        <f>Sheet1!B6830</f>
        <v>0</v>
      </c>
      <c r="C6830">
        <f>IF(Sheet1!B6830&gt;0,1,0)</f>
        <v>0</v>
      </c>
    </row>
    <row r="6831" spans="1:3" x14ac:dyDescent="0.25">
      <c r="A6831" s="15">
        <f>Sheet1!A6831</f>
        <v>0</v>
      </c>
      <c r="B6831">
        <f>Sheet1!B6831</f>
        <v>5.04</v>
      </c>
      <c r="C6831">
        <f>IF(Sheet1!B6831&gt;0,1,0)</f>
        <v>1</v>
      </c>
    </row>
    <row r="6832" spans="1:3" x14ac:dyDescent="0.25">
      <c r="A6832" s="15">
        <f>Sheet1!A6832</f>
        <v>0</v>
      </c>
      <c r="B6832">
        <f>Sheet1!B6832</f>
        <v>5.29</v>
      </c>
      <c r="C6832">
        <f>IF(Sheet1!B6832&gt;0,1,0)</f>
        <v>1</v>
      </c>
    </row>
    <row r="6833" spans="1:3" x14ac:dyDescent="0.25">
      <c r="A6833" s="15">
        <f>Sheet1!A6833</f>
        <v>0</v>
      </c>
      <c r="B6833">
        <f>Sheet1!B6833</f>
        <v>4.38</v>
      </c>
      <c r="C6833">
        <f>IF(Sheet1!B6833&gt;0,1,0)</f>
        <v>1</v>
      </c>
    </row>
    <row r="6834" spans="1:3" x14ac:dyDescent="0.25">
      <c r="A6834" s="15">
        <f>Sheet1!A6834</f>
        <v>0</v>
      </c>
      <c r="B6834">
        <f>Sheet1!B6834</f>
        <v>3.9</v>
      </c>
      <c r="C6834">
        <f>IF(Sheet1!B6834&gt;0,1,0)</f>
        <v>1</v>
      </c>
    </row>
    <row r="6835" spans="1:3" x14ac:dyDescent="0.25">
      <c r="A6835" s="15">
        <f>Sheet1!A6835</f>
        <v>0</v>
      </c>
      <c r="B6835">
        <f>Sheet1!B6835</f>
        <v>3.81</v>
      </c>
      <c r="C6835">
        <f>IF(Sheet1!B6835&gt;0,1,0)</f>
        <v>1</v>
      </c>
    </row>
    <row r="6836" spans="1:3" x14ac:dyDescent="0.25">
      <c r="A6836" s="15">
        <f>Sheet1!A6836</f>
        <v>0</v>
      </c>
      <c r="B6836">
        <f>Sheet1!B6836</f>
        <v>4.17</v>
      </c>
      <c r="C6836">
        <f>IF(Sheet1!B6836&gt;0,1,0)</f>
        <v>1</v>
      </c>
    </row>
    <row r="6837" spans="1:3" x14ac:dyDescent="0.25">
      <c r="A6837" s="15">
        <f>Sheet1!A6837</f>
        <v>0</v>
      </c>
      <c r="B6837">
        <f>Sheet1!B6837</f>
        <v>4.68</v>
      </c>
      <c r="C6837">
        <f>IF(Sheet1!B6837&gt;0,1,0)</f>
        <v>1</v>
      </c>
    </row>
    <row r="6838" spans="1:3" x14ac:dyDescent="0.25">
      <c r="A6838" s="15">
        <f>Sheet1!A6838</f>
        <v>0</v>
      </c>
      <c r="B6838">
        <f>Sheet1!B6838</f>
        <v>5.43</v>
      </c>
      <c r="C6838">
        <f>IF(Sheet1!B6838&gt;0,1,0)</f>
        <v>1</v>
      </c>
    </row>
    <row r="6839" spans="1:3" x14ac:dyDescent="0.25">
      <c r="A6839" s="15">
        <f>Sheet1!A6839</f>
        <v>0</v>
      </c>
      <c r="B6839">
        <f>Sheet1!B6839</f>
        <v>3.91</v>
      </c>
      <c r="C6839">
        <f>IF(Sheet1!B6839&gt;0,1,0)</f>
        <v>1</v>
      </c>
    </row>
    <row r="6840" spans="1:3" x14ac:dyDescent="0.25">
      <c r="A6840" s="15">
        <f>Sheet1!A6840</f>
        <v>0</v>
      </c>
      <c r="B6840">
        <f>Sheet1!B6840</f>
        <v>1.9</v>
      </c>
      <c r="C6840">
        <f>IF(Sheet1!B6840&gt;0,1,0)</f>
        <v>1</v>
      </c>
    </row>
    <row r="6841" spans="1:3" x14ac:dyDescent="0.25">
      <c r="A6841" s="15">
        <f>Sheet1!A6841</f>
        <v>0</v>
      </c>
      <c r="B6841">
        <f>Sheet1!B6841</f>
        <v>2.08</v>
      </c>
      <c r="C6841">
        <f>IF(Sheet1!B6841&gt;0,1,0)</f>
        <v>1</v>
      </c>
    </row>
    <row r="6842" spans="1:3" x14ac:dyDescent="0.25">
      <c r="A6842" s="15">
        <f>Sheet1!A6842</f>
        <v>0</v>
      </c>
      <c r="B6842">
        <f>Sheet1!B6842</f>
        <v>2.41</v>
      </c>
      <c r="C6842">
        <f>IF(Sheet1!B6842&gt;0,1,0)</f>
        <v>1</v>
      </c>
    </row>
    <row r="6843" spans="1:3" x14ac:dyDescent="0.25">
      <c r="A6843" s="15">
        <f>Sheet1!A6843</f>
        <v>0</v>
      </c>
      <c r="B6843">
        <f>Sheet1!B6843</f>
        <v>2.4500000000000002</v>
      </c>
      <c r="C6843">
        <f>IF(Sheet1!B6843&gt;0,1,0)</f>
        <v>1</v>
      </c>
    </row>
    <row r="6844" spans="1:3" x14ac:dyDescent="0.25">
      <c r="A6844" s="15">
        <f>Sheet1!A6844</f>
        <v>0</v>
      </c>
      <c r="B6844">
        <f>Sheet1!B6844</f>
        <v>2.39</v>
      </c>
      <c r="C6844">
        <f>IF(Sheet1!B6844&gt;0,1,0)</f>
        <v>1</v>
      </c>
    </row>
    <row r="6845" spans="1:3" x14ac:dyDescent="0.25">
      <c r="A6845" s="15">
        <f>Sheet1!A6845</f>
        <v>0</v>
      </c>
      <c r="B6845">
        <f>Sheet1!B6845</f>
        <v>2.4700000000000002</v>
      </c>
      <c r="C6845">
        <f>IF(Sheet1!B6845&gt;0,1,0)</f>
        <v>1</v>
      </c>
    </row>
    <row r="6846" spans="1:3" x14ac:dyDescent="0.25">
      <c r="A6846" s="15">
        <f>Sheet1!A6846</f>
        <v>0</v>
      </c>
      <c r="B6846">
        <f>Sheet1!B6846</f>
        <v>1.99</v>
      </c>
      <c r="C6846">
        <f>IF(Sheet1!B6846&gt;0,1,0)</f>
        <v>1</v>
      </c>
    </row>
    <row r="6847" spans="1:3" x14ac:dyDescent="0.25">
      <c r="A6847" s="15">
        <f>Sheet1!A6847</f>
        <v>0</v>
      </c>
      <c r="B6847">
        <f>Sheet1!B6847</f>
        <v>1.62</v>
      </c>
      <c r="C6847">
        <f>IF(Sheet1!B6847&gt;0,1,0)</f>
        <v>1</v>
      </c>
    </row>
    <row r="6848" spans="1:3" x14ac:dyDescent="0.25">
      <c r="A6848" s="15">
        <f>Sheet1!A6848</f>
        <v>0</v>
      </c>
      <c r="B6848">
        <f>Sheet1!B6848</f>
        <v>1.4</v>
      </c>
      <c r="C6848">
        <f>IF(Sheet1!B6848&gt;0,1,0)</f>
        <v>1</v>
      </c>
    </row>
    <row r="6849" spans="1:3" x14ac:dyDescent="0.25">
      <c r="A6849" s="15">
        <f>Sheet1!A6849</f>
        <v>0</v>
      </c>
      <c r="B6849">
        <f>Sheet1!B6849</f>
        <v>1.44</v>
      </c>
      <c r="C6849">
        <f>IF(Sheet1!B6849&gt;0,1,0)</f>
        <v>1</v>
      </c>
    </row>
    <row r="6850" spans="1:3" x14ac:dyDescent="0.25">
      <c r="A6850" s="15">
        <f>Sheet1!A6850</f>
        <v>0</v>
      </c>
      <c r="B6850">
        <f>Sheet1!B6850</f>
        <v>0.89</v>
      </c>
      <c r="C6850">
        <f>IF(Sheet1!B6850&gt;0,1,0)</f>
        <v>1</v>
      </c>
    </row>
    <row r="6851" spans="1:3" x14ac:dyDescent="0.25">
      <c r="A6851" s="15">
        <f>Sheet1!A6851</f>
        <v>0</v>
      </c>
      <c r="B6851">
        <f>Sheet1!B6851</f>
        <v>0.56999999999999995</v>
      </c>
      <c r="C6851">
        <f>IF(Sheet1!B6851&gt;0,1,0)</f>
        <v>1</v>
      </c>
    </row>
    <row r="6852" spans="1:3" x14ac:dyDescent="0.25">
      <c r="A6852" s="15">
        <f>Sheet1!A6852</f>
        <v>0</v>
      </c>
      <c r="B6852">
        <f>Sheet1!B6852</f>
        <v>0.69</v>
      </c>
      <c r="C6852">
        <f>IF(Sheet1!B6852&gt;0,1,0)</f>
        <v>1</v>
      </c>
    </row>
    <row r="6853" spans="1:3" x14ac:dyDescent="0.25">
      <c r="A6853" s="15">
        <f>Sheet1!A6853</f>
        <v>0</v>
      </c>
      <c r="B6853">
        <f>Sheet1!B6853</f>
        <v>1.26</v>
      </c>
      <c r="C6853">
        <f>IF(Sheet1!B6853&gt;0,1,0)</f>
        <v>1</v>
      </c>
    </row>
    <row r="6854" spans="1:3" x14ac:dyDescent="0.25">
      <c r="A6854" s="15">
        <f>Sheet1!A6854</f>
        <v>0</v>
      </c>
      <c r="B6854">
        <f>Sheet1!B6854</f>
        <v>2.4300000000000002</v>
      </c>
      <c r="C6854">
        <f>IF(Sheet1!B6854&gt;0,1,0)</f>
        <v>1</v>
      </c>
    </row>
    <row r="6855" spans="1:3" x14ac:dyDescent="0.25">
      <c r="A6855" s="15">
        <f>Sheet1!A6855</f>
        <v>0</v>
      </c>
      <c r="B6855">
        <f>Sheet1!B6855</f>
        <v>2.11</v>
      </c>
      <c r="C6855">
        <f>IF(Sheet1!B6855&gt;0,1,0)</f>
        <v>1</v>
      </c>
    </row>
    <row r="6856" spans="1:3" x14ac:dyDescent="0.25">
      <c r="A6856" s="15">
        <f>Sheet1!A6856</f>
        <v>0</v>
      </c>
      <c r="B6856">
        <f>Sheet1!B6856</f>
        <v>2.2200000000000002</v>
      </c>
      <c r="C6856">
        <f>IF(Sheet1!B6856&gt;0,1,0)</f>
        <v>1</v>
      </c>
    </row>
    <row r="6857" spans="1:3" x14ac:dyDescent="0.25">
      <c r="A6857" s="15">
        <f>Sheet1!A6857</f>
        <v>0</v>
      </c>
      <c r="B6857">
        <f>Sheet1!B6857</f>
        <v>2.34</v>
      </c>
      <c r="C6857">
        <f>IF(Sheet1!B6857&gt;0,1,0)</f>
        <v>1</v>
      </c>
    </row>
    <row r="6858" spans="1:3" x14ac:dyDescent="0.25">
      <c r="A6858" s="15">
        <f>Sheet1!A6858</f>
        <v>0</v>
      </c>
      <c r="B6858">
        <f>Sheet1!B6858</f>
        <v>2.2799999999999998</v>
      </c>
      <c r="C6858">
        <f>IF(Sheet1!B6858&gt;0,1,0)</f>
        <v>1</v>
      </c>
    </row>
    <row r="6859" spans="1:3" x14ac:dyDescent="0.25">
      <c r="A6859" s="15">
        <f>Sheet1!A6859</f>
        <v>0</v>
      </c>
      <c r="B6859">
        <f>Sheet1!B6859</f>
        <v>3.3</v>
      </c>
      <c r="C6859">
        <f>IF(Sheet1!B6859&gt;0,1,0)</f>
        <v>1</v>
      </c>
    </row>
    <row r="6860" spans="1:3" x14ac:dyDescent="0.25">
      <c r="A6860" s="15">
        <f>Sheet1!A6860</f>
        <v>0</v>
      </c>
      <c r="B6860">
        <f>Sheet1!B6860</f>
        <v>3.61</v>
      </c>
      <c r="C6860">
        <f>IF(Sheet1!B6860&gt;0,1,0)</f>
        <v>1</v>
      </c>
    </row>
    <row r="6861" spans="1:3" x14ac:dyDescent="0.25">
      <c r="A6861" s="15">
        <f>Sheet1!A6861</f>
        <v>0</v>
      </c>
      <c r="B6861">
        <f>Sheet1!B6861</f>
        <v>3.63</v>
      </c>
      <c r="C6861">
        <f>IF(Sheet1!B6861&gt;0,1,0)</f>
        <v>1</v>
      </c>
    </row>
    <row r="6862" spans="1:3" x14ac:dyDescent="0.25">
      <c r="A6862" s="15">
        <f>Sheet1!A6862</f>
        <v>0</v>
      </c>
      <c r="B6862">
        <f>Sheet1!B6862</f>
        <v>3.65</v>
      </c>
      <c r="C6862">
        <f>IF(Sheet1!B6862&gt;0,1,0)</f>
        <v>1</v>
      </c>
    </row>
    <row r="6863" spans="1:3" x14ac:dyDescent="0.25">
      <c r="A6863" s="15">
        <f>Sheet1!A6863</f>
        <v>0</v>
      </c>
      <c r="B6863">
        <f>Sheet1!B6863</f>
        <v>4.57</v>
      </c>
      <c r="C6863">
        <f>IF(Sheet1!B6863&gt;0,1,0)</f>
        <v>1</v>
      </c>
    </row>
    <row r="6864" spans="1:3" x14ac:dyDescent="0.25">
      <c r="A6864" s="15">
        <f>Sheet1!A6864</f>
        <v>0</v>
      </c>
      <c r="B6864">
        <f>Sheet1!B6864</f>
        <v>3.88</v>
      </c>
      <c r="C6864">
        <f>IF(Sheet1!B6864&gt;0,1,0)</f>
        <v>1</v>
      </c>
    </row>
    <row r="6865" spans="1:3" x14ac:dyDescent="0.25">
      <c r="A6865" s="15">
        <f>Sheet1!A6865</f>
        <v>0</v>
      </c>
      <c r="B6865">
        <f>Sheet1!B6865</f>
        <v>3.79</v>
      </c>
      <c r="C6865">
        <f>IF(Sheet1!B6865&gt;0,1,0)</f>
        <v>1</v>
      </c>
    </row>
    <row r="6866" spans="1:3" x14ac:dyDescent="0.25">
      <c r="A6866" s="15">
        <f>Sheet1!A6866</f>
        <v>0</v>
      </c>
      <c r="B6866">
        <f>Sheet1!B6866</f>
        <v>3.63</v>
      </c>
      <c r="C6866">
        <f>IF(Sheet1!B6866&gt;0,1,0)</f>
        <v>1</v>
      </c>
    </row>
    <row r="6867" spans="1:3" x14ac:dyDescent="0.25">
      <c r="A6867" s="15">
        <f>Sheet1!A6867</f>
        <v>0</v>
      </c>
      <c r="B6867">
        <f>Sheet1!B6867</f>
        <v>3.49</v>
      </c>
      <c r="C6867">
        <f>IF(Sheet1!B6867&gt;0,1,0)</f>
        <v>1</v>
      </c>
    </row>
    <row r="6868" spans="1:3" x14ac:dyDescent="0.25">
      <c r="A6868" s="15">
        <f>Sheet1!A6868</f>
        <v>0</v>
      </c>
      <c r="B6868">
        <f>Sheet1!B6868</f>
        <v>3.54</v>
      </c>
      <c r="C6868">
        <f>IF(Sheet1!B6868&gt;0,1,0)</f>
        <v>1</v>
      </c>
    </row>
    <row r="6869" spans="1:3" x14ac:dyDescent="0.25">
      <c r="A6869" s="15">
        <f>Sheet1!A6869</f>
        <v>0</v>
      </c>
      <c r="B6869">
        <f>Sheet1!B6869</f>
        <v>3.47</v>
      </c>
      <c r="C6869">
        <f>IF(Sheet1!B6869&gt;0,1,0)</f>
        <v>1</v>
      </c>
    </row>
    <row r="6870" spans="1:3" x14ac:dyDescent="0.25">
      <c r="A6870" s="15">
        <f>Sheet1!A6870</f>
        <v>0</v>
      </c>
      <c r="B6870">
        <f>Sheet1!B6870</f>
        <v>2.5499999999999998</v>
      </c>
      <c r="C6870">
        <f>IF(Sheet1!B6870&gt;0,1,0)</f>
        <v>1</v>
      </c>
    </row>
    <row r="6871" spans="1:3" x14ac:dyDescent="0.25">
      <c r="A6871" s="15">
        <f>Sheet1!A6871</f>
        <v>0</v>
      </c>
      <c r="B6871">
        <f>Sheet1!B6871</f>
        <v>2.58</v>
      </c>
      <c r="C6871">
        <f>IF(Sheet1!B6871&gt;0,1,0)</f>
        <v>1</v>
      </c>
    </row>
    <row r="6872" spans="1:3" x14ac:dyDescent="0.25">
      <c r="A6872" s="15">
        <f>Sheet1!A6872</f>
        <v>0</v>
      </c>
      <c r="B6872">
        <f>Sheet1!B6872</f>
        <v>2.6</v>
      </c>
      <c r="C6872">
        <f>IF(Sheet1!B6872&gt;0,1,0)</f>
        <v>1</v>
      </c>
    </row>
    <row r="6873" spans="1:3" x14ac:dyDescent="0.25">
      <c r="A6873" s="15">
        <f>Sheet1!A6873</f>
        <v>0</v>
      </c>
      <c r="B6873">
        <f>Sheet1!B6873</f>
        <v>2.4500000000000002</v>
      </c>
      <c r="C6873">
        <f>IF(Sheet1!B6873&gt;0,1,0)</f>
        <v>1</v>
      </c>
    </row>
    <row r="6874" spans="1:3" x14ac:dyDescent="0.25">
      <c r="A6874" s="15">
        <f>Sheet1!A6874</f>
        <v>0</v>
      </c>
      <c r="B6874">
        <f>Sheet1!B6874</f>
        <v>0</v>
      </c>
      <c r="C6874">
        <f>IF(Sheet1!B6874&gt;0,1,0)</f>
        <v>0</v>
      </c>
    </row>
    <row r="6875" spans="1:3" x14ac:dyDescent="0.25">
      <c r="A6875" s="15">
        <f>Sheet1!A6875</f>
        <v>0</v>
      </c>
      <c r="B6875">
        <f>Sheet1!B6875</f>
        <v>0</v>
      </c>
      <c r="C6875">
        <f>IF(Sheet1!B6875&gt;0,1,0)</f>
        <v>0</v>
      </c>
    </row>
    <row r="6876" spans="1:3" x14ac:dyDescent="0.25">
      <c r="A6876" s="15">
        <f>Sheet1!A6876</f>
        <v>0</v>
      </c>
      <c r="B6876">
        <f>Sheet1!B6876</f>
        <v>0</v>
      </c>
      <c r="C6876">
        <f>IF(Sheet1!B6876&gt;0,1,0)</f>
        <v>0</v>
      </c>
    </row>
    <row r="6877" spans="1:3" x14ac:dyDescent="0.25">
      <c r="A6877" s="15">
        <f>Sheet1!A6877</f>
        <v>0</v>
      </c>
      <c r="B6877">
        <f>Sheet1!B6877</f>
        <v>1.45</v>
      </c>
      <c r="C6877">
        <f>IF(Sheet1!B6877&gt;0,1,0)</f>
        <v>1</v>
      </c>
    </row>
    <row r="6878" spans="1:3" x14ac:dyDescent="0.25">
      <c r="A6878" s="15">
        <f>Sheet1!A6878</f>
        <v>0</v>
      </c>
      <c r="B6878">
        <f>Sheet1!B6878</f>
        <v>1.66</v>
      </c>
      <c r="C6878">
        <f>IF(Sheet1!B6878&gt;0,1,0)</f>
        <v>1</v>
      </c>
    </row>
    <row r="6879" spans="1:3" x14ac:dyDescent="0.25">
      <c r="A6879" s="15">
        <f>Sheet1!A6879</f>
        <v>0</v>
      </c>
      <c r="B6879">
        <f>Sheet1!B6879</f>
        <v>1.6</v>
      </c>
      <c r="C6879">
        <f>IF(Sheet1!B6879&gt;0,1,0)</f>
        <v>1</v>
      </c>
    </row>
    <row r="6880" spans="1:3" x14ac:dyDescent="0.25">
      <c r="A6880" s="15">
        <f>Sheet1!A6880</f>
        <v>0</v>
      </c>
      <c r="B6880">
        <f>Sheet1!B6880</f>
        <v>0</v>
      </c>
      <c r="C6880">
        <f>IF(Sheet1!B6880&gt;0,1,0)</f>
        <v>0</v>
      </c>
    </row>
    <row r="6881" spans="1:3" x14ac:dyDescent="0.25">
      <c r="A6881" s="15">
        <f>Sheet1!A6881</f>
        <v>0</v>
      </c>
      <c r="B6881">
        <f>Sheet1!B6881</f>
        <v>0</v>
      </c>
      <c r="C6881">
        <f>IF(Sheet1!B6881&gt;0,1,0)</f>
        <v>0</v>
      </c>
    </row>
    <row r="6882" spans="1:3" x14ac:dyDescent="0.25">
      <c r="A6882" s="15">
        <f>Sheet1!A6882</f>
        <v>0</v>
      </c>
      <c r="B6882">
        <f>Sheet1!B6882</f>
        <v>0</v>
      </c>
      <c r="C6882">
        <f>IF(Sheet1!B6882&gt;0,1,0)</f>
        <v>0</v>
      </c>
    </row>
    <row r="6883" spans="1:3" x14ac:dyDescent="0.25">
      <c r="A6883" s="15">
        <f>Sheet1!A6883</f>
        <v>0</v>
      </c>
      <c r="B6883">
        <f>Sheet1!B6883</f>
        <v>2.86</v>
      </c>
      <c r="C6883">
        <f>IF(Sheet1!B6883&gt;0,1,0)</f>
        <v>1</v>
      </c>
    </row>
    <row r="6884" spans="1:3" x14ac:dyDescent="0.25">
      <c r="A6884" s="15">
        <f>Sheet1!A6884</f>
        <v>0</v>
      </c>
      <c r="B6884">
        <f>Sheet1!B6884</f>
        <v>3.06</v>
      </c>
      <c r="C6884">
        <f>IF(Sheet1!B6884&gt;0,1,0)</f>
        <v>1</v>
      </c>
    </row>
    <row r="6885" spans="1:3" x14ac:dyDescent="0.25">
      <c r="A6885" s="15">
        <f>Sheet1!A6885</f>
        <v>0</v>
      </c>
      <c r="B6885">
        <f>Sheet1!B6885</f>
        <v>3.23</v>
      </c>
      <c r="C6885">
        <f>IF(Sheet1!B6885&gt;0,1,0)</f>
        <v>1</v>
      </c>
    </row>
    <row r="6886" spans="1:3" x14ac:dyDescent="0.25">
      <c r="A6886" s="15">
        <f>Sheet1!A6886</f>
        <v>0</v>
      </c>
      <c r="B6886">
        <f>Sheet1!B6886</f>
        <v>4.29</v>
      </c>
      <c r="C6886">
        <f>IF(Sheet1!B6886&gt;0,1,0)</f>
        <v>1</v>
      </c>
    </row>
    <row r="6887" spans="1:3" x14ac:dyDescent="0.25">
      <c r="A6887" s="15">
        <f>Sheet1!A6887</f>
        <v>0</v>
      </c>
      <c r="B6887">
        <f>Sheet1!B6887</f>
        <v>4.26</v>
      </c>
      <c r="C6887">
        <f>IF(Sheet1!B6887&gt;0,1,0)</f>
        <v>1</v>
      </c>
    </row>
    <row r="6888" spans="1:3" x14ac:dyDescent="0.25">
      <c r="A6888" s="15">
        <f>Sheet1!A6888</f>
        <v>0</v>
      </c>
      <c r="B6888">
        <f>Sheet1!B6888</f>
        <v>3.43</v>
      </c>
      <c r="C6888">
        <f>IF(Sheet1!B6888&gt;0,1,0)</f>
        <v>1</v>
      </c>
    </row>
    <row r="6889" spans="1:3" x14ac:dyDescent="0.25">
      <c r="A6889" s="15">
        <f>Sheet1!A6889</f>
        <v>0</v>
      </c>
      <c r="B6889">
        <f>Sheet1!B6889</f>
        <v>3.74</v>
      </c>
      <c r="C6889">
        <f>IF(Sheet1!B6889&gt;0,1,0)</f>
        <v>1</v>
      </c>
    </row>
    <row r="6890" spans="1:3" x14ac:dyDescent="0.25">
      <c r="A6890" s="15">
        <f>Sheet1!A6890</f>
        <v>0</v>
      </c>
      <c r="B6890">
        <f>Sheet1!B6890</f>
        <v>3.89</v>
      </c>
      <c r="C6890">
        <f>IF(Sheet1!B6890&gt;0,1,0)</f>
        <v>1</v>
      </c>
    </row>
    <row r="6891" spans="1:3" x14ac:dyDescent="0.25">
      <c r="A6891" s="15">
        <f>Sheet1!A6891</f>
        <v>0</v>
      </c>
      <c r="B6891">
        <f>Sheet1!B6891</f>
        <v>3.75</v>
      </c>
      <c r="C6891">
        <f>IF(Sheet1!B6891&gt;0,1,0)</f>
        <v>1</v>
      </c>
    </row>
    <row r="6892" spans="1:3" x14ac:dyDescent="0.25">
      <c r="A6892" s="15">
        <f>Sheet1!A6892</f>
        <v>0</v>
      </c>
      <c r="B6892">
        <f>Sheet1!B6892</f>
        <v>3.74</v>
      </c>
      <c r="C6892">
        <f>IF(Sheet1!B6892&gt;0,1,0)</f>
        <v>1</v>
      </c>
    </row>
    <row r="6893" spans="1:3" x14ac:dyDescent="0.25">
      <c r="A6893" s="15">
        <f>Sheet1!A6893</f>
        <v>0</v>
      </c>
      <c r="B6893">
        <f>Sheet1!B6893</f>
        <v>3.66</v>
      </c>
      <c r="C6893">
        <f>IF(Sheet1!B6893&gt;0,1,0)</f>
        <v>1</v>
      </c>
    </row>
    <row r="6894" spans="1:3" x14ac:dyDescent="0.25">
      <c r="A6894" s="15">
        <f>Sheet1!A6894</f>
        <v>0</v>
      </c>
      <c r="B6894">
        <f>Sheet1!B6894</f>
        <v>2.81</v>
      </c>
      <c r="C6894">
        <f>IF(Sheet1!B6894&gt;0,1,0)</f>
        <v>1</v>
      </c>
    </row>
    <row r="6895" spans="1:3" x14ac:dyDescent="0.25">
      <c r="A6895" s="15">
        <f>Sheet1!A6895</f>
        <v>0</v>
      </c>
      <c r="B6895">
        <f>Sheet1!B6895</f>
        <v>2.76</v>
      </c>
      <c r="C6895">
        <f>IF(Sheet1!B6895&gt;0,1,0)</f>
        <v>1</v>
      </c>
    </row>
    <row r="6896" spans="1:3" x14ac:dyDescent="0.25">
      <c r="A6896" s="15">
        <f>Sheet1!A6896</f>
        <v>0</v>
      </c>
      <c r="B6896">
        <f>Sheet1!B6896</f>
        <v>2.67</v>
      </c>
      <c r="C6896">
        <f>IF(Sheet1!B6896&gt;0,1,0)</f>
        <v>1</v>
      </c>
    </row>
    <row r="6897" spans="1:3" x14ac:dyDescent="0.25">
      <c r="A6897" s="15">
        <f>Sheet1!A6897</f>
        <v>0</v>
      </c>
      <c r="B6897">
        <f>Sheet1!B6897</f>
        <v>0</v>
      </c>
      <c r="C6897">
        <f>IF(Sheet1!B6897&gt;0,1,0)</f>
        <v>0</v>
      </c>
    </row>
    <row r="6898" spans="1:3" x14ac:dyDescent="0.25">
      <c r="A6898" s="15">
        <f>Sheet1!A6898</f>
        <v>0</v>
      </c>
      <c r="B6898">
        <f>Sheet1!B6898</f>
        <v>1.1399999999999999</v>
      </c>
      <c r="C6898">
        <f>IF(Sheet1!B6898&gt;0,1,0)</f>
        <v>1</v>
      </c>
    </row>
    <row r="6899" spans="1:3" x14ac:dyDescent="0.25">
      <c r="A6899" s="15">
        <f>Sheet1!A6899</f>
        <v>0</v>
      </c>
      <c r="B6899">
        <f>Sheet1!B6899</f>
        <v>2.2200000000000002</v>
      </c>
      <c r="C6899">
        <f>IF(Sheet1!B6899&gt;0,1,0)</f>
        <v>1</v>
      </c>
    </row>
    <row r="6900" spans="1:3" x14ac:dyDescent="0.25">
      <c r="A6900" s="15">
        <f>Sheet1!A6900</f>
        <v>0</v>
      </c>
      <c r="B6900">
        <f>Sheet1!B6900</f>
        <v>3.73</v>
      </c>
      <c r="C6900">
        <f>IF(Sheet1!B6900&gt;0,1,0)</f>
        <v>1</v>
      </c>
    </row>
    <row r="6901" spans="1:3" x14ac:dyDescent="0.25">
      <c r="A6901" s="15">
        <f>Sheet1!A6901</f>
        <v>0</v>
      </c>
      <c r="B6901">
        <f>Sheet1!B6901</f>
        <v>3.57</v>
      </c>
      <c r="C6901">
        <f>IF(Sheet1!B6901&gt;0,1,0)</f>
        <v>1</v>
      </c>
    </row>
    <row r="6902" spans="1:3" x14ac:dyDescent="0.25">
      <c r="A6902" s="15">
        <f>Sheet1!A6902</f>
        <v>0</v>
      </c>
      <c r="B6902">
        <f>Sheet1!B6902</f>
        <v>0</v>
      </c>
      <c r="C6902">
        <f>IF(Sheet1!B6902&gt;0,1,0)</f>
        <v>0</v>
      </c>
    </row>
    <row r="6903" spans="1:3" x14ac:dyDescent="0.25">
      <c r="A6903" s="15">
        <f>Sheet1!A6903</f>
        <v>0</v>
      </c>
      <c r="B6903">
        <f>Sheet1!B6903</f>
        <v>0</v>
      </c>
      <c r="C6903">
        <f>IF(Sheet1!B6903&gt;0,1,0)</f>
        <v>0</v>
      </c>
    </row>
    <row r="6904" spans="1:3" x14ac:dyDescent="0.25">
      <c r="A6904" s="15">
        <f>Sheet1!A6904</f>
        <v>0</v>
      </c>
      <c r="B6904">
        <f>Sheet1!B6904</f>
        <v>0</v>
      </c>
      <c r="C6904">
        <f>IF(Sheet1!B6904&gt;0,1,0)</f>
        <v>0</v>
      </c>
    </row>
    <row r="6905" spans="1:3" x14ac:dyDescent="0.25">
      <c r="A6905" s="15">
        <f>Sheet1!A6905</f>
        <v>0</v>
      </c>
      <c r="B6905">
        <f>Sheet1!B6905</f>
        <v>3.52</v>
      </c>
      <c r="C6905">
        <f>IF(Sheet1!B6905&gt;0,1,0)</f>
        <v>1</v>
      </c>
    </row>
    <row r="6906" spans="1:3" x14ac:dyDescent="0.25">
      <c r="A6906" s="15">
        <f>Sheet1!A6906</f>
        <v>0</v>
      </c>
      <c r="B6906">
        <f>Sheet1!B6906</f>
        <v>3.44</v>
      </c>
      <c r="C6906">
        <f>IF(Sheet1!B6906&gt;0,1,0)</f>
        <v>1</v>
      </c>
    </row>
    <row r="6907" spans="1:3" x14ac:dyDescent="0.25">
      <c r="A6907" s="15">
        <f>Sheet1!A6907</f>
        <v>0</v>
      </c>
      <c r="B6907">
        <f>Sheet1!B6907</f>
        <v>0</v>
      </c>
      <c r="C6907">
        <f>IF(Sheet1!B6907&gt;0,1,0)</f>
        <v>0</v>
      </c>
    </row>
    <row r="6908" spans="1:3" x14ac:dyDescent="0.25">
      <c r="A6908" s="15">
        <f>Sheet1!A6908</f>
        <v>0</v>
      </c>
      <c r="B6908">
        <f>Sheet1!B6908</f>
        <v>0</v>
      </c>
      <c r="C6908">
        <f>IF(Sheet1!B6908&gt;0,1,0)</f>
        <v>0</v>
      </c>
    </row>
    <row r="6909" spans="1:3" x14ac:dyDescent="0.25">
      <c r="A6909" s="15">
        <f>Sheet1!A6909</f>
        <v>0</v>
      </c>
      <c r="B6909">
        <f>Sheet1!B6909</f>
        <v>0</v>
      </c>
      <c r="C6909">
        <f>IF(Sheet1!B6909&gt;0,1,0)</f>
        <v>0</v>
      </c>
    </row>
    <row r="6910" spans="1:3" x14ac:dyDescent="0.25">
      <c r="A6910" s="15">
        <f>Sheet1!A6910</f>
        <v>0</v>
      </c>
      <c r="B6910">
        <f>Sheet1!B6910</f>
        <v>2.5299999999999998</v>
      </c>
      <c r="C6910">
        <f>IF(Sheet1!B6910&gt;0,1,0)</f>
        <v>1</v>
      </c>
    </row>
    <row r="6911" spans="1:3" x14ac:dyDescent="0.25">
      <c r="A6911" s="15">
        <f>Sheet1!A6911</f>
        <v>0</v>
      </c>
      <c r="B6911">
        <f>Sheet1!B6911</f>
        <v>2.92</v>
      </c>
      <c r="C6911">
        <f>IF(Sheet1!B6911&gt;0,1,0)</f>
        <v>1</v>
      </c>
    </row>
    <row r="6912" spans="1:3" x14ac:dyDescent="0.25">
      <c r="A6912" s="15">
        <f>Sheet1!A6912</f>
        <v>0</v>
      </c>
      <c r="B6912">
        <f>Sheet1!B6912</f>
        <v>3.64</v>
      </c>
      <c r="C6912">
        <f>IF(Sheet1!B6912&gt;0,1,0)</f>
        <v>1</v>
      </c>
    </row>
    <row r="6913" spans="1:3" x14ac:dyDescent="0.25">
      <c r="A6913" s="15">
        <f>Sheet1!A6913</f>
        <v>0</v>
      </c>
      <c r="B6913">
        <f>Sheet1!B6913</f>
        <v>3.59</v>
      </c>
      <c r="C6913">
        <f>IF(Sheet1!B6913&gt;0,1,0)</f>
        <v>1</v>
      </c>
    </row>
    <row r="6914" spans="1:3" x14ac:dyDescent="0.25">
      <c r="A6914" s="15">
        <f>Sheet1!A6914</f>
        <v>0</v>
      </c>
      <c r="B6914">
        <f>Sheet1!B6914</f>
        <v>3.54</v>
      </c>
      <c r="C6914">
        <f>IF(Sheet1!B6914&gt;0,1,0)</f>
        <v>1</v>
      </c>
    </row>
    <row r="6915" spans="1:3" x14ac:dyDescent="0.25">
      <c r="A6915" s="15">
        <f>Sheet1!A6915</f>
        <v>0</v>
      </c>
      <c r="B6915">
        <f>Sheet1!B6915</f>
        <v>3.45</v>
      </c>
      <c r="C6915">
        <f>IF(Sheet1!B6915&gt;0,1,0)</f>
        <v>1</v>
      </c>
    </row>
    <row r="6916" spans="1:3" x14ac:dyDescent="0.25">
      <c r="A6916" s="15">
        <f>Sheet1!A6916</f>
        <v>0</v>
      </c>
      <c r="B6916">
        <f>Sheet1!B6916</f>
        <v>3.51</v>
      </c>
      <c r="C6916">
        <f>IF(Sheet1!B6916&gt;0,1,0)</f>
        <v>1</v>
      </c>
    </row>
    <row r="6917" spans="1:3" x14ac:dyDescent="0.25">
      <c r="A6917" s="15">
        <f>Sheet1!A6917</f>
        <v>0</v>
      </c>
      <c r="B6917">
        <f>Sheet1!B6917</f>
        <v>3.44</v>
      </c>
      <c r="C6917">
        <f>IF(Sheet1!B6917&gt;0,1,0)</f>
        <v>1</v>
      </c>
    </row>
    <row r="6918" spans="1:3" x14ac:dyDescent="0.25">
      <c r="A6918" s="15">
        <f>Sheet1!A6918</f>
        <v>0</v>
      </c>
      <c r="B6918">
        <f>Sheet1!B6918</f>
        <v>2.79</v>
      </c>
      <c r="C6918">
        <f>IF(Sheet1!B6918&gt;0,1,0)</f>
        <v>1</v>
      </c>
    </row>
    <row r="6919" spans="1:3" x14ac:dyDescent="0.25">
      <c r="A6919" s="15">
        <f>Sheet1!A6919</f>
        <v>0</v>
      </c>
      <c r="B6919">
        <f>Sheet1!B6919</f>
        <v>2.21</v>
      </c>
      <c r="C6919">
        <f>IF(Sheet1!B6919&gt;0,1,0)</f>
        <v>1</v>
      </c>
    </row>
    <row r="6920" spans="1:3" x14ac:dyDescent="0.25">
      <c r="A6920" s="15">
        <f>Sheet1!A6920</f>
        <v>0</v>
      </c>
      <c r="B6920">
        <f>Sheet1!B6920</f>
        <v>2.71</v>
      </c>
      <c r="C6920">
        <f>IF(Sheet1!B6920&gt;0,1,0)</f>
        <v>1</v>
      </c>
    </row>
    <row r="6921" spans="1:3" x14ac:dyDescent="0.25">
      <c r="A6921" s="15">
        <f>Sheet1!A6921</f>
        <v>0</v>
      </c>
      <c r="B6921">
        <f>Sheet1!B6921</f>
        <v>2.73</v>
      </c>
      <c r="C6921">
        <f>IF(Sheet1!B6921&gt;0,1,0)</f>
        <v>1</v>
      </c>
    </row>
    <row r="6922" spans="1:3" x14ac:dyDescent="0.25">
      <c r="A6922" s="15">
        <f>Sheet1!A6922</f>
        <v>0</v>
      </c>
      <c r="B6922">
        <f>Sheet1!B6922</f>
        <v>2</v>
      </c>
      <c r="C6922">
        <f>IF(Sheet1!B6922&gt;0,1,0)</f>
        <v>1</v>
      </c>
    </row>
    <row r="6923" spans="1:3" x14ac:dyDescent="0.25">
      <c r="A6923" s="15">
        <f>Sheet1!A6923</f>
        <v>0</v>
      </c>
      <c r="B6923">
        <f>Sheet1!B6923</f>
        <v>2.4700000000000002</v>
      </c>
      <c r="C6923">
        <f>IF(Sheet1!B6923&gt;0,1,0)</f>
        <v>1</v>
      </c>
    </row>
    <row r="6924" spans="1:3" x14ac:dyDescent="0.25">
      <c r="A6924" s="15">
        <f>Sheet1!A6924</f>
        <v>0</v>
      </c>
      <c r="B6924">
        <f>Sheet1!B6924</f>
        <v>3.18</v>
      </c>
      <c r="C6924">
        <f>IF(Sheet1!B6924&gt;0,1,0)</f>
        <v>1</v>
      </c>
    </row>
    <row r="6925" spans="1:3" x14ac:dyDescent="0.25">
      <c r="A6925" s="15">
        <f>Sheet1!A6925</f>
        <v>0</v>
      </c>
      <c r="B6925">
        <f>Sheet1!B6925</f>
        <v>3.27</v>
      </c>
      <c r="C6925">
        <f>IF(Sheet1!B6925&gt;0,1,0)</f>
        <v>1</v>
      </c>
    </row>
    <row r="6926" spans="1:3" x14ac:dyDescent="0.25">
      <c r="A6926" s="15">
        <f>Sheet1!A6926</f>
        <v>0</v>
      </c>
      <c r="B6926">
        <f>Sheet1!B6926</f>
        <v>0</v>
      </c>
      <c r="C6926">
        <f>IF(Sheet1!B6926&gt;0,1,0)</f>
        <v>0</v>
      </c>
    </row>
    <row r="6927" spans="1:3" x14ac:dyDescent="0.25">
      <c r="A6927" s="15">
        <f>Sheet1!A6927</f>
        <v>0</v>
      </c>
      <c r="B6927">
        <f>Sheet1!B6927</f>
        <v>0</v>
      </c>
      <c r="C6927">
        <f>IF(Sheet1!B6927&gt;0,1,0)</f>
        <v>0</v>
      </c>
    </row>
    <row r="6928" spans="1:3" x14ac:dyDescent="0.25">
      <c r="A6928" s="15">
        <f>Sheet1!A6928</f>
        <v>0</v>
      </c>
      <c r="B6928">
        <f>Sheet1!B6928</f>
        <v>2.71</v>
      </c>
      <c r="C6928">
        <f>IF(Sheet1!B6928&gt;0,1,0)</f>
        <v>1</v>
      </c>
    </row>
    <row r="6929" spans="1:3" x14ac:dyDescent="0.25">
      <c r="A6929" s="15">
        <f>Sheet1!A6929</f>
        <v>0</v>
      </c>
      <c r="B6929">
        <f>Sheet1!B6929</f>
        <v>3.93</v>
      </c>
      <c r="C6929">
        <f>IF(Sheet1!B6929&gt;0,1,0)</f>
        <v>1</v>
      </c>
    </row>
    <row r="6930" spans="1:3" x14ac:dyDescent="0.25">
      <c r="A6930" s="15">
        <f>Sheet1!A6930</f>
        <v>0</v>
      </c>
      <c r="B6930">
        <f>Sheet1!B6930</f>
        <v>3.32</v>
      </c>
      <c r="C6930">
        <f>IF(Sheet1!B6930&gt;0,1,0)</f>
        <v>1</v>
      </c>
    </row>
    <row r="6931" spans="1:3" x14ac:dyDescent="0.25">
      <c r="A6931" s="15">
        <f>Sheet1!A6931</f>
        <v>0</v>
      </c>
      <c r="B6931">
        <f>Sheet1!B6931</f>
        <v>2.1800000000000002</v>
      </c>
      <c r="C6931">
        <f>IF(Sheet1!B6931&gt;0,1,0)</f>
        <v>1</v>
      </c>
    </row>
    <row r="6932" spans="1:3" x14ac:dyDescent="0.25">
      <c r="A6932" s="15">
        <f>Sheet1!A6932</f>
        <v>0</v>
      </c>
      <c r="B6932">
        <f>Sheet1!B6932</f>
        <v>2.61</v>
      </c>
      <c r="C6932">
        <f>IF(Sheet1!B6932&gt;0,1,0)</f>
        <v>1</v>
      </c>
    </row>
    <row r="6933" spans="1:3" x14ac:dyDescent="0.25">
      <c r="A6933" s="15">
        <f>Sheet1!A6933</f>
        <v>0</v>
      </c>
      <c r="B6933">
        <f>Sheet1!B6933</f>
        <v>2.2000000000000002</v>
      </c>
      <c r="C6933">
        <f>IF(Sheet1!B6933&gt;0,1,0)</f>
        <v>1</v>
      </c>
    </row>
    <row r="6934" spans="1:3" x14ac:dyDescent="0.25">
      <c r="A6934" s="15">
        <f>Sheet1!A6934</f>
        <v>0</v>
      </c>
      <c r="B6934">
        <f>Sheet1!B6934</f>
        <v>2.61</v>
      </c>
      <c r="C6934">
        <f>IF(Sheet1!B6934&gt;0,1,0)</f>
        <v>1</v>
      </c>
    </row>
    <row r="6935" spans="1:3" x14ac:dyDescent="0.25">
      <c r="A6935" s="15">
        <f>Sheet1!A6935</f>
        <v>0</v>
      </c>
      <c r="B6935">
        <f>Sheet1!B6935</f>
        <v>2.5</v>
      </c>
      <c r="C6935">
        <f>IF(Sheet1!B6935&gt;0,1,0)</f>
        <v>1</v>
      </c>
    </row>
    <row r="6936" spans="1:3" x14ac:dyDescent="0.25">
      <c r="A6936" s="15">
        <f>Sheet1!A6936</f>
        <v>0</v>
      </c>
      <c r="B6936">
        <f>Sheet1!B6936</f>
        <v>2.17</v>
      </c>
      <c r="C6936">
        <f>IF(Sheet1!B6936&gt;0,1,0)</f>
        <v>1</v>
      </c>
    </row>
    <row r="6937" spans="1:3" x14ac:dyDescent="0.25">
      <c r="A6937" s="15">
        <f>Sheet1!A6937</f>
        <v>0</v>
      </c>
      <c r="B6937">
        <f>Sheet1!B6937</f>
        <v>2.5499999999999998</v>
      </c>
      <c r="C6937">
        <f>IF(Sheet1!B6937&gt;0,1,0)</f>
        <v>1</v>
      </c>
    </row>
    <row r="6938" spans="1:3" x14ac:dyDescent="0.25">
      <c r="A6938" s="15">
        <f>Sheet1!A6938</f>
        <v>0</v>
      </c>
      <c r="B6938">
        <f>Sheet1!B6938</f>
        <v>2.4300000000000002</v>
      </c>
      <c r="C6938">
        <f>IF(Sheet1!B6938&gt;0,1,0)</f>
        <v>1</v>
      </c>
    </row>
    <row r="6939" spans="1:3" x14ac:dyDescent="0.25">
      <c r="A6939" s="15">
        <f>Sheet1!A6939</f>
        <v>0</v>
      </c>
      <c r="B6939">
        <f>Sheet1!B6939</f>
        <v>1.35</v>
      </c>
      <c r="C6939">
        <f>IF(Sheet1!B6939&gt;0,1,0)</f>
        <v>1</v>
      </c>
    </row>
    <row r="6940" spans="1:3" x14ac:dyDescent="0.25">
      <c r="A6940" s="15">
        <f>Sheet1!A6940</f>
        <v>0</v>
      </c>
      <c r="B6940">
        <f>Sheet1!B6940</f>
        <v>1.1100000000000001</v>
      </c>
      <c r="C6940">
        <f>IF(Sheet1!B6940&gt;0,1,0)</f>
        <v>1</v>
      </c>
    </row>
    <row r="6941" spans="1:3" x14ac:dyDescent="0.25">
      <c r="A6941" s="15">
        <f>Sheet1!A6941</f>
        <v>0</v>
      </c>
      <c r="B6941">
        <f>Sheet1!B6941</f>
        <v>2.5099999999999998</v>
      </c>
      <c r="C6941">
        <f>IF(Sheet1!B6941&gt;0,1,0)</f>
        <v>1</v>
      </c>
    </row>
    <row r="6942" spans="1:3" x14ac:dyDescent="0.25">
      <c r="A6942" s="15">
        <f>Sheet1!A6942</f>
        <v>0</v>
      </c>
      <c r="B6942">
        <f>Sheet1!B6942</f>
        <v>1.59</v>
      </c>
      <c r="C6942">
        <f>IF(Sheet1!B6942&gt;0,1,0)</f>
        <v>1</v>
      </c>
    </row>
    <row r="6943" spans="1:3" x14ac:dyDescent="0.25">
      <c r="A6943" s="15">
        <f>Sheet1!A6943</f>
        <v>0</v>
      </c>
      <c r="B6943">
        <f>Sheet1!B6943</f>
        <v>1.51</v>
      </c>
      <c r="C6943">
        <f>IF(Sheet1!B6943&gt;0,1,0)</f>
        <v>1</v>
      </c>
    </row>
    <row r="6944" spans="1:3" x14ac:dyDescent="0.25">
      <c r="A6944" s="15">
        <f>Sheet1!A6944</f>
        <v>0</v>
      </c>
      <c r="B6944">
        <f>Sheet1!B6944</f>
        <v>1.48</v>
      </c>
      <c r="C6944">
        <f>IF(Sheet1!B6944&gt;0,1,0)</f>
        <v>1</v>
      </c>
    </row>
    <row r="6945" spans="1:3" x14ac:dyDescent="0.25">
      <c r="A6945" s="15">
        <f>Sheet1!A6945</f>
        <v>0</v>
      </c>
      <c r="B6945">
        <f>Sheet1!B6945</f>
        <v>0.8</v>
      </c>
      <c r="C6945">
        <f>IF(Sheet1!B6945&gt;0,1,0)</f>
        <v>1</v>
      </c>
    </row>
    <row r="6946" spans="1:3" x14ac:dyDescent="0.25">
      <c r="A6946" s="15">
        <f>Sheet1!A6946</f>
        <v>0</v>
      </c>
      <c r="B6946">
        <f>Sheet1!B6946</f>
        <v>0.64</v>
      </c>
      <c r="C6946">
        <f>IF(Sheet1!B6946&gt;0,1,0)</f>
        <v>1</v>
      </c>
    </row>
    <row r="6947" spans="1:3" x14ac:dyDescent="0.25">
      <c r="A6947" s="15">
        <f>Sheet1!A6947</f>
        <v>0</v>
      </c>
      <c r="B6947">
        <f>Sheet1!B6947</f>
        <v>1.02</v>
      </c>
      <c r="C6947">
        <f>IF(Sheet1!B6947&gt;0,1,0)</f>
        <v>1</v>
      </c>
    </row>
    <row r="6948" spans="1:3" x14ac:dyDescent="0.25">
      <c r="A6948" s="15">
        <f>Sheet1!A6948</f>
        <v>0</v>
      </c>
      <c r="B6948">
        <f>Sheet1!B6948</f>
        <v>1.95</v>
      </c>
      <c r="C6948">
        <f>IF(Sheet1!B6948&gt;0,1,0)</f>
        <v>1</v>
      </c>
    </row>
    <row r="6949" spans="1:3" x14ac:dyDescent="0.25">
      <c r="A6949" s="15">
        <f>Sheet1!A6949</f>
        <v>0</v>
      </c>
      <c r="B6949">
        <f>Sheet1!B6949</f>
        <v>1.83</v>
      </c>
      <c r="C6949">
        <f>IF(Sheet1!B6949&gt;0,1,0)</f>
        <v>1</v>
      </c>
    </row>
    <row r="6950" spans="1:3" x14ac:dyDescent="0.25">
      <c r="A6950" s="15">
        <f>Sheet1!A6950</f>
        <v>0</v>
      </c>
      <c r="B6950">
        <f>Sheet1!B6950</f>
        <v>0</v>
      </c>
      <c r="C6950">
        <f>IF(Sheet1!B6950&gt;0,1,0)</f>
        <v>0</v>
      </c>
    </row>
    <row r="6951" spans="1:3" x14ac:dyDescent="0.25">
      <c r="A6951" s="15">
        <f>Sheet1!A6951</f>
        <v>0</v>
      </c>
      <c r="B6951">
        <f>Sheet1!B6951</f>
        <v>0</v>
      </c>
      <c r="C6951">
        <f>IF(Sheet1!B6951&gt;0,1,0)</f>
        <v>0</v>
      </c>
    </row>
    <row r="6952" spans="1:3" x14ac:dyDescent="0.25">
      <c r="A6952" s="15">
        <f>Sheet1!A6952</f>
        <v>0</v>
      </c>
      <c r="B6952">
        <f>Sheet1!B6952</f>
        <v>1.64</v>
      </c>
      <c r="C6952">
        <f>IF(Sheet1!B6952&gt;0,1,0)</f>
        <v>1</v>
      </c>
    </row>
    <row r="6953" spans="1:3" x14ac:dyDescent="0.25">
      <c r="A6953" s="15">
        <f>Sheet1!A6953</f>
        <v>0</v>
      </c>
      <c r="B6953">
        <f>Sheet1!B6953</f>
        <v>1.3</v>
      </c>
      <c r="C6953">
        <f>IF(Sheet1!B6953&gt;0,1,0)</f>
        <v>1</v>
      </c>
    </row>
    <row r="6954" spans="1:3" x14ac:dyDescent="0.25">
      <c r="A6954" s="15">
        <f>Sheet1!A6954</f>
        <v>0</v>
      </c>
      <c r="B6954">
        <f>Sheet1!B6954</f>
        <v>2.4500000000000002</v>
      </c>
      <c r="C6954">
        <f>IF(Sheet1!B6954&gt;0,1,0)</f>
        <v>1</v>
      </c>
    </row>
    <row r="6955" spans="1:3" x14ac:dyDescent="0.25">
      <c r="A6955" s="15">
        <f>Sheet1!A6955</f>
        <v>0</v>
      </c>
      <c r="B6955">
        <f>Sheet1!B6955</f>
        <v>3.33</v>
      </c>
      <c r="C6955">
        <f>IF(Sheet1!B6955&gt;0,1,0)</f>
        <v>1</v>
      </c>
    </row>
    <row r="6956" spans="1:3" x14ac:dyDescent="0.25">
      <c r="A6956" s="15">
        <f>Sheet1!A6956</f>
        <v>0</v>
      </c>
      <c r="B6956">
        <f>Sheet1!B6956</f>
        <v>0</v>
      </c>
      <c r="C6956">
        <f>IF(Sheet1!B6956&gt;0,1,0)</f>
        <v>0</v>
      </c>
    </row>
    <row r="6957" spans="1:3" x14ac:dyDescent="0.25">
      <c r="A6957" s="15">
        <f>Sheet1!A6957</f>
        <v>0</v>
      </c>
      <c r="B6957">
        <f>Sheet1!B6957</f>
        <v>3.32</v>
      </c>
      <c r="C6957">
        <f>IF(Sheet1!B6957&gt;0,1,0)</f>
        <v>1</v>
      </c>
    </row>
    <row r="6958" spans="1:3" x14ac:dyDescent="0.25">
      <c r="A6958" s="15">
        <f>Sheet1!A6958</f>
        <v>0</v>
      </c>
      <c r="B6958">
        <f>Sheet1!B6958</f>
        <v>2.7</v>
      </c>
      <c r="C6958">
        <f>IF(Sheet1!B6958&gt;0,1,0)</f>
        <v>1</v>
      </c>
    </row>
    <row r="6959" spans="1:3" x14ac:dyDescent="0.25">
      <c r="A6959" s="15">
        <f>Sheet1!A6959</f>
        <v>0</v>
      </c>
      <c r="B6959">
        <f>Sheet1!B6959</f>
        <v>1.45</v>
      </c>
      <c r="C6959">
        <f>IF(Sheet1!B6959&gt;0,1,0)</f>
        <v>1</v>
      </c>
    </row>
    <row r="6960" spans="1:3" x14ac:dyDescent="0.25">
      <c r="A6960" s="15">
        <f>Sheet1!A6960</f>
        <v>0</v>
      </c>
      <c r="B6960">
        <f>Sheet1!B6960</f>
        <v>2.4900000000000002</v>
      </c>
      <c r="C6960">
        <f>IF(Sheet1!B6960&gt;0,1,0)</f>
        <v>1</v>
      </c>
    </row>
    <row r="6961" spans="1:3" x14ac:dyDescent="0.25">
      <c r="A6961" s="15">
        <f>Sheet1!A6961</f>
        <v>0</v>
      </c>
      <c r="B6961">
        <f>Sheet1!B6961</f>
        <v>2.25</v>
      </c>
      <c r="C6961">
        <f>IF(Sheet1!B6961&gt;0,1,0)</f>
        <v>1</v>
      </c>
    </row>
    <row r="6962" spans="1:3" x14ac:dyDescent="0.25">
      <c r="A6962" s="15">
        <f>Sheet1!A6962</f>
        <v>0</v>
      </c>
      <c r="B6962">
        <f>Sheet1!B6962</f>
        <v>2.2200000000000002</v>
      </c>
      <c r="C6962">
        <f>IF(Sheet1!B6962&gt;0,1,0)</f>
        <v>1</v>
      </c>
    </row>
    <row r="6963" spans="1:3" x14ac:dyDescent="0.25">
      <c r="A6963" s="15">
        <f>Sheet1!A6963</f>
        <v>0</v>
      </c>
      <c r="B6963">
        <f>Sheet1!B6963</f>
        <v>2.12</v>
      </c>
      <c r="C6963">
        <f>IF(Sheet1!B6963&gt;0,1,0)</f>
        <v>1</v>
      </c>
    </row>
    <row r="6964" spans="1:3" x14ac:dyDescent="0.25">
      <c r="A6964" s="15">
        <f>Sheet1!A6964</f>
        <v>0</v>
      </c>
      <c r="B6964">
        <f>Sheet1!B6964</f>
        <v>2.17</v>
      </c>
      <c r="C6964">
        <f>IF(Sheet1!B6964&gt;0,1,0)</f>
        <v>1</v>
      </c>
    </row>
    <row r="6965" spans="1:3" x14ac:dyDescent="0.25">
      <c r="A6965" s="15">
        <f>Sheet1!A6965</f>
        <v>0</v>
      </c>
      <c r="B6965">
        <f>Sheet1!B6965</f>
        <v>2.09</v>
      </c>
      <c r="C6965">
        <f>IF(Sheet1!B6965&gt;0,1,0)</f>
        <v>1</v>
      </c>
    </row>
    <row r="6966" spans="1:3" x14ac:dyDescent="0.25">
      <c r="A6966" s="15">
        <f>Sheet1!A6966</f>
        <v>0</v>
      </c>
      <c r="B6966">
        <f>Sheet1!B6966</f>
        <v>1.48</v>
      </c>
      <c r="C6966">
        <f>IF(Sheet1!B6966&gt;0,1,0)</f>
        <v>1</v>
      </c>
    </row>
    <row r="6967" spans="1:3" x14ac:dyDescent="0.25">
      <c r="A6967" s="15">
        <f>Sheet1!A6967</f>
        <v>0</v>
      </c>
      <c r="B6967">
        <f>Sheet1!B6967</f>
        <v>1.53</v>
      </c>
      <c r="C6967">
        <f>IF(Sheet1!B6967&gt;0,1,0)</f>
        <v>1</v>
      </c>
    </row>
    <row r="6968" spans="1:3" x14ac:dyDescent="0.25">
      <c r="A6968" s="15">
        <f>Sheet1!A6968</f>
        <v>0</v>
      </c>
      <c r="B6968">
        <f>Sheet1!B6968</f>
        <v>1.44</v>
      </c>
      <c r="C6968">
        <f>IF(Sheet1!B6968&gt;0,1,0)</f>
        <v>1</v>
      </c>
    </row>
    <row r="6969" spans="1:3" x14ac:dyDescent="0.25">
      <c r="A6969" s="15">
        <f>Sheet1!A6969</f>
        <v>0</v>
      </c>
      <c r="B6969">
        <f>Sheet1!B6969</f>
        <v>1.71</v>
      </c>
      <c r="C6969">
        <f>IF(Sheet1!B6969&gt;0,1,0)</f>
        <v>1</v>
      </c>
    </row>
    <row r="6970" spans="1:3" x14ac:dyDescent="0.25">
      <c r="A6970" s="15">
        <f>Sheet1!A6970</f>
        <v>0</v>
      </c>
      <c r="B6970">
        <f>Sheet1!B6970</f>
        <v>0.84</v>
      </c>
      <c r="C6970">
        <f>IF(Sheet1!B6970&gt;0,1,0)</f>
        <v>1</v>
      </c>
    </row>
    <row r="6971" spans="1:3" x14ac:dyDescent="0.25">
      <c r="A6971" s="15">
        <f>Sheet1!A6971</f>
        <v>0</v>
      </c>
      <c r="B6971">
        <f>Sheet1!B6971</f>
        <v>0.6</v>
      </c>
      <c r="C6971">
        <f>IF(Sheet1!B6971&gt;0,1,0)</f>
        <v>1</v>
      </c>
    </row>
    <row r="6972" spans="1:3" x14ac:dyDescent="0.25">
      <c r="A6972" s="15">
        <f>Sheet1!A6972</f>
        <v>0</v>
      </c>
      <c r="B6972">
        <f>Sheet1!B6972</f>
        <v>0.59</v>
      </c>
      <c r="C6972">
        <f>IF(Sheet1!B6972&gt;0,1,0)</f>
        <v>1</v>
      </c>
    </row>
    <row r="6973" spans="1:3" x14ac:dyDescent="0.25">
      <c r="A6973" s="15">
        <f>Sheet1!A6973</f>
        <v>0</v>
      </c>
      <c r="B6973">
        <f>Sheet1!B6973</f>
        <v>1.3</v>
      </c>
      <c r="C6973">
        <f>IF(Sheet1!B6973&gt;0,1,0)</f>
        <v>1</v>
      </c>
    </row>
    <row r="6974" spans="1:3" x14ac:dyDescent="0.25">
      <c r="A6974" s="15">
        <f>Sheet1!A6974</f>
        <v>0</v>
      </c>
      <c r="B6974">
        <f>Sheet1!B6974</f>
        <v>1.01</v>
      </c>
      <c r="C6974">
        <f>IF(Sheet1!B6974&gt;0,1,0)</f>
        <v>1</v>
      </c>
    </row>
    <row r="6975" spans="1:3" x14ac:dyDescent="0.25">
      <c r="A6975" s="15">
        <f>Sheet1!A6975</f>
        <v>0</v>
      </c>
      <c r="B6975">
        <f>Sheet1!B6975</f>
        <v>0.82</v>
      </c>
      <c r="C6975">
        <f>IF(Sheet1!B6975&gt;0,1,0)</f>
        <v>1</v>
      </c>
    </row>
    <row r="6976" spans="1:3" x14ac:dyDescent="0.25">
      <c r="A6976" s="15">
        <f>Sheet1!A6976</f>
        <v>0</v>
      </c>
      <c r="B6976">
        <f>Sheet1!B6976</f>
        <v>1.1599999999999999</v>
      </c>
      <c r="C6976">
        <f>IF(Sheet1!B6976&gt;0,1,0)</f>
        <v>1</v>
      </c>
    </row>
    <row r="6977" spans="1:3" x14ac:dyDescent="0.25">
      <c r="A6977" s="15">
        <f>Sheet1!A6977</f>
        <v>0</v>
      </c>
      <c r="B6977">
        <f>Sheet1!B6977</f>
        <v>1.45</v>
      </c>
      <c r="C6977">
        <f>IF(Sheet1!B6977&gt;0,1,0)</f>
        <v>1</v>
      </c>
    </row>
    <row r="6978" spans="1:3" x14ac:dyDescent="0.25">
      <c r="A6978" s="15">
        <f>Sheet1!A6978</f>
        <v>0</v>
      </c>
      <c r="B6978">
        <f>Sheet1!B6978</f>
        <v>2.2799999999999998</v>
      </c>
      <c r="C6978">
        <f>IF(Sheet1!B6978&gt;0,1,0)</f>
        <v>1</v>
      </c>
    </row>
    <row r="6979" spans="1:3" x14ac:dyDescent="0.25">
      <c r="A6979" s="15">
        <f>Sheet1!A6979</f>
        <v>0</v>
      </c>
      <c r="B6979">
        <f>Sheet1!B6979</f>
        <v>1.41</v>
      </c>
      <c r="C6979">
        <f>IF(Sheet1!B6979&gt;0,1,0)</f>
        <v>1</v>
      </c>
    </row>
    <row r="6980" spans="1:3" x14ac:dyDescent="0.25">
      <c r="A6980" s="15">
        <f>Sheet1!A6980</f>
        <v>0</v>
      </c>
      <c r="B6980">
        <f>Sheet1!B6980</f>
        <v>1.98</v>
      </c>
      <c r="C6980">
        <f>IF(Sheet1!B6980&gt;0,1,0)</f>
        <v>1</v>
      </c>
    </row>
    <row r="6981" spans="1:3" x14ac:dyDescent="0.25">
      <c r="A6981" s="15">
        <f>Sheet1!A6981</f>
        <v>0</v>
      </c>
      <c r="B6981">
        <f>Sheet1!B6981</f>
        <v>1.1599999999999999</v>
      </c>
      <c r="C6981">
        <f>IF(Sheet1!B6981&gt;0,1,0)</f>
        <v>1</v>
      </c>
    </row>
    <row r="6982" spans="1:3" x14ac:dyDescent="0.25">
      <c r="A6982" s="15">
        <f>Sheet1!A6982</f>
        <v>0</v>
      </c>
      <c r="B6982">
        <f>Sheet1!B6982</f>
        <v>1.19</v>
      </c>
      <c r="C6982">
        <f>IF(Sheet1!B6982&gt;0,1,0)</f>
        <v>1</v>
      </c>
    </row>
    <row r="6983" spans="1:3" x14ac:dyDescent="0.25">
      <c r="A6983" s="15">
        <f>Sheet1!A6983</f>
        <v>0</v>
      </c>
      <c r="B6983">
        <f>Sheet1!B6983</f>
        <v>1</v>
      </c>
      <c r="C6983">
        <f>IF(Sheet1!B6983&gt;0,1,0)</f>
        <v>1</v>
      </c>
    </row>
    <row r="6984" spans="1:3" x14ac:dyDescent="0.25">
      <c r="A6984" s="15">
        <f>Sheet1!A6984</f>
        <v>0</v>
      </c>
      <c r="B6984">
        <f>Sheet1!B6984</f>
        <v>1.36</v>
      </c>
      <c r="C6984">
        <f>IF(Sheet1!B6984&gt;0,1,0)</f>
        <v>1</v>
      </c>
    </row>
    <row r="6985" spans="1:3" x14ac:dyDescent="0.25">
      <c r="A6985" s="15">
        <f>Sheet1!A6985</f>
        <v>0</v>
      </c>
      <c r="B6985">
        <f>Sheet1!B6985</f>
        <v>1.29</v>
      </c>
      <c r="C6985">
        <f>IF(Sheet1!B6985&gt;0,1,0)</f>
        <v>1</v>
      </c>
    </row>
    <row r="6986" spans="1:3" x14ac:dyDescent="0.25">
      <c r="A6986" s="15">
        <f>Sheet1!A6986</f>
        <v>0</v>
      </c>
      <c r="B6986">
        <f>Sheet1!B6986</f>
        <v>1.1599999999999999</v>
      </c>
      <c r="C6986">
        <f>IF(Sheet1!B6986&gt;0,1,0)</f>
        <v>1</v>
      </c>
    </row>
    <row r="6987" spans="1:3" x14ac:dyDescent="0.25">
      <c r="A6987" s="15">
        <f>Sheet1!A6987</f>
        <v>0</v>
      </c>
      <c r="B6987">
        <f>Sheet1!B6987</f>
        <v>1.22</v>
      </c>
      <c r="C6987">
        <f>IF(Sheet1!B6987&gt;0,1,0)</f>
        <v>1</v>
      </c>
    </row>
    <row r="6988" spans="1:3" x14ac:dyDescent="0.25">
      <c r="A6988" s="15">
        <f>Sheet1!A6988</f>
        <v>0</v>
      </c>
      <c r="B6988">
        <f>Sheet1!B6988</f>
        <v>1.1299999999999999</v>
      </c>
      <c r="C6988">
        <f>IF(Sheet1!B6988&gt;0,1,0)</f>
        <v>1</v>
      </c>
    </row>
    <row r="6989" spans="1:3" x14ac:dyDescent="0.25">
      <c r="A6989" s="15">
        <f>Sheet1!A6989</f>
        <v>0</v>
      </c>
      <c r="B6989">
        <f>Sheet1!B6989</f>
        <v>1.08</v>
      </c>
      <c r="C6989">
        <f>IF(Sheet1!B6989&gt;0,1,0)</f>
        <v>1</v>
      </c>
    </row>
    <row r="6990" spans="1:3" x14ac:dyDescent="0.25">
      <c r="A6990" s="15">
        <f>Sheet1!A6990</f>
        <v>0</v>
      </c>
      <c r="B6990">
        <f>Sheet1!B6990</f>
        <v>0.66</v>
      </c>
      <c r="C6990">
        <f>IF(Sheet1!B6990&gt;0,1,0)</f>
        <v>1</v>
      </c>
    </row>
    <row r="6991" spans="1:3" x14ac:dyDescent="0.25">
      <c r="A6991" s="15">
        <f>Sheet1!A6991</f>
        <v>0</v>
      </c>
      <c r="B6991">
        <f>Sheet1!B6991</f>
        <v>0.44</v>
      </c>
      <c r="C6991">
        <f>IF(Sheet1!B6991&gt;0,1,0)</f>
        <v>1</v>
      </c>
    </row>
    <row r="6992" spans="1:3" x14ac:dyDescent="0.25">
      <c r="A6992" s="15">
        <f>Sheet1!A6992</f>
        <v>0</v>
      </c>
      <c r="B6992">
        <f>Sheet1!B6992</f>
        <v>0.47</v>
      </c>
      <c r="C6992">
        <f>IF(Sheet1!B6992&gt;0,1,0)</f>
        <v>1</v>
      </c>
    </row>
    <row r="6993" spans="1:3" x14ac:dyDescent="0.25">
      <c r="A6993" s="15">
        <f>Sheet1!A6993</f>
        <v>0</v>
      </c>
      <c r="B6993">
        <f>Sheet1!B6993</f>
        <v>0.57999999999999996</v>
      </c>
      <c r="C6993">
        <f>IF(Sheet1!B6993&gt;0,1,0)</f>
        <v>1</v>
      </c>
    </row>
    <row r="6994" spans="1:3" x14ac:dyDescent="0.25">
      <c r="A6994" s="15">
        <f>Sheet1!A6994</f>
        <v>0</v>
      </c>
      <c r="B6994">
        <f>Sheet1!B6994</f>
        <v>0.61</v>
      </c>
      <c r="C6994">
        <f>IF(Sheet1!B6994&gt;0,1,0)</f>
        <v>1</v>
      </c>
    </row>
    <row r="6995" spans="1:3" x14ac:dyDescent="0.25">
      <c r="A6995" s="15">
        <f>Sheet1!A6995</f>
        <v>0</v>
      </c>
      <c r="B6995">
        <f>Sheet1!B6995</f>
        <v>0.86</v>
      </c>
      <c r="C6995">
        <f>IF(Sheet1!B6995&gt;0,1,0)</f>
        <v>1</v>
      </c>
    </row>
    <row r="6996" spans="1:3" x14ac:dyDescent="0.25">
      <c r="A6996" s="15">
        <f>Sheet1!A6996</f>
        <v>0</v>
      </c>
      <c r="B6996">
        <f>Sheet1!B6996</f>
        <v>0.73</v>
      </c>
      <c r="C6996">
        <f>IF(Sheet1!B6996&gt;0,1,0)</f>
        <v>1</v>
      </c>
    </row>
    <row r="6997" spans="1:3" x14ac:dyDescent="0.25">
      <c r="A6997" s="15">
        <f>Sheet1!A6997</f>
        <v>0</v>
      </c>
      <c r="B6997">
        <f>Sheet1!B6997</f>
        <v>0.55000000000000004</v>
      </c>
      <c r="C6997">
        <f>IF(Sheet1!B6997&gt;0,1,0)</f>
        <v>1</v>
      </c>
    </row>
    <row r="6998" spans="1:3" x14ac:dyDescent="0.25">
      <c r="A6998" s="15">
        <f>Sheet1!A6998</f>
        <v>0</v>
      </c>
      <c r="B6998">
        <f>Sheet1!B6998</f>
        <v>0.95</v>
      </c>
      <c r="C6998">
        <f>IF(Sheet1!B6998&gt;0,1,0)</f>
        <v>1</v>
      </c>
    </row>
    <row r="6999" spans="1:3" x14ac:dyDescent="0.25">
      <c r="A6999" s="15">
        <f>Sheet1!A6999</f>
        <v>0</v>
      </c>
      <c r="B6999">
        <f>Sheet1!B6999</f>
        <v>0.95</v>
      </c>
      <c r="C6999">
        <f>IF(Sheet1!B6999&gt;0,1,0)</f>
        <v>1</v>
      </c>
    </row>
    <row r="7000" spans="1:3" x14ac:dyDescent="0.25">
      <c r="A7000" s="15">
        <f>Sheet1!A7000</f>
        <v>0</v>
      </c>
      <c r="B7000">
        <f>Sheet1!B7000</f>
        <v>1.41</v>
      </c>
      <c r="C7000">
        <f>IF(Sheet1!B7000&gt;0,1,0)</f>
        <v>1</v>
      </c>
    </row>
    <row r="7001" spans="1:3" x14ac:dyDescent="0.25">
      <c r="A7001" s="15">
        <f>Sheet1!A7001</f>
        <v>0</v>
      </c>
      <c r="B7001">
        <f>Sheet1!B7001</f>
        <v>1.67</v>
      </c>
      <c r="C7001">
        <f>IF(Sheet1!B7001&gt;0,1,0)</f>
        <v>1</v>
      </c>
    </row>
    <row r="7002" spans="1:3" x14ac:dyDescent="0.25">
      <c r="A7002" s="15">
        <f>Sheet1!A7002</f>
        <v>0</v>
      </c>
      <c r="B7002">
        <f>Sheet1!B7002</f>
        <v>1.44</v>
      </c>
      <c r="C7002">
        <f>IF(Sheet1!B7002&gt;0,1,0)</f>
        <v>1</v>
      </c>
    </row>
    <row r="7003" spans="1:3" x14ac:dyDescent="0.25">
      <c r="A7003" s="15">
        <f>Sheet1!A7003</f>
        <v>0</v>
      </c>
      <c r="B7003">
        <f>Sheet1!B7003</f>
        <v>2.0499999999999998</v>
      </c>
      <c r="C7003">
        <f>IF(Sheet1!B7003&gt;0,1,0)</f>
        <v>1</v>
      </c>
    </row>
    <row r="7004" spans="1:3" x14ac:dyDescent="0.25">
      <c r="A7004" s="15">
        <f>Sheet1!A7004</f>
        <v>0</v>
      </c>
      <c r="B7004">
        <f>Sheet1!B7004</f>
        <v>2.2999999999999998</v>
      </c>
      <c r="C7004">
        <f>IF(Sheet1!B7004&gt;0,1,0)</f>
        <v>1</v>
      </c>
    </row>
    <row r="7005" spans="1:3" x14ac:dyDescent="0.25">
      <c r="A7005" s="15">
        <f>Sheet1!A7005</f>
        <v>0</v>
      </c>
      <c r="B7005">
        <f>Sheet1!B7005</f>
        <v>2.2400000000000002</v>
      </c>
      <c r="C7005">
        <f>IF(Sheet1!B7005&gt;0,1,0)</f>
        <v>1</v>
      </c>
    </row>
    <row r="7006" spans="1:3" x14ac:dyDescent="0.25">
      <c r="A7006" s="15">
        <f>Sheet1!A7006</f>
        <v>0</v>
      </c>
      <c r="B7006">
        <f>Sheet1!B7006</f>
        <v>2.29</v>
      </c>
      <c r="C7006">
        <f>IF(Sheet1!B7006&gt;0,1,0)</f>
        <v>1</v>
      </c>
    </row>
    <row r="7007" spans="1:3" x14ac:dyDescent="0.25">
      <c r="A7007" s="15">
        <f>Sheet1!A7007</f>
        <v>0</v>
      </c>
      <c r="B7007">
        <f>Sheet1!B7007</f>
        <v>2.36</v>
      </c>
      <c r="C7007">
        <f>IF(Sheet1!B7007&gt;0,1,0)</f>
        <v>1</v>
      </c>
    </row>
    <row r="7008" spans="1:3" x14ac:dyDescent="0.25">
      <c r="A7008" s="15">
        <f>Sheet1!A7008</f>
        <v>0</v>
      </c>
      <c r="B7008">
        <f>Sheet1!B7008</f>
        <v>1.78</v>
      </c>
      <c r="C7008">
        <f>IF(Sheet1!B7008&gt;0,1,0)</f>
        <v>1</v>
      </c>
    </row>
    <row r="7009" spans="1:3" x14ac:dyDescent="0.25">
      <c r="A7009" s="15">
        <f>Sheet1!A7009</f>
        <v>0</v>
      </c>
      <c r="B7009">
        <f>Sheet1!B7009</f>
        <v>1.56</v>
      </c>
      <c r="C7009">
        <f>IF(Sheet1!B7009&gt;0,1,0)</f>
        <v>1</v>
      </c>
    </row>
    <row r="7010" spans="1:3" x14ac:dyDescent="0.25">
      <c r="A7010" s="15">
        <f>Sheet1!A7010</f>
        <v>0</v>
      </c>
      <c r="B7010">
        <f>Sheet1!B7010</f>
        <v>1.31</v>
      </c>
      <c r="C7010">
        <f>IF(Sheet1!B7010&gt;0,1,0)</f>
        <v>1</v>
      </c>
    </row>
    <row r="7011" spans="1:3" x14ac:dyDescent="0.25">
      <c r="A7011" s="15">
        <f>Sheet1!A7011</f>
        <v>0</v>
      </c>
      <c r="B7011">
        <f>Sheet1!B7011</f>
        <v>1.19</v>
      </c>
      <c r="C7011">
        <f>IF(Sheet1!B7011&gt;0,1,0)</f>
        <v>1</v>
      </c>
    </row>
    <row r="7012" spans="1:3" x14ac:dyDescent="0.25">
      <c r="A7012" s="15">
        <f>Sheet1!A7012</f>
        <v>0</v>
      </c>
      <c r="B7012">
        <f>Sheet1!B7012</f>
        <v>1.1399999999999999</v>
      </c>
      <c r="C7012">
        <f>IF(Sheet1!B7012&gt;0,1,0)</f>
        <v>1</v>
      </c>
    </row>
    <row r="7013" spans="1:3" x14ac:dyDescent="0.25">
      <c r="A7013" s="15">
        <f>Sheet1!A7013</f>
        <v>0</v>
      </c>
      <c r="B7013">
        <f>Sheet1!B7013</f>
        <v>1.06</v>
      </c>
      <c r="C7013">
        <f>IF(Sheet1!B7013&gt;0,1,0)</f>
        <v>1</v>
      </c>
    </row>
    <row r="7014" spans="1:3" x14ac:dyDescent="0.25">
      <c r="A7014" s="15">
        <f>Sheet1!A7014</f>
        <v>0</v>
      </c>
      <c r="B7014">
        <f>Sheet1!B7014</f>
        <v>0.84</v>
      </c>
      <c r="C7014">
        <f>IF(Sheet1!B7014&gt;0,1,0)</f>
        <v>1</v>
      </c>
    </row>
    <row r="7015" spans="1:3" x14ac:dyDescent="0.25">
      <c r="A7015" s="15">
        <f>Sheet1!A7015</f>
        <v>0</v>
      </c>
      <c r="B7015">
        <f>Sheet1!B7015</f>
        <v>0.49</v>
      </c>
      <c r="C7015">
        <f>IF(Sheet1!B7015&gt;0,1,0)</f>
        <v>1</v>
      </c>
    </row>
    <row r="7016" spans="1:3" x14ac:dyDescent="0.25">
      <c r="A7016" s="15">
        <f>Sheet1!A7016</f>
        <v>0</v>
      </c>
      <c r="B7016">
        <f>Sheet1!B7016</f>
        <v>0.49</v>
      </c>
      <c r="C7016">
        <f>IF(Sheet1!B7016&gt;0,1,0)</f>
        <v>1</v>
      </c>
    </row>
    <row r="7017" spans="1:3" x14ac:dyDescent="0.25">
      <c r="A7017" s="15">
        <f>Sheet1!A7017</f>
        <v>0</v>
      </c>
      <c r="B7017">
        <f>Sheet1!B7017</f>
        <v>0.55000000000000004</v>
      </c>
      <c r="C7017">
        <f>IF(Sheet1!B7017&gt;0,1,0)</f>
        <v>1</v>
      </c>
    </row>
    <row r="7018" spans="1:3" x14ac:dyDescent="0.25">
      <c r="A7018" s="15">
        <f>Sheet1!A7018</f>
        <v>0</v>
      </c>
      <c r="B7018">
        <f>Sheet1!B7018</f>
        <v>0.6</v>
      </c>
      <c r="C7018">
        <f>IF(Sheet1!B7018&gt;0,1,0)</f>
        <v>1</v>
      </c>
    </row>
    <row r="7019" spans="1:3" x14ac:dyDescent="0.25">
      <c r="A7019" s="15">
        <f>Sheet1!A7019</f>
        <v>0</v>
      </c>
      <c r="B7019">
        <f>Sheet1!B7019</f>
        <v>2.74</v>
      </c>
      <c r="C7019">
        <f>IF(Sheet1!B7019&gt;0,1,0)</f>
        <v>1</v>
      </c>
    </row>
    <row r="7020" spans="1:3" x14ac:dyDescent="0.25">
      <c r="A7020" s="15">
        <f>Sheet1!A7020</f>
        <v>0</v>
      </c>
      <c r="B7020">
        <f>Sheet1!B7020</f>
        <v>0.92</v>
      </c>
      <c r="C7020">
        <f>IF(Sheet1!B7020&gt;0,1,0)</f>
        <v>1</v>
      </c>
    </row>
    <row r="7021" spans="1:3" x14ac:dyDescent="0.25">
      <c r="A7021" s="15">
        <f>Sheet1!A7021</f>
        <v>0</v>
      </c>
      <c r="B7021">
        <f>Sheet1!B7021</f>
        <v>0.78</v>
      </c>
      <c r="C7021">
        <f>IF(Sheet1!B7021&gt;0,1,0)</f>
        <v>1</v>
      </c>
    </row>
    <row r="7022" spans="1:3" x14ac:dyDescent="0.25">
      <c r="A7022" s="15">
        <f>Sheet1!A7022</f>
        <v>0</v>
      </c>
      <c r="B7022">
        <f>Sheet1!B7022</f>
        <v>0.89</v>
      </c>
      <c r="C7022">
        <f>IF(Sheet1!B7022&gt;0,1,0)</f>
        <v>1</v>
      </c>
    </row>
    <row r="7023" spans="1:3" x14ac:dyDescent="0.25">
      <c r="A7023" s="15">
        <f>Sheet1!A7023</f>
        <v>0</v>
      </c>
      <c r="B7023">
        <f>Sheet1!B7023</f>
        <v>0.76</v>
      </c>
      <c r="C7023">
        <f>IF(Sheet1!B7023&gt;0,1,0)</f>
        <v>1</v>
      </c>
    </row>
    <row r="7024" spans="1:3" x14ac:dyDescent="0.25">
      <c r="A7024" s="15">
        <f>Sheet1!A7024</f>
        <v>0</v>
      </c>
      <c r="B7024">
        <f>Sheet1!B7024</f>
        <v>0.82</v>
      </c>
      <c r="C7024">
        <f>IF(Sheet1!B7024&gt;0,1,0)</f>
        <v>1</v>
      </c>
    </row>
    <row r="7025" spans="1:3" x14ac:dyDescent="0.25">
      <c r="A7025" s="15">
        <f>Sheet1!A7025</f>
        <v>0</v>
      </c>
      <c r="B7025">
        <f>Sheet1!B7025</f>
        <v>1.79</v>
      </c>
      <c r="C7025">
        <f>IF(Sheet1!B7025&gt;0,1,0)</f>
        <v>1</v>
      </c>
    </row>
    <row r="7026" spans="1:3" x14ac:dyDescent="0.25">
      <c r="A7026" s="15">
        <f>Sheet1!A7026</f>
        <v>0</v>
      </c>
      <c r="B7026">
        <f>Sheet1!B7026</f>
        <v>2.0099999999999998</v>
      </c>
      <c r="C7026">
        <f>IF(Sheet1!B7026&gt;0,1,0)</f>
        <v>1</v>
      </c>
    </row>
    <row r="7027" spans="1:3" x14ac:dyDescent="0.25">
      <c r="A7027" s="15">
        <f>Sheet1!A7027</f>
        <v>0</v>
      </c>
      <c r="B7027">
        <f>Sheet1!B7027</f>
        <v>0.91</v>
      </c>
      <c r="C7027">
        <f>IF(Sheet1!B7027&gt;0,1,0)</f>
        <v>1</v>
      </c>
    </row>
    <row r="7028" spans="1:3" x14ac:dyDescent="0.25">
      <c r="A7028" s="15">
        <f>Sheet1!A7028</f>
        <v>0</v>
      </c>
      <c r="B7028">
        <f>Sheet1!B7028</f>
        <v>1.18</v>
      </c>
      <c r="C7028">
        <f>IF(Sheet1!B7028&gt;0,1,0)</f>
        <v>1</v>
      </c>
    </row>
    <row r="7029" spans="1:3" x14ac:dyDescent="0.25">
      <c r="A7029" s="15">
        <f>Sheet1!A7029</f>
        <v>0</v>
      </c>
      <c r="B7029">
        <f>Sheet1!B7029</f>
        <v>1.19</v>
      </c>
      <c r="C7029">
        <f>IF(Sheet1!B7029&gt;0,1,0)</f>
        <v>1</v>
      </c>
    </row>
    <row r="7030" spans="1:3" x14ac:dyDescent="0.25">
      <c r="A7030" s="15">
        <f>Sheet1!A7030</f>
        <v>0</v>
      </c>
      <c r="B7030">
        <f>Sheet1!B7030</f>
        <v>1.29</v>
      </c>
      <c r="C7030">
        <f>IF(Sheet1!B7030&gt;0,1,0)</f>
        <v>1</v>
      </c>
    </row>
    <row r="7031" spans="1:3" x14ac:dyDescent="0.25">
      <c r="A7031" s="15">
        <f>Sheet1!A7031</f>
        <v>0</v>
      </c>
      <c r="B7031">
        <f>Sheet1!B7031</f>
        <v>1.03</v>
      </c>
      <c r="C7031">
        <f>IF(Sheet1!B7031&gt;0,1,0)</f>
        <v>1</v>
      </c>
    </row>
    <row r="7032" spans="1:3" x14ac:dyDescent="0.25">
      <c r="A7032" s="15">
        <f>Sheet1!A7032</f>
        <v>0</v>
      </c>
      <c r="B7032">
        <f>Sheet1!B7032</f>
        <v>2.29</v>
      </c>
      <c r="C7032">
        <f>IF(Sheet1!B7032&gt;0,1,0)</f>
        <v>1</v>
      </c>
    </row>
    <row r="7033" spans="1:3" x14ac:dyDescent="0.25">
      <c r="A7033" s="15">
        <f>Sheet1!A7033</f>
        <v>0</v>
      </c>
      <c r="B7033">
        <f>Sheet1!B7033</f>
        <v>2.56</v>
      </c>
      <c r="C7033">
        <f>IF(Sheet1!B7033&gt;0,1,0)</f>
        <v>1</v>
      </c>
    </row>
    <row r="7034" spans="1:3" x14ac:dyDescent="0.25">
      <c r="A7034" s="15">
        <f>Sheet1!A7034</f>
        <v>0</v>
      </c>
      <c r="B7034">
        <f>Sheet1!B7034</f>
        <v>1.33</v>
      </c>
      <c r="C7034">
        <f>IF(Sheet1!B7034&gt;0,1,0)</f>
        <v>1</v>
      </c>
    </row>
    <row r="7035" spans="1:3" x14ac:dyDescent="0.25">
      <c r="A7035" s="15">
        <f>Sheet1!A7035</f>
        <v>0</v>
      </c>
      <c r="B7035">
        <f>Sheet1!B7035</f>
        <v>1.35</v>
      </c>
      <c r="C7035">
        <f>IF(Sheet1!B7035&gt;0,1,0)</f>
        <v>1</v>
      </c>
    </row>
    <row r="7036" spans="1:3" x14ac:dyDescent="0.25">
      <c r="A7036" s="15">
        <f>Sheet1!A7036</f>
        <v>0</v>
      </c>
      <c r="B7036">
        <f>Sheet1!B7036</f>
        <v>1.18</v>
      </c>
      <c r="C7036">
        <f>IF(Sheet1!B7036&gt;0,1,0)</f>
        <v>1</v>
      </c>
    </row>
    <row r="7037" spans="1:3" x14ac:dyDescent="0.25">
      <c r="A7037" s="15">
        <f>Sheet1!A7037</f>
        <v>0</v>
      </c>
      <c r="B7037">
        <f>Sheet1!B7037</f>
        <v>1.22</v>
      </c>
      <c r="C7037">
        <f>IF(Sheet1!B7037&gt;0,1,0)</f>
        <v>1</v>
      </c>
    </row>
    <row r="7038" spans="1:3" x14ac:dyDescent="0.25">
      <c r="A7038" s="15">
        <f>Sheet1!A7038</f>
        <v>0</v>
      </c>
      <c r="B7038">
        <f>Sheet1!B7038</f>
        <v>1.08</v>
      </c>
      <c r="C7038">
        <f>IF(Sheet1!B7038&gt;0,1,0)</f>
        <v>1</v>
      </c>
    </row>
    <row r="7039" spans="1:3" x14ac:dyDescent="0.25">
      <c r="A7039" s="15">
        <f>Sheet1!A7039</f>
        <v>0</v>
      </c>
      <c r="B7039">
        <f>Sheet1!B7039</f>
        <v>0.89</v>
      </c>
      <c r="C7039">
        <f>IF(Sheet1!B7039&gt;0,1,0)</f>
        <v>1</v>
      </c>
    </row>
    <row r="7040" spans="1:3" x14ac:dyDescent="0.25">
      <c r="A7040" s="15">
        <f>Sheet1!A7040</f>
        <v>0</v>
      </c>
      <c r="B7040">
        <f>Sheet1!B7040</f>
        <v>1.89</v>
      </c>
      <c r="C7040">
        <f>IF(Sheet1!B7040&gt;0,1,0)</f>
        <v>1</v>
      </c>
    </row>
    <row r="7041" spans="1:3" x14ac:dyDescent="0.25">
      <c r="A7041" s="15">
        <f>Sheet1!A7041</f>
        <v>0</v>
      </c>
      <c r="B7041">
        <f>Sheet1!B7041</f>
        <v>2.1</v>
      </c>
      <c r="C7041">
        <f>IF(Sheet1!B7041&gt;0,1,0)</f>
        <v>1</v>
      </c>
    </row>
    <row r="7042" spans="1:3" x14ac:dyDescent="0.25">
      <c r="A7042" s="15">
        <f>Sheet1!A7042</f>
        <v>0</v>
      </c>
      <c r="B7042">
        <f>Sheet1!B7042</f>
        <v>1.97</v>
      </c>
      <c r="C7042">
        <f>IF(Sheet1!B7042&gt;0,1,0)</f>
        <v>1</v>
      </c>
    </row>
    <row r="7043" spans="1:3" x14ac:dyDescent="0.25">
      <c r="A7043" s="15">
        <f>Sheet1!A7043</f>
        <v>0</v>
      </c>
      <c r="B7043">
        <f>Sheet1!B7043</f>
        <v>2.2599999999999998</v>
      </c>
      <c r="C7043">
        <f>IF(Sheet1!B7043&gt;0,1,0)</f>
        <v>1</v>
      </c>
    </row>
    <row r="7044" spans="1:3" x14ac:dyDescent="0.25">
      <c r="A7044" s="15">
        <f>Sheet1!A7044</f>
        <v>0</v>
      </c>
      <c r="B7044">
        <f>Sheet1!B7044</f>
        <v>2.83</v>
      </c>
      <c r="C7044">
        <f>IF(Sheet1!B7044&gt;0,1,0)</f>
        <v>1</v>
      </c>
    </row>
    <row r="7045" spans="1:3" x14ac:dyDescent="0.25">
      <c r="A7045" s="15">
        <f>Sheet1!A7045</f>
        <v>0</v>
      </c>
      <c r="B7045">
        <f>Sheet1!B7045</f>
        <v>1.65</v>
      </c>
      <c r="C7045">
        <f>IF(Sheet1!B7045&gt;0,1,0)</f>
        <v>1</v>
      </c>
    </row>
    <row r="7046" spans="1:3" x14ac:dyDescent="0.25">
      <c r="A7046" s="15">
        <f>Sheet1!A7046</f>
        <v>0</v>
      </c>
      <c r="B7046">
        <f>Sheet1!B7046</f>
        <v>1.1499999999999999</v>
      </c>
      <c r="C7046">
        <f>IF(Sheet1!B7046&gt;0,1,0)</f>
        <v>1</v>
      </c>
    </row>
    <row r="7047" spans="1:3" x14ac:dyDescent="0.25">
      <c r="A7047" s="15">
        <f>Sheet1!A7047</f>
        <v>0</v>
      </c>
      <c r="B7047">
        <f>Sheet1!B7047</f>
        <v>1.61</v>
      </c>
      <c r="C7047">
        <f>IF(Sheet1!B7047&gt;0,1,0)</f>
        <v>1</v>
      </c>
    </row>
    <row r="7048" spans="1:3" x14ac:dyDescent="0.25">
      <c r="A7048" s="15">
        <f>Sheet1!A7048</f>
        <v>0</v>
      </c>
      <c r="B7048">
        <f>Sheet1!B7048</f>
        <v>2.56</v>
      </c>
      <c r="C7048">
        <f>IF(Sheet1!B7048&gt;0,1,0)</f>
        <v>1</v>
      </c>
    </row>
    <row r="7049" spans="1:3" x14ac:dyDescent="0.25">
      <c r="A7049" s="15">
        <f>Sheet1!A7049</f>
        <v>0</v>
      </c>
      <c r="B7049">
        <f>Sheet1!B7049</f>
        <v>4.18</v>
      </c>
      <c r="C7049">
        <f>IF(Sheet1!B7049&gt;0,1,0)</f>
        <v>1</v>
      </c>
    </row>
    <row r="7050" spans="1:3" x14ac:dyDescent="0.25">
      <c r="A7050" s="15">
        <f>Sheet1!A7050</f>
        <v>0</v>
      </c>
      <c r="B7050">
        <f>Sheet1!B7050</f>
        <v>3.6</v>
      </c>
      <c r="C7050">
        <f>IF(Sheet1!B7050&gt;0,1,0)</f>
        <v>1</v>
      </c>
    </row>
    <row r="7051" spans="1:3" x14ac:dyDescent="0.25">
      <c r="A7051" s="15">
        <f>Sheet1!A7051</f>
        <v>0</v>
      </c>
      <c r="B7051">
        <f>Sheet1!B7051</f>
        <v>3.63</v>
      </c>
      <c r="C7051">
        <f>IF(Sheet1!B7051&gt;0,1,0)</f>
        <v>1</v>
      </c>
    </row>
    <row r="7052" spans="1:3" x14ac:dyDescent="0.25">
      <c r="A7052" s="15">
        <f>Sheet1!A7052</f>
        <v>0</v>
      </c>
      <c r="B7052">
        <f>Sheet1!B7052</f>
        <v>3.48</v>
      </c>
      <c r="C7052">
        <f>IF(Sheet1!B7052&gt;0,1,0)</f>
        <v>1</v>
      </c>
    </row>
    <row r="7053" spans="1:3" x14ac:dyDescent="0.25">
      <c r="A7053" s="15">
        <f>Sheet1!A7053</f>
        <v>0</v>
      </c>
      <c r="B7053">
        <f>Sheet1!B7053</f>
        <v>4</v>
      </c>
      <c r="C7053">
        <f>IF(Sheet1!B7053&gt;0,1,0)</f>
        <v>1</v>
      </c>
    </row>
    <row r="7054" spans="1:3" x14ac:dyDescent="0.25">
      <c r="A7054" s="15">
        <f>Sheet1!A7054</f>
        <v>0</v>
      </c>
      <c r="B7054">
        <f>Sheet1!B7054</f>
        <v>4.2300000000000004</v>
      </c>
      <c r="C7054">
        <f>IF(Sheet1!B7054&gt;0,1,0)</f>
        <v>1</v>
      </c>
    </row>
    <row r="7055" spans="1:3" x14ac:dyDescent="0.25">
      <c r="A7055" s="15">
        <f>Sheet1!A7055</f>
        <v>0</v>
      </c>
      <c r="B7055">
        <f>Sheet1!B7055</f>
        <v>4.42</v>
      </c>
      <c r="C7055">
        <f>IF(Sheet1!B7055&gt;0,1,0)</f>
        <v>1</v>
      </c>
    </row>
    <row r="7056" spans="1:3" x14ac:dyDescent="0.25">
      <c r="A7056" s="15">
        <f>Sheet1!A7056</f>
        <v>0</v>
      </c>
      <c r="B7056">
        <f>Sheet1!B7056</f>
        <v>3.62</v>
      </c>
      <c r="C7056">
        <f>IF(Sheet1!B7056&gt;0,1,0)</f>
        <v>1</v>
      </c>
    </row>
    <row r="7057" spans="1:3" x14ac:dyDescent="0.25">
      <c r="A7057" s="15">
        <f>Sheet1!A7057</f>
        <v>0</v>
      </c>
      <c r="B7057">
        <f>Sheet1!B7057</f>
        <v>2.6</v>
      </c>
      <c r="C7057">
        <f>IF(Sheet1!B7057&gt;0,1,0)</f>
        <v>1</v>
      </c>
    </row>
    <row r="7058" spans="1:3" x14ac:dyDescent="0.25">
      <c r="A7058" s="15">
        <f>Sheet1!A7058</f>
        <v>0</v>
      </c>
      <c r="B7058">
        <f>Sheet1!B7058</f>
        <v>2.11</v>
      </c>
      <c r="C7058">
        <f>IF(Sheet1!B7058&gt;0,1,0)</f>
        <v>1</v>
      </c>
    </row>
    <row r="7059" spans="1:3" x14ac:dyDescent="0.25">
      <c r="A7059" s="15">
        <f>Sheet1!A7059</f>
        <v>0</v>
      </c>
      <c r="B7059">
        <f>Sheet1!B7059</f>
        <v>1.97</v>
      </c>
      <c r="C7059">
        <f>IF(Sheet1!B7059&gt;0,1,0)</f>
        <v>1</v>
      </c>
    </row>
    <row r="7060" spans="1:3" x14ac:dyDescent="0.25">
      <c r="A7060" s="15">
        <f>Sheet1!A7060</f>
        <v>0</v>
      </c>
      <c r="B7060">
        <f>Sheet1!B7060</f>
        <v>2.02</v>
      </c>
      <c r="C7060">
        <f>IF(Sheet1!B7060&gt;0,1,0)</f>
        <v>1</v>
      </c>
    </row>
    <row r="7061" spans="1:3" x14ac:dyDescent="0.25">
      <c r="A7061" s="15">
        <f>Sheet1!A7061</f>
        <v>0</v>
      </c>
      <c r="B7061">
        <f>Sheet1!B7061</f>
        <v>2.0699999999999998</v>
      </c>
      <c r="C7061">
        <f>IF(Sheet1!B7061&gt;0,1,0)</f>
        <v>1</v>
      </c>
    </row>
    <row r="7062" spans="1:3" x14ac:dyDescent="0.25">
      <c r="A7062" s="15">
        <f>Sheet1!A7062</f>
        <v>0</v>
      </c>
      <c r="B7062">
        <f>Sheet1!B7062</f>
        <v>1.92</v>
      </c>
      <c r="C7062">
        <f>IF(Sheet1!B7062&gt;0,1,0)</f>
        <v>1</v>
      </c>
    </row>
    <row r="7063" spans="1:3" x14ac:dyDescent="0.25">
      <c r="A7063" s="15">
        <f>Sheet1!A7063</f>
        <v>0</v>
      </c>
      <c r="B7063">
        <f>Sheet1!B7063</f>
        <v>2.0099999999999998</v>
      </c>
      <c r="C7063">
        <f>IF(Sheet1!B7063&gt;0,1,0)</f>
        <v>1</v>
      </c>
    </row>
    <row r="7064" spans="1:3" x14ac:dyDescent="0.25">
      <c r="A7064" s="15">
        <f>Sheet1!A7064</f>
        <v>0</v>
      </c>
      <c r="B7064">
        <f>Sheet1!B7064</f>
        <v>1.65</v>
      </c>
      <c r="C7064">
        <f>IF(Sheet1!B7064&gt;0,1,0)</f>
        <v>1</v>
      </c>
    </row>
    <row r="7065" spans="1:3" x14ac:dyDescent="0.25">
      <c r="A7065" s="15">
        <f>Sheet1!A7065</f>
        <v>0</v>
      </c>
      <c r="B7065">
        <f>Sheet1!B7065</f>
        <v>1.65</v>
      </c>
      <c r="C7065">
        <f>IF(Sheet1!B7065&gt;0,1,0)</f>
        <v>1</v>
      </c>
    </row>
    <row r="7066" spans="1:3" x14ac:dyDescent="0.25">
      <c r="A7066" s="15">
        <f>Sheet1!A7066</f>
        <v>0</v>
      </c>
      <c r="B7066">
        <f>Sheet1!B7066</f>
        <v>1.27</v>
      </c>
      <c r="C7066">
        <f>IF(Sheet1!B7066&gt;0,1,0)</f>
        <v>1</v>
      </c>
    </row>
    <row r="7067" spans="1:3" x14ac:dyDescent="0.25">
      <c r="A7067" s="15">
        <f>Sheet1!A7067</f>
        <v>0</v>
      </c>
      <c r="B7067">
        <f>Sheet1!B7067</f>
        <v>1.94</v>
      </c>
      <c r="C7067">
        <f>IF(Sheet1!B7067&gt;0,1,0)</f>
        <v>1</v>
      </c>
    </row>
    <row r="7068" spans="1:3" x14ac:dyDescent="0.25">
      <c r="A7068" s="15">
        <f>Sheet1!A7068</f>
        <v>0</v>
      </c>
      <c r="B7068">
        <f>Sheet1!B7068</f>
        <v>0</v>
      </c>
      <c r="C7068">
        <f>IF(Sheet1!B7068&gt;0,1,0)</f>
        <v>0</v>
      </c>
    </row>
    <row r="7069" spans="1:3" x14ac:dyDescent="0.25">
      <c r="A7069" s="15">
        <f>Sheet1!A7069</f>
        <v>0</v>
      </c>
      <c r="B7069">
        <f>Sheet1!B7069</f>
        <v>0</v>
      </c>
      <c r="C7069">
        <f>IF(Sheet1!B7069&gt;0,1,0)</f>
        <v>0</v>
      </c>
    </row>
    <row r="7070" spans="1:3" x14ac:dyDescent="0.25">
      <c r="A7070" s="15">
        <f>Sheet1!A7070</f>
        <v>0</v>
      </c>
      <c r="B7070">
        <f>Sheet1!B7070</f>
        <v>0</v>
      </c>
      <c r="C7070">
        <f>IF(Sheet1!B7070&gt;0,1,0)</f>
        <v>0</v>
      </c>
    </row>
    <row r="7071" spans="1:3" x14ac:dyDescent="0.25">
      <c r="A7071" s="15">
        <f>Sheet1!A7071</f>
        <v>0</v>
      </c>
      <c r="B7071">
        <f>Sheet1!B7071</f>
        <v>2.85</v>
      </c>
      <c r="C7071">
        <f>IF(Sheet1!B7071&gt;0,1,0)</f>
        <v>1</v>
      </c>
    </row>
    <row r="7072" spans="1:3" x14ac:dyDescent="0.25">
      <c r="A7072" s="15">
        <f>Sheet1!A7072</f>
        <v>0</v>
      </c>
      <c r="B7072">
        <f>Sheet1!B7072</f>
        <v>2.71</v>
      </c>
      <c r="C7072">
        <f>IF(Sheet1!B7072&gt;0,1,0)</f>
        <v>1</v>
      </c>
    </row>
    <row r="7073" spans="1:3" x14ac:dyDescent="0.25">
      <c r="A7073" s="15">
        <f>Sheet1!A7073</f>
        <v>0</v>
      </c>
      <c r="B7073">
        <f>Sheet1!B7073</f>
        <v>2.1800000000000002</v>
      </c>
      <c r="C7073">
        <f>IF(Sheet1!B7073&gt;0,1,0)</f>
        <v>1</v>
      </c>
    </row>
    <row r="7074" spans="1:3" x14ac:dyDescent="0.25">
      <c r="A7074" s="15">
        <f>Sheet1!A7074</f>
        <v>0</v>
      </c>
      <c r="B7074">
        <f>Sheet1!B7074</f>
        <v>2.19</v>
      </c>
      <c r="C7074">
        <f>IF(Sheet1!B7074&gt;0,1,0)</f>
        <v>1</v>
      </c>
    </row>
    <row r="7075" spans="1:3" x14ac:dyDescent="0.25">
      <c r="A7075" s="15">
        <f>Sheet1!A7075</f>
        <v>0</v>
      </c>
      <c r="B7075">
        <f>Sheet1!B7075</f>
        <v>2.58</v>
      </c>
      <c r="C7075">
        <f>IF(Sheet1!B7075&gt;0,1,0)</f>
        <v>1</v>
      </c>
    </row>
    <row r="7076" spans="1:3" x14ac:dyDescent="0.25">
      <c r="A7076" s="15">
        <f>Sheet1!A7076</f>
        <v>0</v>
      </c>
      <c r="B7076">
        <f>Sheet1!B7076</f>
        <v>4.04</v>
      </c>
      <c r="C7076">
        <f>IF(Sheet1!B7076&gt;0,1,0)</f>
        <v>1</v>
      </c>
    </row>
    <row r="7077" spans="1:3" x14ac:dyDescent="0.25">
      <c r="A7077" s="15">
        <f>Sheet1!A7077</f>
        <v>0</v>
      </c>
      <c r="B7077">
        <f>Sheet1!B7077</f>
        <v>3.13</v>
      </c>
      <c r="C7077">
        <f>IF(Sheet1!B7077&gt;0,1,0)</f>
        <v>1</v>
      </c>
    </row>
    <row r="7078" spans="1:3" x14ac:dyDescent="0.25">
      <c r="A7078" s="15">
        <f>Sheet1!A7078</f>
        <v>0</v>
      </c>
      <c r="B7078">
        <f>Sheet1!B7078</f>
        <v>3.82</v>
      </c>
      <c r="C7078">
        <f>IF(Sheet1!B7078&gt;0,1,0)</f>
        <v>1</v>
      </c>
    </row>
    <row r="7079" spans="1:3" x14ac:dyDescent="0.25">
      <c r="A7079" s="15">
        <f>Sheet1!A7079</f>
        <v>0</v>
      </c>
      <c r="B7079">
        <f>Sheet1!B7079</f>
        <v>3.05</v>
      </c>
      <c r="C7079">
        <f>IF(Sheet1!B7079&gt;0,1,0)</f>
        <v>1</v>
      </c>
    </row>
    <row r="7080" spans="1:3" x14ac:dyDescent="0.25">
      <c r="A7080" s="15">
        <f>Sheet1!A7080</f>
        <v>0</v>
      </c>
      <c r="B7080">
        <f>Sheet1!B7080</f>
        <v>2.63</v>
      </c>
      <c r="C7080">
        <f>IF(Sheet1!B7080&gt;0,1,0)</f>
        <v>1</v>
      </c>
    </row>
    <row r="7081" spans="1:3" x14ac:dyDescent="0.25">
      <c r="A7081" s="15">
        <f>Sheet1!A7081</f>
        <v>0</v>
      </c>
      <c r="B7081">
        <f>Sheet1!B7081</f>
        <v>3.18</v>
      </c>
      <c r="C7081">
        <f>IF(Sheet1!B7081&gt;0,1,0)</f>
        <v>1</v>
      </c>
    </row>
    <row r="7082" spans="1:3" x14ac:dyDescent="0.25">
      <c r="A7082" s="15">
        <f>Sheet1!A7082</f>
        <v>0</v>
      </c>
      <c r="B7082">
        <f>Sheet1!B7082</f>
        <v>3.26</v>
      </c>
      <c r="C7082">
        <f>IF(Sheet1!B7082&gt;0,1,0)</f>
        <v>1</v>
      </c>
    </row>
    <row r="7083" spans="1:3" x14ac:dyDescent="0.25">
      <c r="A7083" s="15">
        <f>Sheet1!A7083</f>
        <v>0</v>
      </c>
      <c r="B7083">
        <f>Sheet1!B7083</f>
        <v>2.95</v>
      </c>
      <c r="C7083">
        <f>IF(Sheet1!B7083&gt;0,1,0)</f>
        <v>1</v>
      </c>
    </row>
    <row r="7084" spans="1:3" x14ac:dyDescent="0.25">
      <c r="A7084" s="15">
        <f>Sheet1!A7084</f>
        <v>0</v>
      </c>
      <c r="B7084">
        <f>Sheet1!B7084</f>
        <v>2.92</v>
      </c>
      <c r="C7084">
        <f>IF(Sheet1!B7084&gt;0,1,0)</f>
        <v>1</v>
      </c>
    </row>
    <row r="7085" spans="1:3" x14ac:dyDescent="0.25">
      <c r="A7085" s="15">
        <f>Sheet1!A7085</f>
        <v>0</v>
      </c>
      <c r="B7085">
        <f>Sheet1!B7085</f>
        <v>2.83</v>
      </c>
      <c r="C7085">
        <f>IF(Sheet1!B7085&gt;0,1,0)</f>
        <v>1</v>
      </c>
    </row>
    <row r="7086" spans="1:3" x14ac:dyDescent="0.25">
      <c r="A7086" s="15">
        <f>Sheet1!A7086</f>
        <v>0</v>
      </c>
      <c r="B7086">
        <f>Sheet1!B7086</f>
        <v>3.13</v>
      </c>
      <c r="C7086">
        <f>IF(Sheet1!B7086&gt;0,1,0)</f>
        <v>1</v>
      </c>
    </row>
    <row r="7087" spans="1:3" x14ac:dyDescent="0.25">
      <c r="A7087" s="15">
        <f>Sheet1!A7087</f>
        <v>0</v>
      </c>
      <c r="B7087">
        <f>Sheet1!B7087</f>
        <v>3.22</v>
      </c>
      <c r="C7087">
        <f>IF(Sheet1!B7087&gt;0,1,0)</f>
        <v>1</v>
      </c>
    </row>
    <row r="7088" spans="1:3" x14ac:dyDescent="0.25">
      <c r="A7088" s="15">
        <f>Sheet1!A7088</f>
        <v>0</v>
      </c>
      <c r="B7088">
        <f>Sheet1!B7088</f>
        <v>3.27</v>
      </c>
      <c r="C7088">
        <f>IF(Sheet1!B7088&gt;0,1,0)</f>
        <v>1</v>
      </c>
    </row>
    <row r="7089" spans="1:3" x14ac:dyDescent="0.25">
      <c r="A7089" s="15">
        <f>Sheet1!A7089</f>
        <v>0</v>
      </c>
      <c r="B7089">
        <f>Sheet1!B7089</f>
        <v>3.48</v>
      </c>
      <c r="C7089">
        <f>IF(Sheet1!B7089&gt;0,1,0)</f>
        <v>1</v>
      </c>
    </row>
    <row r="7090" spans="1:3" x14ac:dyDescent="0.25">
      <c r="A7090" s="15">
        <f>Sheet1!A7090</f>
        <v>0</v>
      </c>
      <c r="B7090">
        <f>Sheet1!B7090</f>
        <v>3.33</v>
      </c>
      <c r="C7090">
        <f>IF(Sheet1!B7090&gt;0,1,0)</f>
        <v>1</v>
      </c>
    </row>
    <row r="7091" spans="1:3" x14ac:dyDescent="0.25">
      <c r="A7091" s="15">
        <f>Sheet1!A7091</f>
        <v>0</v>
      </c>
      <c r="B7091">
        <f>Sheet1!B7091</f>
        <v>3.29</v>
      </c>
      <c r="C7091">
        <f>IF(Sheet1!B7091&gt;0,1,0)</f>
        <v>1</v>
      </c>
    </row>
    <row r="7092" spans="1:3" x14ac:dyDescent="0.25">
      <c r="A7092" s="15">
        <f>Sheet1!A7092</f>
        <v>0</v>
      </c>
      <c r="B7092">
        <f>Sheet1!B7092</f>
        <v>4.2</v>
      </c>
      <c r="C7092">
        <f>IF(Sheet1!B7092&gt;0,1,0)</f>
        <v>1</v>
      </c>
    </row>
    <row r="7093" spans="1:3" x14ac:dyDescent="0.25">
      <c r="A7093" s="15">
        <f>Sheet1!A7093</f>
        <v>0</v>
      </c>
      <c r="B7093">
        <f>Sheet1!B7093</f>
        <v>4.12</v>
      </c>
      <c r="C7093">
        <f>IF(Sheet1!B7093&gt;0,1,0)</f>
        <v>1</v>
      </c>
    </row>
    <row r="7094" spans="1:3" x14ac:dyDescent="0.25">
      <c r="A7094" s="15">
        <f>Sheet1!A7094</f>
        <v>0</v>
      </c>
      <c r="B7094">
        <f>Sheet1!B7094</f>
        <v>4.84</v>
      </c>
      <c r="C7094">
        <f>IF(Sheet1!B7094&gt;0,1,0)</f>
        <v>1</v>
      </c>
    </row>
    <row r="7095" spans="1:3" x14ac:dyDescent="0.25">
      <c r="A7095" s="15">
        <f>Sheet1!A7095</f>
        <v>0</v>
      </c>
      <c r="B7095">
        <f>Sheet1!B7095</f>
        <v>2.93</v>
      </c>
      <c r="C7095">
        <f>IF(Sheet1!B7095&gt;0,1,0)</f>
        <v>1</v>
      </c>
    </row>
    <row r="7096" spans="1:3" x14ac:dyDescent="0.25">
      <c r="A7096" s="15">
        <f>Sheet1!A7096</f>
        <v>0</v>
      </c>
      <c r="B7096">
        <f>Sheet1!B7096</f>
        <v>2.77</v>
      </c>
      <c r="C7096">
        <f>IF(Sheet1!B7096&gt;0,1,0)</f>
        <v>1</v>
      </c>
    </row>
    <row r="7097" spans="1:3" x14ac:dyDescent="0.25">
      <c r="A7097" s="15">
        <f>Sheet1!A7097</f>
        <v>0</v>
      </c>
      <c r="B7097">
        <f>Sheet1!B7097</f>
        <v>0</v>
      </c>
      <c r="C7097">
        <f>IF(Sheet1!B7097&gt;0,1,0)</f>
        <v>0</v>
      </c>
    </row>
    <row r="7098" spans="1:3" x14ac:dyDescent="0.25">
      <c r="A7098" s="15">
        <f>Sheet1!A7098</f>
        <v>0</v>
      </c>
      <c r="B7098">
        <f>Sheet1!B7098</f>
        <v>2.66</v>
      </c>
      <c r="C7098">
        <f>IF(Sheet1!B7098&gt;0,1,0)</f>
        <v>1</v>
      </c>
    </row>
    <row r="7099" spans="1:3" x14ac:dyDescent="0.25">
      <c r="A7099" s="15">
        <f>Sheet1!A7099</f>
        <v>0</v>
      </c>
      <c r="B7099">
        <f>Sheet1!B7099</f>
        <v>2.2999999999999998</v>
      </c>
      <c r="C7099">
        <f>IF(Sheet1!B7099&gt;0,1,0)</f>
        <v>1</v>
      </c>
    </row>
    <row r="7100" spans="1:3" x14ac:dyDescent="0.25">
      <c r="A7100" s="15">
        <f>Sheet1!A7100</f>
        <v>0</v>
      </c>
      <c r="B7100">
        <f>Sheet1!B7100</f>
        <v>1.72</v>
      </c>
      <c r="C7100">
        <f>IF(Sheet1!B7100&gt;0,1,0)</f>
        <v>1</v>
      </c>
    </row>
    <row r="7101" spans="1:3" x14ac:dyDescent="0.25">
      <c r="A7101" s="15">
        <f>Sheet1!A7101</f>
        <v>0</v>
      </c>
      <c r="B7101">
        <f>Sheet1!B7101</f>
        <v>1.34</v>
      </c>
      <c r="C7101">
        <f>IF(Sheet1!B7101&gt;0,1,0)</f>
        <v>1</v>
      </c>
    </row>
    <row r="7102" spans="1:3" x14ac:dyDescent="0.25">
      <c r="A7102" s="15">
        <f>Sheet1!A7102</f>
        <v>0</v>
      </c>
      <c r="B7102">
        <f>Sheet1!B7102</f>
        <v>1.6</v>
      </c>
      <c r="C7102">
        <f>IF(Sheet1!B7102&gt;0,1,0)</f>
        <v>1</v>
      </c>
    </row>
    <row r="7103" spans="1:3" x14ac:dyDescent="0.25">
      <c r="A7103" s="15">
        <f>Sheet1!A7103</f>
        <v>0</v>
      </c>
      <c r="B7103">
        <f>Sheet1!B7103</f>
        <v>1.5</v>
      </c>
      <c r="C7103">
        <f>IF(Sheet1!B7103&gt;0,1,0)</f>
        <v>1</v>
      </c>
    </row>
    <row r="7104" spans="1:3" x14ac:dyDescent="0.25">
      <c r="A7104" s="15">
        <f>Sheet1!A7104</f>
        <v>0</v>
      </c>
      <c r="B7104">
        <f>Sheet1!B7104</f>
        <v>1.38</v>
      </c>
      <c r="C7104">
        <f>IF(Sheet1!B7104&gt;0,1,0)</f>
        <v>1</v>
      </c>
    </row>
    <row r="7105" spans="1:3" x14ac:dyDescent="0.25">
      <c r="A7105" s="15">
        <f>Sheet1!A7105</f>
        <v>0</v>
      </c>
      <c r="B7105">
        <f>Sheet1!B7105</f>
        <v>1.03</v>
      </c>
      <c r="C7105">
        <f>IF(Sheet1!B7105&gt;0,1,0)</f>
        <v>1</v>
      </c>
    </row>
    <row r="7106" spans="1:3" x14ac:dyDescent="0.25">
      <c r="A7106" s="15">
        <f>Sheet1!A7106</f>
        <v>0</v>
      </c>
      <c r="B7106">
        <f>Sheet1!B7106</f>
        <v>1.02</v>
      </c>
      <c r="C7106">
        <f>IF(Sheet1!B7106&gt;0,1,0)</f>
        <v>1</v>
      </c>
    </row>
    <row r="7107" spans="1:3" x14ac:dyDescent="0.25">
      <c r="A7107" s="15">
        <f>Sheet1!A7107</f>
        <v>0</v>
      </c>
      <c r="B7107">
        <f>Sheet1!B7107</f>
        <v>0.93</v>
      </c>
      <c r="C7107">
        <f>IF(Sheet1!B7107&gt;0,1,0)</f>
        <v>1</v>
      </c>
    </row>
    <row r="7108" spans="1:3" x14ac:dyDescent="0.25">
      <c r="A7108" s="15">
        <f>Sheet1!A7108</f>
        <v>0</v>
      </c>
      <c r="B7108">
        <f>Sheet1!B7108</f>
        <v>0.91</v>
      </c>
      <c r="C7108">
        <f>IF(Sheet1!B7108&gt;0,1,0)</f>
        <v>1</v>
      </c>
    </row>
    <row r="7109" spans="1:3" x14ac:dyDescent="0.25">
      <c r="A7109" s="15">
        <f>Sheet1!A7109</f>
        <v>0</v>
      </c>
      <c r="B7109">
        <f>Sheet1!B7109</f>
        <v>0.92</v>
      </c>
      <c r="C7109">
        <f>IF(Sheet1!B7109&gt;0,1,0)</f>
        <v>1</v>
      </c>
    </row>
    <row r="7110" spans="1:3" x14ac:dyDescent="0.25">
      <c r="A7110" s="15">
        <f>Sheet1!A7110</f>
        <v>0</v>
      </c>
      <c r="B7110">
        <f>Sheet1!B7110</f>
        <v>0.67</v>
      </c>
      <c r="C7110">
        <f>IF(Sheet1!B7110&gt;0,1,0)</f>
        <v>1</v>
      </c>
    </row>
    <row r="7111" spans="1:3" x14ac:dyDescent="0.25">
      <c r="A7111" s="15">
        <f>Sheet1!A7111</f>
        <v>0</v>
      </c>
      <c r="B7111">
        <f>Sheet1!B7111</f>
        <v>0.61</v>
      </c>
      <c r="C7111">
        <f>IF(Sheet1!B7111&gt;0,1,0)</f>
        <v>1</v>
      </c>
    </row>
    <row r="7112" spans="1:3" x14ac:dyDescent="0.25">
      <c r="A7112" s="15">
        <f>Sheet1!A7112</f>
        <v>0</v>
      </c>
      <c r="B7112">
        <f>Sheet1!B7112</f>
        <v>0.63</v>
      </c>
      <c r="C7112">
        <f>IF(Sheet1!B7112&gt;0,1,0)</f>
        <v>1</v>
      </c>
    </row>
    <row r="7113" spans="1:3" x14ac:dyDescent="0.25">
      <c r="A7113" s="15">
        <f>Sheet1!A7113</f>
        <v>0</v>
      </c>
      <c r="B7113">
        <f>Sheet1!B7113</f>
        <v>0.54</v>
      </c>
      <c r="C7113">
        <f>IF(Sheet1!B7113&gt;0,1,0)</f>
        <v>1</v>
      </c>
    </row>
    <row r="7114" spans="1:3" x14ac:dyDescent="0.25">
      <c r="A7114" s="15">
        <f>Sheet1!A7114</f>
        <v>0</v>
      </c>
      <c r="B7114">
        <f>Sheet1!B7114</f>
        <v>0.59</v>
      </c>
      <c r="C7114">
        <f>IF(Sheet1!B7114&gt;0,1,0)</f>
        <v>1</v>
      </c>
    </row>
    <row r="7115" spans="1:3" x14ac:dyDescent="0.25">
      <c r="A7115" s="15">
        <f>Sheet1!A7115</f>
        <v>0</v>
      </c>
      <c r="B7115">
        <f>Sheet1!B7115</f>
        <v>0.57999999999999996</v>
      </c>
      <c r="C7115">
        <f>IF(Sheet1!B7115&gt;0,1,0)</f>
        <v>1</v>
      </c>
    </row>
    <row r="7116" spans="1:3" x14ac:dyDescent="0.25">
      <c r="A7116" s="15">
        <f>Sheet1!A7116</f>
        <v>0</v>
      </c>
      <c r="B7116">
        <f>Sheet1!B7116</f>
        <v>3.38</v>
      </c>
      <c r="C7116">
        <f>IF(Sheet1!B7116&gt;0,1,0)</f>
        <v>1</v>
      </c>
    </row>
    <row r="7117" spans="1:3" x14ac:dyDescent="0.25">
      <c r="A7117" s="15">
        <f>Sheet1!A7117</f>
        <v>0</v>
      </c>
      <c r="B7117">
        <f>Sheet1!B7117</f>
        <v>3.33</v>
      </c>
      <c r="C7117">
        <f>IF(Sheet1!B7117&gt;0,1,0)</f>
        <v>1</v>
      </c>
    </row>
    <row r="7118" spans="1:3" x14ac:dyDescent="0.25">
      <c r="A7118" s="15">
        <f>Sheet1!A7118</f>
        <v>0</v>
      </c>
      <c r="B7118">
        <f>Sheet1!B7118</f>
        <v>3</v>
      </c>
      <c r="C7118">
        <f>IF(Sheet1!B7118&gt;0,1,0)</f>
        <v>1</v>
      </c>
    </row>
    <row r="7119" spans="1:3" x14ac:dyDescent="0.25">
      <c r="A7119" s="15">
        <f>Sheet1!A7119</f>
        <v>0</v>
      </c>
      <c r="B7119">
        <f>Sheet1!B7119</f>
        <v>3.21</v>
      </c>
      <c r="C7119">
        <f>IF(Sheet1!B7119&gt;0,1,0)</f>
        <v>1</v>
      </c>
    </row>
    <row r="7120" spans="1:3" x14ac:dyDescent="0.25">
      <c r="A7120" s="15">
        <f>Sheet1!A7120</f>
        <v>0</v>
      </c>
      <c r="B7120">
        <f>Sheet1!B7120</f>
        <v>3.91</v>
      </c>
      <c r="C7120">
        <f>IF(Sheet1!B7120&gt;0,1,0)</f>
        <v>1</v>
      </c>
    </row>
    <row r="7121" spans="1:3" x14ac:dyDescent="0.25">
      <c r="A7121" s="15">
        <f>Sheet1!A7121</f>
        <v>0</v>
      </c>
      <c r="B7121">
        <f>Sheet1!B7121</f>
        <v>2.98</v>
      </c>
      <c r="C7121">
        <f>IF(Sheet1!B7121&gt;0,1,0)</f>
        <v>1</v>
      </c>
    </row>
    <row r="7122" spans="1:3" x14ac:dyDescent="0.25">
      <c r="A7122" s="15">
        <f>Sheet1!A7122</f>
        <v>0</v>
      </c>
      <c r="B7122">
        <f>Sheet1!B7122</f>
        <v>3.6</v>
      </c>
      <c r="C7122">
        <f>IF(Sheet1!B7122&gt;0,1,0)</f>
        <v>1</v>
      </c>
    </row>
    <row r="7123" spans="1:3" x14ac:dyDescent="0.25">
      <c r="A7123" s="15">
        <f>Sheet1!A7123</f>
        <v>0</v>
      </c>
      <c r="B7123">
        <f>Sheet1!B7123</f>
        <v>1.4</v>
      </c>
      <c r="C7123">
        <f>IF(Sheet1!B7123&gt;0,1,0)</f>
        <v>1</v>
      </c>
    </row>
    <row r="7124" spans="1:3" x14ac:dyDescent="0.25">
      <c r="A7124" s="15">
        <f>Sheet1!A7124</f>
        <v>0</v>
      </c>
      <c r="B7124">
        <f>Sheet1!B7124</f>
        <v>1.52</v>
      </c>
      <c r="C7124">
        <f>IF(Sheet1!B7124&gt;0,1,0)</f>
        <v>1</v>
      </c>
    </row>
    <row r="7125" spans="1:3" x14ac:dyDescent="0.25">
      <c r="A7125" s="15">
        <f>Sheet1!A7125</f>
        <v>0</v>
      </c>
      <c r="B7125">
        <f>Sheet1!B7125</f>
        <v>1.27</v>
      </c>
      <c r="C7125">
        <f>IF(Sheet1!B7125&gt;0,1,0)</f>
        <v>1</v>
      </c>
    </row>
    <row r="7126" spans="1:3" x14ac:dyDescent="0.25">
      <c r="A7126" s="15">
        <f>Sheet1!A7126</f>
        <v>0</v>
      </c>
      <c r="B7126">
        <f>Sheet1!B7126</f>
        <v>3.85</v>
      </c>
      <c r="C7126">
        <f>IF(Sheet1!B7126&gt;0,1,0)</f>
        <v>1</v>
      </c>
    </row>
    <row r="7127" spans="1:3" x14ac:dyDescent="0.25">
      <c r="A7127" s="15">
        <f>Sheet1!A7127</f>
        <v>0</v>
      </c>
      <c r="B7127">
        <f>Sheet1!B7127</f>
        <v>3.42</v>
      </c>
      <c r="C7127">
        <f>IF(Sheet1!B7127&gt;0,1,0)</f>
        <v>1</v>
      </c>
    </row>
    <row r="7128" spans="1:3" x14ac:dyDescent="0.25">
      <c r="A7128" s="15">
        <f>Sheet1!A7128</f>
        <v>0</v>
      </c>
      <c r="B7128">
        <f>Sheet1!B7128</f>
        <v>2.64</v>
      </c>
      <c r="C7128">
        <f>IF(Sheet1!B7128&gt;0,1,0)</f>
        <v>1</v>
      </c>
    </row>
    <row r="7129" spans="1:3" x14ac:dyDescent="0.25">
      <c r="A7129" s="15">
        <f>Sheet1!A7129</f>
        <v>0</v>
      </c>
      <c r="B7129">
        <f>Sheet1!B7129</f>
        <v>3.47</v>
      </c>
      <c r="C7129">
        <f>IF(Sheet1!B7129&gt;0,1,0)</f>
        <v>1</v>
      </c>
    </row>
    <row r="7130" spans="1:3" x14ac:dyDescent="0.25">
      <c r="A7130" s="15">
        <f>Sheet1!A7130</f>
        <v>0</v>
      </c>
      <c r="B7130">
        <f>Sheet1!B7130</f>
        <v>2.23</v>
      </c>
      <c r="C7130">
        <f>IF(Sheet1!B7130&gt;0,1,0)</f>
        <v>1</v>
      </c>
    </row>
    <row r="7131" spans="1:3" x14ac:dyDescent="0.25">
      <c r="A7131" s="15">
        <f>Sheet1!A7131</f>
        <v>0</v>
      </c>
      <c r="B7131">
        <f>Sheet1!B7131</f>
        <v>2.2200000000000002</v>
      </c>
      <c r="C7131">
        <f>IF(Sheet1!B7131&gt;0,1,0)</f>
        <v>1</v>
      </c>
    </row>
    <row r="7132" spans="1:3" x14ac:dyDescent="0.25">
      <c r="A7132" s="15">
        <f>Sheet1!A7132</f>
        <v>0</v>
      </c>
      <c r="B7132">
        <f>Sheet1!B7132</f>
        <v>2.0499999999999998</v>
      </c>
      <c r="C7132">
        <f>IF(Sheet1!B7132&gt;0,1,0)</f>
        <v>1</v>
      </c>
    </row>
    <row r="7133" spans="1:3" x14ac:dyDescent="0.25">
      <c r="A7133" s="15">
        <f>Sheet1!A7133</f>
        <v>0</v>
      </c>
      <c r="B7133">
        <f>Sheet1!B7133</f>
        <v>2.08</v>
      </c>
      <c r="C7133">
        <f>IF(Sheet1!B7133&gt;0,1,0)</f>
        <v>1</v>
      </c>
    </row>
    <row r="7134" spans="1:3" x14ac:dyDescent="0.25">
      <c r="A7134" s="15">
        <f>Sheet1!A7134</f>
        <v>0</v>
      </c>
      <c r="B7134">
        <f>Sheet1!B7134</f>
        <v>2</v>
      </c>
      <c r="C7134">
        <f>IF(Sheet1!B7134&gt;0,1,0)</f>
        <v>1</v>
      </c>
    </row>
    <row r="7135" spans="1:3" x14ac:dyDescent="0.25">
      <c r="A7135" s="15">
        <f>Sheet1!A7135</f>
        <v>0</v>
      </c>
      <c r="B7135">
        <f>Sheet1!B7135</f>
        <v>2.15</v>
      </c>
      <c r="C7135">
        <f>IF(Sheet1!B7135&gt;0,1,0)</f>
        <v>1</v>
      </c>
    </row>
    <row r="7136" spans="1:3" x14ac:dyDescent="0.25">
      <c r="A7136" s="15">
        <f>Sheet1!A7136</f>
        <v>0</v>
      </c>
      <c r="B7136">
        <f>Sheet1!B7136</f>
        <v>2.11</v>
      </c>
      <c r="C7136">
        <f>IF(Sheet1!B7136&gt;0,1,0)</f>
        <v>1</v>
      </c>
    </row>
    <row r="7137" spans="1:3" x14ac:dyDescent="0.25">
      <c r="A7137" s="15">
        <f>Sheet1!A7137</f>
        <v>0</v>
      </c>
      <c r="B7137">
        <f>Sheet1!B7137</f>
        <v>2.11</v>
      </c>
      <c r="C7137">
        <f>IF(Sheet1!B7137&gt;0,1,0)</f>
        <v>1</v>
      </c>
    </row>
    <row r="7138" spans="1:3" x14ac:dyDescent="0.25">
      <c r="A7138" s="15">
        <f>Sheet1!A7138</f>
        <v>0</v>
      </c>
      <c r="B7138">
        <f>Sheet1!B7138</f>
        <v>1.91</v>
      </c>
      <c r="C7138">
        <f>IF(Sheet1!B7138&gt;0,1,0)</f>
        <v>1</v>
      </c>
    </row>
    <row r="7139" spans="1:3" x14ac:dyDescent="0.25">
      <c r="A7139" s="15">
        <f>Sheet1!A7139</f>
        <v>0</v>
      </c>
      <c r="B7139">
        <f>Sheet1!B7139</f>
        <v>2.09</v>
      </c>
      <c r="C7139">
        <f>IF(Sheet1!B7139&gt;0,1,0)</f>
        <v>1</v>
      </c>
    </row>
    <row r="7140" spans="1:3" x14ac:dyDescent="0.25">
      <c r="A7140" s="15">
        <f>Sheet1!A7140</f>
        <v>0</v>
      </c>
      <c r="B7140">
        <f>Sheet1!B7140</f>
        <v>1.91</v>
      </c>
      <c r="C7140">
        <f>IF(Sheet1!B7140&gt;0,1,0)</f>
        <v>1</v>
      </c>
    </row>
    <row r="7141" spans="1:3" x14ac:dyDescent="0.25">
      <c r="A7141" s="15">
        <f>Sheet1!A7141</f>
        <v>0</v>
      </c>
      <c r="B7141">
        <f>Sheet1!B7141</f>
        <v>0.61</v>
      </c>
      <c r="C7141">
        <f>IF(Sheet1!B7141&gt;0,1,0)</f>
        <v>1</v>
      </c>
    </row>
    <row r="7142" spans="1:3" x14ac:dyDescent="0.25">
      <c r="A7142" s="15">
        <f>Sheet1!A7142</f>
        <v>0</v>
      </c>
      <c r="B7142">
        <f>Sheet1!B7142</f>
        <v>1.62</v>
      </c>
      <c r="C7142">
        <f>IF(Sheet1!B7142&gt;0,1,0)</f>
        <v>1</v>
      </c>
    </row>
    <row r="7143" spans="1:3" x14ac:dyDescent="0.25">
      <c r="A7143" s="15">
        <f>Sheet1!A7143</f>
        <v>0</v>
      </c>
      <c r="B7143">
        <f>Sheet1!B7143</f>
        <v>0.92</v>
      </c>
      <c r="C7143">
        <f>IF(Sheet1!B7143&gt;0,1,0)</f>
        <v>1</v>
      </c>
    </row>
    <row r="7144" spans="1:3" x14ac:dyDescent="0.25">
      <c r="A7144" s="15">
        <f>Sheet1!A7144</f>
        <v>0</v>
      </c>
      <c r="B7144">
        <f>Sheet1!B7144</f>
        <v>0</v>
      </c>
      <c r="C7144">
        <f>IF(Sheet1!B7144&gt;0,1,0)</f>
        <v>0</v>
      </c>
    </row>
    <row r="7145" spans="1:3" x14ac:dyDescent="0.25">
      <c r="A7145" s="15">
        <f>Sheet1!A7145</f>
        <v>0</v>
      </c>
      <c r="B7145">
        <f>Sheet1!B7145</f>
        <v>0</v>
      </c>
      <c r="C7145">
        <f>IF(Sheet1!B7145&gt;0,1,0)</f>
        <v>0</v>
      </c>
    </row>
    <row r="7146" spans="1:3" x14ac:dyDescent="0.25">
      <c r="A7146" s="15">
        <f>Sheet1!A7146</f>
        <v>0</v>
      </c>
      <c r="B7146">
        <f>Sheet1!B7146</f>
        <v>0</v>
      </c>
      <c r="C7146">
        <f>IF(Sheet1!B7146&gt;0,1,0)</f>
        <v>0</v>
      </c>
    </row>
    <row r="7147" spans="1:3" x14ac:dyDescent="0.25">
      <c r="A7147" s="15">
        <f>Sheet1!A7147</f>
        <v>0</v>
      </c>
      <c r="B7147">
        <f>Sheet1!B7147</f>
        <v>1.24</v>
      </c>
      <c r="C7147">
        <f>IF(Sheet1!B7147&gt;0,1,0)</f>
        <v>1</v>
      </c>
    </row>
    <row r="7148" spans="1:3" x14ac:dyDescent="0.25">
      <c r="A7148" s="15">
        <f>Sheet1!A7148</f>
        <v>0</v>
      </c>
      <c r="B7148">
        <f>Sheet1!B7148</f>
        <v>0</v>
      </c>
      <c r="C7148">
        <f>IF(Sheet1!B7148&gt;0,1,0)</f>
        <v>0</v>
      </c>
    </row>
    <row r="7149" spans="1:3" x14ac:dyDescent="0.25">
      <c r="A7149" s="15">
        <f>Sheet1!A7149</f>
        <v>0</v>
      </c>
      <c r="B7149">
        <f>Sheet1!B7149</f>
        <v>0</v>
      </c>
      <c r="C7149">
        <f>IF(Sheet1!B7149&gt;0,1,0)</f>
        <v>0</v>
      </c>
    </row>
    <row r="7150" spans="1:3" x14ac:dyDescent="0.25">
      <c r="A7150" s="15">
        <f>Sheet1!A7150</f>
        <v>0</v>
      </c>
      <c r="B7150">
        <f>Sheet1!B7150</f>
        <v>1.52</v>
      </c>
      <c r="C7150">
        <f>IF(Sheet1!B7150&gt;0,1,0)</f>
        <v>1</v>
      </c>
    </row>
    <row r="7151" spans="1:3" x14ac:dyDescent="0.25">
      <c r="A7151" s="15">
        <f>Sheet1!A7151</f>
        <v>0</v>
      </c>
      <c r="B7151">
        <f>Sheet1!B7151</f>
        <v>1.3</v>
      </c>
      <c r="C7151">
        <f>IF(Sheet1!B7151&gt;0,1,0)</f>
        <v>1</v>
      </c>
    </row>
    <row r="7152" spans="1:3" x14ac:dyDescent="0.25">
      <c r="A7152" s="15">
        <f>Sheet1!A7152</f>
        <v>0</v>
      </c>
      <c r="B7152">
        <f>Sheet1!B7152</f>
        <v>1.17</v>
      </c>
      <c r="C7152">
        <f>IF(Sheet1!B7152&gt;0,1,0)</f>
        <v>1</v>
      </c>
    </row>
    <row r="7153" spans="1:3" x14ac:dyDescent="0.25">
      <c r="A7153" s="15">
        <f>Sheet1!A7153</f>
        <v>0</v>
      </c>
      <c r="B7153">
        <f>Sheet1!B7153</f>
        <v>2.62</v>
      </c>
      <c r="C7153">
        <f>IF(Sheet1!B7153&gt;0,1,0)</f>
        <v>1</v>
      </c>
    </row>
    <row r="7154" spans="1:3" x14ac:dyDescent="0.25">
      <c r="A7154" s="15">
        <f>Sheet1!A7154</f>
        <v>0</v>
      </c>
      <c r="B7154">
        <f>Sheet1!B7154</f>
        <v>2.41</v>
      </c>
      <c r="C7154">
        <f>IF(Sheet1!B7154&gt;0,1,0)</f>
        <v>1</v>
      </c>
    </row>
    <row r="7155" spans="1:3" x14ac:dyDescent="0.25">
      <c r="A7155" s="15">
        <f>Sheet1!A7155</f>
        <v>0</v>
      </c>
      <c r="B7155">
        <f>Sheet1!B7155</f>
        <v>2.21</v>
      </c>
      <c r="C7155">
        <f>IF(Sheet1!B7155&gt;0,1,0)</f>
        <v>1</v>
      </c>
    </row>
    <row r="7156" spans="1:3" x14ac:dyDescent="0.25">
      <c r="A7156" s="15">
        <f>Sheet1!A7156</f>
        <v>0</v>
      </c>
      <c r="B7156">
        <f>Sheet1!B7156</f>
        <v>2.15</v>
      </c>
      <c r="C7156">
        <f>IF(Sheet1!B7156&gt;0,1,0)</f>
        <v>1</v>
      </c>
    </row>
    <row r="7157" spans="1:3" x14ac:dyDescent="0.25">
      <c r="A7157" s="15">
        <f>Sheet1!A7157</f>
        <v>0</v>
      </c>
      <c r="B7157">
        <f>Sheet1!B7157</f>
        <v>2.2000000000000002</v>
      </c>
      <c r="C7157">
        <f>IF(Sheet1!B7157&gt;0,1,0)</f>
        <v>1</v>
      </c>
    </row>
    <row r="7158" spans="1:3" x14ac:dyDescent="0.25">
      <c r="A7158" s="15">
        <f>Sheet1!A7158</f>
        <v>0</v>
      </c>
      <c r="B7158">
        <f>Sheet1!B7158</f>
        <v>2.16</v>
      </c>
      <c r="C7158">
        <f>IF(Sheet1!B7158&gt;0,1,0)</f>
        <v>1</v>
      </c>
    </row>
    <row r="7159" spans="1:3" x14ac:dyDescent="0.25">
      <c r="A7159" s="15">
        <f>Sheet1!A7159</f>
        <v>0</v>
      </c>
      <c r="B7159">
        <f>Sheet1!B7159</f>
        <v>2.3199999999999998</v>
      </c>
      <c r="C7159">
        <f>IF(Sheet1!B7159&gt;0,1,0)</f>
        <v>1</v>
      </c>
    </row>
    <row r="7160" spans="1:3" x14ac:dyDescent="0.25">
      <c r="A7160" s="15">
        <f>Sheet1!A7160</f>
        <v>0</v>
      </c>
      <c r="B7160">
        <f>Sheet1!B7160</f>
        <v>2.23</v>
      </c>
      <c r="C7160">
        <f>IF(Sheet1!B7160&gt;0,1,0)</f>
        <v>1</v>
      </c>
    </row>
    <row r="7161" spans="1:3" x14ac:dyDescent="0.25">
      <c r="A7161" s="15">
        <f>Sheet1!A7161</f>
        <v>0</v>
      </c>
      <c r="B7161">
        <f>Sheet1!B7161</f>
        <v>2.58</v>
      </c>
      <c r="C7161">
        <f>IF(Sheet1!B7161&gt;0,1,0)</f>
        <v>1</v>
      </c>
    </row>
    <row r="7162" spans="1:3" x14ac:dyDescent="0.25">
      <c r="A7162" s="15">
        <f>Sheet1!A7162</f>
        <v>0</v>
      </c>
      <c r="B7162">
        <f>Sheet1!B7162</f>
        <v>2.33</v>
      </c>
      <c r="C7162">
        <f>IF(Sheet1!B7162&gt;0,1,0)</f>
        <v>1</v>
      </c>
    </row>
    <row r="7163" spans="1:3" x14ac:dyDescent="0.25">
      <c r="A7163" s="15">
        <f>Sheet1!A7163</f>
        <v>0</v>
      </c>
      <c r="B7163">
        <f>Sheet1!B7163</f>
        <v>2.5099999999999998</v>
      </c>
      <c r="C7163">
        <f>IF(Sheet1!B7163&gt;0,1,0)</f>
        <v>1</v>
      </c>
    </row>
    <row r="7164" spans="1:3" x14ac:dyDescent="0.25">
      <c r="A7164" s="15">
        <f>Sheet1!A7164</f>
        <v>0</v>
      </c>
      <c r="B7164">
        <f>Sheet1!B7164</f>
        <v>3.56</v>
      </c>
      <c r="C7164">
        <f>IF(Sheet1!B7164&gt;0,1,0)</f>
        <v>1</v>
      </c>
    </row>
    <row r="7165" spans="1:3" x14ac:dyDescent="0.25">
      <c r="A7165" s="15">
        <f>Sheet1!A7165</f>
        <v>0</v>
      </c>
      <c r="B7165">
        <f>Sheet1!B7165</f>
        <v>3.03</v>
      </c>
      <c r="C7165">
        <f>IF(Sheet1!B7165&gt;0,1,0)</f>
        <v>1</v>
      </c>
    </row>
    <row r="7166" spans="1:3" x14ac:dyDescent="0.25">
      <c r="A7166" s="15">
        <f>Sheet1!A7166</f>
        <v>0</v>
      </c>
      <c r="B7166">
        <f>Sheet1!B7166</f>
        <v>0</v>
      </c>
      <c r="C7166">
        <f>IF(Sheet1!B7166&gt;0,1,0)</f>
        <v>0</v>
      </c>
    </row>
    <row r="7167" spans="1:3" x14ac:dyDescent="0.25">
      <c r="A7167" s="15">
        <f>Sheet1!A7167</f>
        <v>0</v>
      </c>
      <c r="B7167">
        <f>Sheet1!B7167</f>
        <v>0</v>
      </c>
      <c r="C7167">
        <f>IF(Sheet1!B7167&gt;0,1,0)</f>
        <v>0</v>
      </c>
    </row>
    <row r="7168" spans="1:3" x14ac:dyDescent="0.25">
      <c r="A7168" s="15">
        <f>Sheet1!A7168</f>
        <v>0</v>
      </c>
      <c r="B7168">
        <f>Sheet1!B7168</f>
        <v>0</v>
      </c>
      <c r="C7168">
        <f>IF(Sheet1!B7168&gt;0,1,0)</f>
        <v>0</v>
      </c>
    </row>
    <row r="7169" spans="1:3" x14ac:dyDescent="0.25">
      <c r="A7169" s="15">
        <f>Sheet1!A7169</f>
        <v>0</v>
      </c>
      <c r="B7169">
        <f>Sheet1!B7169</f>
        <v>2.5</v>
      </c>
      <c r="C7169">
        <f>IF(Sheet1!B7169&gt;0,1,0)</f>
        <v>1</v>
      </c>
    </row>
    <row r="7170" spans="1:3" x14ac:dyDescent="0.25">
      <c r="A7170" s="15">
        <f>Sheet1!A7170</f>
        <v>0</v>
      </c>
      <c r="B7170">
        <f>Sheet1!B7170</f>
        <v>2.75</v>
      </c>
      <c r="C7170">
        <f>IF(Sheet1!B7170&gt;0,1,0)</f>
        <v>1</v>
      </c>
    </row>
    <row r="7171" spans="1:3" x14ac:dyDescent="0.25">
      <c r="A7171" s="15">
        <f>Sheet1!A7171</f>
        <v>0</v>
      </c>
      <c r="B7171">
        <f>Sheet1!B7171</f>
        <v>2.35</v>
      </c>
      <c r="C7171">
        <f>IF(Sheet1!B7171&gt;0,1,0)</f>
        <v>1</v>
      </c>
    </row>
    <row r="7172" spans="1:3" x14ac:dyDescent="0.25">
      <c r="A7172" s="15">
        <f>Sheet1!A7172</f>
        <v>0</v>
      </c>
      <c r="B7172">
        <f>Sheet1!B7172</f>
        <v>0</v>
      </c>
      <c r="C7172">
        <f>IF(Sheet1!B7172&gt;0,1,0)</f>
        <v>0</v>
      </c>
    </row>
    <row r="7173" spans="1:3" x14ac:dyDescent="0.25">
      <c r="A7173" s="15">
        <f>Sheet1!A7173</f>
        <v>0</v>
      </c>
      <c r="B7173">
        <f>Sheet1!B7173</f>
        <v>0</v>
      </c>
      <c r="C7173">
        <f>IF(Sheet1!B7173&gt;0,1,0)</f>
        <v>0</v>
      </c>
    </row>
    <row r="7174" spans="1:3" x14ac:dyDescent="0.25">
      <c r="A7174" s="15">
        <f>Sheet1!A7174</f>
        <v>0</v>
      </c>
      <c r="B7174">
        <f>Sheet1!B7174</f>
        <v>2.39</v>
      </c>
      <c r="C7174">
        <f>IF(Sheet1!B7174&gt;0,1,0)</f>
        <v>1</v>
      </c>
    </row>
    <row r="7175" spans="1:3" x14ac:dyDescent="0.25">
      <c r="A7175" s="15">
        <f>Sheet1!A7175</f>
        <v>0</v>
      </c>
      <c r="B7175">
        <f>Sheet1!B7175</f>
        <v>2.52</v>
      </c>
      <c r="C7175">
        <f>IF(Sheet1!B7175&gt;0,1,0)</f>
        <v>1</v>
      </c>
    </row>
    <row r="7176" spans="1:3" x14ac:dyDescent="0.25">
      <c r="A7176" s="15">
        <f>Sheet1!A7176</f>
        <v>0</v>
      </c>
      <c r="B7176">
        <f>Sheet1!B7176</f>
        <v>3.05</v>
      </c>
      <c r="C7176">
        <f>IF(Sheet1!B7176&gt;0,1,0)</f>
        <v>1</v>
      </c>
    </row>
    <row r="7177" spans="1:3" x14ac:dyDescent="0.25">
      <c r="A7177" s="15">
        <f>Sheet1!A7177</f>
        <v>0</v>
      </c>
      <c r="B7177">
        <f>Sheet1!B7177</f>
        <v>2.41</v>
      </c>
      <c r="C7177">
        <f>IF(Sheet1!B7177&gt;0,1,0)</f>
        <v>1</v>
      </c>
    </row>
    <row r="7178" spans="1:3" x14ac:dyDescent="0.25">
      <c r="A7178" s="15">
        <f>Sheet1!A7178</f>
        <v>0</v>
      </c>
      <c r="B7178">
        <f>Sheet1!B7178</f>
        <v>2.37</v>
      </c>
      <c r="C7178">
        <f>IF(Sheet1!B7178&gt;0,1,0)</f>
        <v>1</v>
      </c>
    </row>
    <row r="7179" spans="1:3" x14ac:dyDescent="0.25">
      <c r="A7179" s="15">
        <f>Sheet1!A7179</f>
        <v>0</v>
      </c>
      <c r="B7179">
        <f>Sheet1!B7179</f>
        <v>2.2200000000000002</v>
      </c>
      <c r="C7179">
        <f>IF(Sheet1!B7179&gt;0,1,0)</f>
        <v>1</v>
      </c>
    </row>
    <row r="7180" spans="1:3" x14ac:dyDescent="0.25">
      <c r="A7180" s="15">
        <f>Sheet1!A7180</f>
        <v>0</v>
      </c>
      <c r="B7180">
        <f>Sheet1!B7180</f>
        <v>2.11</v>
      </c>
      <c r="C7180">
        <f>IF(Sheet1!B7180&gt;0,1,0)</f>
        <v>1</v>
      </c>
    </row>
    <row r="7181" spans="1:3" x14ac:dyDescent="0.25">
      <c r="A7181" s="15">
        <f>Sheet1!A7181</f>
        <v>0</v>
      </c>
      <c r="B7181">
        <f>Sheet1!B7181</f>
        <v>2.2400000000000002</v>
      </c>
      <c r="C7181">
        <f>IF(Sheet1!B7181&gt;0,1,0)</f>
        <v>1</v>
      </c>
    </row>
    <row r="7182" spans="1:3" x14ac:dyDescent="0.25">
      <c r="A7182" s="15">
        <f>Sheet1!A7182</f>
        <v>0</v>
      </c>
      <c r="B7182">
        <f>Sheet1!B7182</f>
        <v>2.14</v>
      </c>
      <c r="C7182">
        <f>IF(Sheet1!B7182&gt;0,1,0)</f>
        <v>1</v>
      </c>
    </row>
    <row r="7183" spans="1:3" x14ac:dyDescent="0.25">
      <c r="A7183" s="15">
        <f>Sheet1!A7183</f>
        <v>0</v>
      </c>
      <c r="B7183">
        <f>Sheet1!B7183</f>
        <v>2.25</v>
      </c>
      <c r="C7183">
        <f>IF(Sheet1!B7183&gt;0,1,0)</f>
        <v>1</v>
      </c>
    </row>
    <row r="7184" spans="1:3" x14ac:dyDescent="0.25">
      <c r="A7184" s="15">
        <f>Sheet1!A7184</f>
        <v>0</v>
      </c>
      <c r="B7184">
        <f>Sheet1!B7184</f>
        <v>2.23</v>
      </c>
      <c r="C7184">
        <f>IF(Sheet1!B7184&gt;0,1,0)</f>
        <v>1</v>
      </c>
    </row>
    <row r="7185" spans="1:3" x14ac:dyDescent="0.25">
      <c r="A7185" s="15">
        <f>Sheet1!A7185</f>
        <v>0</v>
      </c>
      <c r="B7185">
        <f>Sheet1!B7185</f>
        <v>2.04</v>
      </c>
      <c r="C7185">
        <f>IF(Sheet1!B7185&gt;0,1,0)</f>
        <v>1</v>
      </c>
    </row>
    <row r="7186" spans="1:3" x14ac:dyDescent="0.25">
      <c r="A7186" s="15">
        <f>Sheet1!A7186</f>
        <v>0</v>
      </c>
      <c r="B7186">
        <f>Sheet1!B7186</f>
        <v>2.13</v>
      </c>
      <c r="C7186">
        <f>IF(Sheet1!B7186&gt;0,1,0)</f>
        <v>1</v>
      </c>
    </row>
    <row r="7187" spans="1:3" x14ac:dyDescent="0.25">
      <c r="A7187" s="15">
        <f>Sheet1!A7187</f>
        <v>0</v>
      </c>
      <c r="B7187">
        <f>Sheet1!B7187</f>
        <v>2.12</v>
      </c>
      <c r="C7187">
        <f>IF(Sheet1!B7187&gt;0,1,0)</f>
        <v>1</v>
      </c>
    </row>
    <row r="7188" spans="1:3" x14ac:dyDescent="0.25">
      <c r="A7188" s="15">
        <f>Sheet1!A7188</f>
        <v>0</v>
      </c>
      <c r="B7188">
        <f>Sheet1!B7188</f>
        <v>0</v>
      </c>
      <c r="C7188">
        <f>IF(Sheet1!B7188&gt;0,1,0)</f>
        <v>0</v>
      </c>
    </row>
    <row r="7189" spans="1:3" x14ac:dyDescent="0.25">
      <c r="A7189" s="15">
        <f>Sheet1!A7189</f>
        <v>0</v>
      </c>
      <c r="B7189">
        <f>Sheet1!B7189</f>
        <v>0</v>
      </c>
      <c r="C7189">
        <f>IF(Sheet1!B7189&gt;0,1,0)</f>
        <v>0</v>
      </c>
    </row>
    <row r="7190" spans="1:3" x14ac:dyDescent="0.25">
      <c r="A7190" s="15">
        <f>Sheet1!A7190</f>
        <v>0</v>
      </c>
      <c r="B7190">
        <f>Sheet1!B7190</f>
        <v>2.0499999999999998</v>
      </c>
      <c r="C7190">
        <f>IF(Sheet1!B7190&gt;0,1,0)</f>
        <v>1</v>
      </c>
    </row>
    <row r="7191" spans="1:3" x14ac:dyDescent="0.25">
      <c r="A7191" s="15">
        <f>Sheet1!A7191</f>
        <v>0</v>
      </c>
      <c r="B7191">
        <f>Sheet1!B7191</f>
        <v>3.43</v>
      </c>
      <c r="C7191">
        <f>IF(Sheet1!B7191&gt;0,1,0)</f>
        <v>1</v>
      </c>
    </row>
    <row r="7192" spans="1:3" x14ac:dyDescent="0.25">
      <c r="A7192" s="15">
        <f>Sheet1!A7192</f>
        <v>0</v>
      </c>
      <c r="B7192">
        <f>Sheet1!B7192</f>
        <v>2.06</v>
      </c>
      <c r="C7192">
        <f>IF(Sheet1!B7192&gt;0,1,0)</f>
        <v>1</v>
      </c>
    </row>
    <row r="7193" spans="1:3" x14ac:dyDescent="0.25">
      <c r="A7193" s="15">
        <f>Sheet1!A7193</f>
        <v>0</v>
      </c>
      <c r="B7193">
        <f>Sheet1!B7193</f>
        <v>1.53</v>
      </c>
      <c r="C7193">
        <f>IF(Sheet1!B7193&gt;0,1,0)</f>
        <v>1</v>
      </c>
    </row>
    <row r="7194" spans="1:3" x14ac:dyDescent="0.25">
      <c r="A7194" s="15">
        <f>Sheet1!A7194</f>
        <v>0</v>
      </c>
      <c r="B7194">
        <f>Sheet1!B7194</f>
        <v>0</v>
      </c>
      <c r="C7194">
        <f>IF(Sheet1!B7194&gt;0,1,0)</f>
        <v>0</v>
      </c>
    </row>
    <row r="7195" spans="1:3" x14ac:dyDescent="0.25">
      <c r="A7195" s="15">
        <f>Sheet1!A7195</f>
        <v>0</v>
      </c>
      <c r="B7195">
        <f>Sheet1!B7195</f>
        <v>0</v>
      </c>
      <c r="C7195">
        <f>IF(Sheet1!B7195&gt;0,1,0)</f>
        <v>0</v>
      </c>
    </row>
    <row r="7196" spans="1:3" x14ac:dyDescent="0.25">
      <c r="A7196" s="15">
        <f>Sheet1!A7196</f>
        <v>0</v>
      </c>
      <c r="B7196">
        <f>Sheet1!B7196</f>
        <v>1.42</v>
      </c>
      <c r="C7196">
        <f>IF(Sheet1!B7196&gt;0,1,0)</f>
        <v>1</v>
      </c>
    </row>
    <row r="7197" spans="1:3" x14ac:dyDescent="0.25">
      <c r="A7197" s="15">
        <f>Sheet1!A7197</f>
        <v>0</v>
      </c>
      <c r="B7197">
        <f>Sheet1!B7197</f>
        <v>1.07</v>
      </c>
      <c r="C7197">
        <f>IF(Sheet1!B7197&gt;0,1,0)</f>
        <v>1</v>
      </c>
    </row>
    <row r="7198" spans="1:3" x14ac:dyDescent="0.25">
      <c r="A7198" s="15">
        <f>Sheet1!A7198</f>
        <v>0</v>
      </c>
      <c r="B7198">
        <f>Sheet1!B7198</f>
        <v>1.38</v>
      </c>
      <c r="C7198">
        <f>IF(Sheet1!B7198&gt;0,1,0)</f>
        <v>1</v>
      </c>
    </row>
    <row r="7199" spans="1:3" x14ac:dyDescent="0.25">
      <c r="A7199" s="15">
        <f>Sheet1!A7199</f>
        <v>0</v>
      </c>
      <c r="B7199">
        <f>Sheet1!B7199</f>
        <v>1.82</v>
      </c>
      <c r="C7199">
        <f>IF(Sheet1!B7199&gt;0,1,0)</f>
        <v>1</v>
      </c>
    </row>
    <row r="7200" spans="1:3" x14ac:dyDescent="0.25">
      <c r="A7200" s="15">
        <f>Sheet1!A7200</f>
        <v>0</v>
      </c>
      <c r="B7200">
        <f>Sheet1!B7200</f>
        <v>2.73</v>
      </c>
      <c r="C7200">
        <f>IF(Sheet1!B7200&gt;0,1,0)</f>
        <v>1</v>
      </c>
    </row>
    <row r="7201" spans="1:3" x14ac:dyDescent="0.25">
      <c r="A7201" s="15">
        <f>Sheet1!A7201</f>
        <v>0</v>
      </c>
      <c r="B7201">
        <f>Sheet1!B7201</f>
        <v>2</v>
      </c>
      <c r="C7201">
        <f>IF(Sheet1!B7201&gt;0,1,0)</f>
        <v>1</v>
      </c>
    </row>
    <row r="7202" spans="1:3" x14ac:dyDescent="0.25">
      <c r="A7202" s="15">
        <f>Sheet1!A7202</f>
        <v>0</v>
      </c>
      <c r="B7202">
        <f>Sheet1!B7202</f>
        <v>1.25</v>
      </c>
      <c r="C7202">
        <f>IF(Sheet1!B7202&gt;0,1,0)</f>
        <v>1</v>
      </c>
    </row>
    <row r="7203" spans="1:3" x14ac:dyDescent="0.25">
      <c r="A7203" s="15">
        <f>Sheet1!A7203</f>
        <v>0</v>
      </c>
      <c r="B7203">
        <f>Sheet1!B7203</f>
        <v>1</v>
      </c>
      <c r="C7203">
        <f>IF(Sheet1!B7203&gt;0,1,0)</f>
        <v>1</v>
      </c>
    </row>
    <row r="7204" spans="1:3" x14ac:dyDescent="0.25">
      <c r="A7204" s="15">
        <f>Sheet1!A7204</f>
        <v>0</v>
      </c>
      <c r="B7204">
        <f>Sheet1!B7204</f>
        <v>0.95</v>
      </c>
      <c r="C7204">
        <f>IF(Sheet1!B7204&gt;0,1,0)</f>
        <v>1</v>
      </c>
    </row>
    <row r="7205" spans="1:3" x14ac:dyDescent="0.25">
      <c r="A7205" s="15">
        <f>Sheet1!A7205</f>
        <v>0</v>
      </c>
      <c r="B7205">
        <f>Sheet1!B7205</f>
        <v>0.94</v>
      </c>
      <c r="C7205">
        <f>IF(Sheet1!B7205&gt;0,1,0)</f>
        <v>1</v>
      </c>
    </row>
    <row r="7206" spans="1:3" x14ac:dyDescent="0.25">
      <c r="A7206" s="15">
        <f>Sheet1!A7206</f>
        <v>0</v>
      </c>
      <c r="B7206">
        <f>Sheet1!B7206</f>
        <v>1.58</v>
      </c>
      <c r="C7206">
        <f>IF(Sheet1!B7206&gt;0,1,0)</f>
        <v>1</v>
      </c>
    </row>
    <row r="7207" spans="1:3" x14ac:dyDescent="0.25">
      <c r="A7207" s="15">
        <f>Sheet1!A7207</f>
        <v>0</v>
      </c>
      <c r="B7207">
        <f>Sheet1!B7207</f>
        <v>1.1000000000000001</v>
      </c>
      <c r="C7207">
        <f>IF(Sheet1!B7207&gt;0,1,0)</f>
        <v>1</v>
      </c>
    </row>
    <row r="7208" spans="1:3" x14ac:dyDescent="0.25">
      <c r="A7208" s="15">
        <f>Sheet1!A7208</f>
        <v>0</v>
      </c>
      <c r="B7208">
        <f>Sheet1!B7208</f>
        <v>0.56000000000000005</v>
      </c>
      <c r="C7208">
        <f>IF(Sheet1!B7208&gt;0,1,0)</f>
        <v>1</v>
      </c>
    </row>
    <row r="7209" spans="1:3" x14ac:dyDescent="0.25">
      <c r="A7209" s="15">
        <f>Sheet1!A7209</f>
        <v>0</v>
      </c>
      <c r="B7209">
        <f>Sheet1!B7209</f>
        <v>0</v>
      </c>
      <c r="C7209">
        <f>IF(Sheet1!B7209&gt;0,1,0)</f>
        <v>0</v>
      </c>
    </row>
    <row r="7210" spans="1:3" x14ac:dyDescent="0.25">
      <c r="A7210" s="15">
        <f>Sheet1!A7210</f>
        <v>0</v>
      </c>
      <c r="B7210">
        <f>Sheet1!B7210</f>
        <v>0.36</v>
      </c>
      <c r="C7210">
        <f>IF(Sheet1!B7210&gt;0,1,0)</f>
        <v>1</v>
      </c>
    </row>
    <row r="7211" spans="1:3" x14ac:dyDescent="0.25">
      <c r="A7211" s="15">
        <f>Sheet1!A7211</f>
        <v>0</v>
      </c>
      <c r="B7211">
        <f>Sheet1!B7211</f>
        <v>0.76</v>
      </c>
      <c r="C7211">
        <f>IF(Sheet1!B7211&gt;0,1,0)</f>
        <v>1</v>
      </c>
    </row>
    <row r="7212" spans="1:3" x14ac:dyDescent="0.25">
      <c r="A7212" s="15">
        <f>Sheet1!A7212</f>
        <v>0</v>
      </c>
      <c r="B7212">
        <f>Sheet1!B7212</f>
        <v>2.92</v>
      </c>
      <c r="C7212">
        <f>IF(Sheet1!B7212&gt;0,1,0)</f>
        <v>1</v>
      </c>
    </row>
    <row r="7213" spans="1:3" x14ac:dyDescent="0.25">
      <c r="A7213" s="15">
        <f>Sheet1!A7213</f>
        <v>0</v>
      </c>
      <c r="B7213">
        <f>Sheet1!B7213</f>
        <v>4.5599999999999996</v>
      </c>
      <c r="C7213">
        <f>IF(Sheet1!B7213&gt;0,1,0)</f>
        <v>1</v>
      </c>
    </row>
    <row r="7214" spans="1:3" x14ac:dyDescent="0.25">
      <c r="A7214" s="15">
        <f>Sheet1!A7214</f>
        <v>0</v>
      </c>
      <c r="B7214">
        <f>Sheet1!B7214</f>
        <v>0</v>
      </c>
      <c r="C7214">
        <f>IF(Sheet1!B7214&gt;0,1,0)</f>
        <v>0</v>
      </c>
    </row>
    <row r="7215" spans="1:3" x14ac:dyDescent="0.25">
      <c r="A7215" s="15">
        <f>Sheet1!A7215</f>
        <v>0</v>
      </c>
      <c r="B7215">
        <f>Sheet1!B7215</f>
        <v>0</v>
      </c>
      <c r="C7215">
        <f>IF(Sheet1!B7215&gt;0,1,0)</f>
        <v>0</v>
      </c>
    </row>
    <row r="7216" spans="1:3" x14ac:dyDescent="0.25">
      <c r="A7216" s="15">
        <f>Sheet1!A7216</f>
        <v>0</v>
      </c>
      <c r="B7216">
        <f>Sheet1!B7216</f>
        <v>0</v>
      </c>
      <c r="C7216">
        <f>IF(Sheet1!B7216&gt;0,1,0)</f>
        <v>0</v>
      </c>
    </row>
    <row r="7217" spans="1:3" x14ac:dyDescent="0.25">
      <c r="A7217" s="15">
        <f>Sheet1!A7217</f>
        <v>0</v>
      </c>
      <c r="B7217">
        <f>Sheet1!B7217</f>
        <v>3.17</v>
      </c>
      <c r="C7217">
        <f>IF(Sheet1!B7217&gt;0,1,0)</f>
        <v>1</v>
      </c>
    </row>
    <row r="7218" spans="1:3" x14ac:dyDescent="0.25">
      <c r="A7218" s="15">
        <f>Sheet1!A7218</f>
        <v>0</v>
      </c>
      <c r="B7218">
        <f>Sheet1!B7218</f>
        <v>0</v>
      </c>
      <c r="C7218">
        <f>IF(Sheet1!B7218&gt;0,1,0)</f>
        <v>0</v>
      </c>
    </row>
    <row r="7219" spans="1:3" x14ac:dyDescent="0.25">
      <c r="A7219" s="15">
        <f>Sheet1!A7219</f>
        <v>0</v>
      </c>
      <c r="B7219">
        <f>Sheet1!B7219</f>
        <v>0</v>
      </c>
      <c r="C7219">
        <f>IF(Sheet1!B7219&gt;0,1,0)</f>
        <v>0</v>
      </c>
    </row>
    <row r="7220" spans="1:3" x14ac:dyDescent="0.25">
      <c r="A7220" s="15">
        <f>Sheet1!A7220</f>
        <v>0</v>
      </c>
      <c r="B7220">
        <f>Sheet1!B7220</f>
        <v>0</v>
      </c>
      <c r="C7220">
        <f>IF(Sheet1!B7220&gt;0,1,0)</f>
        <v>0</v>
      </c>
    </row>
    <row r="7221" spans="1:3" x14ac:dyDescent="0.25">
      <c r="A7221" s="15">
        <f>Sheet1!A7221</f>
        <v>0</v>
      </c>
      <c r="B7221">
        <f>Sheet1!B7221</f>
        <v>6.06</v>
      </c>
      <c r="C7221">
        <f>IF(Sheet1!B7221&gt;0,1,0)</f>
        <v>1</v>
      </c>
    </row>
    <row r="7222" spans="1:3" x14ac:dyDescent="0.25">
      <c r="A7222" s="15">
        <f>Sheet1!A7222</f>
        <v>0</v>
      </c>
      <c r="B7222">
        <f>Sheet1!B7222</f>
        <v>0</v>
      </c>
      <c r="C7222">
        <f>IF(Sheet1!B7222&gt;0,1,0)</f>
        <v>0</v>
      </c>
    </row>
    <row r="7223" spans="1:3" x14ac:dyDescent="0.25">
      <c r="A7223" s="15">
        <f>Sheet1!A7223</f>
        <v>0</v>
      </c>
      <c r="B7223">
        <f>Sheet1!B7223</f>
        <v>0</v>
      </c>
      <c r="C7223">
        <f>IF(Sheet1!B7223&gt;0,1,0)</f>
        <v>0</v>
      </c>
    </row>
    <row r="7224" spans="1:3" x14ac:dyDescent="0.25">
      <c r="A7224" s="15">
        <f>Sheet1!A7224</f>
        <v>0</v>
      </c>
      <c r="B7224">
        <f>Sheet1!B7224</f>
        <v>4.5199999999999996</v>
      </c>
      <c r="C7224">
        <f>IF(Sheet1!B7224&gt;0,1,0)</f>
        <v>1</v>
      </c>
    </row>
    <row r="7225" spans="1:3" x14ac:dyDescent="0.25">
      <c r="A7225" s="15">
        <f>Sheet1!A7225</f>
        <v>0</v>
      </c>
      <c r="B7225">
        <f>Sheet1!B7225</f>
        <v>3.84</v>
      </c>
      <c r="C7225">
        <f>IF(Sheet1!B7225&gt;0,1,0)</f>
        <v>1</v>
      </c>
    </row>
    <row r="7226" spans="1:3" x14ac:dyDescent="0.25">
      <c r="A7226" s="15">
        <f>Sheet1!A7226</f>
        <v>0</v>
      </c>
      <c r="B7226">
        <f>Sheet1!B7226</f>
        <v>3.61</v>
      </c>
      <c r="C7226">
        <f>IF(Sheet1!B7226&gt;0,1,0)</f>
        <v>1</v>
      </c>
    </row>
    <row r="7227" spans="1:3" x14ac:dyDescent="0.25">
      <c r="A7227" s="15">
        <f>Sheet1!A7227</f>
        <v>0</v>
      </c>
      <c r="B7227">
        <f>Sheet1!B7227</f>
        <v>3.48</v>
      </c>
      <c r="C7227">
        <f>IF(Sheet1!B7227&gt;0,1,0)</f>
        <v>1</v>
      </c>
    </row>
    <row r="7228" spans="1:3" x14ac:dyDescent="0.25">
      <c r="A7228" s="15">
        <f>Sheet1!A7228</f>
        <v>0</v>
      </c>
      <c r="B7228">
        <f>Sheet1!B7228</f>
        <v>3.44</v>
      </c>
      <c r="C7228">
        <f>IF(Sheet1!B7228&gt;0,1,0)</f>
        <v>1</v>
      </c>
    </row>
    <row r="7229" spans="1:3" x14ac:dyDescent="0.25">
      <c r="A7229" s="15">
        <f>Sheet1!A7229</f>
        <v>0</v>
      </c>
      <c r="B7229">
        <f>Sheet1!B7229</f>
        <v>3.3</v>
      </c>
      <c r="C7229">
        <f>IF(Sheet1!B7229&gt;0,1,0)</f>
        <v>1</v>
      </c>
    </row>
    <row r="7230" spans="1:3" x14ac:dyDescent="0.25">
      <c r="A7230" s="15">
        <f>Sheet1!A7230</f>
        <v>0</v>
      </c>
      <c r="B7230">
        <f>Sheet1!B7230</f>
        <v>3.36</v>
      </c>
      <c r="C7230">
        <f>IF(Sheet1!B7230&gt;0,1,0)</f>
        <v>1</v>
      </c>
    </row>
    <row r="7231" spans="1:3" x14ac:dyDescent="0.25">
      <c r="A7231" s="15">
        <f>Sheet1!A7231</f>
        <v>0</v>
      </c>
      <c r="B7231">
        <f>Sheet1!B7231</f>
        <v>3.92</v>
      </c>
      <c r="C7231">
        <f>IF(Sheet1!B7231&gt;0,1,0)</f>
        <v>1</v>
      </c>
    </row>
    <row r="7232" spans="1:3" x14ac:dyDescent="0.25">
      <c r="A7232" s="15">
        <f>Sheet1!A7232</f>
        <v>0</v>
      </c>
      <c r="B7232">
        <f>Sheet1!B7232</f>
        <v>3.46</v>
      </c>
      <c r="C7232">
        <f>IF(Sheet1!B7232&gt;0,1,0)</f>
        <v>1</v>
      </c>
    </row>
    <row r="7233" spans="1:3" x14ac:dyDescent="0.25">
      <c r="A7233" s="15">
        <f>Sheet1!A7233</f>
        <v>0</v>
      </c>
      <c r="B7233">
        <f>Sheet1!B7233</f>
        <v>3.53</v>
      </c>
      <c r="C7233">
        <f>IF(Sheet1!B7233&gt;0,1,0)</f>
        <v>1</v>
      </c>
    </row>
    <row r="7234" spans="1:3" x14ac:dyDescent="0.25">
      <c r="A7234" s="15">
        <f>Sheet1!A7234</f>
        <v>0</v>
      </c>
      <c r="B7234">
        <f>Sheet1!B7234</f>
        <v>0</v>
      </c>
      <c r="C7234">
        <f>IF(Sheet1!B7234&gt;0,1,0)</f>
        <v>0</v>
      </c>
    </row>
    <row r="7235" spans="1:3" x14ac:dyDescent="0.25">
      <c r="A7235" s="15">
        <f>Sheet1!A7235</f>
        <v>0</v>
      </c>
      <c r="B7235">
        <f>Sheet1!B7235</f>
        <v>0</v>
      </c>
      <c r="C7235">
        <f>IF(Sheet1!B7235&gt;0,1,0)</f>
        <v>0</v>
      </c>
    </row>
    <row r="7236" spans="1:3" x14ac:dyDescent="0.25">
      <c r="A7236" s="15">
        <f>Sheet1!A7236</f>
        <v>0</v>
      </c>
      <c r="B7236">
        <f>Sheet1!B7236</f>
        <v>0</v>
      </c>
      <c r="C7236">
        <f>IF(Sheet1!B7236&gt;0,1,0)</f>
        <v>0</v>
      </c>
    </row>
    <row r="7237" spans="1:3" x14ac:dyDescent="0.25">
      <c r="A7237" s="15">
        <f>Sheet1!A7237</f>
        <v>0</v>
      </c>
      <c r="B7237">
        <f>Sheet1!B7237</f>
        <v>2.44</v>
      </c>
      <c r="C7237">
        <f>IF(Sheet1!B7237&gt;0,1,0)</f>
        <v>1</v>
      </c>
    </row>
    <row r="7238" spans="1:3" x14ac:dyDescent="0.25">
      <c r="A7238" s="15">
        <f>Sheet1!A7238</f>
        <v>0</v>
      </c>
      <c r="B7238">
        <f>Sheet1!B7238</f>
        <v>0.89</v>
      </c>
      <c r="C7238">
        <f>IF(Sheet1!B7238&gt;0,1,0)</f>
        <v>1</v>
      </c>
    </row>
    <row r="7239" spans="1:3" x14ac:dyDescent="0.25">
      <c r="A7239" s="15">
        <f>Sheet1!A7239</f>
        <v>0</v>
      </c>
      <c r="B7239">
        <f>Sheet1!B7239</f>
        <v>0</v>
      </c>
      <c r="C7239">
        <f>IF(Sheet1!B7239&gt;0,1,0)</f>
        <v>0</v>
      </c>
    </row>
    <row r="7240" spans="1:3" x14ac:dyDescent="0.25">
      <c r="A7240" s="15">
        <f>Sheet1!A7240</f>
        <v>0</v>
      </c>
      <c r="B7240">
        <f>Sheet1!B7240</f>
        <v>0</v>
      </c>
      <c r="C7240">
        <f>IF(Sheet1!B7240&gt;0,1,0)</f>
        <v>0</v>
      </c>
    </row>
    <row r="7241" spans="1:3" x14ac:dyDescent="0.25">
      <c r="A7241" s="15">
        <f>Sheet1!A7241</f>
        <v>0</v>
      </c>
      <c r="B7241">
        <f>Sheet1!B7241</f>
        <v>4.04</v>
      </c>
      <c r="C7241">
        <f>IF(Sheet1!B7241&gt;0,1,0)</f>
        <v>1</v>
      </c>
    </row>
    <row r="7242" spans="1:3" x14ac:dyDescent="0.25">
      <c r="A7242" s="15">
        <f>Sheet1!A7242</f>
        <v>0</v>
      </c>
      <c r="B7242">
        <f>Sheet1!B7242</f>
        <v>3.9</v>
      </c>
      <c r="C7242">
        <f>IF(Sheet1!B7242&gt;0,1,0)</f>
        <v>1</v>
      </c>
    </row>
    <row r="7243" spans="1:3" x14ac:dyDescent="0.25">
      <c r="A7243" s="15">
        <f>Sheet1!A7243</f>
        <v>0</v>
      </c>
      <c r="B7243">
        <f>Sheet1!B7243</f>
        <v>5.73</v>
      </c>
      <c r="C7243">
        <f>IF(Sheet1!B7243&gt;0,1,0)</f>
        <v>1</v>
      </c>
    </row>
    <row r="7244" spans="1:3" x14ac:dyDescent="0.25">
      <c r="A7244" s="15">
        <f>Sheet1!A7244</f>
        <v>0</v>
      </c>
      <c r="B7244">
        <f>Sheet1!B7244</f>
        <v>1.52</v>
      </c>
      <c r="C7244">
        <f>IF(Sheet1!B7244&gt;0,1,0)</f>
        <v>1</v>
      </c>
    </row>
    <row r="7245" spans="1:3" x14ac:dyDescent="0.25">
      <c r="A7245" s="15">
        <f>Sheet1!A7245</f>
        <v>0</v>
      </c>
      <c r="B7245">
        <f>Sheet1!B7245</f>
        <v>1.52</v>
      </c>
      <c r="C7245">
        <f>IF(Sheet1!B7245&gt;0,1,0)</f>
        <v>1</v>
      </c>
    </row>
    <row r="7246" spans="1:3" x14ac:dyDescent="0.25">
      <c r="A7246" s="15">
        <f>Sheet1!A7246</f>
        <v>0</v>
      </c>
      <c r="B7246">
        <f>Sheet1!B7246</f>
        <v>3.07</v>
      </c>
      <c r="C7246">
        <f>IF(Sheet1!B7246&gt;0,1,0)</f>
        <v>1</v>
      </c>
    </row>
    <row r="7247" spans="1:3" x14ac:dyDescent="0.25">
      <c r="A7247" s="15">
        <f>Sheet1!A7247</f>
        <v>0</v>
      </c>
      <c r="B7247">
        <f>Sheet1!B7247</f>
        <v>5.8</v>
      </c>
      <c r="C7247">
        <f>IF(Sheet1!B7247&gt;0,1,0)</f>
        <v>1</v>
      </c>
    </row>
    <row r="7248" spans="1:3" x14ac:dyDescent="0.25">
      <c r="A7248" s="15">
        <f>Sheet1!A7248</f>
        <v>0</v>
      </c>
      <c r="B7248">
        <f>Sheet1!B7248</f>
        <v>4.78</v>
      </c>
      <c r="C7248">
        <f>IF(Sheet1!B7248&gt;0,1,0)</f>
        <v>1</v>
      </c>
    </row>
    <row r="7249" spans="1:3" x14ac:dyDescent="0.25">
      <c r="A7249" s="15">
        <f>Sheet1!A7249</f>
        <v>0</v>
      </c>
      <c r="B7249">
        <f>Sheet1!B7249</f>
        <v>3.96</v>
      </c>
      <c r="C7249">
        <f>IF(Sheet1!B7249&gt;0,1,0)</f>
        <v>1</v>
      </c>
    </row>
    <row r="7250" spans="1:3" x14ac:dyDescent="0.25">
      <c r="A7250" s="15">
        <f>Sheet1!A7250</f>
        <v>0</v>
      </c>
      <c r="B7250">
        <f>Sheet1!B7250</f>
        <v>3.49</v>
      </c>
      <c r="C7250">
        <f>IF(Sheet1!B7250&gt;0,1,0)</f>
        <v>1</v>
      </c>
    </row>
    <row r="7251" spans="1:3" x14ac:dyDescent="0.25">
      <c r="A7251" s="15">
        <f>Sheet1!A7251</f>
        <v>0</v>
      </c>
      <c r="B7251">
        <f>Sheet1!B7251</f>
        <v>3.51</v>
      </c>
      <c r="C7251">
        <f>IF(Sheet1!B7251&gt;0,1,0)</f>
        <v>1</v>
      </c>
    </row>
    <row r="7252" spans="1:3" x14ac:dyDescent="0.25">
      <c r="A7252" s="15">
        <f>Sheet1!A7252</f>
        <v>0</v>
      </c>
      <c r="B7252">
        <f>Sheet1!B7252</f>
        <v>3.43</v>
      </c>
      <c r="C7252">
        <f>IF(Sheet1!B7252&gt;0,1,0)</f>
        <v>1</v>
      </c>
    </row>
    <row r="7253" spans="1:3" x14ac:dyDescent="0.25">
      <c r="A7253" s="15">
        <f>Sheet1!A7253</f>
        <v>0</v>
      </c>
      <c r="B7253">
        <f>Sheet1!B7253</f>
        <v>3.3</v>
      </c>
      <c r="C7253">
        <f>IF(Sheet1!B7253&gt;0,1,0)</f>
        <v>1</v>
      </c>
    </row>
    <row r="7254" spans="1:3" x14ac:dyDescent="0.25">
      <c r="A7254" s="15">
        <f>Sheet1!A7254</f>
        <v>0</v>
      </c>
      <c r="B7254">
        <f>Sheet1!B7254</f>
        <v>3.17</v>
      </c>
      <c r="C7254">
        <f>IF(Sheet1!B7254&gt;0,1,0)</f>
        <v>1</v>
      </c>
    </row>
    <row r="7255" spans="1:3" x14ac:dyDescent="0.25">
      <c r="A7255" s="15">
        <f>Sheet1!A7255</f>
        <v>0</v>
      </c>
      <c r="B7255">
        <f>Sheet1!B7255</f>
        <v>3.15</v>
      </c>
      <c r="C7255">
        <f>IF(Sheet1!B7255&gt;0,1,0)</f>
        <v>1</v>
      </c>
    </row>
    <row r="7256" spans="1:3" x14ac:dyDescent="0.25">
      <c r="A7256" s="15">
        <f>Sheet1!A7256</f>
        <v>0</v>
      </c>
      <c r="B7256">
        <f>Sheet1!B7256</f>
        <v>1.28</v>
      </c>
      <c r="C7256">
        <f>IF(Sheet1!B7256&gt;0,1,0)</f>
        <v>1</v>
      </c>
    </row>
    <row r="7257" spans="1:3" x14ac:dyDescent="0.25">
      <c r="A7257" s="15">
        <f>Sheet1!A7257</f>
        <v>0</v>
      </c>
      <c r="B7257">
        <f>Sheet1!B7257</f>
        <v>1.28</v>
      </c>
      <c r="C7257">
        <f>IF(Sheet1!B7257&gt;0,1,0)</f>
        <v>1</v>
      </c>
    </row>
    <row r="7258" spans="1:3" x14ac:dyDescent="0.25">
      <c r="A7258" s="15">
        <f>Sheet1!A7258</f>
        <v>0</v>
      </c>
      <c r="B7258">
        <f>Sheet1!B7258</f>
        <v>1.34</v>
      </c>
      <c r="C7258">
        <f>IF(Sheet1!B7258&gt;0,1,0)</f>
        <v>1</v>
      </c>
    </row>
    <row r="7259" spans="1:3" x14ac:dyDescent="0.25">
      <c r="A7259" s="15">
        <f>Sheet1!A7259</f>
        <v>0</v>
      </c>
      <c r="B7259">
        <f>Sheet1!B7259</f>
        <v>4.32</v>
      </c>
      <c r="C7259">
        <f>IF(Sheet1!B7259&gt;0,1,0)</f>
        <v>1</v>
      </c>
    </row>
    <row r="7260" spans="1:3" x14ac:dyDescent="0.25">
      <c r="A7260" s="15">
        <f>Sheet1!A7260</f>
        <v>0</v>
      </c>
      <c r="B7260">
        <f>Sheet1!B7260</f>
        <v>3</v>
      </c>
      <c r="C7260">
        <f>IF(Sheet1!B7260&gt;0,1,0)</f>
        <v>1</v>
      </c>
    </row>
    <row r="7261" spans="1:3" x14ac:dyDescent="0.25">
      <c r="A7261" s="15">
        <f>Sheet1!A7261</f>
        <v>0</v>
      </c>
      <c r="B7261">
        <f>Sheet1!B7261</f>
        <v>2.36</v>
      </c>
      <c r="C7261">
        <f>IF(Sheet1!B7261&gt;0,1,0)</f>
        <v>1</v>
      </c>
    </row>
    <row r="7262" spans="1:3" x14ac:dyDescent="0.25">
      <c r="A7262" s="15">
        <f>Sheet1!A7262</f>
        <v>0</v>
      </c>
      <c r="B7262">
        <f>Sheet1!B7262</f>
        <v>0</v>
      </c>
      <c r="C7262">
        <f>IF(Sheet1!B7262&gt;0,1,0)</f>
        <v>0</v>
      </c>
    </row>
    <row r="7263" spans="1:3" x14ac:dyDescent="0.25">
      <c r="A7263" s="15">
        <f>Sheet1!A7263</f>
        <v>0</v>
      </c>
      <c r="B7263">
        <f>Sheet1!B7263</f>
        <v>0</v>
      </c>
      <c r="C7263">
        <f>IF(Sheet1!B7263&gt;0,1,0)</f>
        <v>0</v>
      </c>
    </row>
    <row r="7264" spans="1:3" x14ac:dyDescent="0.25">
      <c r="A7264" s="15">
        <f>Sheet1!A7264</f>
        <v>0</v>
      </c>
      <c r="B7264">
        <f>Sheet1!B7264</f>
        <v>0</v>
      </c>
      <c r="C7264">
        <f>IF(Sheet1!B7264&gt;0,1,0)</f>
        <v>0</v>
      </c>
    </row>
    <row r="7265" spans="1:3" x14ac:dyDescent="0.25">
      <c r="A7265" s="15">
        <f>Sheet1!A7265</f>
        <v>0</v>
      </c>
      <c r="B7265">
        <f>Sheet1!B7265</f>
        <v>4.04</v>
      </c>
      <c r="C7265">
        <f>IF(Sheet1!B7265&gt;0,1,0)</f>
        <v>1</v>
      </c>
    </row>
    <row r="7266" spans="1:3" x14ac:dyDescent="0.25">
      <c r="A7266" s="15">
        <f>Sheet1!A7266</f>
        <v>0</v>
      </c>
      <c r="B7266">
        <f>Sheet1!B7266</f>
        <v>0</v>
      </c>
      <c r="C7266">
        <f>IF(Sheet1!B7266&gt;0,1,0)</f>
        <v>0</v>
      </c>
    </row>
    <row r="7267" spans="1:3" x14ac:dyDescent="0.25">
      <c r="A7267" s="15">
        <f>Sheet1!A7267</f>
        <v>0</v>
      </c>
      <c r="B7267">
        <f>Sheet1!B7267</f>
        <v>0</v>
      </c>
      <c r="C7267">
        <f>IF(Sheet1!B7267&gt;0,1,0)</f>
        <v>0</v>
      </c>
    </row>
    <row r="7268" spans="1:3" x14ac:dyDescent="0.25">
      <c r="A7268" s="15">
        <f>Sheet1!A7268</f>
        <v>0</v>
      </c>
      <c r="B7268">
        <f>Sheet1!B7268</f>
        <v>0</v>
      </c>
      <c r="C7268">
        <f>IF(Sheet1!B7268&gt;0,1,0)</f>
        <v>0</v>
      </c>
    </row>
    <row r="7269" spans="1:3" x14ac:dyDescent="0.25">
      <c r="A7269" s="15">
        <f>Sheet1!A7269</f>
        <v>0</v>
      </c>
      <c r="B7269">
        <f>Sheet1!B7269</f>
        <v>2.82</v>
      </c>
      <c r="C7269">
        <f>IF(Sheet1!B7269&gt;0,1,0)</f>
        <v>1</v>
      </c>
    </row>
    <row r="7270" spans="1:3" x14ac:dyDescent="0.25">
      <c r="A7270" s="15">
        <f>Sheet1!A7270</f>
        <v>0</v>
      </c>
      <c r="B7270">
        <f>Sheet1!B7270</f>
        <v>2.4900000000000002</v>
      </c>
      <c r="C7270">
        <f>IF(Sheet1!B7270&gt;0,1,0)</f>
        <v>1</v>
      </c>
    </row>
    <row r="7271" spans="1:3" x14ac:dyDescent="0.25">
      <c r="A7271" s="15">
        <f>Sheet1!A7271</f>
        <v>0</v>
      </c>
      <c r="B7271">
        <f>Sheet1!B7271</f>
        <v>2.34</v>
      </c>
      <c r="C7271">
        <f>IF(Sheet1!B7271&gt;0,1,0)</f>
        <v>1</v>
      </c>
    </row>
    <row r="7272" spans="1:3" x14ac:dyDescent="0.25">
      <c r="A7272" s="15">
        <f>Sheet1!A7272</f>
        <v>0</v>
      </c>
      <c r="B7272">
        <f>Sheet1!B7272</f>
        <v>2.58</v>
      </c>
      <c r="C7272">
        <f>IF(Sheet1!B7272&gt;0,1,0)</f>
        <v>1</v>
      </c>
    </row>
    <row r="7273" spans="1:3" x14ac:dyDescent="0.25">
      <c r="A7273" s="15">
        <f>Sheet1!A7273</f>
        <v>0</v>
      </c>
      <c r="B7273">
        <f>Sheet1!B7273</f>
        <v>2.15</v>
      </c>
      <c r="C7273">
        <f>IF(Sheet1!B7273&gt;0,1,0)</f>
        <v>1</v>
      </c>
    </row>
    <row r="7274" spans="1:3" x14ac:dyDescent="0.25">
      <c r="A7274" s="15">
        <f>Sheet1!A7274</f>
        <v>0</v>
      </c>
      <c r="B7274">
        <f>Sheet1!B7274</f>
        <v>2.11</v>
      </c>
      <c r="C7274">
        <f>IF(Sheet1!B7274&gt;0,1,0)</f>
        <v>1</v>
      </c>
    </row>
    <row r="7275" spans="1:3" x14ac:dyDescent="0.25">
      <c r="A7275" s="15">
        <f>Sheet1!A7275</f>
        <v>0</v>
      </c>
      <c r="B7275">
        <f>Sheet1!B7275</f>
        <v>2.1800000000000002</v>
      </c>
      <c r="C7275">
        <f>IF(Sheet1!B7275&gt;0,1,0)</f>
        <v>1</v>
      </c>
    </row>
    <row r="7276" spans="1:3" x14ac:dyDescent="0.25">
      <c r="A7276" s="15">
        <f>Sheet1!A7276</f>
        <v>0</v>
      </c>
      <c r="B7276">
        <f>Sheet1!B7276</f>
        <v>1.95</v>
      </c>
      <c r="C7276">
        <f>IF(Sheet1!B7276&gt;0,1,0)</f>
        <v>1</v>
      </c>
    </row>
    <row r="7277" spans="1:3" x14ac:dyDescent="0.25">
      <c r="A7277" s="15">
        <f>Sheet1!A7277</f>
        <v>0</v>
      </c>
      <c r="B7277">
        <f>Sheet1!B7277</f>
        <v>2.0699999999999998</v>
      </c>
      <c r="C7277">
        <f>IF(Sheet1!B7277&gt;0,1,0)</f>
        <v>1</v>
      </c>
    </row>
    <row r="7278" spans="1:3" x14ac:dyDescent="0.25">
      <c r="A7278" s="15">
        <f>Sheet1!A7278</f>
        <v>0</v>
      </c>
      <c r="B7278">
        <f>Sheet1!B7278</f>
        <v>2.4700000000000002</v>
      </c>
      <c r="C7278">
        <f>IF(Sheet1!B7278&gt;0,1,0)</f>
        <v>1</v>
      </c>
    </row>
    <row r="7279" spans="1:3" x14ac:dyDescent="0.25">
      <c r="A7279" s="15">
        <f>Sheet1!A7279</f>
        <v>0</v>
      </c>
      <c r="B7279">
        <f>Sheet1!B7279</f>
        <v>3.53</v>
      </c>
      <c r="C7279">
        <f>IF(Sheet1!B7279&gt;0,1,0)</f>
        <v>1</v>
      </c>
    </row>
    <row r="7280" spans="1:3" x14ac:dyDescent="0.25">
      <c r="A7280" s="15">
        <f>Sheet1!A7280</f>
        <v>0</v>
      </c>
      <c r="B7280">
        <f>Sheet1!B7280</f>
        <v>0</v>
      </c>
      <c r="C7280">
        <f>IF(Sheet1!B7280&gt;0,1,0)</f>
        <v>0</v>
      </c>
    </row>
    <row r="7281" spans="1:3" x14ac:dyDescent="0.25">
      <c r="A7281" s="15">
        <f>Sheet1!A7281</f>
        <v>0</v>
      </c>
      <c r="B7281">
        <f>Sheet1!B7281</f>
        <v>0</v>
      </c>
      <c r="C7281">
        <f>IF(Sheet1!B7281&gt;0,1,0)</f>
        <v>0</v>
      </c>
    </row>
    <row r="7282" spans="1:3" x14ac:dyDescent="0.25">
      <c r="A7282" s="15">
        <f>Sheet1!A7282</f>
        <v>0</v>
      </c>
      <c r="B7282">
        <f>Sheet1!B7282</f>
        <v>2.74</v>
      </c>
      <c r="C7282">
        <f>IF(Sheet1!B7282&gt;0,1,0)</f>
        <v>1</v>
      </c>
    </row>
    <row r="7283" spans="1:3" x14ac:dyDescent="0.25">
      <c r="A7283" s="15">
        <f>Sheet1!A7283</f>
        <v>0</v>
      </c>
      <c r="B7283">
        <f>Sheet1!B7283</f>
        <v>3.55</v>
      </c>
      <c r="C7283">
        <f>IF(Sheet1!B7283&gt;0,1,0)</f>
        <v>1</v>
      </c>
    </row>
    <row r="7284" spans="1:3" x14ac:dyDescent="0.25">
      <c r="A7284" s="15">
        <f>Sheet1!A7284</f>
        <v>0</v>
      </c>
      <c r="B7284">
        <f>Sheet1!B7284</f>
        <v>0</v>
      </c>
      <c r="C7284">
        <f>IF(Sheet1!B7284&gt;0,1,0)</f>
        <v>0</v>
      </c>
    </row>
    <row r="7285" spans="1:3" x14ac:dyDescent="0.25">
      <c r="A7285" s="15">
        <f>Sheet1!A7285</f>
        <v>0</v>
      </c>
      <c r="B7285">
        <f>Sheet1!B7285</f>
        <v>0</v>
      </c>
      <c r="C7285">
        <f>IF(Sheet1!B7285&gt;0,1,0)</f>
        <v>0</v>
      </c>
    </row>
    <row r="7286" spans="1:3" x14ac:dyDescent="0.25">
      <c r="A7286" s="15">
        <f>Sheet1!A7286</f>
        <v>0</v>
      </c>
      <c r="B7286">
        <f>Sheet1!B7286</f>
        <v>0</v>
      </c>
      <c r="C7286">
        <f>IF(Sheet1!B7286&gt;0,1,0)</f>
        <v>0</v>
      </c>
    </row>
    <row r="7287" spans="1:3" x14ac:dyDescent="0.25">
      <c r="A7287" s="15">
        <f>Sheet1!A7287</f>
        <v>0</v>
      </c>
      <c r="B7287">
        <f>Sheet1!B7287</f>
        <v>3.71</v>
      </c>
      <c r="C7287">
        <f>IF(Sheet1!B7287&gt;0,1,0)</f>
        <v>1</v>
      </c>
    </row>
    <row r="7288" spans="1:3" x14ac:dyDescent="0.25">
      <c r="A7288" s="15">
        <f>Sheet1!A7288</f>
        <v>0</v>
      </c>
      <c r="B7288">
        <f>Sheet1!B7288</f>
        <v>0</v>
      </c>
      <c r="C7288">
        <f>IF(Sheet1!B7288&gt;0,1,0)</f>
        <v>0</v>
      </c>
    </row>
    <row r="7289" spans="1:3" x14ac:dyDescent="0.25">
      <c r="A7289" s="15">
        <f>Sheet1!A7289</f>
        <v>0</v>
      </c>
      <c r="B7289">
        <f>Sheet1!B7289</f>
        <v>0</v>
      </c>
      <c r="C7289">
        <f>IF(Sheet1!B7289&gt;0,1,0)</f>
        <v>0</v>
      </c>
    </row>
    <row r="7290" spans="1:3" x14ac:dyDescent="0.25">
      <c r="A7290" s="15">
        <f>Sheet1!A7290</f>
        <v>0</v>
      </c>
      <c r="B7290">
        <f>Sheet1!B7290</f>
        <v>0</v>
      </c>
      <c r="C7290">
        <f>IF(Sheet1!B7290&gt;0,1,0)</f>
        <v>0</v>
      </c>
    </row>
    <row r="7291" spans="1:3" x14ac:dyDescent="0.25">
      <c r="A7291" s="15">
        <f>Sheet1!A7291</f>
        <v>0</v>
      </c>
      <c r="B7291">
        <f>Sheet1!B7291</f>
        <v>3.03</v>
      </c>
      <c r="C7291">
        <f>IF(Sheet1!B7291&gt;0,1,0)</f>
        <v>1</v>
      </c>
    </row>
    <row r="7292" spans="1:3" x14ac:dyDescent="0.25">
      <c r="A7292" s="15">
        <f>Sheet1!A7292</f>
        <v>0</v>
      </c>
      <c r="B7292">
        <f>Sheet1!B7292</f>
        <v>3.48</v>
      </c>
      <c r="C7292">
        <f>IF(Sheet1!B7292&gt;0,1,0)</f>
        <v>1</v>
      </c>
    </row>
    <row r="7293" spans="1:3" x14ac:dyDescent="0.25">
      <c r="A7293" s="15">
        <f>Sheet1!A7293</f>
        <v>0</v>
      </c>
      <c r="B7293">
        <f>Sheet1!B7293</f>
        <v>3.19</v>
      </c>
      <c r="C7293">
        <f>IF(Sheet1!B7293&gt;0,1,0)</f>
        <v>1</v>
      </c>
    </row>
    <row r="7294" spans="1:3" x14ac:dyDescent="0.25">
      <c r="A7294" s="15">
        <f>Sheet1!A7294</f>
        <v>0</v>
      </c>
      <c r="B7294">
        <f>Sheet1!B7294</f>
        <v>2.67</v>
      </c>
      <c r="C7294">
        <f>IF(Sheet1!B7294&gt;0,1,0)</f>
        <v>1</v>
      </c>
    </row>
    <row r="7295" spans="1:3" x14ac:dyDescent="0.25">
      <c r="A7295" s="15">
        <f>Sheet1!A7295</f>
        <v>0</v>
      </c>
      <c r="B7295">
        <f>Sheet1!B7295</f>
        <v>2.7</v>
      </c>
      <c r="C7295">
        <f>IF(Sheet1!B7295&gt;0,1,0)</f>
        <v>1</v>
      </c>
    </row>
    <row r="7296" spans="1:3" x14ac:dyDescent="0.25">
      <c r="A7296" s="15">
        <f>Sheet1!A7296</f>
        <v>0</v>
      </c>
      <c r="B7296">
        <f>Sheet1!B7296</f>
        <v>3.97</v>
      </c>
      <c r="C7296">
        <f>IF(Sheet1!B7296&gt;0,1,0)</f>
        <v>1</v>
      </c>
    </row>
    <row r="7297" spans="1:3" x14ac:dyDescent="0.25">
      <c r="A7297" s="15">
        <f>Sheet1!A7297</f>
        <v>0</v>
      </c>
      <c r="B7297">
        <f>Sheet1!B7297</f>
        <v>3.48</v>
      </c>
      <c r="C7297">
        <f>IF(Sheet1!B7297&gt;0,1,0)</f>
        <v>1</v>
      </c>
    </row>
    <row r="7298" spans="1:3" x14ac:dyDescent="0.25">
      <c r="A7298" s="15">
        <f>Sheet1!A7298</f>
        <v>0</v>
      </c>
      <c r="B7298">
        <f>Sheet1!B7298</f>
        <v>3.41</v>
      </c>
      <c r="C7298">
        <f>IF(Sheet1!B7298&gt;0,1,0)</f>
        <v>1</v>
      </c>
    </row>
    <row r="7299" spans="1:3" x14ac:dyDescent="0.25">
      <c r="A7299" s="15">
        <f>Sheet1!A7299</f>
        <v>0</v>
      </c>
      <c r="B7299">
        <f>Sheet1!B7299</f>
        <v>4.29</v>
      </c>
      <c r="C7299">
        <f>IF(Sheet1!B7299&gt;0,1,0)</f>
        <v>1</v>
      </c>
    </row>
    <row r="7300" spans="1:3" x14ac:dyDescent="0.25">
      <c r="A7300" s="15">
        <f>Sheet1!A7300</f>
        <v>0</v>
      </c>
      <c r="B7300">
        <f>Sheet1!B7300</f>
        <v>4.95</v>
      </c>
      <c r="C7300">
        <f>IF(Sheet1!B7300&gt;0,1,0)</f>
        <v>1</v>
      </c>
    </row>
    <row r="7301" spans="1:3" x14ac:dyDescent="0.25">
      <c r="A7301" s="15">
        <f>Sheet1!A7301</f>
        <v>0</v>
      </c>
      <c r="B7301">
        <f>Sheet1!B7301</f>
        <v>4.92</v>
      </c>
      <c r="C7301">
        <f>IF(Sheet1!B7301&gt;0,1,0)</f>
        <v>1</v>
      </c>
    </row>
    <row r="7302" spans="1:3" x14ac:dyDescent="0.25">
      <c r="A7302" s="15">
        <f>Sheet1!A7302</f>
        <v>0</v>
      </c>
      <c r="B7302">
        <f>Sheet1!B7302</f>
        <v>2.73</v>
      </c>
      <c r="C7302">
        <f>IF(Sheet1!B7302&gt;0,1,0)</f>
        <v>1</v>
      </c>
    </row>
    <row r="7303" spans="1:3" x14ac:dyDescent="0.25">
      <c r="A7303" s="15">
        <f>Sheet1!A7303</f>
        <v>0</v>
      </c>
      <c r="B7303">
        <f>Sheet1!B7303</f>
        <v>2.7</v>
      </c>
      <c r="C7303">
        <f>IF(Sheet1!B7303&gt;0,1,0)</f>
        <v>1</v>
      </c>
    </row>
    <row r="7304" spans="1:3" x14ac:dyDescent="0.25">
      <c r="A7304" s="15">
        <f>Sheet1!A7304</f>
        <v>0</v>
      </c>
      <c r="B7304">
        <f>Sheet1!B7304</f>
        <v>2.75</v>
      </c>
      <c r="C7304">
        <f>IF(Sheet1!B7304&gt;0,1,0)</f>
        <v>1</v>
      </c>
    </row>
    <row r="7305" spans="1:3" x14ac:dyDescent="0.25">
      <c r="A7305" s="15">
        <f>Sheet1!A7305</f>
        <v>0</v>
      </c>
      <c r="B7305">
        <f>Sheet1!B7305</f>
        <v>2.72</v>
      </c>
      <c r="C7305">
        <f>IF(Sheet1!B7305&gt;0,1,0)</f>
        <v>1</v>
      </c>
    </row>
    <row r="7306" spans="1:3" x14ac:dyDescent="0.25">
      <c r="A7306" s="15">
        <f>Sheet1!A7306</f>
        <v>0</v>
      </c>
      <c r="B7306">
        <f>Sheet1!B7306</f>
        <v>0</v>
      </c>
      <c r="C7306">
        <f>IF(Sheet1!B7306&gt;0,1,0)</f>
        <v>0</v>
      </c>
    </row>
    <row r="7307" spans="1:3" x14ac:dyDescent="0.25">
      <c r="A7307" s="15">
        <f>Sheet1!A7307</f>
        <v>0</v>
      </c>
      <c r="B7307">
        <f>Sheet1!B7307</f>
        <v>0</v>
      </c>
      <c r="C7307">
        <f>IF(Sheet1!B7307&gt;0,1,0)</f>
        <v>0</v>
      </c>
    </row>
    <row r="7308" spans="1:3" x14ac:dyDescent="0.25">
      <c r="A7308" s="15">
        <f>Sheet1!A7308</f>
        <v>0</v>
      </c>
      <c r="B7308">
        <f>Sheet1!B7308</f>
        <v>0</v>
      </c>
      <c r="C7308">
        <f>IF(Sheet1!B7308&gt;0,1,0)</f>
        <v>0</v>
      </c>
    </row>
    <row r="7309" spans="1:3" x14ac:dyDescent="0.25">
      <c r="A7309" s="15">
        <f>Sheet1!A7309</f>
        <v>0</v>
      </c>
      <c r="B7309">
        <f>Sheet1!B7309</f>
        <v>4.34</v>
      </c>
      <c r="C7309">
        <f>IF(Sheet1!B7309&gt;0,1,0)</f>
        <v>1</v>
      </c>
    </row>
    <row r="7310" spans="1:3" x14ac:dyDescent="0.25">
      <c r="A7310" s="15">
        <f>Sheet1!A7310</f>
        <v>0</v>
      </c>
      <c r="B7310">
        <f>Sheet1!B7310</f>
        <v>4.4000000000000004</v>
      </c>
      <c r="C7310">
        <f>IF(Sheet1!B7310&gt;0,1,0)</f>
        <v>1</v>
      </c>
    </row>
    <row r="7311" spans="1:3" x14ac:dyDescent="0.25">
      <c r="A7311" s="15">
        <f>Sheet1!A7311</f>
        <v>0</v>
      </c>
      <c r="B7311">
        <f>Sheet1!B7311</f>
        <v>4.1500000000000004</v>
      </c>
      <c r="C7311">
        <f>IF(Sheet1!B7311&gt;0,1,0)</f>
        <v>1</v>
      </c>
    </row>
    <row r="7312" spans="1:3" x14ac:dyDescent="0.25">
      <c r="A7312" s="15">
        <f>Sheet1!A7312</f>
        <v>0</v>
      </c>
      <c r="B7312">
        <f>Sheet1!B7312</f>
        <v>0</v>
      </c>
      <c r="C7312">
        <f>IF(Sheet1!B7312&gt;0,1,0)</f>
        <v>0</v>
      </c>
    </row>
    <row r="7313" spans="1:3" x14ac:dyDescent="0.25">
      <c r="A7313" s="15">
        <f>Sheet1!A7313</f>
        <v>0</v>
      </c>
      <c r="B7313">
        <f>Sheet1!B7313</f>
        <v>0</v>
      </c>
      <c r="C7313">
        <f>IF(Sheet1!B7313&gt;0,1,0)</f>
        <v>0</v>
      </c>
    </row>
    <row r="7314" spans="1:3" x14ac:dyDescent="0.25">
      <c r="A7314" s="15">
        <f>Sheet1!A7314</f>
        <v>0</v>
      </c>
      <c r="B7314">
        <f>Sheet1!B7314</f>
        <v>0</v>
      </c>
      <c r="C7314">
        <f>IF(Sheet1!B7314&gt;0,1,0)</f>
        <v>0</v>
      </c>
    </row>
    <row r="7315" spans="1:3" x14ac:dyDescent="0.25">
      <c r="A7315" s="15">
        <f>Sheet1!A7315</f>
        <v>0</v>
      </c>
      <c r="B7315">
        <f>Sheet1!B7315</f>
        <v>4.3600000000000003</v>
      </c>
      <c r="C7315">
        <f>IF(Sheet1!B7315&gt;0,1,0)</f>
        <v>1</v>
      </c>
    </row>
    <row r="7316" spans="1:3" x14ac:dyDescent="0.25">
      <c r="A7316" s="15">
        <f>Sheet1!A7316</f>
        <v>0</v>
      </c>
      <c r="B7316">
        <f>Sheet1!B7316</f>
        <v>3.28</v>
      </c>
      <c r="C7316">
        <f>IF(Sheet1!B7316&gt;0,1,0)</f>
        <v>1</v>
      </c>
    </row>
    <row r="7317" spans="1:3" x14ac:dyDescent="0.25">
      <c r="A7317" s="15">
        <f>Sheet1!A7317</f>
        <v>0</v>
      </c>
      <c r="B7317">
        <f>Sheet1!B7317</f>
        <v>2</v>
      </c>
      <c r="C7317">
        <f>IF(Sheet1!B7317&gt;0,1,0)</f>
        <v>1</v>
      </c>
    </row>
    <row r="7318" spans="1:3" x14ac:dyDescent="0.25">
      <c r="A7318" s="15">
        <f>Sheet1!A7318</f>
        <v>0</v>
      </c>
      <c r="B7318">
        <f>Sheet1!B7318</f>
        <v>2.02</v>
      </c>
      <c r="C7318">
        <f>IF(Sheet1!B7318&gt;0,1,0)</f>
        <v>1</v>
      </c>
    </row>
    <row r="7319" spans="1:3" x14ac:dyDescent="0.25">
      <c r="A7319" s="15">
        <f>Sheet1!A7319</f>
        <v>0</v>
      </c>
      <c r="B7319">
        <f>Sheet1!B7319</f>
        <v>1.22</v>
      </c>
      <c r="C7319">
        <f>IF(Sheet1!B7319&gt;0,1,0)</f>
        <v>1</v>
      </c>
    </row>
    <row r="7320" spans="1:3" x14ac:dyDescent="0.25">
      <c r="A7320" s="15">
        <f>Sheet1!A7320</f>
        <v>0</v>
      </c>
      <c r="B7320">
        <f>Sheet1!B7320</f>
        <v>1.1599999999999999</v>
      </c>
      <c r="C7320">
        <f>IF(Sheet1!B7320&gt;0,1,0)</f>
        <v>1</v>
      </c>
    </row>
    <row r="7321" spans="1:3" x14ac:dyDescent="0.25">
      <c r="A7321" s="15">
        <f>Sheet1!A7321</f>
        <v>0</v>
      </c>
      <c r="B7321">
        <f>Sheet1!B7321</f>
        <v>0.96</v>
      </c>
      <c r="C7321">
        <f>IF(Sheet1!B7321&gt;0,1,0)</f>
        <v>1</v>
      </c>
    </row>
    <row r="7322" spans="1:3" x14ac:dyDescent="0.25">
      <c r="A7322" s="15">
        <f>Sheet1!A7322</f>
        <v>0</v>
      </c>
      <c r="B7322">
        <f>Sheet1!B7322</f>
        <v>1.06</v>
      </c>
      <c r="C7322">
        <f>IF(Sheet1!B7322&gt;0,1,0)</f>
        <v>1</v>
      </c>
    </row>
    <row r="7323" spans="1:3" x14ac:dyDescent="0.25">
      <c r="A7323" s="15">
        <f>Sheet1!A7323</f>
        <v>0</v>
      </c>
      <c r="B7323">
        <f>Sheet1!B7323</f>
        <v>0.96</v>
      </c>
      <c r="C7323">
        <f>IF(Sheet1!B7323&gt;0,1,0)</f>
        <v>1</v>
      </c>
    </row>
    <row r="7324" spans="1:3" x14ac:dyDescent="0.25">
      <c r="A7324" s="15">
        <f>Sheet1!A7324</f>
        <v>0</v>
      </c>
      <c r="B7324">
        <f>Sheet1!B7324</f>
        <v>0.79</v>
      </c>
      <c r="C7324">
        <f>IF(Sheet1!B7324&gt;0,1,0)</f>
        <v>1</v>
      </c>
    </row>
    <row r="7325" spans="1:3" x14ac:dyDescent="0.25">
      <c r="A7325" s="15">
        <f>Sheet1!A7325</f>
        <v>0</v>
      </c>
      <c r="B7325">
        <f>Sheet1!B7325</f>
        <v>0.91</v>
      </c>
      <c r="C7325">
        <f>IF(Sheet1!B7325&gt;0,1,0)</f>
        <v>1</v>
      </c>
    </row>
    <row r="7326" spans="1:3" x14ac:dyDescent="0.25">
      <c r="A7326" s="15">
        <f>Sheet1!A7326</f>
        <v>0</v>
      </c>
      <c r="B7326">
        <f>Sheet1!B7326</f>
        <v>0.92</v>
      </c>
      <c r="C7326">
        <f>IF(Sheet1!B7326&gt;0,1,0)</f>
        <v>1</v>
      </c>
    </row>
    <row r="7327" spans="1:3" x14ac:dyDescent="0.25">
      <c r="A7327" s="15">
        <f>Sheet1!A7327</f>
        <v>0</v>
      </c>
      <c r="B7327">
        <f>Sheet1!B7327</f>
        <v>0.53</v>
      </c>
      <c r="C7327">
        <f>IF(Sheet1!B7327&gt;0,1,0)</f>
        <v>1</v>
      </c>
    </row>
    <row r="7328" spans="1:3" x14ac:dyDescent="0.25">
      <c r="A7328" s="15">
        <f>Sheet1!A7328</f>
        <v>0</v>
      </c>
      <c r="B7328">
        <f>Sheet1!B7328</f>
        <v>0.61</v>
      </c>
      <c r="C7328">
        <f>IF(Sheet1!B7328&gt;0,1,0)</f>
        <v>1</v>
      </c>
    </row>
    <row r="7329" spans="1:3" x14ac:dyDescent="0.25">
      <c r="A7329" s="15">
        <f>Sheet1!A7329</f>
        <v>0</v>
      </c>
      <c r="B7329">
        <f>Sheet1!B7329</f>
        <v>0.56000000000000005</v>
      </c>
      <c r="C7329">
        <f>IF(Sheet1!B7329&gt;0,1,0)</f>
        <v>1</v>
      </c>
    </row>
    <row r="7330" spans="1:3" x14ac:dyDescent="0.25">
      <c r="A7330" s="15">
        <f>Sheet1!A7330</f>
        <v>0</v>
      </c>
      <c r="B7330">
        <f>Sheet1!B7330</f>
        <v>0</v>
      </c>
      <c r="C7330">
        <f>IF(Sheet1!B7330&gt;0,1,0)</f>
        <v>0</v>
      </c>
    </row>
    <row r="7331" spans="1:3" x14ac:dyDescent="0.25">
      <c r="A7331" s="15">
        <f>Sheet1!A7331</f>
        <v>0</v>
      </c>
      <c r="B7331">
        <f>Sheet1!B7331</f>
        <v>0</v>
      </c>
      <c r="C7331">
        <f>IF(Sheet1!B7331&gt;0,1,0)</f>
        <v>0</v>
      </c>
    </row>
    <row r="7332" spans="1:3" x14ac:dyDescent="0.25">
      <c r="A7332" s="15">
        <f>Sheet1!A7332</f>
        <v>0</v>
      </c>
      <c r="B7332">
        <f>Sheet1!B7332</f>
        <v>0</v>
      </c>
      <c r="C7332">
        <f>IF(Sheet1!B7332&gt;0,1,0)</f>
        <v>0</v>
      </c>
    </row>
    <row r="7333" spans="1:3" x14ac:dyDescent="0.25">
      <c r="A7333" s="15">
        <f>Sheet1!A7333</f>
        <v>0</v>
      </c>
      <c r="B7333">
        <f>Sheet1!B7333</f>
        <v>0.98</v>
      </c>
      <c r="C7333">
        <f>IF(Sheet1!B7333&gt;0,1,0)</f>
        <v>1</v>
      </c>
    </row>
    <row r="7334" spans="1:3" x14ac:dyDescent="0.25">
      <c r="A7334" s="15">
        <f>Sheet1!A7334</f>
        <v>0</v>
      </c>
      <c r="B7334">
        <f>Sheet1!B7334</f>
        <v>0</v>
      </c>
      <c r="C7334">
        <f>IF(Sheet1!B7334&gt;0,1,0)</f>
        <v>0</v>
      </c>
    </row>
    <row r="7335" spans="1:3" x14ac:dyDescent="0.25">
      <c r="A7335" s="15">
        <f>Sheet1!A7335</f>
        <v>0</v>
      </c>
      <c r="B7335">
        <f>Sheet1!B7335</f>
        <v>0</v>
      </c>
      <c r="C7335">
        <f>IF(Sheet1!B7335&gt;0,1,0)</f>
        <v>0</v>
      </c>
    </row>
    <row r="7336" spans="1:3" x14ac:dyDescent="0.25">
      <c r="A7336" s="15">
        <f>Sheet1!A7336</f>
        <v>0</v>
      </c>
      <c r="B7336">
        <f>Sheet1!B7336</f>
        <v>0</v>
      </c>
      <c r="C7336">
        <f>IF(Sheet1!B7336&gt;0,1,0)</f>
        <v>0</v>
      </c>
    </row>
    <row r="7337" spans="1:3" x14ac:dyDescent="0.25">
      <c r="A7337" s="15">
        <f>Sheet1!A7337</f>
        <v>0</v>
      </c>
      <c r="B7337">
        <f>Sheet1!B7337</f>
        <v>1.81</v>
      </c>
      <c r="C7337">
        <f>IF(Sheet1!B7337&gt;0,1,0)</f>
        <v>1</v>
      </c>
    </row>
    <row r="7338" spans="1:3" x14ac:dyDescent="0.25">
      <c r="A7338" s="15">
        <f>Sheet1!A7338</f>
        <v>0</v>
      </c>
      <c r="B7338">
        <f>Sheet1!B7338</f>
        <v>0</v>
      </c>
      <c r="C7338">
        <f>IF(Sheet1!B7338&gt;0,1,0)</f>
        <v>0</v>
      </c>
    </row>
    <row r="7339" spans="1:3" x14ac:dyDescent="0.25">
      <c r="A7339" s="15">
        <f>Sheet1!A7339</f>
        <v>0</v>
      </c>
      <c r="B7339">
        <f>Sheet1!B7339</f>
        <v>0</v>
      </c>
      <c r="C7339">
        <f>IF(Sheet1!B7339&gt;0,1,0)</f>
        <v>0</v>
      </c>
    </row>
    <row r="7340" spans="1:3" x14ac:dyDescent="0.25">
      <c r="A7340" s="15">
        <f>Sheet1!A7340</f>
        <v>0</v>
      </c>
      <c r="B7340">
        <f>Sheet1!B7340</f>
        <v>0</v>
      </c>
      <c r="C7340">
        <f>IF(Sheet1!B7340&gt;0,1,0)</f>
        <v>0</v>
      </c>
    </row>
    <row r="7341" spans="1:3" x14ac:dyDescent="0.25">
      <c r="A7341" s="15">
        <f>Sheet1!A7341</f>
        <v>0</v>
      </c>
      <c r="B7341">
        <f>Sheet1!B7341</f>
        <v>1.45</v>
      </c>
      <c r="C7341">
        <f>IF(Sheet1!B7341&gt;0,1,0)</f>
        <v>1</v>
      </c>
    </row>
    <row r="7342" spans="1:3" x14ac:dyDescent="0.25">
      <c r="A7342" s="15">
        <f>Sheet1!A7342</f>
        <v>0</v>
      </c>
      <c r="B7342">
        <f>Sheet1!B7342</f>
        <v>1.1399999999999999</v>
      </c>
      <c r="C7342">
        <f>IF(Sheet1!B7342&gt;0,1,0)</f>
        <v>1</v>
      </c>
    </row>
    <row r="7343" spans="1:3" x14ac:dyDescent="0.25">
      <c r="A7343" s="15">
        <f>Sheet1!A7343</f>
        <v>0</v>
      </c>
      <c r="B7343">
        <f>Sheet1!B7343</f>
        <v>1.3</v>
      </c>
      <c r="C7343">
        <f>IF(Sheet1!B7343&gt;0,1,0)</f>
        <v>1</v>
      </c>
    </row>
    <row r="7344" spans="1:3" x14ac:dyDescent="0.25">
      <c r="A7344" s="15">
        <f>Sheet1!A7344</f>
        <v>0</v>
      </c>
      <c r="B7344">
        <f>Sheet1!B7344</f>
        <v>0.91</v>
      </c>
      <c r="C7344">
        <f>IF(Sheet1!B7344&gt;0,1,0)</f>
        <v>1</v>
      </c>
    </row>
    <row r="7345" spans="1:3" x14ac:dyDescent="0.25">
      <c r="A7345" s="15">
        <f>Sheet1!A7345</f>
        <v>0</v>
      </c>
      <c r="B7345">
        <f>Sheet1!B7345</f>
        <v>0.84</v>
      </c>
      <c r="C7345">
        <f>IF(Sheet1!B7345&gt;0,1,0)</f>
        <v>1</v>
      </c>
    </row>
    <row r="7346" spans="1:3" x14ac:dyDescent="0.25">
      <c r="A7346" s="15">
        <f>Sheet1!A7346</f>
        <v>0</v>
      </c>
      <c r="B7346">
        <f>Sheet1!B7346</f>
        <v>0.87</v>
      </c>
      <c r="C7346">
        <f>IF(Sheet1!B7346&gt;0,1,0)</f>
        <v>1</v>
      </c>
    </row>
    <row r="7347" spans="1:3" x14ac:dyDescent="0.25">
      <c r="A7347" s="15">
        <f>Sheet1!A7347</f>
        <v>0</v>
      </c>
      <c r="B7347">
        <f>Sheet1!B7347</f>
        <v>0.77</v>
      </c>
      <c r="C7347">
        <f>IF(Sheet1!B7347&gt;0,1,0)</f>
        <v>1</v>
      </c>
    </row>
    <row r="7348" spans="1:3" x14ac:dyDescent="0.25">
      <c r="A7348" s="15">
        <f>Sheet1!A7348</f>
        <v>0</v>
      </c>
      <c r="B7348">
        <f>Sheet1!B7348</f>
        <v>0.82</v>
      </c>
      <c r="C7348">
        <f>IF(Sheet1!B7348&gt;0,1,0)</f>
        <v>1</v>
      </c>
    </row>
    <row r="7349" spans="1:3" x14ac:dyDescent="0.25">
      <c r="A7349" s="15">
        <f>Sheet1!A7349</f>
        <v>0</v>
      </c>
      <c r="B7349">
        <f>Sheet1!B7349</f>
        <v>0.9</v>
      </c>
      <c r="C7349">
        <f>IF(Sheet1!B7349&gt;0,1,0)</f>
        <v>1</v>
      </c>
    </row>
    <row r="7350" spans="1:3" x14ac:dyDescent="0.25">
      <c r="A7350" s="15">
        <f>Sheet1!A7350</f>
        <v>0</v>
      </c>
      <c r="B7350">
        <f>Sheet1!B7350</f>
        <v>2.13</v>
      </c>
      <c r="C7350">
        <f>IF(Sheet1!B7350&gt;0,1,0)</f>
        <v>1</v>
      </c>
    </row>
    <row r="7351" spans="1:3" x14ac:dyDescent="0.25">
      <c r="A7351" s="15">
        <f>Sheet1!A7351</f>
        <v>0</v>
      </c>
      <c r="B7351">
        <f>Sheet1!B7351</f>
        <v>1.1200000000000001</v>
      </c>
      <c r="C7351">
        <f>IF(Sheet1!B7351&gt;0,1,0)</f>
        <v>1</v>
      </c>
    </row>
    <row r="7352" spans="1:3" x14ac:dyDescent="0.25">
      <c r="A7352" s="15">
        <f>Sheet1!A7352</f>
        <v>0</v>
      </c>
      <c r="B7352">
        <f>Sheet1!B7352</f>
        <v>0.8</v>
      </c>
      <c r="C7352">
        <f>IF(Sheet1!B7352&gt;0,1,0)</f>
        <v>1</v>
      </c>
    </row>
    <row r="7353" spans="1:3" x14ac:dyDescent="0.25">
      <c r="A7353" s="15">
        <f>Sheet1!A7353</f>
        <v>0</v>
      </c>
      <c r="B7353">
        <f>Sheet1!B7353</f>
        <v>0.73</v>
      </c>
      <c r="C7353">
        <f>IF(Sheet1!B7353&gt;0,1,0)</f>
        <v>1</v>
      </c>
    </row>
    <row r="7354" spans="1:3" x14ac:dyDescent="0.25">
      <c r="A7354" s="15">
        <f>Sheet1!A7354</f>
        <v>0</v>
      </c>
      <c r="B7354">
        <f>Sheet1!B7354</f>
        <v>0.74</v>
      </c>
      <c r="C7354">
        <f>IF(Sheet1!B7354&gt;0,1,0)</f>
        <v>1</v>
      </c>
    </row>
    <row r="7355" spans="1:3" x14ac:dyDescent="0.25">
      <c r="A7355" s="15">
        <f>Sheet1!A7355</f>
        <v>0</v>
      </c>
      <c r="B7355">
        <f>Sheet1!B7355</f>
        <v>1.17</v>
      </c>
      <c r="C7355">
        <f>IF(Sheet1!B7355&gt;0,1,0)</f>
        <v>1</v>
      </c>
    </row>
    <row r="7356" spans="1:3" x14ac:dyDescent="0.25">
      <c r="A7356" s="15">
        <f>Sheet1!A7356</f>
        <v>0</v>
      </c>
      <c r="B7356">
        <f>Sheet1!B7356</f>
        <v>0.95</v>
      </c>
      <c r="C7356">
        <f>IF(Sheet1!B7356&gt;0,1,0)</f>
        <v>1</v>
      </c>
    </row>
    <row r="7357" spans="1:3" x14ac:dyDescent="0.25">
      <c r="A7357" s="15">
        <f>Sheet1!A7357</f>
        <v>0</v>
      </c>
      <c r="B7357">
        <f>Sheet1!B7357</f>
        <v>0.74</v>
      </c>
      <c r="C7357">
        <f>IF(Sheet1!B7357&gt;0,1,0)</f>
        <v>1</v>
      </c>
    </row>
    <row r="7358" spans="1:3" x14ac:dyDescent="0.25">
      <c r="A7358" s="15">
        <f>Sheet1!A7358</f>
        <v>0</v>
      </c>
      <c r="B7358">
        <f>Sheet1!B7358</f>
        <v>0.67</v>
      </c>
      <c r="C7358">
        <f>IF(Sheet1!B7358&gt;0,1,0)</f>
        <v>1</v>
      </c>
    </row>
    <row r="7359" spans="1:3" x14ac:dyDescent="0.25">
      <c r="A7359" s="15">
        <f>Sheet1!A7359</f>
        <v>0</v>
      </c>
      <c r="B7359">
        <f>Sheet1!B7359</f>
        <v>0.83</v>
      </c>
      <c r="C7359">
        <f>IF(Sheet1!B7359&gt;0,1,0)</f>
        <v>1</v>
      </c>
    </row>
    <row r="7360" spans="1:3" x14ac:dyDescent="0.25">
      <c r="A7360" s="15">
        <f>Sheet1!A7360</f>
        <v>0</v>
      </c>
      <c r="B7360">
        <f>Sheet1!B7360</f>
        <v>1.22</v>
      </c>
      <c r="C7360">
        <f>IF(Sheet1!B7360&gt;0,1,0)</f>
        <v>1</v>
      </c>
    </row>
    <row r="7361" spans="1:3" x14ac:dyDescent="0.25">
      <c r="A7361" s="15">
        <f>Sheet1!A7361</f>
        <v>0</v>
      </c>
      <c r="B7361">
        <f>Sheet1!B7361</f>
        <v>1.56</v>
      </c>
      <c r="C7361">
        <f>IF(Sheet1!B7361&gt;0,1,0)</f>
        <v>1</v>
      </c>
    </row>
    <row r="7362" spans="1:3" x14ac:dyDescent="0.25">
      <c r="A7362" s="15">
        <f>Sheet1!A7362</f>
        <v>0</v>
      </c>
      <c r="B7362">
        <f>Sheet1!B7362</f>
        <v>1.28</v>
      </c>
      <c r="C7362">
        <f>IF(Sheet1!B7362&gt;0,1,0)</f>
        <v>1</v>
      </c>
    </row>
    <row r="7363" spans="1:3" x14ac:dyDescent="0.25">
      <c r="A7363" s="15">
        <f>Sheet1!A7363</f>
        <v>0</v>
      </c>
      <c r="B7363">
        <f>Sheet1!B7363</f>
        <v>1.18</v>
      </c>
      <c r="C7363">
        <f>IF(Sheet1!B7363&gt;0,1,0)</f>
        <v>1</v>
      </c>
    </row>
    <row r="7364" spans="1:3" x14ac:dyDescent="0.25">
      <c r="A7364" s="15">
        <f>Sheet1!A7364</f>
        <v>0</v>
      </c>
      <c r="B7364">
        <f>Sheet1!B7364</f>
        <v>1.1499999999999999</v>
      </c>
      <c r="C7364">
        <f>IF(Sheet1!B7364&gt;0,1,0)</f>
        <v>1</v>
      </c>
    </row>
    <row r="7365" spans="1:3" x14ac:dyDescent="0.25">
      <c r="A7365" s="15">
        <f>Sheet1!A7365</f>
        <v>0</v>
      </c>
      <c r="B7365">
        <f>Sheet1!B7365</f>
        <v>1.33</v>
      </c>
      <c r="C7365">
        <f>IF(Sheet1!B7365&gt;0,1,0)</f>
        <v>1</v>
      </c>
    </row>
    <row r="7366" spans="1:3" x14ac:dyDescent="0.25">
      <c r="A7366" s="15">
        <f>Sheet1!A7366</f>
        <v>0</v>
      </c>
      <c r="B7366">
        <f>Sheet1!B7366</f>
        <v>1.35</v>
      </c>
      <c r="C7366">
        <f>IF(Sheet1!B7366&gt;0,1,0)</f>
        <v>1</v>
      </c>
    </row>
    <row r="7367" spans="1:3" x14ac:dyDescent="0.25">
      <c r="A7367" s="15">
        <f>Sheet1!A7367</f>
        <v>0</v>
      </c>
      <c r="B7367">
        <f>Sheet1!B7367</f>
        <v>1.31</v>
      </c>
      <c r="C7367">
        <f>IF(Sheet1!B7367&gt;0,1,0)</f>
        <v>1</v>
      </c>
    </row>
    <row r="7368" spans="1:3" x14ac:dyDescent="0.25">
      <c r="A7368" s="15">
        <f>Sheet1!A7368</f>
        <v>0</v>
      </c>
      <c r="B7368">
        <f>Sheet1!B7368</f>
        <v>0.92</v>
      </c>
      <c r="C7368">
        <f>IF(Sheet1!B7368&gt;0,1,0)</f>
        <v>1</v>
      </c>
    </row>
    <row r="7369" spans="1:3" x14ac:dyDescent="0.25">
      <c r="A7369" s="15">
        <f>Sheet1!A7369</f>
        <v>0</v>
      </c>
      <c r="B7369">
        <f>Sheet1!B7369</f>
        <v>0.92</v>
      </c>
      <c r="C7369">
        <f>IF(Sheet1!B7369&gt;0,1,0)</f>
        <v>1</v>
      </c>
    </row>
    <row r="7370" spans="1:3" x14ac:dyDescent="0.25">
      <c r="A7370" s="15">
        <f>Sheet1!A7370</f>
        <v>0</v>
      </c>
      <c r="B7370">
        <f>Sheet1!B7370</f>
        <v>0.85</v>
      </c>
      <c r="C7370">
        <f>IF(Sheet1!B7370&gt;0,1,0)</f>
        <v>1</v>
      </c>
    </row>
    <row r="7371" spans="1:3" x14ac:dyDescent="0.25">
      <c r="A7371" s="15">
        <f>Sheet1!A7371</f>
        <v>0</v>
      </c>
      <c r="B7371">
        <f>Sheet1!B7371</f>
        <v>0.88</v>
      </c>
      <c r="C7371">
        <f>IF(Sheet1!B7371&gt;0,1,0)</f>
        <v>1</v>
      </c>
    </row>
    <row r="7372" spans="1:3" x14ac:dyDescent="0.25">
      <c r="A7372" s="15">
        <f>Sheet1!A7372</f>
        <v>0</v>
      </c>
      <c r="B7372">
        <f>Sheet1!B7372</f>
        <v>0.99</v>
      </c>
      <c r="C7372">
        <f>IF(Sheet1!B7372&gt;0,1,0)</f>
        <v>1</v>
      </c>
    </row>
    <row r="7373" spans="1:3" x14ac:dyDescent="0.25">
      <c r="A7373" s="15">
        <f>Sheet1!A7373</f>
        <v>0</v>
      </c>
      <c r="B7373">
        <f>Sheet1!B7373</f>
        <v>0.85</v>
      </c>
      <c r="C7373">
        <f>IF(Sheet1!B7373&gt;0,1,0)</f>
        <v>1</v>
      </c>
    </row>
    <row r="7374" spans="1:3" x14ac:dyDescent="0.25">
      <c r="A7374" s="15">
        <f>Sheet1!A7374</f>
        <v>0</v>
      </c>
      <c r="B7374">
        <f>Sheet1!B7374</f>
        <v>0.84</v>
      </c>
      <c r="C7374">
        <f>IF(Sheet1!B7374&gt;0,1,0)</f>
        <v>1</v>
      </c>
    </row>
    <row r="7375" spans="1:3" x14ac:dyDescent="0.25">
      <c r="A7375" s="15">
        <f>Sheet1!A7375</f>
        <v>0</v>
      </c>
      <c r="B7375">
        <f>Sheet1!B7375</f>
        <v>0.84</v>
      </c>
      <c r="C7375">
        <f>IF(Sheet1!B7375&gt;0,1,0)</f>
        <v>1</v>
      </c>
    </row>
    <row r="7376" spans="1:3" x14ac:dyDescent="0.25">
      <c r="A7376" s="15">
        <f>Sheet1!A7376</f>
        <v>0</v>
      </c>
      <c r="B7376">
        <f>Sheet1!B7376</f>
        <v>1.1599999999999999</v>
      </c>
      <c r="C7376">
        <f>IF(Sheet1!B7376&gt;0,1,0)</f>
        <v>1</v>
      </c>
    </row>
    <row r="7377" spans="1:3" x14ac:dyDescent="0.25">
      <c r="A7377" s="15">
        <f>Sheet1!A7377</f>
        <v>0</v>
      </c>
      <c r="B7377">
        <f>Sheet1!B7377</f>
        <v>1.1499999999999999</v>
      </c>
      <c r="C7377">
        <f>IF(Sheet1!B7377&gt;0,1,0)</f>
        <v>1</v>
      </c>
    </row>
    <row r="7378" spans="1:3" x14ac:dyDescent="0.25">
      <c r="A7378" s="15">
        <f>Sheet1!A7378</f>
        <v>0</v>
      </c>
      <c r="B7378">
        <f>Sheet1!B7378</f>
        <v>0.97</v>
      </c>
      <c r="C7378">
        <f>IF(Sheet1!B7378&gt;0,1,0)</f>
        <v>1</v>
      </c>
    </row>
    <row r="7379" spans="1:3" x14ac:dyDescent="0.25">
      <c r="A7379" s="15">
        <f>Sheet1!A7379</f>
        <v>0</v>
      </c>
      <c r="B7379">
        <f>Sheet1!B7379</f>
        <v>0.94</v>
      </c>
      <c r="C7379">
        <f>IF(Sheet1!B7379&gt;0,1,0)</f>
        <v>1</v>
      </c>
    </row>
    <row r="7380" spans="1:3" x14ac:dyDescent="0.25">
      <c r="A7380" s="15">
        <f>Sheet1!A7380</f>
        <v>0</v>
      </c>
      <c r="B7380">
        <f>Sheet1!B7380</f>
        <v>2.52</v>
      </c>
      <c r="C7380">
        <f>IF(Sheet1!B7380&gt;0,1,0)</f>
        <v>1</v>
      </c>
    </row>
    <row r="7381" spans="1:3" x14ac:dyDescent="0.25">
      <c r="A7381" s="15">
        <f>Sheet1!A7381</f>
        <v>0</v>
      </c>
      <c r="B7381">
        <f>Sheet1!B7381</f>
        <v>3.56</v>
      </c>
      <c r="C7381">
        <f>IF(Sheet1!B7381&gt;0,1,0)</f>
        <v>1</v>
      </c>
    </row>
    <row r="7382" spans="1:3" x14ac:dyDescent="0.25">
      <c r="A7382" s="15">
        <f>Sheet1!A7382</f>
        <v>0</v>
      </c>
      <c r="B7382">
        <f>Sheet1!B7382</f>
        <v>1.31</v>
      </c>
      <c r="C7382">
        <f>IF(Sheet1!B7382&gt;0,1,0)</f>
        <v>1</v>
      </c>
    </row>
    <row r="7383" spans="1:3" x14ac:dyDescent="0.25">
      <c r="A7383" s="15">
        <f>Sheet1!A7383</f>
        <v>0</v>
      </c>
      <c r="B7383">
        <f>Sheet1!B7383</f>
        <v>1.98</v>
      </c>
      <c r="C7383">
        <f>IF(Sheet1!B7383&gt;0,1,0)</f>
        <v>1</v>
      </c>
    </row>
    <row r="7384" spans="1:3" x14ac:dyDescent="0.25">
      <c r="A7384" s="15">
        <f>Sheet1!A7384</f>
        <v>0</v>
      </c>
      <c r="B7384">
        <f>Sheet1!B7384</f>
        <v>3.81</v>
      </c>
      <c r="C7384">
        <f>IF(Sheet1!B7384&gt;0,1,0)</f>
        <v>1</v>
      </c>
    </row>
    <row r="7385" spans="1:3" x14ac:dyDescent="0.25">
      <c r="A7385" s="15">
        <f>Sheet1!A7385</f>
        <v>0</v>
      </c>
      <c r="B7385">
        <f>Sheet1!B7385</f>
        <v>2.95</v>
      </c>
      <c r="C7385">
        <f>IF(Sheet1!B7385&gt;0,1,0)</f>
        <v>1</v>
      </c>
    </row>
    <row r="7386" spans="1:3" x14ac:dyDescent="0.25">
      <c r="A7386" s="15">
        <f>Sheet1!A7386</f>
        <v>0</v>
      </c>
      <c r="B7386">
        <f>Sheet1!B7386</f>
        <v>2.67</v>
      </c>
      <c r="C7386">
        <f>IF(Sheet1!B7386&gt;0,1,0)</f>
        <v>1</v>
      </c>
    </row>
    <row r="7387" spans="1:3" x14ac:dyDescent="0.25">
      <c r="A7387" s="15">
        <f>Sheet1!A7387</f>
        <v>0</v>
      </c>
      <c r="B7387">
        <f>Sheet1!B7387</f>
        <v>1.94</v>
      </c>
      <c r="C7387">
        <f>IF(Sheet1!B7387&gt;0,1,0)</f>
        <v>1</v>
      </c>
    </row>
    <row r="7388" spans="1:3" x14ac:dyDescent="0.25">
      <c r="A7388" s="15">
        <f>Sheet1!A7388</f>
        <v>0</v>
      </c>
      <c r="B7388">
        <f>Sheet1!B7388</f>
        <v>1.5</v>
      </c>
      <c r="C7388">
        <f>IF(Sheet1!B7388&gt;0,1,0)</f>
        <v>1</v>
      </c>
    </row>
    <row r="7389" spans="1:3" x14ac:dyDescent="0.25">
      <c r="A7389" s="15">
        <f>Sheet1!A7389</f>
        <v>0</v>
      </c>
      <c r="B7389">
        <f>Sheet1!B7389</f>
        <v>1.62</v>
      </c>
      <c r="C7389">
        <f>IF(Sheet1!B7389&gt;0,1,0)</f>
        <v>1</v>
      </c>
    </row>
    <row r="7390" spans="1:3" x14ac:dyDescent="0.25">
      <c r="A7390" s="15">
        <f>Sheet1!A7390</f>
        <v>0</v>
      </c>
      <c r="B7390">
        <f>Sheet1!B7390</f>
        <v>1.39</v>
      </c>
      <c r="C7390">
        <f>IF(Sheet1!B7390&gt;0,1,0)</f>
        <v>1</v>
      </c>
    </row>
    <row r="7391" spans="1:3" x14ac:dyDescent="0.25">
      <c r="A7391" s="15">
        <f>Sheet1!A7391</f>
        <v>0</v>
      </c>
      <c r="B7391">
        <f>Sheet1!B7391</f>
        <v>1.8</v>
      </c>
      <c r="C7391">
        <f>IF(Sheet1!B7391&gt;0,1,0)</f>
        <v>1</v>
      </c>
    </row>
    <row r="7392" spans="1:3" x14ac:dyDescent="0.25">
      <c r="A7392" s="15">
        <f>Sheet1!A7392</f>
        <v>0</v>
      </c>
      <c r="B7392">
        <f>Sheet1!B7392</f>
        <v>1.58</v>
      </c>
      <c r="C7392">
        <f>IF(Sheet1!B7392&gt;0,1,0)</f>
        <v>1</v>
      </c>
    </row>
    <row r="7393" spans="1:3" x14ac:dyDescent="0.25">
      <c r="A7393" s="15">
        <f>Sheet1!A7393</f>
        <v>0</v>
      </c>
      <c r="B7393">
        <f>Sheet1!B7393</f>
        <v>0.77</v>
      </c>
      <c r="C7393">
        <f>IF(Sheet1!B7393&gt;0,1,0)</f>
        <v>1</v>
      </c>
    </row>
    <row r="7394" spans="1:3" x14ac:dyDescent="0.25">
      <c r="A7394" s="15">
        <f>Sheet1!A7394</f>
        <v>0</v>
      </c>
      <c r="B7394">
        <f>Sheet1!B7394</f>
        <v>0.73</v>
      </c>
      <c r="C7394">
        <f>IF(Sheet1!B7394&gt;0,1,0)</f>
        <v>1</v>
      </c>
    </row>
    <row r="7395" spans="1:3" x14ac:dyDescent="0.25">
      <c r="A7395" s="15">
        <f>Sheet1!A7395</f>
        <v>0</v>
      </c>
      <c r="B7395">
        <f>Sheet1!B7395</f>
        <v>0.91</v>
      </c>
      <c r="C7395">
        <f>IF(Sheet1!B7395&gt;0,1,0)</f>
        <v>1</v>
      </c>
    </row>
    <row r="7396" spans="1:3" x14ac:dyDescent="0.25">
      <c r="A7396" s="15">
        <f>Sheet1!A7396</f>
        <v>0</v>
      </c>
      <c r="B7396">
        <f>Sheet1!B7396</f>
        <v>0.82</v>
      </c>
      <c r="C7396">
        <f>IF(Sheet1!B7396&gt;0,1,0)</f>
        <v>1</v>
      </c>
    </row>
    <row r="7397" spans="1:3" x14ac:dyDescent="0.25">
      <c r="A7397" s="15">
        <f>Sheet1!A7397</f>
        <v>0</v>
      </c>
      <c r="B7397">
        <f>Sheet1!B7397</f>
        <v>1.05</v>
      </c>
      <c r="C7397">
        <f>IF(Sheet1!B7397&gt;0,1,0)</f>
        <v>1</v>
      </c>
    </row>
    <row r="7398" spans="1:3" x14ac:dyDescent="0.25">
      <c r="A7398" s="15">
        <f>Sheet1!A7398</f>
        <v>0</v>
      </c>
      <c r="B7398">
        <f>Sheet1!B7398</f>
        <v>0.72</v>
      </c>
      <c r="C7398">
        <f>IF(Sheet1!B7398&gt;0,1,0)</f>
        <v>1</v>
      </c>
    </row>
    <row r="7399" spans="1:3" x14ac:dyDescent="0.25">
      <c r="A7399" s="15">
        <f>Sheet1!A7399</f>
        <v>0</v>
      </c>
      <c r="B7399">
        <f>Sheet1!B7399</f>
        <v>0.52</v>
      </c>
      <c r="C7399">
        <f>IF(Sheet1!B7399&gt;0,1,0)</f>
        <v>1</v>
      </c>
    </row>
    <row r="7400" spans="1:3" x14ac:dyDescent="0.25">
      <c r="A7400" s="15">
        <f>Sheet1!A7400</f>
        <v>0</v>
      </c>
      <c r="B7400">
        <f>Sheet1!B7400</f>
        <v>0.6</v>
      </c>
      <c r="C7400">
        <f>IF(Sheet1!B7400&gt;0,1,0)</f>
        <v>1</v>
      </c>
    </row>
    <row r="7401" spans="1:3" x14ac:dyDescent="0.25">
      <c r="A7401" s="15">
        <f>Sheet1!A7401</f>
        <v>0</v>
      </c>
      <c r="B7401">
        <f>Sheet1!B7401</f>
        <v>0.52</v>
      </c>
      <c r="C7401">
        <f>IF(Sheet1!B7401&gt;0,1,0)</f>
        <v>1</v>
      </c>
    </row>
    <row r="7402" spans="1:3" x14ac:dyDescent="0.25">
      <c r="A7402" s="15">
        <f>Sheet1!A7402</f>
        <v>0</v>
      </c>
      <c r="B7402">
        <f>Sheet1!B7402</f>
        <v>0.56999999999999995</v>
      </c>
      <c r="C7402">
        <f>IF(Sheet1!B7402&gt;0,1,0)</f>
        <v>1</v>
      </c>
    </row>
    <row r="7403" spans="1:3" x14ac:dyDescent="0.25">
      <c r="A7403" s="15">
        <f>Sheet1!A7403</f>
        <v>0</v>
      </c>
      <c r="B7403">
        <f>Sheet1!B7403</f>
        <v>0.67</v>
      </c>
      <c r="C7403">
        <f>IF(Sheet1!B7403&gt;0,1,0)</f>
        <v>1</v>
      </c>
    </row>
    <row r="7404" spans="1:3" x14ac:dyDescent="0.25">
      <c r="A7404" s="15">
        <f>Sheet1!A7404</f>
        <v>0</v>
      </c>
      <c r="B7404">
        <f>Sheet1!B7404</f>
        <v>0.81</v>
      </c>
      <c r="C7404">
        <f>IF(Sheet1!B7404&gt;0,1,0)</f>
        <v>1</v>
      </c>
    </row>
    <row r="7405" spans="1:3" x14ac:dyDescent="0.25">
      <c r="A7405" s="15">
        <f>Sheet1!A7405</f>
        <v>0</v>
      </c>
      <c r="B7405">
        <f>Sheet1!B7405</f>
        <v>0.79</v>
      </c>
      <c r="C7405">
        <f>IF(Sheet1!B7405&gt;0,1,0)</f>
        <v>1</v>
      </c>
    </row>
    <row r="7406" spans="1:3" x14ac:dyDescent="0.25">
      <c r="A7406" s="15">
        <f>Sheet1!A7406</f>
        <v>0</v>
      </c>
      <c r="B7406">
        <f>Sheet1!B7406</f>
        <v>0.89</v>
      </c>
      <c r="C7406">
        <f>IF(Sheet1!B7406&gt;0,1,0)</f>
        <v>1</v>
      </c>
    </row>
    <row r="7407" spans="1:3" x14ac:dyDescent="0.25">
      <c r="A7407" s="15">
        <f>Sheet1!A7407</f>
        <v>0</v>
      </c>
      <c r="B7407">
        <f>Sheet1!B7407</f>
        <v>0.95</v>
      </c>
      <c r="C7407">
        <f>IF(Sheet1!B7407&gt;0,1,0)</f>
        <v>1</v>
      </c>
    </row>
    <row r="7408" spans="1:3" x14ac:dyDescent="0.25">
      <c r="A7408" s="15">
        <f>Sheet1!A7408</f>
        <v>0</v>
      </c>
      <c r="B7408">
        <f>Sheet1!B7408</f>
        <v>1.1200000000000001</v>
      </c>
      <c r="C7408">
        <f>IF(Sheet1!B7408&gt;0,1,0)</f>
        <v>1</v>
      </c>
    </row>
    <row r="7409" spans="1:3" x14ac:dyDescent="0.25">
      <c r="A7409" s="15">
        <f>Sheet1!A7409</f>
        <v>0</v>
      </c>
      <c r="B7409">
        <f>Sheet1!B7409</f>
        <v>1.78</v>
      </c>
      <c r="C7409">
        <f>IF(Sheet1!B7409&gt;0,1,0)</f>
        <v>1</v>
      </c>
    </row>
    <row r="7410" spans="1:3" x14ac:dyDescent="0.25">
      <c r="A7410" s="15">
        <f>Sheet1!A7410</f>
        <v>0</v>
      </c>
      <c r="B7410">
        <f>Sheet1!B7410</f>
        <v>1.74</v>
      </c>
      <c r="C7410">
        <f>IF(Sheet1!B7410&gt;0,1,0)</f>
        <v>1</v>
      </c>
    </row>
    <row r="7411" spans="1:3" x14ac:dyDescent="0.25">
      <c r="A7411" s="15">
        <f>Sheet1!A7411</f>
        <v>0</v>
      </c>
      <c r="B7411">
        <f>Sheet1!B7411</f>
        <v>1.97</v>
      </c>
      <c r="C7411">
        <f>IF(Sheet1!B7411&gt;0,1,0)</f>
        <v>1</v>
      </c>
    </row>
    <row r="7412" spans="1:3" x14ac:dyDescent="0.25">
      <c r="A7412" s="15">
        <f>Sheet1!A7412</f>
        <v>0</v>
      </c>
      <c r="B7412">
        <f>Sheet1!B7412</f>
        <v>1.6</v>
      </c>
      <c r="C7412">
        <f>IF(Sheet1!B7412&gt;0,1,0)</f>
        <v>1</v>
      </c>
    </row>
    <row r="7413" spans="1:3" x14ac:dyDescent="0.25">
      <c r="A7413" s="15">
        <f>Sheet1!A7413</f>
        <v>0</v>
      </c>
      <c r="B7413">
        <f>Sheet1!B7413</f>
        <v>1.54</v>
      </c>
      <c r="C7413">
        <f>IF(Sheet1!B7413&gt;0,1,0)</f>
        <v>1</v>
      </c>
    </row>
    <row r="7414" spans="1:3" x14ac:dyDescent="0.25">
      <c r="A7414" s="15">
        <f>Sheet1!A7414</f>
        <v>0</v>
      </c>
      <c r="B7414">
        <f>Sheet1!B7414</f>
        <v>1.5</v>
      </c>
      <c r="C7414">
        <f>IF(Sheet1!B7414&gt;0,1,0)</f>
        <v>1</v>
      </c>
    </row>
    <row r="7415" spans="1:3" x14ac:dyDescent="0.25">
      <c r="A7415" s="15">
        <f>Sheet1!A7415</f>
        <v>0</v>
      </c>
      <c r="B7415">
        <f>Sheet1!B7415</f>
        <v>1.39</v>
      </c>
      <c r="C7415">
        <f>IF(Sheet1!B7415&gt;0,1,0)</f>
        <v>1</v>
      </c>
    </row>
    <row r="7416" spans="1:3" x14ac:dyDescent="0.25">
      <c r="A7416" s="15">
        <f>Sheet1!A7416</f>
        <v>0</v>
      </c>
      <c r="B7416">
        <f>Sheet1!B7416</f>
        <v>1.1299999999999999</v>
      </c>
      <c r="C7416">
        <f>IF(Sheet1!B7416&gt;0,1,0)</f>
        <v>1</v>
      </c>
    </row>
    <row r="7417" spans="1:3" x14ac:dyDescent="0.25">
      <c r="A7417" s="15">
        <f>Sheet1!A7417</f>
        <v>0</v>
      </c>
      <c r="B7417">
        <f>Sheet1!B7417</f>
        <v>0.94</v>
      </c>
      <c r="C7417">
        <f>IF(Sheet1!B7417&gt;0,1,0)</f>
        <v>1</v>
      </c>
    </row>
    <row r="7418" spans="1:3" x14ac:dyDescent="0.25">
      <c r="A7418" s="15">
        <f>Sheet1!A7418</f>
        <v>0</v>
      </c>
      <c r="B7418">
        <f>Sheet1!B7418</f>
        <v>1</v>
      </c>
      <c r="C7418">
        <f>IF(Sheet1!B7418&gt;0,1,0)</f>
        <v>1</v>
      </c>
    </row>
    <row r="7419" spans="1:3" x14ac:dyDescent="0.25">
      <c r="A7419" s="15">
        <f>Sheet1!A7419</f>
        <v>0</v>
      </c>
      <c r="B7419">
        <f>Sheet1!B7419</f>
        <v>0.83</v>
      </c>
      <c r="C7419">
        <f>IF(Sheet1!B7419&gt;0,1,0)</f>
        <v>1</v>
      </c>
    </row>
    <row r="7420" spans="1:3" x14ac:dyDescent="0.25">
      <c r="A7420" s="15">
        <f>Sheet1!A7420</f>
        <v>0</v>
      </c>
      <c r="B7420">
        <f>Sheet1!B7420</f>
        <v>0.78</v>
      </c>
      <c r="C7420">
        <f>IF(Sheet1!B7420&gt;0,1,0)</f>
        <v>1</v>
      </c>
    </row>
    <row r="7421" spans="1:3" x14ac:dyDescent="0.25">
      <c r="A7421" s="15">
        <f>Sheet1!A7421</f>
        <v>0</v>
      </c>
      <c r="B7421">
        <f>Sheet1!B7421</f>
        <v>0.85</v>
      </c>
      <c r="C7421">
        <f>IF(Sheet1!B7421&gt;0,1,0)</f>
        <v>1</v>
      </c>
    </row>
    <row r="7422" spans="1:3" x14ac:dyDescent="0.25">
      <c r="A7422" s="15">
        <f>Sheet1!A7422</f>
        <v>0</v>
      </c>
      <c r="B7422">
        <f>Sheet1!B7422</f>
        <v>0.57999999999999996</v>
      </c>
      <c r="C7422">
        <f>IF(Sheet1!B7422&gt;0,1,0)</f>
        <v>1</v>
      </c>
    </row>
    <row r="7423" spans="1:3" x14ac:dyDescent="0.25">
      <c r="A7423" s="15">
        <f>Sheet1!A7423</f>
        <v>0</v>
      </c>
      <c r="B7423">
        <f>Sheet1!B7423</f>
        <v>0.67</v>
      </c>
      <c r="C7423">
        <f>IF(Sheet1!B7423&gt;0,1,0)</f>
        <v>1</v>
      </c>
    </row>
    <row r="7424" spans="1:3" x14ac:dyDescent="0.25">
      <c r="A7424" s="15">
        <f>Sheet1!A7424</f>
        <v>0</v>
      </c>
      <c r="B7424">
        <f>Sheet1!B7424</f>
        <v>0.55000000000000004</v>
      </c>
      <c r="C7424">
        <f>IF(Sheet1!B7424&gt;0,1,0)</f>
        <v>1</v>
      </c>
    </row>
    <row r="7425" spans="1:3" x14ac:dyDescent="0.25">
      <c r="A7425" s="15">
        <f>Sheet1!A7425</f>
        <v>0</v>
      </c>
      <c r="B7425">
        <f>Sheet1!B7425</f>
        <v>0.61</v>
      </c>
      <c r="C7425">
        <f>IF(Sheet1!B7425&gt;0,1,0)</f>
        <v>1</v>
      </c>
    </row>
    <row r="7426" spans="1:3" x14ac:dyDescent="0.25">
      <c r="A7426" s="15">
        <f>Sheet1!A7426</f>
        <v>0</v>
      </c>
      <c r="B7426">
        <f>Sheet1!B7426</f>
        <v>0.5</v>
      </c>
      <c r="C7426">
        <f>IF(Sheet1!B7426&gt;0,1,0)</f>
        <v>1</v>
      </c>
    </row>
    <row r="7427" spans="1:3" x14ac:dyDescent="0.25">
      <c r="A7427" s="15">
        <f>Sheet1!A7427</f>
        <v>0</v>
      </c>
      <c r="B7427">
        <f>Sheet1!B7427</f>
        <v>0.6</v>
      </c>
      <c r="C7427">
        <f>IF(Sheet1!B7427&gt;0,1,0)</f>
        <v>1</v>
      </c>
    </row>
    <row r="7428" spans="1:3" x14ac:dyDescent="0.25">
      <c r="A7428" s="15">
        <f>Sheet1!A7428</f>
        <v>0</v>
      </c>
      <c r="B7428">
        <f>Sheet1!B7428</f>
        <v>0.51</v>
      </c>
      <c r="C7428">
        <f>IF(Sheet1!B7428&gt;0,1,0)</f>
        <v>1</v>
      </c>
    </row>
    <row r="7429" spans="1:3" x14ac:dyDescent="0.25">
      <c r="A7429" s="15">
        <f>Sheet1!A7429</f>
        <v>0</v>
      </c>
      <c r="B7429">
        <f>Sheet1!B7429</f>
        <v>0.98</v>
      </c>
      <c r="C7429">
        <f>IF(Sheet1!B7429&gt;0,1,0)</f>
        <v>1</v>
      </c>
    </row>
    <row r="7430" spans="1:3" x14ac:dyDescent="0.25">
      <c r="A7430" s="15">
        <f>Sheet1!A7430</f>
        <v>0</v>
      </c>
      <c r="B7430">
        <f>Sheet1!B7430</f>
        <v>1.6</v>
      </c>
      <c r="C7430">
        <f>IF(Sheet1!B7430&gt;0,1,0)</f>
        <v>1</v>
      </c>
    </row>
    <row r="7431" spans="1:3" x14ac:dyDescent="0.25">
      <c r="A7431" s="15">
        <f>Sheet1!A7431</f>
        <v>0</v>
      </c>
      <c r="B7431">
        <f>Sheet1!B7431</f>
        <v>2.77</v>
      </c>
      <c r="C7431">
        <f>IF(Sheet1!B7431&gt;0,1,0)</f>
        <v>1</v>
      </c>
    </row>
    <row r="7432" spans="1:3" x14ac:dyDescent="0.25">
      <c r="A7432" s="15">
        <f>Sheet1!A7432</f>
        <v>0</v>
      </c>
      <c r="B7432">
        <f>Sheet1!B7432</f>
        <v>2.08</v>
      </c>
      <c r="C7432">
        <f>IF(Sheet1!B7432&gt;0,1,0)</f>
        <v>1</v>
      </c>
    </row>
    <row r="7433" spans="1:3" x14ac:dyDescent="0.25">
      <c r="A7433" s="15">
        <f>Sheet1!A7433</f>
        <v>0</v>
      </c>
      <c r="B7433">
        <f>Sheet1!B7433</f>
        <v>2.0699999999999998</v>
      </c>
      <c r="C7433">
        <f>IF(Sheet1!B7433&gt;0,1,0)</f>
        <v>1</v>
      </c>
    </row>
    <row r="7434" spans="1:3" x14ac:dyDescent="0.25">
      <c r="A7434" s="15">
        <f>Sheet1!A7434</f>
        <v>0</v>
      </c>
      <c r="B7434">
        <f>Sheet1!B7434</f>
        <v>1.6</v>
      </c>
      <c r="C7434">
        <f>IF(Sheet1!B7434&gt;0,1,0)</f>
        <v>1</v>
      </c>
    </row>
    <row r="7435" spans="1:3" x14ac:dyDescent="0.25">
      <c r="A7435" s="15">
        <f>Sheet1!A7435</f>
        <v>0</v>
      </c>
      <c r="B7435">
        <f>Sheet1!B7435</f>
        <v>1.73</v>
      </c>
      <c r="C7435">
        <f>IF(Sheet1!B7435&gt;0,1,0)</f>
        <v>1</v>
      </c>
    </row>
    <row r="7436" spans="1:3" x14ac:dyDescent="0.25">
      <c r="A7436" s="15">
        <f>Sheet1!A7436</f>
        <v>0</v>
      </c>
      <c r="B7436">
        <f>Sheet1!B7436</f>
        <v>1.74</v>
      </c>
      <c r="C7436">
        <f>IF(Sheet1!B7436&gt;0,1,0)</f>
        <v>1</v>
      </c>
    </row>
    <row r="7437" spans="1:3" x14ac:dyDescent="0.25">
      <c r="A7437" s="15">
        <f>Sheet1!A7437</f>
        <v>0</v>
      </c>
      <c r="B7437">
        <f>Sheet1!B7437</f>
        <v>1.38</v>
      </c>
      <c r="C7437">
        <f>IF(Sheet1!B7437&gt;0,1,0)</f>
        <v>1</v>
      </c>
    </row>
    <row r="7438" spans="1:3" x14ac:dyDescent="0.25">
      <c r="A7438" s="15">
        <f>Sheet1!A7438</f>
        <v>0</v>
      </c>
      <c r="B7438">
        <f>Sheet1!B7438</f>
        <v>1.57</v>
      </c>
      <c r="C7438">
        <f>IF(Sheet1!B7438&gt;0,1,0)</f>
        <v>1</v>
      </c>
    </row>
    <row r="7439" spans="1:3" x14ac:dyDescent="0.25">
      <c r="A7439" s="15">
        <f>Sheet1!A7439</f>
        <v>0</v>
      </c>
      <c r="B7439">
        <f>Sheet1!B7439</f>
        <v>1.53</v>
      </c>
      <c r="C7439">
        <f>IF(Sheet1!B7439&gt;0,1,0)</f>
        <v>1</v>
      </c>
    </row>
    <row r="7440" spans="1:3" x14ac:dyDescent="0.25">
      <c r="A7440" s="15">
        <f>Sheet1!A7440</f>
        <v>0</v>
      </c>
      <c r="B7440">
        <f>Sheet1!B7440</f>
        <v>1.03</v>
      </c>
      <c r="C7440">
        <f>IF(Sheet1!B7440&gt;0,1,0)</f>
        <v>1</v>
      </c>
    </row>
    <row r="7441" spans="1:3" x14ac:dyDescent="0.25">
      <c r="A7441" s="15">
        <f>Sheet1!A7441</f>
        <v>0</v>
      </c>
      <c r="B7441">
        <f>Sheet1!B7441</f>
        <v>0.82</v>
      </c>
      <c r="C7441">
        <f>IF(Sheet1!B7441&gt;0,1,0)</f>
        <v>1</v>
      </c>
    </row>
    <row r="7442" spans="1:3" x14ac:dyDescent="0.25">
      <c r="A7442" s="15">
        <f>Sheet1!A7442</f>
        <v>0</v>
      </c>
      <c r="B7442">
        <f>Sheet1!B7442</f>
        <v>0.83</v>
      </c>
      <c r="C7442">
        <f>IF(Sheet1!B7442&gt;0,1,0)</f>
        <v>1</v>
      </c>
    </row>
    <row r="7443" spans="1:3" x14ac:dyDescent="0.25">
      <c r="A7443" s="15">
        <f>Sheet1!A7443</f>
        <v>0</v>
      </c>
      <c r="B7443">
        <f>Sheet1!B7443</f>
        <v>0.78</v>
      </c>
      <c r="C7443">
        <f>IF(Sheet1!B7443&gt;0,1,0)</f>
        <v>1</v>
      </c>
    </row>
    <row r="7444" spans="1:3" x14ac:dyDescent="0.25">
      <c r="A7444" s="15">
        <f>Sheet1!A7444</f>
        <v>0</v>
      </c>
      <c r="B7444">
        <f>Sheet1!B7444</f>
        <v>0.72</v>
      </c>
      <c r="C7444">
        <f>IF(Sheet1!B7444&gt;0,1,0)</f>
        <v>1</v>
      </c>
    </row>
    <row r="7445" spans="1:3" x14ac:dyDescent="0.25">
      <c r="A7445" s="15">
        <f>Sheet1!A7445</f>
        <v>0</v>
      </c>
      <c r="B7445">
        <f>Sheet1!B7445</f>
        <v>0.75</v>
      </c>
      <c r="C7445">
        <f>IF(Sheet1!B7445&gt;0,1,0)</f>
        <v>1</v>
      </c>
    </row>
    <row r="7446" spans="1:3" x14ac:dyDescent="0.25">
      <c r="A7446" s="15">
        <f>Sheet1!A7446</f>
        <v>0</v>
      </c>
      <c r="B7446">
        <f>Sheet1!B7446</f>
        <v>0.63</v>
      </c>
      <c r="C7446">
        <f>IF(Sheet1!B7446&gt;0,1,0)</f>
        <v>1</v>
      </c>
    </row>
    <row r="7447" spans="1:3" x14ac:dyDescent="0.25">
      <c r="A7447" s="15">
        <f>Sheet1!A7447</f>
        <v>0</v>
      </c>
      <c r="B7447">
        <f>Sheet1!B7447</f>
        <v>0.63</v>
      </c>
      <c r="C7447">
        <f>IF(Sheet1!B7447&gt;0,1,0)</f>
        <v>1</v>
      </c>
    </row>
    <row r="7448" spans="1:3" x14ac:dyDescent="0.25">
      <c r="A7448" s="15">
        <f>Sheet1!A7448</f>
        <v>0</v>
      </c>
      <c r="B7448">
        <f>Sheet1!B7448</f>
        <v>0.54</v>
      </c>
      <c r="C7448">
        <f>IF(Sheet1!B7448&gt;0,1,0)</f>
        <v>1</v>
      </c>
    </row>
    <row r="7449" spans="1:3" x14ac:dyDescent="0.25">
      <c r="A7449" s="15">
        <f>Sheet1!A7449</f>
        <v>0</v>
      </c>
      <c r="B7449">
        <f>Sheet1!B7449</f>
        <v>0.64</v>
      </c>
      <c r="C7449">
        <f>IF(Sheet1!B7449&gt;0,1,0)</f>
        <v>1</v>
      </c>
    </row>
    <row r="7450" spans="1:3" x14ac:dyDescent="0.25">
      <c r="A7450" s="15">
        <f>Sheet1!A7450</f>
        <v>0</v>
      </c>
      <c r="B7450">
        <f>Sheet1!B7450</f>
        <v>0.67</v>
      </c>
      <c r="C7450">
        <f>IF(Sheet1!B7450&gt;0,1,0)</f>
        <v>1</v>
      </c>
    </row>
    <row r="7451" spans="1:3" x14ac:dyDescent="0.25">
      <c r="A7451" s="15">
        <f>Sheet1!A7451</f>
        <v>0</v>
      </c>
      <c r="B7451">
        <f>Sheet1!B7451</f>
        <v>0</v>
      </c>
      <c r="C7451">
        <f>IF(Sheet1!B7451&gt;0,1,0)</f>
        <v>0</v>
      </c>
    </row>
    <row r="7452" spans="1:3" x14ac:dyDescent="0.25">
      <c r="A7452" s="15">
        <f>Sheet1!A7452</f>
        <v>0</v>
      </c>
      <c r="B7452">
        <f>Sheet1!B7452</f>
        <v>0.54</v>
      </c>
      <c r="C7452">
        <f>IF(Sheet1!B7452&gt;0,1,0)</f>
        <v>1</v>
      </c>
    </row>
    <row r="7453" spans="1:3" x14ac:dyDescent="0.25">
      <c r="A7453" s="15">
        <f>Sheet1!A7453</f>
        <v>0</v>
      </c>
      <c r="B7453">
        <f>Sheet1!B7453</f>
        <v>0.88</v>
      </c>
      <c r="C7453">
        <f>IF(Sheet1!B7453&gt;0,1,0)</f>
        <v>1</v>
      </c>
    </row>
    <row r="7454" spans="1:3" x14ac:dyDescent="0.25">
      <c r="A7454" s="15">
        <f>Sheet1!A7454</f>
        <v>0</v>
      </c>
      <c r="B7454">
        <f>Sheet1!B7454</f>
        <v>1.23</v>
      </c>
      <c r="C7454">
        <f>IF(Sheet1!B7454&gt;0,1,0)</f>
        <v>1</v>
      </c>
    </row>
    <row r="7455" spans="1:3" x14ac:dyDescent="0.25">
      <c r="A7455" s="15">
        <f>Sheet1!A7455</f>
        <v>0</v>
      </c>
      <c r="B7455">
        <f>Sheet1!B7455</f>
        <v>1.08</v>
      </c>
      <c r="C7455">
        <f>IF(Sheet1!B7455&gt;0,1,0)</f>
        <v>1</v>
      </c>
    </row>
    <row r="7456" spans="1:3" x14ac:dyDescent="0.25">
      <c r="A7456" s="15">
        <f>Sheet1!A7456</f>
        <v>0</v>
      </c>
      <c r="B7456">
        <f>Sheet1!B7456</f>
        <v>2.12</v>
      </c>
      <c r="C7456">
        <f>IF(Sheet1!B7456&gt;0,1,0)</f>
        <v>1</v>
      </c>
    </row>
    <row r="7457" spans="1:3" x14ac:dyDescent="0.25">
      <c r="A7457" s="15">
        <f>Sheet1!A7457</f>
        <v>0</v>
      </c>
      <c r="B7457">
        <f>Sheet1!B7457</f>
        <v>2.54</v>
      </c>
      <c r="C7457">
        <f>IF(Sheet1!B7457&gt;0,1,0)</f>
        <v>1</v>
      </c>
    </row>
    <row r="7458" spans="1:3" x14ac:dyDescent="0.25">
      <c r="A7458" s="15">
        <f>Sheet1!A7458</f>
        <v>0</v>
      </c>
      <c r="B7458">
        <f>Sheet1!B7458</f>
        <v>2.06</v>
      </c>
      <c r="C7458">
        <f>IF(Sheet1!B7458&gt;0,1,0)</f>
        <v>1</v>
      </c>
    </row>
    <row r="7459" spans="1:3" x14ac:dyDescent="0.25">
      <c r="A7459" s="15">
        <f>Sheet1!A7459</f>
        <v>0</v>
      </c>
      <c r="B7459">
        <f>Sheet1!B7459</f>
        <v>1.95</v>
      </c>
      <c r="C7459">
        <f>IF(Sheet1!B7459&gt;0,1,0)</f>
        <v>1</v>
      </c>
    </row>
    <row r="7460" spans="1:3" x14ac:dyDescent="0.25">
      <c r="A7460" s="15">
        <f>Sheet1!A7460</f>
        <v>0</v>
      </c>
      <c r="B7460">
        <f>Sheet1!B7460</f>
        <v>1.86</v>
      </c>
      <c r="C7460">
        <f>IF(Sheet1!B7460&gt;0,1,0)</f>
        <v>1</v>
      </c>
    </row>
    <row r="7461" spans="1:3" x14ac:dyDescent="0.25">
      <c r="A7461" s="15">
        <f>Sheet1!A7461</f>
        <v>0</v>
      </c>
      <c r="B7461">
        <f>Sheet1!B7461</f>
        <v>2.02</v>
      </c>
      <c r="C7461">
        <f>IF(Sheet1!B7461&gt;0,1,0)</f>
        <v>1</v>
      </c>
    </row>
    <row r="7462" spans="1:3" x14ac:dyDescent="0.25">
      <c r="A7462" s="15">
        <f>Sheet1!A7462</f>
        <v>0</v>
      </c>
      <c r="B7462">
        <f>Sheet1!B7462</f>
        <v>1.83</v>
      </c>
      <c r="C7462">
        <f>IF(Sheet1!B7462&gt;0,1,0)</f>
        <v>1</v>
      </c>
    </row>
    <row r="7463" spans="1:3" x14ac:dyDescent="0.25">
      <c r="A7463" s="15">
        <f>Sheet1!A7463</f>
        <v>0</v>
      </c>
      <c r="B7463">
        <f>Sheet1!B7463</f>
        <v>1.27</v>
      </c>
      <c r="C7463">
        <f>IF(Sheet1!B7463&gt;0,1,0)</f>
        <v>1</v>
      </c>
    </row>
    <row r="7464" spans="1:3" x14ac:dyDescent="0.25">
      <c r="A7464" s="15">
        <f>Sheet1!A7464</f>
        <v>0</v>
      </c>
      <c r="B7464">
        <f>Sheet1!B7464</f>
        <v>2.4900000000000002</v>
      </c>
      <c r="C7464">
        <f>IF(Sheet1!B7464&gt;0,1,0)</f>
        <v>1</v>
      </c>
    </row>
    <row r="7465" spans="1:3" x14ac:dyDescent="0.25">
      <c r="A7465" s="15">
        <f>Sheet1!A7465</f>
        <v>0</v>
      </c>
      <c r="B7465">
        <f>Sheet1!B7465</f>
        <v>1.29</v>
      </c>
      <c r="C7465">
        <f>IF(Sheet1!B7465&gt;0,1,0)</f>
        <v>1</v>
      </c>
    </row>
    <row r="7466" spans="1:3" x14ac:dyDescent="0.25">
      <c r="A7466" s="15">
        <f>Sheet1!A7466</f>
        <v>0</v>
      </c>
      <c r="B7466">
        <f>Sheet1!B7466</f>
        <v>1.1399999999999999</v>
      </c>
      <c r="C7466">
        <f>IF(Sheet1!B7466&gt;0,1,0)</f>
        <v>1</v>
      </c>
    </row>
    <row r="7467" spans="1:3" x14ac:dyDescent="0.25">
      <c r="A7467" s="15">
        <f>Sheet1!A7467</f>
        <v>0</v>
      </c>
      <c r="B7467">
        <f>Sheet1!B7467</f>
        <v>0.9</v>
      </c>
      <c r="C7467">
        <f>IF(Sheet1!B7467&gt;0,1,0)</f>
        <v>1</v>
      </c>
    </row>
    <row r="7468" spans="1:3" x14ac:dyDescent="0.25">
      <c r="A7468" s="15">
        <f>Sheet1!A7468</f>
        <v>0</v>
      </c>
      <c r="B7468">
        <f>Sheet1!B7468</f>
        <v>1.02</v>
      </c>
      <c r="C7468">
        <f>IF(Sheet1!B7468&gt;0,1,0)</f>
        <v>1</v>
      </c>
    </row>
    <row r="7469" spans="1:3" x14ac:dyDescent="0.25">
      <c r="A7469" s="15">
        <f>Sheet1!A7469</f>
        <v>0</v>
      </c>
      <c r="B7469">
        <f>Sheet1!B7469</f>
        <v>0.99</v>
      </c>
      <c r="C7469">
        <f>IF(Sheet1!B7469&gt;0,1,0)</f>
        <v>1</v>
      </c>
    </row>
    <row r="7470" spans="1:3" x14ac:dyDescent="0.25">
      <c r="A7470" s="15">
        <f>Sheet1!A7470</f>
        <v>0</v>
      </c>
      <c r="B7470">
        <f>Sheet1!B7470</f>
        <v>1.32</v>
      </c>
      <c r="C7470">
        <f>IF(Sheet1!B7470&gt;0,1,0)</f>
        <v>1</v>
      </c>
    </row>
    <row r="7471" spans="1:3" x14ac:dyDescent="0.25">
      <c r="A7471" s="15">
        <f>Sheet1!A7471</f>
        <v>0</v>
      </c>
      <c r="B7471">
        <f>Sheet1!B7471</f>
        <v>0.99</v>
      </c>
      <c r="C7471">
        <f>IF(Sheet1!B7471&gt;0,1,0)</f>
        <v>1</v>
      </c>
    </row>
    <row r="7472" spans="1:3" x14ac:dyDescent="0.25">
      <c r="A7472" s="15">
        <f>Sheet1!A7472</f>
        <v>0</v>
      </c>
      <c r="B7472">
        <f>Sheet1!B7472</f>
        <v>0.77</v>
      </c>
      <c r="C7472">
        <f>IF(Sheet1!B7472&gt;0,1,0)</f>
        <v>1</v>
      </c>
    </row>
    <row r="7473" spans="1:3" x14ac:dyDescent="0.25">
      <c r="A7473" s="15">
        <f>Sheet1!A7473</f>
        <v>0</v>
      </c>
      <c r="B7473">
        <f>Sheet1!B7473</f>
        <v>1.07</v>
      </c>
      <c r="C7473">
        <f>IF(Sheet1!B7473&gt;0,1,0)</f>
        <v>1</v>
      </c>
    </row>
    <row r="7474" spans="1:3" x14ac:dyDescent="0.25">
      <c r="A7474" s="15">
        <f>Sheet1!A7474</f>
        <v>0</v>
      </c>
      <c r="B7474">
        <f>Sheet1!B7474</f>
        <v>1.25</v>
      </c>
      <c r="C7474">
        <f>IF(Sheet1!B7474&gt;0,1,0)</f>
        <v>1</v>
      </c>
    </row>
    <row r="7475" spans="1:3" x14ac:dyDescent="0.25">
      <c r="A7475" s="15">
        <f>Sheet1!A7475</f>
        <v>0</v>
      </c>
      <c r="B7475">
        <f>Sheet1!B7475</f>
        <v>1.93</v>
      </c>
      <c r="C7475">
        <f>IF(Sheet1!B7475&gt;0,1,0)</f>
        <v>1</v>
      </c>
    </row>
    <row r="7476" spans="1:3" x14ac:dyDescent="0.25">
      <c r="A7476" s="15">
        <f>Sheet1!A7476</f>
        <v>0</v>
      </c>
      <c r="B7476">
        <f>Sheet1!B7476</f>
        <v>1.0900000000000001</v>
      </c>
      <c r="C7476">
        <f>IF(Sheet1!B7476&gt;0,1,0)</f>
        <v>1</v>
      </c>
    </row>
    <row r="7477" spans="1:3" x14ac:dyDescent="0.25">
      <c r="A7477" s="15">
        <f>Sheet1!A7477</f>
        <v>0</v>
      </c>
      <c r="B7477">
        <f>Sheet1!B7477</f>
        <v>1.1299999999999999</v>
      </c>
      <c r="C7477">
        <f>IF(Sheet1!B7477&gt;0,1,0)</f>
        <v>1</v>
      </c>
    </row>
    <row r="7478" spans="1:3" x14ac:dyDescent="0.25">
      <c r="A7478" s="15">
        <f>Sheet1!A7478</f>
        <v>0</v>
      </c>
      <c r="B7478">
        <f>Sheet1!B7478</f>
        <v>0.96</v>
      </c>
      <c r="C7478">
        <f>IF(Sheet1!B7478&gt;0,1,0)</f>
        <v>1</v>
      </c>
    </row>
    <row r="7479" spans="1:3" x14ac:dyDescent="0.25">
      <c r="A7479" s="15">
        <f>Sheet1!A7479</f>
        <v>0</v>
      </c>
      <c r="B7479">
        <f>Sheet1!B7479</f>
        <v>1.24</v>
      </c>
      <c r="C7479">
        <f>IF(Sheet1!B7479&gt;0,1,0)</f>
        <v>1</v>
      </c>
    </row>
    <row r="7480" spans="1:3" x14ac:dyDescent="0.25">
      <c r="A7480" s="15">
        <f>Sheet1!A7480</f>
        <v>0</v>
      </c>
      <c r="B7480">
        <f>Sheet1!B7480</f>
        <v>1.29</v>
      </c>
      <c r="C7480">
        <f>IF(Sheet1!B7480&gt;0,1,0)</f>
        <v>1</v>
      </c>
    </row>
    <row r="7481" spans="1:3" x14ac:dyDescent="0.25">
      <c r="A7481" s="15">
        <f>Sheet1!A7481</f>
        <v>0</v>
      </c>
      <c r="B7481">
        <f>Sheet1!B7481</f>
        <v>1.77</v>
      </c>
      <c r="C7481">
        <f>IF(Sheet1!B7481&gt;0,1,0)</f>
        <v>1</v>
      </c>
    </row>
    <row r="7482" spans="1:3" x14ac:dyDescent="0.25">
      <c r="A7482" s="15">
        <f>Sheet1!A7482</f>
        <v>0</v>
      </c>
      <c r="B7482">
        <f>Sheet1!B7482</f>
        <v>3.33</v>
      </c>
      <c r="C7482">
        <f>IF(Sheet1!B7482&gt;0,1,0)</f>
        <v>1</v>
      </c>
    </row>
    <row r="7483" spans="1:3" x14ac:dyDescent="0.25">
      <c r="A7483" s="15">
        <f>Sheet1!A7483</f>
        <v>0</v>
      </c>
      <c r="B7483">
        <f>Sheet1!B7483</f>
        <v>2.65</v>
      </c>
      <c r="C7483">
        <f>IF(Sheet1!B7483&gt;0,1,0)</f>
        <v>1</v>
      </c>
    </row>
    <row r="7484" spans="1:3" x14ac:dyDescent="0.25">
      <c r="A7484" s="15">
        <f>Sheet1!A7484</f>
        <v>0</v>
      </c>
      <c r="B7484">
        <f>Sheet1!B7484</f>
        <v>1.29</v>
      </c>
      <c r="C7484">
        <f>IF(Sheet1!B7484&gt;0,1,0)</f>
        <v>1</v>
      </c>
    </row>
    <row r="7485" spans="1:3" x14ac:dyDescent="0.25">
      <c r="A7485" s="15">
        <f>Sheet1!A7485</f>
        <v>0</v>
      </c>
      <c r="B7485">
        <f>Sheet1!B7485</f>
        <v>1.21</v>
      </c>
      <c r="C7485">
        <f>IF(Sheet1!B7485&gt;0,1,0)</f>
        <v>1</v>
      </c>
    </row>
    <row r="7486" spans="1:3" x14ac:dyDescent="0.25">
      <c r="A7486" s="15">
        <f>Sheet1!A7486</f>
        <v>0</v>
      </c>
      <c r="B7486">
        <f>Sheet1!B7486</f>
        <v>1.46</v>
      </c>
      <c r="C7486">
        <f>IF(Sheet1!B7486&gt;0,1,0)</f>
        <v>1</v>
      </c>
    </row>
    <row r="7487" spans="1:3" x14ac:dyDescent="0.25">
      <c r="A7487" s="15">
        <f>Sheet1!A7487</f>
        <v>0</v>
      </c>
      <c r="B7487">
        <f>Sheet1!B7487</f>
        <v>1.39</v>
      </c>
      <c r="C7487">
        <f>IF(Sheet1!B7487&gt;0,1,0)</f>
        <v>1</v>
      </c>
    </row>
    <row r="7488" spans="1:3" x14ac:dyDescent="0.25">
      <c r="A7488" s="15">
        <f>Sheet1!A7488</f>
        <v>0</v>
      </c>
      <c r="B7488">
        <f>Sheet1!B7488</f>
        <v>1.29</v>
      </c>
      <c r="C7488">
        <f>IF(Sheet1!B7488&gt;0,1,0)</f>
        <v>1</v>
      </c>
    </row>
    <row r="7489" spans="1:3" x14ac:dyDescent="0.25">
      <c r="A7489" s="15">
        <f>Sheet1!A7489</f>
        <v>0</v>
      </c>
      <c r="B7489">
        <f>Sheet1!B7489</f>
        <v>1.01</v>
      </c>
      <c r="C7489">
        <f>IF(Sheet1!B7489&gt;0,1,0)</f>
        <v>1</v>
      </c>
    </row>
    <row r="7490" spans="1:3" x14ac:dyDescent="0.25">
      <c r="A7490" s="15">
        <f>Sheet1!A7490</f>
        <v>0</v>
      </c>
      <c r="B7490">
        <f>Sheet1!B7490</f>
        <v>1.1200000000000001</v>
      </c>
      <c r="C7490">
        <f>IF(Sheet1!B7490&gt;0,1,0)</f>
        <v>1</v>
      </c>
    </row>
    <row r="7491" spans="1:3" x14ac:dyDescent="0.25">
      <c r="A7491" s="15">
        <f>Sheet1!A7491</f>
        <v>0</v>
      </c>
      <c r="B7491">
        <f>Sheet1!B7491</f>
        <v>0.84</v>
      </c>
      <c r="C7491">
        <f>IF(Sheet1!B7491&gt;0,1,0)</f>
        <v>1</v>
      </c>
    </row>
    <row r="7492" spans="1:3" x14ac:dyDescent="0.25">
      <c r="A7492" s="15">
        <f>Sheet1!A7492</f>
        <v>0</v>
      </c>
      <c r="B7492">
        <f>Sheet1!B7492</f>
        <v>0.91</v>
      </c>
      <c r="C7492">
        <f>IF(Sheet1!B7492&gt;0,1,0)</f>
        <v>1</v>
      </c>
    </row>
    <row r="7493" spans="1:3" x14ac:dyDescent="0.25">
      <c r="A7493" s="15">
        <f>Sheet1!A7493</f>
        <v>0</v>
      </c>
      <c r="B7493">
        <f>Sheet1!B7493</f>
        <v>0.8</v>
      </c>
      <c r="C7493">
        <f>IF(Sheet1!B7493&gt;0,1,0)</f>
        <v>1</v>
      </c>
    </row>
    <row r="7494" spans="1:3" x14ac:dyDescent="0.25">
      <c r="A7494" s="15">
        <f>Sheet1!A7494</f>
        <v>0</v>
      </c>
      <c r="B7494">
        <f>Sheet1!B7494</f>
        <v>0.83</v>
      </c>
      <c r="C7494">
        <f>IF(Sheet1!B7494&gt;0,1,0)</f>
        <v>1</v>
      </c>
    </row>
    <row r="7495" spans="1:3" x14ac:dyDescent="0.25">
      <c r="A7495" s="15">
        <f>Sheet1!A7495</f>
        <v>0</v>
      </c>
      <c r="B7495">
        <f>Sheet1!B7495</f>
        <v>0.77</v>
      </c>
      <c r="C7495">
        <f>IF(Sheet1!B7495&gt;0,1,0)</f>
        <v>1</v>
      </c>
    </row>
    <row r="7496" spans="1:3" x14ac:dyDescent="0.25">
      <c r="A7496" s="15">
        <f>Sheet1!A7496</f>
        <v>0</v>
      </c>
      <c r="B7496">
        <f>Sheet1!B7496</f>
        <v>0.83</v>
      </c>
      <c r="C7496">
        <f>IF(Sheet1!B7496&gt;0,1,0)</f>
        <v>1</v>
      </c>
    </row>
    <row r="7497" spans="1:3" x14ac:dyDescent="0.25">
      <c r="A7497" s="15">
        <f>Sheet1!A7497</f>
        <v>0</v>
      </c>
      <c r="B7497">
        <f>Sheet1!B7497</f>
        <v>0.84</v>
      </c>
      <c r="C7497">
        <f>IF(Sheet1!B7497&gt;0,1,0)</f>
        <v>1</v>
      </c>
    </row>
    <row r="7498" spans="1:3" x14ac:dyDescent="0.25">
      <c r="A7498" s="15">
        <f>Sheet1!A7498</f>
        <v>0</v>
      </c>
      <c r="B7498">
        <f>Sheet1!B7498</f>
        <v>1.1000000000000001</v>
      </c>
      <c r="C7498">
        <f>IF(Sheet1!B7498&gt;0,1,0)</f>
        <v>1</v>
      </c>
    </row>
    <row r="7499" spans="1:3" x14ac:dyDescent="0.25">
      <c r="A7499" s="15">
        <f>Sheet1!A7499</f>
        <v>0</v>
      </c>
      <c r="B7499">
        <f>Sheet1!B7499</f>
        <v>1.04</v>
      </c>
      <c r="C7499">
        <f>IF(Sheet1!B7499&gt;0,1,0)</f>
        <v>1</v>
      </c>
    </row>
    <row r="7500" spans="1:3" x14ac:dyDescent="0.25">
      <c r="A7500" s="15">
        <f>Sheet1!A7500</f>
        <v>0</v>
      </c>
      <c r="B7500">
        <f>Sheet1!B7500</f>
        <v>1.05</v>
      </c>
      <c r="C7500">
        <f>IF(Sheet1!B7500&gt;0,1,0)</f>
        <v>1</v>
      </c>
    </row>
    <row r="7501" spans="1:3" x14ac:dyDescent="0.25">
      <c r="A7501" s="15">
        <f>Sheet1!A7501</f>
        <v>0</v>
      </c>
      <c r="B7501">
        <f>Sheet1!B7501</f>
        <v>1.1499999999999999</v>
      </c>
      <c r="C7501">
        <f>IF(Sheet1!B7501&gt;0,1,0)</f>
        <v>1</v>
      </c>
    </row>
    <row r="7502" spans="1:3" x14ac:dyDescent="0.25">
      <c r="A7502" s="15">
        <f>Sheet1!A7502</f>
        <v>0</v>
      </c>
      <c r="B7502">
        <f>Sheet1!B7502</f>
        <v>1.06</v>
      </c>
      <c r="C7502">
        <f>IF(Sheet1!B7502&gt;0,1,0)</f>
        <v>1</v>
      </c>
    </row>
    <row r="7503" spans="1:3" x14ac:dyDescent="0.25">
      <c r="A7503" s="15">
        <f>Sheet1!A7503</f>
        <v>0</v>
      </c>
      <c r="B7503">
        <f>Sheet1!B7503</f>
        <v>1.01</v>
      </c>
      <c r="C7503">
        <f>IF(Sheet1!B7503&gt;0,1,0)</f>
        <v>1</v>
      </c>
    </row>
    <row r="7504" spans="1:3" x14ac:dyDescent="0.25">
      <c r="A7504" s="15">
        <f>Sheet1!A7504</f>
        <v>0</v>
      </c>
      <c r="B7504">
        <f>Sheet1!B7504</f>
        <v>1.44</v>
      </c>
      <c r="C7504">
        <f>IF(Sheet1!B7504&gt;0,1,0)</f>
        <v>1</v>
      </c>
    </row>
    <row r="7505" spans="1:3" x14ac:dyDescent="0.25">
      <c r="A7505" s="15">
        <f>Sheet1!A7505</f>
        <v>0</v>
      </c>
      <c r="B7505">
        <f>Sheet1!B7505</f>
        <v>2.36</v>
      </c>
      <c r="C7505">
        <f>IF(Sheet1!B7505&gt;0,1,0)</f>
        <v>1</v>
      </c>
    </row>
    <row r="7506" spans="1:3" x14ac:dyDescent="0.25">
      <c r="A7506" s="15">
        <f>Sheet1!A7506</f>
        <v>0</v>
      </c>
      <c r="B7506">
        <f>Sheet1!B7506</f>
        <v>2.94</v>
      </c>
      <c r="C7506">
        <f>IF(Sheet1!B7506&gt;0,1,0)</f>
        <v>1</v>
      </c>
    </row>
    <row r="7507" spans="1:3" x14ac:dyDescent="0.25">
      <c r="A7507" s="15">
        <f>Sheet1!A7507</f>
        <v>0</v>
      </c>
      <c r="B7507">
        <f>Sheet1!B7507</f>
        <v>1.74</v>
      </c>
      <c r="C7507">
        <f>IF(Sheet1!B7507&gt;0,1,0)</f>
        <v>1</v>
      </c>
    </row>
    <row r="7508" spans="1:3" x14ac:dyDescent="0.25">
      <c r="A7508" s="15">
        <f>Sheet1!A7508</f>
        <v>0</v>
      </c>
      <c r="B7508">
        <f>Sheet1!B7508</f>
        <v>1.62</v>
      </c>
      <c r="C7508">
        <f>IF(Sheet1!B7508&gt;0,1,0)</f>
        <v>1</v>
      </c>
    </row>
    <row r="7509" spans="1:3" x14ac:dyDescent="0.25">
      <c r="A7509" s="15">
        <f>Sheet1!A7509</f>
        <v>0</v>
      </c>
      <c r="B7509">
        <f>Sheet1!B7509</f>
        <v>1.59</v>
      </c>
      <c r="C7509">
        <f>IF(Sheet1!B7509&gt;0,1,0)</f>
        <v>1</v>
      </c>
    </row>
    <row r="7510" spans="1:3" x14ac:dyDescent="0.25">
      <c r="A7510" s="15">
        <f>Sheet1!A7510</f>
        <v>0</v>
      </c>
      <c r="B7510">
        <f>Sheet1!B7510</f>
        <v>1.49</v>
      </c>
      <c r="C7510">
        <f>IF(Sheet1!B7510&gt;0,1,0)</f>
        <v>1</v>
      </c>
    </row>
    <row r="7511" spans="1:3" x14ac:dyDescent="0.25">
      <c r="A7511" s="15">
        <f>Sheet1!A7511</f>
        <v>0</v>
      </c>
      <c r="B7511">
        <f>Sheet1!B7511</f>
        <v>1.42</v>
      </c>
      <c r="C7511">
        <f>IF(Sheet1!B7511&gt;0,1,0)</f>
        <v>1</v>
      </c>
    </row>
    <row r="7512" spans="1:3" x14ac:dyDescent="0.25">
      <c r="A7512" s="15">
        <f>Sheet1!A7512</f>
        <v>0</v>
      </c>
      <c r="B7512">
        <f>Sheet1!B7512</f>
        <v>1.04</v>
      </c>
      <c r="C7512">
        <f>IF(Sheet1!B7512&gt;0,1,0)</f>
        <v>1</v>
      </c>
    </row>
    <row r="7513" spans="1:3" x14ac:dyDescent="0.25">
      <c r="A7513" s="15">
        <f>Sheet1!A7513</f>
        <v>0</v>
      </c>
      <c r="B7513">
        <f>Sheet1!B7513</f>
        <v>0.88</v>
      </c>
      <c r="C7513">
        <f>IF(Sheet1!B7513&gt;0,1,0)</f>
        <v>1</v>
      </c>
    </row>
    <row r="7514" spans="1:3" x14ac:dyDescent="0.25">
      <c r="A7514" s="15">
        <f>Sheet1!A7514</f>
        <v>0</v>
      </c>
      <c r="B7514">
        <f>Sheet1!B7514</f>
        <v>0.86</v>
      </c>
      <c r="C7514">
        <f>IF(Sheet1!B7514&gt;0,1,0)</f>
        <v>1</v>
      </c>
    </row>
    <row r="7515" spans="1:3" x14ac:dyDescent="0.25">
      <c r="A7515" s="15">
        <f>Sheet1!A7515</f>
        <v>0</v>
      </c>
      <c r="B7515">
        <f>Sheet1!B7515</f>
        <v>0.84</v>
      </c>
      <c r="C7515">
        <f>IF(Sheet1!B7515&gt;0,1,0)</f>
        <v>1</v>
      </c>
    </row>
    <row r="7516" spans="1:3" x14ac:dyDescent="0.25">
      <c r="A7516" s="15">
        <f>Sheet1!A7516</f>
        <v>0</v>
      </c>
      <c r="B7516">
        <f>Sheet1!B7516</f>
        <v>0.84</v>
      </c>
      <c r="C7516">
        <f>IF(Sheet1!B7516&gt;0,1,0)</f>
        <v>1</v>
      </c>
    </row>
    <row r="7517" spans="1:3" x14ac:dyDescent="0.25">
      <c r="A7517" s="15">
        <f>Sheet1!A7517</f>
        <v>0</v>
      </c>
      <c r="B7517">
        <f>Sheet1!B7517</f>
        <v>0.8</v>
      </c>
      <c r="C7517">
        <f>IF(Sheet1!B7517&gt;0,1,0)</f>
        <v>1</v>
      </c>
    </row>
    <row r="7518" spans="1:3" x14ac:dyDescent="0.25">
      <c r="A7518" s="15">
        <f>Sheet1!A7518</f>
        <v>0</v>
      </c>
      <c r="B7518">
        <f>Sheet1!B7518</f>
        <v>0.77</v>
      </c>
      <c r="C7518">
        <f>IF(Sheet1!B7518&gt;0,1,0)</f>
        <v>1</v>
      </c>
    </row>
    <row r="7519" spans="1:3" x14ac:dyDescent="0.25">
      <c r="A7519" s="15">
        <f>Sheet1!A7519</f>
        <v>0</v>
      </c>
      <c r="B7519">
        <f>Sheet1!B7519</f>
        <v>0.82</v>
      </c>
      <c r="C7519">
        <f>IF(Sheet1!B7519&gt;0,1,0)</f>
        <v>1</v>
      </c>
    </row>
    <row r="7520" spans="1:3" x14ac:dyDescent="0.25">
      <c r="A7520" s="15">
        <f>Sheet1!A7520</f>
        <v>0</v>
      </c>
      <c r="B7520">
        <f>Sheet1!B7520</f>
        <v>0.72</v>
      </c>
      <c r="C7520">
        <f>IF(Sheet1!B7520&gt;0,1,0)</f>
        <v>1</v>
      </c>
    </row>
    <row r="7521" spans="1:3" x14ac:dyDescent="0.25">
      <c r="A7521" s="15">
        <f>Sheet1!A7521</f>
        <v>0</v>
      </c>
      <c r="B7521">
        <f>Sheet1!B7521</f>
        <v>0.92</v>
      </c>
      <c r="C7521">
        <f>IF(Sheet1!B7521&gt;0,1,0)</f>
        <v>1</v>
      </c>
    </row>
    <row r="7522" spans="1:3" x14ac:dyDescent="0.25">
      <c r="A7522" s="15">
        <f>Sheet1!A7522</f>
        <v>0</v>
      </c>
      <c r="B7522">
        <f>Sheet1!B7522</f>
        <v>0.81</v>
      </c>
      <c r="C7522">
        <f>IF(Sheet1!B7522&gt;0,1,0)</f>
        <v>1</v>
      </c>
    </row>
    <row r="7523" spans="1:3" x14ac:dyDescent="0.25">
      <c r="A7523" s="15">
        <f>Sheet1!A7523</f>
        <v>0</v>
      </c>
      <c r="B7523">
        <f>Sheet1!B7523</f>
        <v>1.1399999999999999</v>
      </c>
      <c r="C7523">
        <f>IF(Sheet1!B7523&gt;0,1,0)</f>
        <v>1</v>
      </c>
    </row>
    <row r="7524" spans="1:3" x14ac:dyDescent="0.25">
      <c r="A7524" s="15">
        <f>Sheet1!A7524</f>
        <v>0</v>
      </c>
      <c r="B7524">
        <f>Sheet1!B7524</f>
        <v>1.04</v>
      </c>
      <c r="C7524">
        <f>IF(Sheet1!B7524&gt;0,1,0)</f>
        <v>1</v>
      </c>
    </row>
    <row r="7525" spans="1:3" x14ac:dyDescent="0.25">
      <c r="A7525" s="15">
        <f>Sheet1!A7525</f>
        <v>0</v>
      </c>
      <c r="B7525">
        <f>Sheet1!B7525</f>
        <v>1.1100000000000001</v>
      </c>
      <c r="C7525">
        <f>IF(Sheet1!B7525&gt;0,1,0)</f>
        <v>1</v>
      </c>
    </row>
    <row r="7526" spans="1:3" x14ac:dyDescent="0.25">
      <c r="A7526" s="15">
        <f>Sheet1!A7526</f>
        <v>0</v>
      </c>
      <c r="B7526">
        <f>Sheet1!B7526</f>
        <v>1</v>
      </c>
      <c r="C7526">
        <f>IF(Sheet1!B7526&gt;0,1,0)</f>
        <v>1</v>
      </c>
    </row>
    <row r="7527" spans="1:3" x14ac:dyDescent="0.25">
      <c r="A7527" s="15">
        <f>Sheet1!A7527</f>
        <v>0</v>
      </c>
      <c r="B7527">
        <f>Sheet1!B7527</f>
        <v>1</v>
      </c>
      <c r="C7527">
        <f>IF(Sheet1!B7527&gt;0,1,0)</f>
        <v>1</v>
      </c>
    </row>
    <row r="7528" spans="1:3" x14ac:dyDescent="0.25">
      <c r="A7528" s="15">
        <f>Sheet1!A7528</f>
        <v>0</v>
      </c>
      <c r="B7528">
        <f>Sheet1!B7528</f>
        <v>1.37</v>
      </c>
      <c r="C7528">
        <f>IF(Sheet1!B7528&gt;0,1,0)</f>
        <v>1</v>
      </c>
    </row>
    <row r="7529" spans="1:3" x14ac:dyDescent="0.25">
      <c r="A7529" s="15">
        <f>Sheet1!A7529</f>
        <v>0</v>
      </c>
      <c r="B7529">
        <f>Sheet1!B7529</f>
        <v>1.19</v>
      </c>
      <c r="C7529">
        <f>IF(Sheet1!B7529&gt;0,1,0)</f>
        <v>1</v>
      </c>
    </row>
    <row r="7530" spans="1:3" x14ac:dyDescent="0.25">
      <c r="A7530" s="15">
        <f>Sheet1!A7530</f>
        <v>0</v>
      </c>
      <c r="B7530">
        <f>Sheet1!B7530</f>
        <v>1.1499999999999999</v>
      </c>
      <c r="C7530">
        <f>IF(Sheet1!B7530&gt;0,1,0)</f>
        <v>1</v>
      </c>
    </row>
    <row r="7531" spans="1:3" x14ac:dyDescent="0.25">
      <c r="A7531" s="15">
        <f>Sheet1!A7531</f>
        <v>0</v>
      </c>
      <c r="B7531">
        <f>Sheet1!B7531</f>
        <v>1.0900000000000001</v>
      </c>
      <c r="C7531">
        <f>IF(Sheet1!B7531&gt;0,1,0)</f>
        <v>1</v>
      </c>
    </row>
    <row r="7532" spans="1:3" x14ac:dyDescent="0.25">
      <c r="A7532" s="15">
        <f>Sheet1!A7532</f>
        <v>0</v>
      </c>
      <c r="B7532">
        <f>Sheet1!B7532</f>
        <v>1.44</v>
      </c>
      <c r="C7532">
        <f>IF(Sheet1!B7532&gt;0,1,0)</f>
        <v>1</v>
      </c>
    </row>
    <row r="7533" spans="1:3" x14ac:dyDescent="0.25">
      <c r="A7533" s="15">
        <f>Sheet1!A7533</f>
        <v>0</v>
      </c>
      <c r="B7533">
        <f>Sheet1!B7533</f>
        <v>1.51</v>
      </c>
      <c r="C7533">
        <f>IF(Sheet1!B7533&gt;0,1,0)</f>
        <v>1</v>
      </c>
    </row>
    <row r="7534" spans="1:3" x14ac:dyDescent="0.25">
      <c r="A7534" s="15">
        <f>Sheet1!A7534</f>
        <v>0</v>
      </c>
      <c r="B7534">
        <f>Sheet1!B7534</f>
        <v>1.32</v>
      </c>
      <c r="C7534">
        <f>IF(Sheet1!B7534&gt;0,1,0)</f>
        <v>1</v>
      </c>
    </row>
    <row r="7535" spans="1:3" x14ac:dyDescent="0.25">
      <c r="A7535" s="15">
        <f>Sheet1!A7535</f>
        <v>0</v>
      </c>
      <c r="B7535">
        <f>Sheet1!B7535</f>
        <v>0.91</v>
      </c>
      <c r="C7535">
        <f>IF(Sheet1!B7535&gt;0,1,0)</f>
        <v>1</v>
      </c>
    </row>
    <row r="7536" spans="1:3" x14ac:dyDescent="0.25">
      <c r="A7536" s="15">
        <f>Sheet1!A7536</f>
        <v>0</v>
      </c>
      <c r="B7536">
        <f>Sheet1!B7536</f>
        <v>0.68</v>
      </c>
      <c r="C7536">
        <f>IF(Sheet1!B7536&gt;0,1,0)</f>
        <v>1</v>
      </c>
    </row>
    <row r="7537" spans="1:3" x14ac:dyDescent="0.25">
      <c r="A7537" s="15">
        <f>Sheet1!A7537</f>
        <v>0</v>
      </c>
      <c r="B7537">
        <f>Sheet1!B7537</f>
        <v>0.59</v>
      </c>
      <c r="C7537">
        <f>IF(Sheet1!B7537&gt;0,1,0)</f>
        <v>1</v>
      </c>
    </row>
    <row r="7538" spans="1:3" x14ac:dyDescent="0.25">
      <c r="A7538" s="15">
        <f>Sheet1!A7538</f>
        <v>0</v>
      </c>
      <c r="B7538">
        <f>Sheet1!B7538</f>
        <v>0.64</v>
      </c>
      <c r="C7538">
        <f>IF(Sheet1!B7538&gt;0,1,0)</f>
        <v>1</v>
      </c>
    </row>
    <row r="7539" spans="1:3" x14ac:dyDescent="0.25">
      <c r="A7539" s="15">
        <f>Sheet1!A7539</f>
        <v>0</v>
      </c>
      <c r="B7539">
        <f>Sheet1!B7539</f>
        <v>0.64</v>
      </c>
      <c r="C7539">
        <f>IF(Sheet1!B7539&gt;0,1,0)</f>
        <v>1</v>
      </c>
    </row>
    <row r="7540" spans="1:3" x14ac:dyDescent="0.25">
      <c r="A7540" s="15">
        <f>Sheet1!A7540</f>
        <v>0</v>
      </c>
      <c r="B7540">
        <f>Sheet1!B7540</f>
        <v>0.59</v>
      </c>
      <c r="C7540">
        <f>IF(Sheet1!B7540&gt;0,1,0)</f>
        <v>1</v>
      </c>
    </row>
    <row r="7541" spans="1:3" x14ac:dyDescent="0.25">
      <c r="A7541" s="15">
        <f>Sheet1!A7541</f>
        <v>0</v>
      </c>
      <c r="B7541">
        <f>Sheet1!B7541</f>
        <v>0.66</v>
      </c>
      <c r="C7541">
        <f>IF(Sheet1!B7541&gt;0,1,0)</f>
        <v>1</v>
      </c>
    </row>
    <row r="7542" spans="1:3" x14ac:dyDescent="0.25">
      <c r="A7542" s="15">
        <f>Sheet1!A7542</f>
        <v>0</v>
      </c>
      <c r="B7542">
        <f>Sheet1!B7542</f>
        <v>0.56000000000000005</v>
      </c>
      <c r="C7542">
        <f>IF(Sheet1!B7542&gt;0,1,0)</f>
        <v>1</v>
      </c>
    </row>
    <row r="7543" spans="1:3" x14ac:dyDescent="0.25">
      <c r="A7543" s="15">
        <f>Sheet1!A7543</f>
        <v>0</v>
      </c>
      <c r="B7543">
        <f>Sheet1!B7543</f>
        <v>0.74</v>
      </c>
      <c r="C7543">
        <f>IF(Sheet1!B7543&gt;0,1,0)</f>
        <v>1</v>
      </c>
    </row>
    <row r="7544" spans="1:3" x14ac:dyDescent="0.25">
      <c r="A7544" s="15">
        <f>Sheet1!A7544</f>
        <v>0</v>
      </c>
      <c r="B7544">
        <f>Sheet1!B7544</f>
        <v>0.57999999999999996</v>
      </c>
      <c r="C7544">
        <f>IF(Sheet1!B7544&gt;0,1,0)</f>
        <v>1</v>
      </c>
    </row>
    <row r="7545" spans="1:3" x14ac:dyDescent="0.25">
      <c r="A7545" s="15">
        <f>Sheet1!A7545</f>
        <v>0</v>
      </c>
      <c r="B7545">
        <f>Sheet1!B7545</f>
        <v>0.79</v>
      </c>
      <c r="C7545">
        <f>IF(Sheet1!B7545&gt;0,1,0)</f>
        <v>1</v>
      </c>
    </row>
    <row r="7546" spans="1:3" x14ac:dyDescent="0.25">
      <c r="A7546" s="15">
        <f>Sheet1!A7546</f>
        <v>0</v>
      </c>
      <c r="B7546">
        <f>Sheet1!B7546</f>
        <v>0.76</v>
      </c>
      <c r="C7546">
        <f>IF(Sheet1!B7546&gt;0,1,0)</f>
        <v>1</v>
      </c>
    </row>
    <row r="7547" spans="1:3" x14ac:dyDescent="0.25">
      <c r="A7547" s="15">
        <f>Sheet1!A7547</f>
        <v>0</v>
      </c>
      <c r="B7547">
        <f>Sheet1!B7547</f>
        <v>0.63</v>
      </c>
      <c r="C7547">
        <f>IF(Sheet1!B7547&gt;0,1,0)</f>
        <v>1</v>
      </c>
    </row>
    <row r="7548" spans="1:3" x14ac:dyDescent="0.25">
      <c r="A7548" s="15">
        <f>Sheet1!A7548</f>
        <v>0</v>
      </c>
      <c r="B7548">
        <f>Sheet1!B7548</f>
        <v>0.55000000000000004</v>
      </c>
      <c r="C7548">
        <f>IF(Sheet1!B7548&gt;0,1,0)</f>
        <v>1</v>
      </c>
    </row>
    <row r="7549" spans="1:3" x14ac:dyDescent="0.25">
      <c r="A7549" s="15">
        <f>Sheet1!A7549</f>
        <v>0</v>
      </c>
      <c r="B7549">
        <f>Sheet1!B7549</f>
        <v>4.1399999999999997</v>
      </c>
      <c r="C7549">
        <f>IF(Sheet1!B7549&gt;0,1,0)</f>
        <v>1</v>
      </c>
    </row>
    <row r="7550" spans="1:3" x14ac:dyDescent="0.25">
      <c r="A7550" s="15">
        <f>Sheet1!A7550</f>
        <v>0</v>
      </c>
      <c r="B7550">
        <f>Sheet1!B7550</f>
        <v>1.58</v>
      </c>
      <c r="C7550">
        <f>IF(Sheet1!B7550&gt;0,1,0)</f>
        <v>1</v>
      </c>
    </row>
    <row r="7551" spans="1:3" x14ac:dyDescent="0.25">
      <c r="A7551" s="15">
        <f>Sheet1!A7551</f>
        <v>0</v>
      </c>
      <c r="B7551">
        <f>Sheet1!B7551</f>
        <v>0.94</v>
      </c>
      <c r="C7551">
        <f>IF(Sheet1!B7551&gt;0,1,0)</f>
        <v>1</v>
      </c>
    </row>
    <row r="7552" spans="1:3" x14ac:dyDescent="0.25">
      <c r="A7552" s="15">
        <f>Sheet1!A7552</f>
        <v>0</v>
      </c>
      <c r="B7552">
        <f>Sheet1!B7552</f>
        <v>1.21</v>
      </c>
      <c r="C7552">
        <f>IF(Sheet1!B7552&gt;0,1,0)</f>
        <v>1</v>
      </c>
    </row>
    <row r="7553" spans="1:3" x14ac:dyDescent="0.25">
      <c r="A7553" s="15">
        <f>Sheet1!A7553</f>
        <v>0</v>
      </c>
      <c r="B7553">
        <f>Sheet1!B7553</f>
        <v>1.89</v>
      </c>
      <c r="C7553">
        <f>IF(Sheet1!B7553&gt;0,1,0)</f>
        <v>1</v>
      </c>
    </row>
    <row r="7554" spans="1:3" x14ac:dyDescent="0.25">
      <c r="A7554" s="15">
        <f>Sheet1!A7554</f>
        <v>0</v>
      </c>
      <c r="B7554">
        <f>Sheet1!B7554</f>
        <v>3.14</v>
      </c>
      <c r="C7554">
        <f>IF(Sheet1!B7554&gt;0,1,0)</f>
        <v>1</v>
      </c>
    </row>
    <row r="7555" spans="1:3" x14ac:dyDescent="0.25">
      <c r="A7555" s="15">
        <f>Sheet1!A7555</f>
        <v>0</v>
      </c>
      <c r="B7555">
        <f>Sheet1!B7555</f>
        <v>2.54</v>
      </c>
      <c r="C7555">
        <f>IF(Sheet1!B7555&gt;0,1,0)</f>
        <v>1</v>
      </c>
    </row>
    <row r="7556" spans="1:3" x14ac:dyDescent="0.25">
      <c r="A7556" s="15">
        <f>Sheet1!A7556</f>
        <v>0</v>
      </c>
      <c r="B7556">
        <f>Sheet1!B7556</f>
        <v>1.41</v>
      </c>
      <c r="C7556">
        <f>IF(Sheet1!B7556&gt;0,1,0)</f>
        <v>1</v>
      </c>
    </row>
    <row r="7557" spans="1:3" x14ac:dyDescent="0.25">
      <c r="A7557" s="15">
        <f>Sheet1!A7557</f>
        <v>0</v>
      </c>
      <c r="B7557">
        <f>Sheet1!B7557</f>
        <v>1.38</v>
      </c>
      <c r="C7557">
        <f>IF(Sheet1!B7557&gt;0,1,0)</f>
        <v>1</v>
      </c>
    </row>
    <row r="7558" spans="1:3" x14ac:dyDescent="0.25">
      <c r="A7558" s="15">
        <f>Sheet1!A7558</f>
        <v>0</v>
      </c>
      <c r="B7558">
        <f>Sheet1!B7558</f>
        <v>1.69</v>
      </c>
      <c r="C7558">
        <f>IF(Sheet1!B7558&gt;0,1,0)</f>
        <v>1</v>
      </c>
    </row>
    <row r="7559" spans="1:3" x14ac:dyDescent="0.25">
      <c r="A7559" s="15">
        <f>Sheet1!A7559</f>
        <v>0</v>
      </c>
      <c r="B7559">
        <f>Sheet1!B7559</f>
        <v>1.01</v>
      </c>
      <c r="C7559">
        <f>IF(Sheet1!B7559&gt;0,1,0)</f>
        <v>1</v>
      </c>
    </row>
    <row r="7560" spans="1:3" x14ac:dyDescent="0.25">
      <c r="A7560" s="15">
        <f>Sheet1!A7560</f>
        <v>0</v>
      </c>
      <c r="B7560">
        <f>Sheet1!B7560</f>
        <v>0.65</v>
      </c>
      <c r="C7560">
        <f>IF(Sheet1!B7560&gt;0,1,0)</f>
        <v>1</v>
      </c>
    </row>
    <row r="7561" spans="1:3" x14ac:dyDescent="0.25">
      <c r="A7561" s="15">
        <f>Sheet1!A7561</f>
        <v>0</v>
      </c>
      <c r="B7561">
        <f>Sheet1!B7561</f>
        <v>0.93</v>
      </c>
      <c r="C7561">
        <f>IF(Sheet1!B7561&gt;0,1,0)</f>
        <v>1</v>
      </c>
    </row>
    <row r="7562" spans="1:3" x14ac:dyDescent="0.25">
      <c r="A7562" s="15">
        <f>Sheet1!A7562</f>
        <v>0</v>
      </c>
      <c r="B7562">
        <f>Sheet1!B7562</f>
        <v>0.66</v>
      </c>
      <c r="C7562">
        <f>IF(Sheet1!B7562&gt;0,1,0)</f>
        <v>1</v>
      </c>
    </row>
    <row r="7563" spans="1:3" x14ac:dyDescent="0.25">
      <c r="A7563" s="15">
        <f>Sheet1!A7563</f>
        <v>0</v>
      </c>
      <c r="B7563">
        <f>Sheet1!B7563</f>
        <v>0.6</v>
      </c>
      <c r="C7563">
        <f>IF(Sheet1!B7563&gt;0,1,0)</f>
        <v>1</v>
      </c>
    </row>
    <row r="7564" spans="1:3" x14ac:dyDescent="0.25">
      <c r="A7564" s="15">
        <f>Sheet1!A7564</f>
        <v>0</v>
      </c>
      <c r="B7564">
        <f>Sheet1!B7564</f>
        <v>0.85</v>
      </c>
      <c r="C7564">
        <f>IF(Sheet1!B7564&gt;0,1,0)</f>
        <v>1</v>
      </c>
    </row>
    <row r="7565" spans="1:3" x14ac:dyDescent="0.25">
      <c r="A7565" s="15">
        <f>Sheet1!A7565</f>
        <v>0</v>
      </c>
      <c r="B7565">
        <f>Sheet1!B7565</f>
        <v>0.87</v>
      </c>
      <c r="C7565">
        <f>IF(Sheet1!B7565&gt;0,1,0)</f>
        <v>1</v>
      </c>
    </row>
    <row r="7566" spans="1:3" x14ac:dyDescent="0.25">
      <c r="A7566" s="15">
        <f>Sheet1!A7566</f>
        <v>0</v>
      </c>
      <c r="B7566">
        <f>Sheet1!B7566</f>
        <v>0.83</v>
      </c>
      <c r="C7566">
        <f>IF(Sheet1!B7566&gt;0,1,0)</f>
        <v>1</v>
      </c>
    </row>
    <row r="7567" spans="1:3" x14ac:dyDescent="0.25">
      <c r="A7567" s="15">
        <f>Sheet1!A7567</f>
        <v>0</v>
      </c>
      <c r="B7567">
        <f>Sheet1!B7567</f>
        <v>0.85</v>
      </c>
      <c r="C7567">
        <f>IF(Sheet1!B7567&gt;0,1,0)</f>
        <v>1</v>
      </c>
    </row>
    <row r="7568" spans="1:3" x14ac:dyDescent="0.25">
      <c r="A7568" s="15">
        <f>Sheet1!A7568</f>
        <v>0</v>
      </c>
      <c r="B7568">
        <f>Sheet1!B7568</f>
        <v>0.7</v>
      </c>
      <c r="C7568">
        <f>IF(Sheet1!B7568&gt;0,1,0)</f>
        <v>1</v>
      </c>
    </row>
    <row r="7569" spans="1:3" x14ac:dyDescent="0.25">
      <c r="A7569" s="15">
        <f>Sheet1!A7569</f>
        <v>0</v>
      </c>
      <c r="B7569">
        <f>Sheet1!B7569</f>
        <v>0.7</v>
      </c>
      <c r="C7569">
        <f>IF(Sheet1!B7569&gt;0,1,0)</f>
        <v>1</v>
      </c>
    </row>
    <row r="7570" spans="1:3" x14ac:dyDescent="0.25">
      <c r="A7570" s="15">
        <f>Sheet1!A7570</f>
        <v>0</v>
      </c>
      <c r="B7570">
        <f>Sheet1!B7570</f>
        <v>0.81</v>
      </c>
      <c r="C7570">
        <f>IF(Sheet1!B7570&gt;0,1,0)</f>
        <v>1</v>
      </c>
    </row>
    <row r="7571" spans="1:3" x14ac:dyDescent="0.25">
      <c r="A7571" s="15">
        <f>Sheet1!A7571</f>
        <v>0</v>
      </c>
      <c r="B7571">
        <f>Sheet1!B7571</f>
        <v>0.65</v>
      </c>
      <c r="C7571">
        <f>IF(Sheet1!B7571&gt;0,1,0)</f>
        <v>1</v>
      </c>
    </row>
    <row r="7572" spans="1:3" x14ac:dyDescent="0.25">
      <c r="A7572" s="15">
        <f>Sheet1!A7572</f>
        <v>0</v>
      </c>
      <c r="B7572">
        <f>Sheet1!B7572</f>
        <v>0.61</v>
      </c>
      <c r="C7572">
        <f>IF(Sheet1!B7572&gt;0,1,0)</f>
        <v>1</v>
      </c>
    </row>
    <row r="7573" spans="1:3" x14ac:dyDescent="0.25">
      <c r="A7573" s="15">
        <f>Sheet1!A7573</f>
        <v>0</v>
      </c>
      <c r="B7573">
        <f>Sheet1!B7573</f>
        <v>0.61</v>
      </c>
      <c r="C7573">
        <f>IF(Sheet1!B7573&gt;0,1,0)</f>
        <v>1</v>
      </c>
    </row>
    <row r="7574" spans="1:3" x14ac:dyDescent="0.25">
      <c r="A7574" s="15">
        <f>Sheet1!A7574</f>
        <v>0</v>
      </c>
      <c r="B7574">
        <f>Sheet1!B7574</f>
        <v>1.1000000000000001</v>
      </c>
      <c r="C7574">
        <f>IF(Sheet1!B7574&gt;0,1,0)</f>
        <v>1</v>
      </c>
    </row>
    <row r="7575" spans="1:3" x14ac:dyDescent="0.25">
      <c r="A7575" s="15">
        <f>Sheet1!A7575</f>
        <v>0</v>
      </c>
      <c r="B7575">
        <f>Sheet1!B7575</f>
        <v>1.07</v>
      </c>
      <c r="C7575">
        <f>IF(Sheet1!B7575&gt;0,1,0)</f>
        <v>1</v>
      </c>
    </row>
    <row r="7576" spans="1:3" x14ac:dyDescent="0.25">
      <c r="A7576" s="15">
        <f>Sheet1!A7576</f>
        <v>0</v>
      </c>
      <c r="B7576">
        <f>Sheet1!B7576</f>
        <v>1.9</v>
      </c>
      <c r="C7576">
        <f>IF(Sheet1!B7576&gt;0,1,0)</f>
        <v>1</v>
      </c>
    </row>
    <row r="7577" spans="1:3" x14ac:dyDescent="0.25">
      <c r="A7577" s="15">
        <f>Sheet1!A7577</f>
        <v>0</v>
      </c>
      <c r="B7577">
        <f>Sheet1!B7577</f>
        <v>1.51</v>
      </c>
      <c r="C7577">
        <f>IF(Sheet1!B7577&gt;0,1,0)</f>
        <v>1</v>
      </c>
    </row>
    <row r="7578" spans="1:3" x14ac:dyDescent="0.25">
      <c r="A7578" s="15">
        <f>Sheet1!A7578</f>
        <v>0</v>
      </c>
      <c r="B7578">
        <f>Sheet1!B7578</f>
        <v>1.71</v>
      </c>
      <c r="C7578">
        <f>IF(Sheet1!B7578&gt;0,1,0)</f>
        <v>1</v>
      </c>
    </row>
    <row r="7579" spans="1:3" x14ac:dyDescent="0.25">
      <c r="A7579" s="15">
        <f>Sheet1!A7579</f>
        <v>0</v>
      </c>
      <c r="B7579">
        <f>Sheet1!B7579</f>
        <v>1.22</v>
      </c>
      <c r="C7579">
        <f>IF(Sheet1!B7579&gt;0,1,0)</f>
        <v>1</v>
      </c>
    </row>
    <row r="7580" spans="1:3" x14ac:dyDescent="0.25">
      <c r="A7580" s="15">
        <f>Sheet1!A7580</f>
        <v>0</v>
      </c>
      <c r="B7580">
        <f>Sheet1!B7580</f>
        <v>1.56</v>
      </c>
      <c r="C7580">
        <f>IF(Sheet1!B7580&gt;0,1,0)</f>
        <v>1</v>
      </c>
    </row>
    <row r="7581" spans="1:3" x14ac:dyDescent="0.25">
      <c r="A7581" s="15">
        <f>Sheet1!A7581</f>
        <v>0</v>
      </c>
      <c r="B7581">
        <f>Sheet1!B7581</f>
        <v>1.1299999999999999</v>
      </c>
      <c r="C7581">
        <f>IF(Sheet1!B7581&gt;0,1,0)</f>
        <v>1</v>
      </c>
    </row>
    <row r="7582" spans="1:3" x14ac:dyDescent="0.25">
      <c r="A7582" s="15">
        <f>Sheet1!A7582</f>
        <v>0</v>
      </c>
      <c r="B7582">
        <f>Sheet1!B7582</f>
        <v>1.25</v>
      </c>
      <c r="C7582">
        <f>IF(Sheet1!B7582&gt;0,1,0)</f>
        <v>1</v>
      </c>
    </row>
    <row r="7583" spans="1:3" x14ac:dyDescent="0.25">
      <c r="A7583" s="15">
        <f>Sheet1!A7583</f>
        <v>0</v>
      </c>
      <c r="B7583">
        <f>Sheet1!B7583</f>
        <v>1.35</v>
      </c>
      <c r="C7583">
        <f>IF(Sheet1!B7583&gt;0,1,0)</f>
        <v>1</v>
      </c>
    </row>
    <row r="7584" spans="1:3" x14ac:dyDescent="0.25">
      <c r="A7584" s="15">
        <f>Sheet1!A7584</f>
        <v>0</v>
      </c>
      <c r="B7584">
        <f>Sheet1!B7584</f>
        <v>1.02</v>
      </c>
      <c r="C7584">
        <f>IF(Sheet1!B7584&gt;0,1,0)</f>
        <v>1</v>
      </c>
    </row>
    <row r="7585" spans="1:3" x14ac:dyDescent="0.25">
      <c r="A7585" s="15">
        <f>Sheet1!A7585</f>
        <v>0</v>
      </c>
      <c r="B7585">
        <f>Sheet1!B7585</f>
        <v>0.91</v>
      </c>
      <c r="C7585">
        <f>IF(Sheet1!B7585&gt;0,1,0)</f>
        <v>1</v>
      </c>
    </row>
    <row r="7586" spans="1:3" x14ac:dyDescent="0.25">
      <c r="A7586" s="15">
        <f>Sheet1!A7586</f>
        <v>0</v>
      </c>
      <c r="B7586">
        <f>Sheet1!B7586</f>
        <v>0.56999999999999995</v>
      </c>
      <c r="C7586">
        <f>IF(Sheet1!B7586&gt;0,1,0)</f>
        <v>1</v>
      </c>
    </row>
    <row r="7587" spans="1:3" x14ac:dyDescent="0.25">
      <c r="A7587" s="15">
        <f>Sheet1!A7587</f>
        <v>0</v>
      </c>
      <c r="B7587">
        <f>Sheet1!B7587</f>
        <v>0.63</v>
      </c>
      <c r="C7587">
        <f>IF(Sheet1!B7587&gt;0,1,0)</f>
        <v>1</v>
      </c>
    </row>
    <row r="7588" spans="1:3" x14ac:dyDescent="0.25">
      <c r="A7588" s="15">
        <f>Sheet1!A7588</f>
        <v>0</v>
      </c>
      <c r="B7588">
        <f>Sheet1!B7588</f>
        <v>0.52</v>
      </c>
      <c r="C7588">
        <f>IF(Sheet1!B7588&gt;0,1,0)</f>
        <v>1</v>
      </c>
    </row>
    <row r="7589" spans="1:3" x14ac:dyDescent="0.25">
      <c r="A7589" s="15">
        <f>Sheet1!A7589</f>
        <v>0</v>
      </c>
      <c r="B7589">
        <f>Sheet1!B7589</f>
        <v>0.66</v>
      </c>
      <c r="C7589">
        <f>IF(Sheet1!B7589&gt;0,1,0)</f>
        <v>1</v>
      </c>
    </row>
    <row r="7590" spans="1:3" x14ac:dyDescent="0.25">
      <c r="A7590" s="15">
        <f>Sheet1!A7590</f>
        <v>0</v>
      </c>
      <c r="B7590">
        <f>Sheet1!B7590</f>
        <v>0.6</v>
      </c>
      <c r="C7590">
        <f>IF(Sheet1!B7590&gt;0,1,0)</f>
        <v>1</v>
      </c>
    </row>
    <row r="7591" spans="1:3" x14ac:dyDescent="0.25">
      <c r="A7591" s="15">
        <f>Sheet1!A7591</f>
        <v>0</v>
      </c>
      <c r="B7591">
        <f>Sheet1!B7591</f>
        <v>0.56000000000000005</v>
      </c>
      <c r="C7591">
        <f>IF(Sheet1!B7591&gt;0,1,0)</f>
        <v>1</v>
      </c>
    </row>
    <row r="7592" spans="1:3" x14ac:dyDescent="0.25">
      <c r="A7592" s="15">
        <f>Sheet1!A7592</f>
        <v>0</v>
      </c>
      <c r="B7592">
        <f>Sheet1!B7592</f>
        <v>0.59</v>
      </c>
      <c r="C7592">
        <f>IF(Sheet1!B7592&gt;0,1,0)</f>
        <v>1</v>
      </c>
    </row>
    <row r="7593" spans="1:3" x14ac:dyDescent="0.25">
      <c r="A7593" s="15">
        <f>Sheet1!A7593</f>
        <v>0</v>
      </c>
      <c r="B7593">
        <f>Sheet1!B7593</f>
        <v>0.61</v>
      </c>
      <c r="C7593">
        <f>IF(Sheet1!B7593&gt;0,1,0)</f>
        <v>1</v>
      </c>
    </row>
    <row r="7594" spans="1:3" x14ac:dyDescent="0.25">
      <c r="A7594" s="15">
        <f>Sheet1!A7594</f>
        <v>0</v>
      </c>
      <c r="B7594">
        <f>Sheet1!B7594</f>
        <v>0.6</v>
      </c>
      <c r="C7594">
        <f>IF(Sheet1!B7594&gt;0,1,0)</f>
        <v>1</v>
      </c>
    </row>
    <row r="7595" spans="1:3" x14ac:dyDescent="0.25">
      <c r="A7595" s="15">
        <f>Sheet1!A7595</f>
        <v>0</v>
      </c>
      <c r="B7595">
        <f>Sheet1!B7595</f>
        <v>0.59</v>
      </c>
      <c r="C7595">
        <f>IF(Sheet1!B7595&gt;0,1,0)</f>
        <v>1</v>
      </c>
    </row>
    <row r="7596" spans="1:3" x14ac:dyDescent="0.25">
      <c r="A7596" s="15">
        <f>Sheet1!A7596</f>
        <v>0</v>
      </c>
      <c r="B7596">
        <f>Sheet1!B7596</f>
        <v>0.55000000000000004</v>
      </c>
      <c r="C7596">
        <f>IF(Sheet1!B7596&gt;0,1,0)</f>
        <v>1</v>
      </c>
    </row>
    <row r="7597" spans="1:3" x14ac:dyDescent="0.25">
      <c r="A7597" s="15">
        <f>Sheet1!A7597</f>
        <v>0</v>
      </c>
      <c r="B7597">
        <f>Sheet1!B7597</f>
        <v>0.61</v>
      </c>
      <c r="C7597">
        <f>IF(Sheet1!B7597&gt;0,1,0)</f>
        <v>1</v>
      </c>
    </row>
    <row r="7598" spans="1:3" x14ac:dyDescent="0.25">
      <c r="A7598" s="15">
        <f>Sheet1!A7598</f>
        <v>0</v>
      </c>
      <c r="B7598">
        <f>Sheet1!B7598</f>
        <v>0.69</v>
      </c>
      <c r="C7598">
        <f>IF(Sheet1!B7598&gt;0,1,0)</f>
        <v>1</v>
      </c>
    </row>
    <row r="7599" spans="1:3" x14ac:dyDescent="0.25">
      <c r="A7599" s="15">
        <f>Sheet1!A7599</f>
        <v>0</v>
      </c>
      <c r="B7599">
        <f>Sheet1!B7599</f>
        <v>2.46</v>
      </c>
      <c r="C7599">
        <f>IF(Sheet1!B7599&gt;0,1,0)</f>
        <v>1</v>
      </c>
    </row>
    <row r="7600" spans="1:3" x14ac:dyDescent="0.25">
      <c r="A7600" s="15">
        <f>Sheet1!A7600</f>
        <v>0</v>
      </c>
      <c r="B7600">
        <f>Sheet1!B7600</f>
        <v>0</v>
      </c>
      <c r="C7600">
        <f>IF(Sheet1!B7600&gt;0,1,0)</f>
        <v>0</v>
      </c>
    </row>
    <row r="7601" spans="1:3" x14ac:dyDescent="0.25">
      <c r="A7601" s="15">
        <f>Sheet1!A7601</f>
        <v>0</v>
      </c>
      <c r="B7601">
        <f>Sheet1!B7601</f>
        <v>1.59</v>
      </c>
      <c r="C7601">
        <f>IF(Sheet1!B7601&gt;0,1,0)</f>
        <v>1</v>
      </c>
    </row>
    <row r="7602" spans="1:3" x14ac:dyDescent="0.25">
      <c r="A7602" s="15">
        <f>Sheet1!A7602</f>
        <v>0</v>
      </c>
      <c r="B7602">
        <f>Sheet1!B7602</f>
        <v>1.38</v>
      </c>
      <c r="C7602">
        <f>IF(Sheet1!B7602&gt;0,1,0)</f>
        <v>1</v>
      </c>
    </row>
    <row r="7603" spans="1:3" x14ac:dyDescent="0.25">
      <c r="A7603" s="15">
        <f>Sheet1!A7603</f>
        <v>0</v>
      </c>
      <c r="B7603">
        <f>Sheet1!B7603</f>
        <v>1.8</v>
      </c>
      <c r="C7603">
        <f>IF(Sheet1!B7603&gt;0,1,0)</f>
        <v>1</v>
      </c>
    </row>
    <row r="7604" spans="1:3" x14ac:dyDescent="0.25">
      <c r="A7604" s="15">
        <f>Sheet1!A7604</f>
        <v>0</v>
      </c>
      <c r="B7604">
        <f>Sheet1!B7604</f>
        <v>1.05</v>
      </c>
      <c r="C7604">
        <f>IF(Sheet1!B7604&gt;0,1,0)</f>
        <v>1</v>
      </c>
    </row>
    <row r="7605" spans="1:3" x14ac:dyDescent="0.25">
      <c r="A7605" s="15">
        <f>Sheet1!A7605</f>
        <v>0</v>
      </c>
      <c r="B7605">
        <f>Sheet1!B7605</f>
        <v>1.05</v>
      </c>
      <c r="C7605">
        <f>IF(Sheet1!B7605&gt;0,1,0)</f>
        <v>1</v>
      </c>
    </row>
    <row r="7606" spans="1:3" x14ac:dyDescent="0.25">
      <c r="A7606" s="15">
        <f>Sheet1!A7606</f>
        <v>0</v>
      </c>
      <c r="B7606">
        <f>Sheet1!B7606</f>
        <v>1.18</v>
      </c>
      <c r="C7606">
        <f>IF(Sheet1!B7606&gt;0,1,0)</f>
        <v>1</v>
      </c>
    </row>
    <row r="7607" spans="1:3" x14ac:dyDescent="0.25">
      <c r="A7607" s="15">
        <f>Sheet1!A7607</f>
        <v>0</v>
      </c>
      <c r="B7607">
        <f>Sheet1!B7607</f>
        <v>1</v>
      </c>
      <c r="C7607">
        <f>IF(Sheet1!B7607&gt;0,1,0)</f>
        <v>1</v>
      </c>
    </row>
    <row r="7608" spans="1:3" x14ac:dyDescent="0.25">
      <c r="A7608" s="15">
        <f>Sheet1!A7608</f>
        <v>0</v>
      </c>
      <c r="B7608">
        <f>Sheet1!B7608</f>
        <v>0.66</v>
      </c>
      <c r="C7608">
        <f>IF(Sheet1!B7608&gt;0,1,0)</f>
        <v>1</v>
      </c>
    </row>
    <row r="7609" spans="1:3" x14ac:dyDescent="0.25">
      <c r="A7609" s="15">
        <f>Sheet1!A7609</f>
        <v>0</v>
      </c>
      <c r="B7609">
        <f>Sheet1!B7609</f>
        <v>0.51</v>
      </c>
      <c r="C7609">
        <f>IF(Sheet1!B7609&gt;0,1,0)</f>
        <v>1</v>
      </c>
    </row>
    <row r="7610" spans="1:3" x14ac:dyDescent="0.25">
      <c r="A7610" s="15">
        <f>Sheet1!A7610</f>
        <v>0</v>
      </c>
      <c r="B7610">
        <f>Sheet1!B7610</f>
        <v>0.42</v>
      </c>
      <c r="C7610">
        <f>IF(Sheet1!B7610&gt;0,1,0)</f>
        <v>1</v>
      </c>
    </row>
    <row r="7611" spans="1:3" x14ac:dyDescent="0.25">
      <c r="A7611" s="15">
        <f>Sheet1!A7611</f>
        <v>0</v>
      </c>
      <c r="B7611">
        <f>Sheet1!B7611</f>
        <v>0.7</v>
      </c>
      <c r="C7611">
        <f>IF(Sheet1!B7611&gt;0,1,0)</f>
        <v>1</v>
      </c>
    </row>
    <row r="7612" spans="1:3" x14ac:dyDescent="0.25">
      <c r="A7612" s="15">
        <f>Sheet1!A7612</f>
        <v>0</v>
      </c>
      <c r="B7612">
        <f>Sheet1!B7612</f>
        <v>0.64</v>
      </c>
      <c r="C7612">
        <f>IF(Sheet1!B7612&gt;0,1,0)</f>
        <v>1</v>
      </c>
    </row>
    <row r="7613" spans="1:3" x14ac:dyDescent="0.25">
      <c r="A7613" s="15">
        <f>Sheet1!A7613</f>
        <v>0</v>
      </c>
      <c r="B7613">
        <f>Sheet1!B7613</f>
        <v>0.63</v>
      </c>
      <c r="C7613">
        <f>IF(Sheet1!B7613&gt;0,1,0)</f>
        <v>1</v>
      </c>
    </row>
    <row r="7614" spans="1:3" x14ac:dyDescent="0.25">
      <c r="A7614" s="15">
        <f>Sheet1!A7614</f>
        <v>0</v>
      </c>
      <c r="B7614">
        <f>Sheet1!B7614</f>
        <v>0.6</v>
      </c>
      <c r="C7614">
        <f>IF(Sheet1!B7614&gt;0,1,0)</f>
        <v>1</v>
      </c>
    </row>
    <row r="7615" spans="1:3" x14ac:dyDescent="0.25">
      <c r="A7615" s="15">
        <f>Sheet1!A7615</f>
        <v>0</v>
      </c>
      <c r="B7615">
        <f>Sheet1!B7615</f>
        <v>0.43</v>
      </c>
      <c r="C7615">
        <f>IF(Sheet1!B7615&gt;0,1,0)</f>
        <v>1</v>
      </c>
    </row>
    <row r="7616" spans="1:3" x14ac:dyDescent="0.25">
      <c r="A7616" s="15">
        <f>Sheet1!A7616</f>
        <v>0</v>
      </c>
      <c r="B7616">
        <f>Sheet1!B7616</f>
        <v>0.48</v>
      </c>
      <c r="C7616">
        <f>IF(Sheet1!B7616&gt;0,1,0)</f>
        <v>1</v>
      </c>
    </row>
    <row r="7617" spans="1:3" x14ac:dyDescent="0.25">
      <c r="A7617" s="15">
        <f>Sheet1!A7617</f>
        <v>0</v>
      </c>
      <c r="B7617">
        <f>Sheet1!B7617</f>
        <v>0.48</v>
      </c>
      <c r="C7617">
        <f>IF(Sheet1!B7617&gt;0,1,0)</f>
        <v>1</v>
      </c>
    </row>
    <row r="7618" spans="1:3" x14ac:dyDescent="0.25">
      <c r="A7618" s="15">
        <f>Sheet1!A7618</f>
        <v>0</v>
      </c>
      <c r="B7618">
        <f>Sheet1!B7618</f>
        <v>0.45</v>
      </c>
      <c r="C7618">
        <f>IF(Sheet1!B7618&gt;0,1,0)</f>
        <v>1</v>
      </c>
    </row>
    <row r="7619" spans="1:3" x14ac:dyDescent="0.25">
      <c r="A7619" s="15">
        <f>Sheet1!A7619</f>
        <v>0</v>
      </c>
      <c r="B7619">
        <f>Sheet1!B7619</f>
        <v>0.59</v>
      </c>
      <c r="C7619">
        <f>IF(Sheet1!B7619&gt;0,1,0)</f>
        <v>1</v>
      </c>
    </row>
    <row r="7620" spans="1:3" x14ac:dyDescent="0.25">
      <c r="A7620" s="15">
        <f>Sheet1!A7620</f>
        <v>0</v>
      </c>
      <c r="B7620">
        <f>Sheet1!B7620</f>
        <v>0.5</v>
      </c>
      <c r="C7620">
        <f>IF(Sheet1!B7620&gt;0,1,0)</f>
        <v>1</v>
      </c>
    </row>
    <row r="7621" spans="1:3" x14ac:dyDescent="0.25">
      <c r="A7621" s="15">
        <f>Sheet1!A7621</f>
        <v>0</v>
      </c>
      <c r="B7621">
        <f>Sheet1!B7621</f>
        <v>0.81</v>
      </c>
      <c r="C7621">
        <f>IF(Sheet1!B7621&gt;0,1,0)</f>
        <v>1</v>
      </c>
    </row>
    <row r="7622" spans="1:3" x14ac:dyDescent="0.25">
      <c r="A7622" s="15">
        <f>Sheet1!A7622</f>
        <v>0</v>
      </c>
      <c r="B7622">
        <f>Sheet1!B7622</f>
        <v>1.19</v>
      </c>
      <c r="C7622">
        <f>IF(Sheet1!B7622&gt;0,1,0)</f>
        <v>1</v>
      </c>
    </row>
    <row r="7623" spans="1:3" x14ac:dyDescent="0.25">
      <c r="A7623" s="15">
        <f>Sheet1!A7623</f>
        <v>0</v>
      </c>
      <c r="B7623">
        <f>Sheet1!B7623</f>
        <v>2.04</v>
      </c>
      <c r="C7623">
        <f>IF(Sheet1!B7623&gt;0,1,0)</f>
        <v>1</v>
      </c>
    </row>
    <row r="7624" spans="1:3" x14ac:dyDescent="0.25">
      <c r="A7624" s="15">
        <f>Sheet1!A7624</f>
        <v>0</v>
      </c>
      <c r="B7624">
        <f>Sheet1!B7624</f>
        <v>0</v>
      </c>
      <c r="C7624">
        <f>IF(Sheet1!B7624&gt;0,1,0)</f>
        <v>0</v>
      </c>
    </row>
    <row r="7625" spans="1:3" x14ac:dyDescent="0.25">
      <c r="A7625" s="15">
        <f>Sheet1!A7625</f>
        <v>0</v>
      </c>
      <c r="B7625">
        <f>Sheet1!B7625</f>
        <v>0</v>
      </c>
      <c r="C7625">
        <f>IF(Sheet1!B7625&gt;0,1,0)</f>
        <v>0</v>
      </c>
    </row>
    <row r="7626" spans="1:3" x14ac:dyDescent="0.25">
      <c r="A7626" s="15">
        <f>Sheet1!A7626</f>
        <v>0</v>
      </c>
      <c r="B7626">
        <f>Sheet1!B7626</f>
        <v>0</v>
      </c>
      <c r="C7626">
        <f>IF(Sheet1!B7626&gt;0,1,0)</f>
        <v>0</v>
      </c>
    </row>
    <row r="7627" spans="1:3" x14ac:dyDescent="0.25">
      <c r="A7627" s="15">
        <f>Sheet1!A7627</f>
        <v>0</v>
      </c>
      <c r="B7627">
        <f>Sheet1!B7627</f>
        <v>0</v>
      </c>
      <c r="C7627">
        <f>IF(Sheet1!B7627&gt;0,1,0)</f>
        <v>0</v>
      </c>
    </row>
    <row r="7628" spans="1:3" x14ac:dyDescent="0.25">
      <c r="A7628" s="15">
        <f>Sheet1!A7628</f>
        <v>0</v>
      </c>
      <c r="B7628">
        <f>Sheet1!B7628</f>
        <v>0</v>
      </c>
      <c r="C7628">
        <f>IF(Sheet1!B7628&gt;0,1,0)</f>
        <v>0</v>
      </c>
    </row>
    <row r="7629" spans="1:3" x14ac:dyDescent="0.25">
      <c r="A7629" s="15">
        <f>Sheet1!A7629</f>
        <v>0</v>
      </c>
      <c r="B7629">
        <f>Sheet1!B7629</f>
        <v>1.18</v>
      </c>
      <c r="C7629">
        <f>IF(Sheet1!B7629&gt;0,1,0)</f>
        <v>1</v>
      </c>
    </row>
    <row r="7630" spans="1:3" x14ac:dyDescent="0.25">
      <c r="A7630" s="15">
        <f>Sheet1!A7630</f>
        <v>0</v>
      </c>
      <c r="B7630">
        <f>Sheet1!B7630</f>
        <v>1.1000000000000001</v>
      </c>
      <c r="C7630">
        <f>IF(Sheet1!B7630&gt;0,1,0)</f>
        <v>1</v>
      </c>
    </row>
    <row r="7631" spans="1:3" x14ac:dyDescent="0.25">
      <c r="A7631" s="15">
        <f>Sheet1!A7631</f>
        <v>0</v>
      </c>
      <c r="B7631">
        <f>Sheet1!B7631</f>
        <v>1.37</v>
      </c>
      <c r="C7631">
        <f>IF(Sheet1!B7631&gt;0,1,0)</f>
        <v>1</v>
      </c>
    </row>
    <row r="7632" spans="1:3" x14ac:dyDescent="0.25">
      <c r="A7632" s="15">
        <f>Sheet1!A7632</f>
        <v>0</v>
      </c>
      <c r="B7632">
        <f>Sheet1!B7632</f>
        <v>1.26</v>
      </c>
      <c r="C7632">
        <f>IF(Sheet1!B7632&gt;0,1,0)</f>
        <v>1</v>
      </c>
    </row>
    <row r="7633" spans="1:3" x14ac:dyDescent="0.25">
      <c r="A7633" s="15">
        <f>Sheet1!A7633</f>
        <v>0</v>
      </c>
      <c r="B7633">
        <f>Sheet1!B7633</f>
        <v>0.84</v>
      </c>
      <c r="C7633">
        <f>IF(Sheet1!B7633&gt;0,1,0)</f>
        <v>1</v>
      </c>
    </row>
    <row r="7634" spans="1:3" x14ac:dyDescent="0.25">
      <c r="A7634" s="15">
        <f>Sheet1!A7634</f>
        <v>0</v>
      </c>
      <c r="B7634">
        <f>Sheet1!B7634</f>
        <v>0.56999999999999995</v>
      </c>
      <c r="C7634">
        <f>IF(Sheet1!B7634&gt;0,1,0)</f>
        <v>1</v>
      </c>
    </row>
    <row r="7635" spans="1:3" x14ac:dyDescent="0.25">
      <c r="A7635" s="15">
        <f>Sheet1!A7635</f>
        <v>0</v>
      </c>
      <c r="B7635">
        <f>Sheet1!B7635</f>
        <v>0.44</v>
      </c>
      <c r="C7635">
        <f>IF(Sheet1!B7635&gt;0,1,0)</f>
        <v>1</v>
      </c>
    </row>
    <row r="7636" spans="1:3" x14ac:dyDescent="0.25">
      <c r="A7636" s="15">
        <f>Sheet1!A7636</f>
        <v>0</v>
      </c>
      <c r="B7636">
        <f>Sheet1!B7636</f>
        <v>0.75</v>
      </c>
      <c r="C7636">
        <f>IF(Sheet1!B7636&gt;0,1,0)</f>
        <v>1</v>
      </c>
    </row>
    <row r="7637" spans="1:3" x14ac:dyDescent="0.25">
      <c r="A7637" s="15">
        <f>Sheet1!A7637</f>
        <v>0</v>
      </c>
      <c r="B7637">
        <f>Sheet1!B7637</f>
        <v>0.73</v>
      </c>
      <c r="C7637">
        <f>IF(Sheet1!B7637&gt;0,1,0)</f>
        <v>1</v>
      </c>
    </row>
    <row r="7638" spans="1:3" x14ac:dyDescent="0.25">
      <c r="A7638" s="15">
        <f>Sheet1!A7638</f>
        <v>0</v>
      </c>
      <c r="B7638">
        <f>Sheet1!B7638</f>
        <v>0.79</v>
      </c>
      <c r="C7638">
        <f>IF(Sheet1!B7638&gt;0,1,0)</f>
        <v>1</v>
      </c>
    </row>
    <row r="7639" spans="1:3" x14ac:dyDescent="0.25">
      <c r="A7639" s="15">
        <f>Sheet1!A7639</f>
        <v>0</v>
      </c>
      <c r="B7639">
        <f>Sheet1!B7639</f>
        <v>0.45</v>
      </c>
      <c r="C7639">
        <f>IF(Sheet1!B7639&gt;0,1,0)</f>
        <v>1</v>
      </c>
    </row>
    <row r="7640" spans="1:3" x14ac:dyDescent="0.25">
      <c r="A7640" s="15">
        <f>Sheet1!A7640</f>
        <v>0</v>
      </c>
      <c r="B7640">
        <f>Sheet1!B7640</f>
        <v>0.57999999999999996</v>
      </c>
      <c r="C7640">
        <f>IF(Sheet1!B7640&gt;0,1,0)</f>
        <v>1</v>
      </c>
    </row>
    <row r="7641" spans="1:3" x14ac:dyDescent="0.25">
      <c r="A7641" s="15">
        <f>Sheet1!A7641</f>
        <v>0</v>
      </c>
      <c r="B7641">
        <f>Sheet1!B7641</f>
        <v>1.05</v>
      </c>
      <c r="C7641">
        <f>IF(Sheet1!B7641&gt;0,1,0)</f>
        <v>1</v>
      </c>
    </row>
    <row r="7642" spans="1:3" x14ac:dyDescent="0.25">
      <c r="A7642" s="15">
        <f>Sheet1!A7642</f>
        <v>0</v>
      </c>
      <c r="B7642">
        <f>Sheet1!B7642</f>
        <v>0</v>
      </c>
      <c r="C7642">
        <f>IF(Sheet1!B7642&gt;0,1,0)</f>
        <v>0</v>
      </c>
    </row>
    <row r="7643" spans="1:3" x14ac:dyDescent="0.25">
      <c r="A7643" s="15">
        <f>Sheet1!A7643</f>
        <v>0</v>
      </c>
      <c r="B7643">
        <f>Sheet1!B7643</f>
        <v>0</v>
      </c>
      <c r="C7643">
        <f>IF(Sheet1!B7643&gt;0,1,0)</f>
        <v>0</v>
      </c>
    </row>
    <row r="7644" spans="1:3" x14ac:dyDescent="0.25">
      <c r="A7644" s="15">
        <f>Sheet1!A7644</f>
        <v>0</v>
      </c>
      <c r="B7644">
        <f>Sheet1!B7644</f>
        <v>0</v>
      </c>
      <c r="C7644">
        <f>IF(Sheet1!B7644&gt;0,1,0)</f>
        <v>0</v>
      </c>
    </row>
    <row r="7645" spans="1:3" x14ac:dyDescent="0.25">
      <c r="A7645" s="15">
        <f>Sheet1!A7645</f>
        <v>0</v>
      </c>
      <c r="B7645">
        <f>Sheet1!B7645</f>
        <v>1.05</v>
      </c>
      <c r="C7645">
        <f>IF(Sheet1!B7645&gt;0,1,0)</f>
        <v>1</v>
      </c>
    </row>
    <row r="7646" spans="1:3" x14ac:dyDescent="0.25">
      <c r="A7646" s="15">
        <f>Sheet1!A7646</f>
        <v>0</v>
      </c>
      <c r="B7646">
        <f>Sheet1!B7646</f>
        <v>0.25</v>
      </c>
      <c r="C7646">
        <f>IF(Sheet1!B7646&gt;0,1,0)</f>
        <v>1</v>
      </c>
    </row>
    <row r="7647" spans="1:3" x14ac:dyDescent="0.25">
      <c r="A7647" s="15">
        <f>Sheet1!A7647</f>
        <v>0</v>
      </c>
      <c r="B7647">
        <f>Sheet1!B7647</f>
        <v>0</v>
      </c>
      <c r="C7647">
        <f>IF(Sheet1!B7647&gt;0,1,0)</f>
        <v>0</v>
      </c>
    </row>
    <row r="7648" spans="1:3" x14ac:dyDescent="0.25">
      <c r="A7648" s="15">
        <f>Sheet1!A7648</f>
        <v>0</v>
      </c>
      <c r="B7648">
        <f>Sheet1!B7648</f>
        <v>0</v>
      </c>
      <c r="C7648">
        <f>IF(Sheet1!B7648&gt;0,1,0)</f>
        <v>0</v>
      </c>
    </row>
    <row r="7649" spans="1:3" x14ac:dyDescent="0.25">
      <c r="A7649" s="15">
        <f>Sheet1!A7649</f>
        <v>0</v>
      </c>
      <c r="B7649">
        <f>Sheet1!B7649</f>
        <v>1.1299999999999999</v>
      </c>
      <c r="C7649">
        <f>IF(Sheet1!B7649&gt;0,1,0)</f>
        <v>1</v>
      </c>
    </row>
    <row r="7650" spans="1:3" x14ac:dyDescent="0.25">
      <c r="A7650" s="15">
        <f>Sheet1!A7650</f>
        <v>0</v>
      </c>
      <c r="B7650">
        <f>Sheet1!B7650</f>
        <v>0.99</v>
      </c>
      <c r="C7650">
        <f>IF(Sheet1!B7650&gt;0,1,0)</f>
        <v>1</v>
      </c>
    </row>
    <row r="7651" spans="1:3" x14ac:dyDescent="0.25">
      <c r="A7651" s="15">
        <f>Sheet1!A7651</f>
        <v>0</v>
      </c>
      <c r="B7651">
        <f>Sheet1!B7651</f>
        <v>1.08</v>
      </c>
      <c r="C7651">
        <f>IF(Sheet1!B7651&gt;0,1,0)</f>
        <v>1</v>
      </c>
    </row>
    <row r="7652" spans="1:3" x14ac:dyDescent="0.25">
      <c r="A7652" s="15">
        <f>Sheet1!A7652</f>
        <v>0</v>
      </c>
      <c r="B7652">
        <f>Sheet1!B7652</f>
        <v>1.03</v>
      </c>
      <c r="C7652">
        <f>IF(Sheet1!B7652&gt;0,1,0)</f>
        <v>1</v>
      </c>
    </row>
    <row r="7653" spans="1:3" x14ac:dyDescent="0.25">
      <c r="A7653" s="15">
        <f>Sheet1!A7653</f>
        <v>0</v>
      </c>
      <c r="B7653">
        <f>Sheet1!B7653</f>
        <v>0.96</v>
      </c>
      <c r="C7653">
        <f>IF(Sheet1!B7653&gt;0,1,0)</f>
        <v>1</v>
      </c>
    </row>
    <row r="7654" spans="1:3" x14ac:dyDescent="0.25">
      <c r="A7654" s="15">
        <f>Sheet1!A7654</f>
        <v>0</v>
      </c>
      <c r="B7654">
        <f>Sheet1!B7654</f>
        <v>0.98</v>
      </c>
      <c r="C7654">
        <f>IF(Sheet1!B7654&gt;0,1,0)</f>
        <v>1</v>
      </c>
    </row>
    <row r="7655" spans="1:3" x14ac:dyDescent="0.25">
      <c r="A7655" s="15">
        <f>Sheet1!A7655</f>
        <v>0</v>
      </c>
      <c r="B7655">
        <f>Sheet1!B7655</f>
        <v>0.86</v>
      </c>
      <c r="C7655">
        <f>IF(Sheet1!B7655&gt;0,1,0)</f>
        <v>1</v>
      </c>
    </row>
    <row r="7656" spans="1:3" x14ac:dyDescent="0.25">
      <c r="A7656" s="15">
        <f>Sheet1!A7656</f>
        <v>0</v>
      </c>
      <c r="B7656">
        <f>Sheet1!B7656</f>
        <v>0.71</v>
      </c>
      <c r="C7656">
        <f>IF(Sheet1!B7656&gt;0,1,0)</f>
        <v>1</v>
      </c>
    </row>
    <row r="7657" spans="1:3" x14ac:dyDescent="0.25">
      <c r="A7657" s="15">
        <f>Sheet1!A7657</f>
        <v>0</v>
      </c>
      <c r="B7657">
        <f>Sheet1!B7657</f>
        <v>0.5</v>
      </c>
      <c r="C7657">
        <f>IF(Sheet1!B7657&gt;0,1,0)</f>
        <v>1</v>
      </c>
    </row>
    <row r="7658" spans="1:3" x14ac:dyDescent="0.25">
      <c r="A7658" s="15">
        <f>Sheet1!A7658</f>
        <v>0</v>
      </c>
      <c r="B7658">
        <f>Sheet1!B7658</f>
        <v>0.48</v>
      </c>
      <c r="C7658">
        <f>IF(Sheet1!B7658&gt;0,1,0)</f>
        <v>1</v>
      </c>
    </row>
    <row r="7659" spans="1:3" x14ac:dyDescent="0.25">
      <c r="A7659" s="15">
        <f>Sheet1!A7659</f>
        <v>0</v>
      </c>
      <c r="B7659">
        <f>Sheet1!B7659</f>
        <v>0.38</v>
      </c>
      <c r="C7659">
        <f>IF(Sheet1!B7659&gt;0,1,0)</f>
        <v>1</v>
      </c>
    </row>
    <row r="7660" spans="1:3" x14ac:dyDescent="0.25">
      <c r="A7660" s="15">
        <f>Sheet1!A7660</f>
        <v>0</v>
      </c>
      <c r="B7660">
        <f>Sheet1!B7660</f>
        <v>0.48</v>
      </c>
      <c r="C7660">
        <f>IF(Sheet1!B7660&gt;0,1,0)</f>
        <v>1</v>
      </c>
    </row>
    <row r="7661" spans="1:3" x14ac:dyDescent="0.25">
      <c r="A7661" s="15">
        <f>Sheet1!A7661</f>
        <v>0</v>
      </c>
      <c r="B7661">
        <f>Sheet1!B7661</f>
        <v>0.39</v>
      </c>
      <c r="C7661">
        <f>IF(Sheet1!B7661&gt;0,1,0)</f>
        <v>1</v>
      </c>
    </row>
    <row r="7662" spans="1:3" x14ac:dyDescent="0.25">
      <c r="A7662" s="15">
        <f>Sheet1!A7662</f>
        <v>0</v>
      </c>
      <c r="B7662">
        <f>Sheet1!B7662</f>
        <v>0.49</v>
      </c>
      <c r="C7662">
        <f>IF(Sheet1!B7662&gt;0,1,0)</f>
        <v>1</v>
      </c>
    </row>
    <row r="7663" spans="1:3" x14ac:dyDescent="0.25">
      <c r="A7663" s="15">
        <f>Sheet1!A7663</f>
        <v>0</v>
      </c>
      <c r="B7663">
        <f>Sheet1!B7663</f>
        <v>0.31</v>
      </c>
      <c r="C7663">
        <f>IF(Sheet1!B7663&gt;0,1,0)</f>
        <v>1</v>
      </c>
    </row>
    <row r="7664" spans="1:3" x14ac:dyDescent="0.25">
      <c r="A7664" s="15">
        <f>Sheet1!A7664</f>
        <v>0</v>
      </c>
      <c r="B7664">
        <f>Sheet1!B7664</f>
        <v>0.43</v>
      </c>
      <c r="C7664">
        <f>IF(Sheet1!B7664&gt;0,1,0)</f>
        <v>1</v>
      </c>
    </row>
    <row r="7665" spans="1:3" x14ac:dyDescent="0.25">
      <c r="A7665" s="15">
        <f>Sheet1!A7665</f>
        <v>0</v>
      </c>
      <c r="B7665">
        <f>Sheet1!B7665</f>
        <v>0.47</v>
      </c>
      <c r="C7665">
        <f>IF(Sheet1!B7665&gt;0,1,0)</f>
        <v>1</v>
      </c>
    </row>
    <row r="7666" spans="1:3" x14ac:dyDescent="0.25">
      <c r="A7666" s="15">
        <f>Sheet1!A7666</f>
        <v>0</v>
      </c>
      <c r="B7666">
        <f>Sheet1!B7666</f>
        <v>0.82</v>
      </c>
      <c r="C7666">
        <f>IF(Sheet1!B7666&gt;0,1,0)</f>
        <v>1</v>
      </c>
    </row>
    <row r="7667" spans="1:3" x14ac:dyDescent="0.25">
      <c r="A7667" s="15">
        <f>Sheet1!A7667</f>
        <v>0</v>
      </c>
      <c r="B7667">
        <f>Sheet1!B7667</f>
        <v>0.55000000000000004</v>
      </c>
      <c r="C7667">
        <f>IF(Sheet1!B7667&gt;0,1,0)</f>
        <v>1</v>
      </c>
    </row>
    <row r="7668" spans="1:3" x14ac:dyDescent="0.25">
      <c r="A7668" s="15">
        <f>Sheet1!A7668</f>
        <v>0</v>
      </c>
      <c r="B7668">
        <f>Sheet1!B7668</f>
        <v>0.97</v>
      </c>
      <c r="C7668">
        <f>IF(Sheet1!B7668&gt;0,1,0)</f>
        <v>1</v>
      </c>
    </row>
    <row r="7669" spans="1:3" x14ac:dyDescent="0.25">
      <c r="A7669" s="15">
        <f>Sheet1!A7669</f>
        <v>0</v>
      </c>
      <c r="B7669">
        <f>Sheet1!B7669</f>
        <v>1.1499999999999999</v>
      </c>
      <c r="C7669">
        <f>IF(Sheet1!B7669&gt;0,1,0)</f>
        <v>1</v>
      </c>
    </row>
    <row r="7670" spans="1:3" x14ac:dyDescent="0.25">
      <c r="A7670" s="15">
        <f>Sheet1!A7670</f>
        <v>0</v>
      </c>
      <c r="B7670">
        <f>Sheet1!B7670</f>
        <v>1.07</v>
      </c>
      <c r="C7670">
        <f>IF(Sheet1!B7670&gt;0,1,0)</f>
        <v>1</v>
      </c>
    </row>
    <row r="7671" spans="1:3" x14ac:dyDescent="0.25">
      <c r="A7671" s="15">
        <f>Sheet1!A7671</f>
        <v>0</v>
      </c>
      <c r="B7671">
        <f>Sheet1!B7671</f>
        <v>0.97</v>
      </c>
      <c r="C7671">
        <f>IF(Sheet1!B7671&gt;0,1,0)</f>
        <v>1</v>
      </c>
    </row>
    <row r="7672" spans="1:3" x14ac:dyDescent="0.25">
      <c r="A7672" s="15">
        <f>Sheet1!A7672</f>
        <v>0</v>
      </c>
      <c r="B7672">
        <f>Sheet1!B7672</f>
        <v>1.71</v>
      </c>
      <c r="C7672">
        <f>IF(Sheet1!B7672&gt;0,1,0)</f>
        <v>1</v>
      </c>
    </row>
    <row r="7673" spans="1:3" x14ac:dyDescent="0.25">
      <c r="A7673" s="15">
        <f>Sheet1!A7673</f>
        <v>0</v>
      </c>
      <c r="B7673">
        <f>Sheet1!B7673</f>
        <v>1.46</v>
      </c>
      <c r="C7673">
        <f>IF(Sheet1!B7673&gt;0,1,0)</f>
        <v>1</v>
      </c>
    </row>
    <row r="7674" spans="1:3" x14ac:dyDescent="0.25">
      <c r="A7674" s="15">
        <f>Sheet1!A7674</f>
        <v>0</v>
      </c>
      <c r="B7674">
        <f>Sheet1!B7674</f>
        <v>1.1599999999999999</v>
      </c>
      <c r="C7674">
        <f>IF(Sheet1!B7674&gt;0,1,0)</f>
        <v>1</v>
      </c>
    </row>
    <row r="7675" spans="1:3" x14ac:dyDescent="0.25">
      <c r="A7675" s="15">
        <f>Sheet1!A7675</f>
        <v>0</v>
      </c>
      <c r="B7675">
        <f>Sheet1!B7675</f>
        <v>1.28</v>
      </c>
      <c r="C7675">
        <f>IF(Sheet1!B7675&gt;0,1,0)</f>
        <v>1</v>
      </c>
    </row>
    <row r="7676" spans="1:3" x14ac:dyDescent="0.25">
      <c r="A7676" s="15">
        <f>Sheet1!A7676</f>
        <v>0</v>
      </c>
      <c r="B7676">
        <f>Sheet1!B7676</f>
        <v>1.18</v>
      </c>
      <c r="C7676">
        <f>IF(Sheet1!B7676&gt;0,1,0)</f>
        <v>1</v>
      </c>
    </row>
    <row r="7677" spans="1:3" x14ac:dyDescent="0.25">
      <c r="A7677" s="15">
        <f>Sheet1!A7677</f>
        <v>0</v>
      </c>
      <c r="B7677">
        <f>Sheet1!B7677</f>
        <v>0.94</v>
      </c>
      <c r="C7677">
        <f>IF(Sheet1!B7677&gt;0,1,0)</f>
        <v>1</v>
      </c>
    </row>
    <row r="7678" spans="1:3" x14ac:dyDescent="0.25">
      <c r="A7678" s="15">
        <f>Sheet1!A7678</f>
        <v>0</v>
      </c>
      <c r="B7678">
        <f>Sheet1!B7678</f>
        <v>1.77</v>
      </c>
      <c r="C7678">
        <f>IF(Sheet1!B7678&gt;0,1,0)</f>
        <v>1</v>
      </c>
    </row>
    <row r="7679" spans="1:3" x14ac:dyDescent="0.25">
      <c r="A7679" s="15">
        <f>Sheet1!A7679</f>
        <v>0</v>
      </c>
      <c r="B7679">
        <f>Sheet1!B7679</f>
        <v>2.17</v>
      </c>
      <c r="C7679">
        <f>IF(Sheet1!B7679&gt;0,1,0)</f>
        <v>1</v>
      </c>
    </row>
    <row r="7680" spans="1:3" x14ac:dyDescent="0.25">
      <c r="A7680" s="15">
        <f>Sheet1!A7680</f>
        <v>0</v>
      </c>
      <c r="B7680">
        <f>Sheet1!B7680</f>
        <v>1.38</v>
      </c>
      <c r="C7680">
        <f>IF(Sheet1!B7680&gt;0,1,0)</f>
        <v>1</v>
      </c>
    </row>
    <row r="7681" spans="1:3" x14ac:dyDescent="0.25">
      <c r="A7681" s="15">
        <f>Sheet1!A7681</f>
        <v>0</v>
      </c>
      <c r="B7681">
        <f>Sheet1!B7681</f>
        <v>1.01</v>
      </c>
      <c r="C7681">
        <f>IF(Sheet1!B7681&gt;0,1,0)</f>
        <v>1</v>
      </c>
    </row>
    <row r="7682" spans="1:3" x14ac:dyDescent="0.25">
      <c r="A7682" s="15">
        <f>Sheet1!A7682</f>
        <v>0</v>
      </c>
      <c r="B7682">
        <f>Sheet1!B7682</f>
        <v>0.41</v>
      </c>
      <c r="C7682">
        <f>IF(Sheet1!B7682&gt;0,1,0)</f>
        <v>1</v>
      </c>
    </row>
    <row r="7683" spans="1:3" x14ac:dyDescent="0.25">
      <c r="A7683" s="15">
        <f>Sheet1!A7683</f>
        <v>0</v>
      </c>
      <c r="B7683">
        <f>Sheet1!B7683</f>
        <v>0.64</v>
      </c>
      <c r="C7683">
        <f>IF(Sheet1!B7683&gt;0,1,0)</f>
        <v>1</v>
      </c>
    </row>
    <row r="7684" spans="1:3" x14ac:dyDescent="0.25">
      <c r="A7684" s="15">
        <f>Sheet1!A7684</f>
        <v>0</v>
      </c>
      <c r="B7684">
        <f>Sheet1!B7684</f>
        <v>0.39</v>
      </c>
      <c r="C7684">
        <f>IF(Sheet1!B7684&gt;0,1,0)</f>
        <v>1</v>
      </c>
    </row>
    <row r="7685" spans="1:3" x14ac:dyDescent="0.25">
      <c r="A7685" s="15">
        <f>Sheet1!A7685</f>
        <v>0</v>
      </c>
      <c r="B7685">
        <f>Sheet1!B7685</f>
        <v>0.8</v>
      </c>
      <c r="C7685">
        <f>IF(Sheet1!B7685&gt;0,1,0)</f>
        <v>1</v>
      </c>
    </row>
    <row r="7686" spans="1:3" x14ac:dyDescent="0.25">
      <c r="A7686" s="15">
        <f>Sheet1!A7686</f>
        <v>0</v>
      </c>
      <c r="B7686">
        <f>Sheet1!B7686</f>
        <v>0.36</v>
      </c>
      <c r="C7686">
        <f>IF(Sheet1!B7686&gt;0,1,0)</f>
        <v>1</v>
      </c>
    </row>
    <row r="7687" spans="1:3" x14ac:dyDescent="0.25">
      <c r="A7687" s="15">
        <f>Sheet1!A7687</f>
        <v>0</v>
      </c>
      <c r="B7687">
        <f>Sheet1!B7687</f>
        <v>0.97</v>
      </c>
      <c r="C7687">
        <f>IF(Sheet1!B7687&gt;0,1,0)</f>
        <v>1</v>
      </c>
    </row>
    <row r="7688" spans="1:3" x14ac:dyDescent="0.25">
      <c r="A7688" s="15">
        <f>Sheet1!A7688</f>
        <v>0</v>
      </c>
      <c r="B7688">
        <f>Sheet1!B7688</f>
        <v>0.45</v>
      </c>
      <c r="C7688">
        <f>IF(Sheet1!B7688&gt;0,1,0)</f>
        <v>1</v>
      </c>
    </row>
    <row r="7689" spans="1:3" x14ac:dyDescent="0.25">
      <c r="A7689" s="15">
        <f>Sheet1!A7689</f>
        <v>0</v>
      </c>
      <c r="B7689">
        <f>Sheet1!B7689</f>
        <v>0.96</v>
      </c>
      <c r="C7689">
        <f>IF(Sheet1!B7689&gt;0,1,0)</f>
        <v>1</v>
      </c>
    </row>
    <row r="7690" spans="1:3" x14ac:dyDescent="0.25">
      <c r="A7690" s="15">
        <f>Sheet1!A7690</f>
        <v>0</v>
      </c>
      <c r="B7690">
        <f>Sheet1!B7690</f>
        <v>0.65</v>
      </c>
      <c r="C7690">
        <f>IF(Sheet1!B7690&gt;0,1,0)</f>
        <v>1</v>
      </c>
    </row>
    <row r="7691" spans="1:3" x14ac:dyDescent="0.25">
      <c r="A7691" s="15">
        <f>Sheet1!A7691</f>
        <v>0</v>
      </c>
      <c r="B7691">
        <f>Sheet1!B7691</f>
        <v>0</v>
      </c>
      <c r="C7691">
        <f>IF(Sheet1!B7691&gt;0,1,0)</f>
        <v>0</v>
      </c>
    </row>
    <row r="7692" spans="1:3" x14ac:dyDescent="0.25">
      <c r="A7692" s="15">
        <f>Sheet1!A7692</f>
        <v>0</v>
      </c>
      <c r="B7692">
        <f>Sheet1!B7692</f>
        <v>0</v>
      </c>
      <c r="C7692">
        <f>IF(Sheet1!B7692&gt;0,1,0)</f>
        <v>0</v>
      </c>
    </row>
    <row r="7693" spans="1:3" x14ac:dyDescent="0.25">
      <c r="A7693" s="15">
        <f>Sheet1!A7693</f>
        <v>0</v>
      </c>
      <c r="B7693">
        <f>Sheet1!B7693</f>
        <v>0</v>
      </c>
      <c r="C7693">
        <f>IF(Sheet1!B7693&gt;0,1,0)</f>
        <v>0</v>
      </c>
    </row>
    <row r="7694" spans="1:3" x14ac:dyDescent="0.25">
      <c r="A7694" s="15">
        <f>Sheet1!A7694</f>
        <v>0</v>
      </c>
      <c r="B7694">
        <f>Sheet1!B7694</f>
        <v>0</v>
      </c>
      <c r="C7694">
        <f>IF(Sheet1!B7694&gt;0,1,0)</f>
        <v>0</v>
      </c>
    </row>
    <row r="7695" spans="1:3" x14ac:dyDescent="0.25">
      <c r="A7695" s="15">
        <f>Sheet1!A7695</f>
        <v>0</v>
      </c>
      <c r="B7695">
        <f>Sheet1!B7695</f>
        <v>0</v>
      </c>
      <c r="C7695">
        <f>IF(Sheet1!B7695&gt;0,1,0)</f>
        <v>0</v>
      </c>
    </row>
    <row r="7696" spans="1:3" x14ac:dyDescent="0.25">
      <c r="A7696" s="15">
        <f>Sheet1!A7696</f>
        <v>0</v>
      </c>
      <c r="B7696">
        <f>Sheet1!B7696</f>
        <v>0.88</v>
      </c>
      <c r="C7696">
        <f>IF(Sheet1!B7696&gt;0,1,0)</f>
        <v>1</v>
      </c>
    </row>
    <row r="7697" spans="1:3" x14ac:dyDescent="0.25">
      <c r="A7697" s="15">
        <f>Sheet1!A7697</f>
        <v>0</v>
      </c>
      <c r="B7697">
        <f>Sheet1!B7697</f>
        <v>1.24</v>
      </c>
      <c r="C7697">
        <f>IF(Sheet1!B7697&gt;0,1,0)</f>
        <v>1</v>
      </c>
    </row>
    <row r="7698" spans="1:3" x14ac:dyDescent="0.25">
      <c r="A7698" s="15">
        <f>Sheet1!A7698</f>
        <v>0</v>
      </c>
      <c r="B7698">
        <f>Sheet1!B7698</f>
        <v>0.9</v>
      </c>
      <c r="C7698">
        <f>IF(Sheet1!B7698&gt;0,1,0)</f>
        <v>1</v>
      </c>
    </row>
    <row r="7699" spans="1:3" x14ac:dyDescent="0.25">
      <c r="A7699" s="15">
        <f>Sheet1!A7699</f>
        <v>0</v>
      </c>
      <c r="B7699">
        <f>Sheet1!B7699</f>
        <v>0.99</v>
      </c>
      <c r="C7699">
        <f>IF(Sheet1!B7699&gt;0,1,0)</f>
        <v>1</v>
      </c>
    </row>
    <row r="7700" spans="1:3" x14ac:dyDescent="0.25">
      <c r="A7700" s="15">
        <f>Sheet1!A7700</f>
        <v>0</v>
      </c>
      <c r="B7700">
        <f>Sheet1!B7700</f>
        <v>0.88</v>
      </c>
      <c r="C7700">
        <f>IF(Sheet1!B7700&gt;0,1,0)</f>
        <v>1</v>
      </c>
    </row>
    <row r="7701" spans="1:3" x14ac:dyDescent="0.25">
      <c r="A7701" s="15">
        <f>Sheet1!A7701</f>
        <v>0</v>
      </c>
      <c r="B7701">
        <f>Sheet1!B7701</f>
        <v>0.96</v>
      </c>
      <c r="C7701">
        <f>IF(Sheet1!B7701&gt;0,1,0)</f>
        <v>1</v>
      </c>
    </row>
    <row r="7702" spans="1:3" x14ac:dyDescent="0.25">
      <c r="A7702" s="15">
        <f>Sheet1!A7702</f>
        <v>0</v>
      </c>
      <c r="B7702">
        <f>Sheet1!B7702</f>
        <v>0.83</v>
      </c>
      <c r="C7702">
        <f>IF(Sheet1!B7702&gt;0,1,0)</f>
        <v>1</v>
      </c>
    </row>
    <row r="7703" spans="1:3" x14ac:dyDescent="0.25">
      <c r="A7703" s="15">
        <f>Sheet1!A7703</f>
        <v>0</v>
      </c>
      <c r="B7703">
        <f>Sheet1!B7703</f>
        <v>0.74</v>
      </c>
      <c r="C7703">
        <f>IF(Sheet1!B7703&gt;0,1,0)</f>
        <v>1</v>
      </c>
    </row>
    <row r="7704" spans="1:3" x14ac:dyDescent="0.25">
      <c r="A7704" s="15">
        <f>Sheet1!A7704</f>
        <v>0</v>
      </c>
      <c r="B7704">
        <f>Sheet1!B7704</f>
        <v>0.52</v>
      </c>
      <c r="C7704">
        <f>IF(Sheet1!B7704&gt;0,1,0)</f>
        <v>1</v>
      </c>
    </row>
    <row r="7705" spans="1:3" x14ac:dyDescent="0.25">
      <c r="A7705" s="15">
        <f>Sheet1!A7705</f>
        <v>0</v>
      </c>
      <c r="B7705">
        <f>Sheet1!B7705</f>
        <v>0.47</v>
      </c>
      <c r="C7705">
        <f>IF(Sheet1!B7705&gt;0,1,0)</f>
        <v>1</v>
      </c>
    </row>
    <row r="7706" spans="1:3" x14ac:dyDescent="0.25">
      <c r="A7706" s="15">
        <f>Sheet1!A7706</f>
        <v>0</v>
      </c>
      <c r="B7706">
        <f>Sheet1!B7706</f>
        <v>0.34</v>
      </c>
      <c r="C7706">
        <f>IF(Sheet1!B7706&gt;0,1,0)</f>
        <v>1</v>
      </c>
    </row>
    <row r="7707" spans="1:3" x14ac:dyDescent="0.25">
      <c r="A7707" s="15">
        <f>Sheet1!A7707</f>
        <v>0</v>
      </c>
      <c r="B7707">
        <f>Sheet1!B7707</f>
        <v>0.48</v>
      </c>
      <c r="C7707">
        <f>IF(Sheet1!B7707&gt;0,1,0)</f>
        <v>1</v>
      </c>
    </row>
    <row r="7708" spans="1:3" x14ac:dyDescent="0.25">
      <c r="A7708" s="15">
        <f>Sheet1!A7708</f>
        <v>0</v>
      </c>
      <c r="B7708">
        <f>Sheet1!B7708</f>
        <v>0.4</v>
      </c>
      <c r="C7708">
        <f>IF(Sheet1!B7708&gt;0,1,0)</f>
        <v>1</v>
      </c>
    </row>
    <row r="7709" spans="1:3" x14ac:dyDescent="0.25">
      <c r="A7709" s="15">
        <f>Sheet1!A7709</f>
        <v>0</v>
      </c>
      <c r="B7709">
        <f>Sheet1!B7709</f>
        <v>0.48</v>
      </c>
      <c r="C7709">
        <f>IF(Sheet1!B7709&gt;0,1,0)</f>
        <v>1</v>
      </c>
    </row>
    <row r="7710" spans="1:3" x14ac:dyDescent="0.25">
      <c r="A7710" s="15">
        <f>Sheet1!A7710</f>
        <v>0</v>
      </c>
      <c r="B7710">
        <f>Sheet1!B7710</f>
        <v>0.34</v>
      </c>
      <c r="C7710">
        <f>IF(Sheet1!B7710&gt;0,1,0)</f>
        <v>1</v>
      </c>
    </row>
    <row r="7711" spans="1:3" x14ac:dyDescent="0.25">
      <c r="A7711" s="15">
        <f>Sheet1!A7711</f>
        <v>0</v>
      </c>
      <c r="B7711">
        <f>Sheet1!B7711</f>
        <v>0.51</v>
      </c>
      <c r="C7711">
        <f>IF(Sheet1!B7711&gt;0,1,0)</f>
        <v>1</v>
      </c>
    </row>
    <row r="7712" spans="1:3" x14ac:dyDescent="0.25">
      <c r="A7712" s="15">
        <f>Sheet1!A7712</f>
        <v>0</v>
      </c>
      <c r="B7712">
        <f>Sheet1!B7712</f>
        <v>0.35</v>
      </c>
      <c r="C7712">
        <f>IF(Sheet1!B7712&gt;0,1,0)</f>
        <v>1</v>
      </c>
    </row>
    <row r="7713" spans="1:3" x14ac:dyDescent="0.25">
      <c r="A7713" s="15">
        <f>Sheet1!A7713</f>
        <v>0</v>
      </c>
      <c r="B7713">
        <f>Sheet1!B7713</f>
        <v>0.52</v>
      </c>
      <c r="C7713">
        <f>IF(Sheet1!B7713&gt;0,1,0)</f>
        <v>1</v>
      </c>
    </row>
    <row r="7714" spans="1:3" x14ac:dyDescent="0.25">
      <c r="A7714" s="15">
        <f>Sheet1!A7714</f>
        <v>0</v>
      </c>
      <c r="B7714">
        <f>Sheet1!B7714</f>
        <v>0.55000000000000004</v>
      </c>
      <c r="C7714">
        <f>IF(Sheet1!B7714&gt;0,1,0)</f>
        <v>1</v>
      </c>
    </row>
    <row r="7715" spans="1:3" x14ac:dyDescent="0.25">
      <c r="A7715" s="15">
        <f>Sheet1!A7715</f>
        <v>0</v>
      </c>
      <c r="B7715">
        <f>Sheet1!B7715</f>
        <v>0.55000000000000004</v>
      </c>
      <c r="C7715">
        <f>IF(Sheet1!B7715&gt;0,1,0)</f>
        <v>1</v>
      </c>
    </row>
    <row r="7716" spans="1:3" x14ac:dyDescent="0.25">
      <c r="A7716" s="15">
        <f>Sheet1!A7716</f>
        <v>0</v>
      </c>
      <c r="B7716">
        <f>Sheet1!B7716</f>
        <v>0.66</v>
      </c>
      <c r="C7716">
        <f>IF(Sheet1!B7716&gt;0,1,0)</f>
        <v>1</v>
      </c>
    </row>
    <row r="7717" spans="1:3" x14ac:dyDescent="0.25">
      <c r="A7717" s="15">
        <f>Sheet1!A7717</f>
        <v>0</v>
      </c>
      <c r="B7717">
        <f>Sheet1!B7717</f>
        <v>2.04</v>
      </c>
      <c r="C7717">
        <f>IF(Sheet1!B7717&gt;0,1,0)</f>
        <v>1</v>
      </c>
    </row>
    <row r="7718" spans="1:3" x14ac:dyDescent="0.25">
      <c r="A7718" s="15">
        <f>Sheet1!A7718</f>
        <v>0</v>
      </c>
      <c r="B7718">
        <f>Sheet1!B7718</f>
        <v>1.47</v>
      </c>
      <c r="C7718">
        <f>IF(Sheet1!B7718&gt;0,1,0)</f>
        <v>1</v>
      </c>
    </row>
    <row r="7719" spans="1:3" x14ac:dyDescent="0.25">
      <c r="A7719" s="15">
        <f>Sheet1!A7719</f>
        <v>0</v>
      </c>
      <c r="B7719">
        <f>Sheet1!B7719</f>
        <v>0.93</v>
      </c>
      <c r="C7719">
        <f>IF(Sheet1!B7719&gt;0,1,0)</f>
        <v>1</v>
      </c>
    </row>
    <row r="7720" spans="1:3" x14ac:dyDescent="0.25">
      <c r="A7720" s="15">
        <f>Sheet1!A7720</f>
        <v>0</v>
      </c>
      <c r="B7720">
        <f>Sheet1!B7720</f>
        <v>1.52</v>
      </c>
      <c r="C7720">
        <f>IF(Sheet1!B7720&gt;0,1,0)</f>
        <v>1</v>
      </c>
    </row>
    <row r="7721" spans="1:3" x14ac:dyDescent="0.25">
      <c r="A7721" s="15">
        <f>Sheet1!A7721</f>
        <v>0</v>
      </c>
      <c r="B7721">
        <f>Sheet1!B7721</f>
        <v>0.78</v>
      </c>
      <c r="C7721">
        <f>IF(Sheet1!B7721&gt;0,1,0)</f>
        <v>1</v>
      </c>
    </row>
    <row r="7722" spans="1:3" x14ac:dyDescent="0.25">
      <c r="A7722" s="15">
        <f>Sheet1!A7722</f>
        <v>0</v>
      </c>
      <c r="B7722">
        <f>Sheet1!B7722</f>
        <v>1.02</v>
      </c>
      <c r="C7722">
        <f>IF(Sheet1!B7722&gt;0,1,0)</f>
        <v>1</v>
      </c>
    </row>
    <row r="7723" spans="1:3" x14ac:dyDescent="0.25">
      <c r="A7723" s="15">
        <f>Sheet1!A7723</f>
        <v>0</v>
      </c>
      <c r="B7723">
        <f>Sheet1!B7723</f>
        <v>0.72</v>
      </c>
      <c r="C7723">
        <f>IF(Sheet1!B7723&gt;0,1,0)</f>
        <v>1</v>
      </c>
    </row>
    <row r="7724" spans="1:3" x14ac:dyDescent="0.25">
      <c r="A7724" s="15">
        <f>Sheet1!A7724</f>
        <v>0</v>
      </c>
      <c r="B7724">
        <f>Sheet1!B7724</f>
        <v>1.03</v>
      </c>
      <c r="C7724">
        <f>IF(Sheet1!B7724&gt;0,1,0)</f>
        <v>1</v>
      </c>
    </row>
    <row r="7725" spans="1:3" x14ac:dyDescent="0.25">
      <c r="A7725" s="15">
        <f>Sheet1!A7725</f>
        <v>0</v>
      </c>
      <c r="B7725">
        <f>Sheet1!B7725</f>
        <v>1.05</v>
      </c>
      <c r="C7725">
        <f>IF(Sheet1!B7725&gt;0,1,0)</f>
        <v>1</v>
      </c>
    </row>
    <row r="7726" spans="1:3" x14ac:dyDescent="0.25">
      <c r="A7726" s="15">
        <f>Sheet1!A7726</f>
        <v>0</v>
      </c>
      <c r="B7726">
        <f>Sheet1!B7726</f>
        <v>0.84</v>
      </c>
      <c r="C7726">
        <f>IF(Sheet1!B7726&gt;0,1,0)</f>
        <v>1</v>
      </c>
    </row>
    <row r="7727" spans="1:3" x14ac:dyDescent="0.25">
      <c r="A7727" s="15">
        <f>Sheet1!A7727</f>
        <v>0</v>
      </c>
      <c r="B7727">
        <f>Sheet1!B7727</f>
        <v>0.6</v>
      </c>
      <c r="C7727">
        <f>IF(Sheet1!B7727&gt;0,1,0)</f>
        <v>1</v>
      </c>
    </row>
    <row r="7728" spans="1:3" x14ac:dyDescent="0.25">
      <c r="A7728" s="15">
        <f>Sheet1!A7728</f>
        <v>0</v>
      </c>
      <c r="B7728">
        <f>Sheet1!B7728</f>
        <v>0.43</v>
      </c>
      <c r="C7728">
        <f>IF(Sheet1!B7728&gt;0,1,0)</f>
        <v>1</v>
      </c>
    </row>
    <row r="7729" spans="1:3" x14ac:dyDescent="0.25">
      <c r="A7729" s="15">
        <f>Sheet1!A7729</f>
        <v>0</v>
      </c>
      <c r="B7729">
        <f>Sheet1!B7729</f>
        <v>0.37</v>
      </c>
      <c r="C7729">
        <f>IF(Sheet1!B7729&gt;0,1,0)</f>
        <v>1</v>
      </c>
    </row>
    <row r="7730" spans="1:3" x14ac:dyDescent="0.25">
      <c r="A7730" s="15">
        <f>Sheet1!A7730</f>
        <v>0</v>
      </c>
      <c r="B7730">
        <f>Sheet1!B7730</f>
        <v>0.43</v>
      </c>
      <c r="C7730">
        <f>IF(Sheet1!B7730&gt;0,1,0)</f>
        <v>1</v>
      </c>
    </row>
    <row r="7731" spans="1:3" x14ac:dyDescent="0.25">
      <c r="A7731" s="15">
        <f>Sheet1!A7731</f>
        <v>0</v>
      </c>
      <c r="B7731">
        <f>Sheet1!B7731</f>
        <v>0.36</v>
      </c>
      <c r="C7731">
        <f>IF(Sheet1!B7731&gt;0,1,0)</f>
        <v>1</v>
      </c>
    </row>
    <row r="7732" spans="1:3" x14ac:dyDescent="0.25">
      <c r="A7732" s="15">
        <f>Sheet1!A7732</f>
        <v>0</v>
      </c>
      <c r="B7732">
        <f>Sheet1!B7732</f>
        <v>0.43</v>
      </c>
      <c r="C7732">
        <f>IF(Sheet1!B7732&gt;0,1,0)</f>
        <v>1</v>
      </c>
    </row>
    <row r="7733" spans="1:3" x14ac:dyDescent="0.25">
      <c r="A7733" s="15">
        <f>Sheet1!A7733</f>
        <v>0</v>
      </c>
      <c r="B7733">
        <f>Sheet1!B7733</f>
        <v>0.41</v>
      </c>
      <c r="C7733">
        <f>IF(Sheet1!B7733&gt;0,1,0)</f>
        <v>1</v>
      </c>
    </row>
    <row r="7734" spans="1:3" x14ac:dyDescent="0.25">
      <c r="A7734" s="15">
        <f>Sheet1!A7734</f>
        <v>0</v>
      </c>
      <c r="B7734">
        <f>Sheet1!B7734</f>
        <v>0.49</v>
      </c>
      <c r="C7734">
        <f>IF(Sheet1!B7734&gt;0,1,0)</f>
        <v>1</v>
      </c>
    </row>
    <row r="7735" spans="1:3" x14ac:dyDescent="0.25">
      <c r="A7735" s="15">
        <f>Sheet1!A7735</f>
        <v>0</v>
      </c>
      <c r="B7735">
        <f>Sheet1!B7735</f>
        <v>0.36</v>
      </c>
      <c r="C7735">
        <f>IF(Sheet1!B7735&gt;0,1,0)</f>
        <v>1</v>
      </c>
    </row>
    <row r="7736" spans="1:3" x14ac:dyDescent="0.25">
      <c r="A7736" s="15">
        <f>Sheet1!A7736</f>
        <v>0</v>
      </c>
      <c r="B7736">
        <f>Sheet1!B7736</f>
        <v>0.41</v>
      </c>
      <c r="C7736">
        <f>IF(Sheet1!B7736&gt;0,1,0)</f>
        <v>1</v>
      </c>
    </row>
    <row r="7737" spans="1:3" x14ac:dyDescent="0.25">
      <c r="A7737" s="15">
        <f>Sheet1!A7737</f>
        <v>0</v>
      </c>
      <c r="B7737">
        <f>Sheet1!B7737</f>
        <v>0.36</v>
      </c>
      <c r="C7737">
        <f>IF(Sheet1!B7737&gt;0,1,0)</f>
        <v>1</v>
      </c>
    </row>
    <row r="7738" spans="1:3" x14ac:dyDescent="0.25">
      <c r="A7738" s="15">
        <f>Sheet1!A7738</f>
        <v>0</v>
      </c>
      <c r="B7738">
        <f>Sheet1!B7738</f>
        <v>0.42</v>
      </c>
      <c r="C7738">
        <f>IF(Sheet1!B7738&gt;0,1,0)</f>
        <v>1</v>
      </c>
    </row>
    <row r="7739" spans="1:3" x14ac:dyDescent="0.25">
      <c r="A7739" s="15">
        <f>Sheet1!A7739</f>
        <v>0</v>
      </c>
      <c r="B7739">
        <f>Sheet1!B7739</f>
        <v>0.35</v>
      </c>
      <c r="C7739">
        <f>IF(Sheet1!B7739&gt;0,1,0)</f>
        <v>1</v>
      </c>
    </row>
    <row r="7740" spans="1:3" x14ac:dyDescent="0.25">
      <c r="A7740" s="15">
        <f>Sheet1!A7740</f>
        <v>0</v>
      </c>
      <c r="B7740">
        <f>Sheet1!B7740</f>
        <v>0.44</v>
      </c>
      <c r="C7740">
        <f>IF(Sheet1!B7740&gt;0,1,0)</f>
        <v>1</v>
      </c>
    </row>
    <row r="7741" spans="1:3" x14ac:dyDescent="0.25">
      <c r="A7741" s="15">
        <f>Sheet1!A7741</f>
        <v>0</v>
      </c>
      <c r="B7741">
        <f>Sheet1!B7741</f>
        <v>0.49</v>
      </c>
      <c r="C7741">
        <f>IF(Sheet1!B7741&gt;0,1,0)</f>
        <v>1</v>
      </c>
    </row>
    <row r="7742" spans="1:3" x14ac:dyDescent="0.25">
      <c r="A7742" s="15">
        <f>Sheet1!A7742</f>
        <v>0</v>
      </c>
      <c r="B7742">
        <f>Sheet1!B7742</f>
        <v>1.78</v>
      </c>
      <c r="C7742">
        <f>IF(Sheet1!B7742&gt;0,1,0)</f>
        <v>1</v>
      </c>
    </row>
    <row r="7743" spans="1:3" x14ac:dyDescent="0.25">
      <c r="A7743" s="15">
        <f>Sheet1!A7743</f>
        <v>0</v>
      </c>
      <c r="B7743">
        <f>Sheet1!B7743</f>
        <v>1.0900000000000001</v>
      </c>
      <c r="C7743">
        <f>IF(Sheet1!B7743&gt;0,1,0)</f>
        <v>1</v>
      </c>
    </row>
    <row r="7744" spans="1:3" x14ac:dyDescent="0.25">
      <c r="A7744" s="15">
        <f>Sheet1!A7744</f>
        <v>0</v>
      </c>
      <c r="B7744">
        <f>Sheet1!B7744</f>
        <v>1.19</v>
      </c>
      <c r="C7744">
        <f>IF(Sheet1!B7744&gt;0,1,0)</f>
        <v>1</v>
      </c>
    </row>
    <row r="7745" spans="1:3" x14ac:dyDescent="0.25">
      <c r="A7745" s="15">
        <f>Sheet1!A7745</f>
        <v>0</v>
      </c>
      <c r="B7745">
        <f>Sheet1!B7745</f>
        <v>2.2000000000000002</v>
      </c>
      <c r="C7745">
        <f>IF(Sheet1!B7745&gt;0,1,0)</f>
        <v>1</v>
      </c>
    </row>
    <row r="7746" spans="1:3" x14ac:dyDescent="0.25">
      <c r="A7746" s="15">
        <f>Sheet1!A7746</f>
        <v>0</v>
      </c>
      <c r="B7746">
        <f>Sheet1!B7746</f>
        <v>2.17</v>
      </c>
      <c r="C7746">
        <f>IF(Sheet1!B7746&gt;0,1,0)</f>
        <v>1</v>
      </c>
    </row>
    <row r="7747" spans="1:3" x14ac:dyDescent="0.25">
      <c r="A7747" s="15">
        <f>Sheet1!A7747</f>
        <v>0</v>
      </c>
      <c r="B7747">
        <f>Sheet1!B7747</f>
        <v>1.45</v>
      </c>
      <c r="C7747">
        <f>IF(Sheet1!B7747&gt;0,1,0)</f>
        <v>1</v>
      </c>
    </row>
    <row r="7748" spans="1:3" x14ac:dyDescent="0.25">
      <c r="A7748" s="15">
        <f>Sheet1!A7748</f>
        <v>0</v>
      </c>
      <c r="B7748">
        <f>Sheet1!B7748</f>
        <v>0.93</v>
      </c>
      <c r="C7748">
        <f>IF(Sheet1!B7748&gt;0,1,0)</f>
        <v>1</v>
      </c>
    </row>
    <row r="7749" spans="1:3" x14ac:dyDescent="0.25">
      <c r="A7749" s="15">
        <f>Sheet1!A7749</f>
        <v>0</v>
      </c>
      <c r="B7749">
        <f>Sheet1!B7749</f>
        <v>1.35</v>
      </c>
      <c r="C7749">
        <f>IF(Sheet1!B7749&gt;0,1,0)</f>
        <v>1</v>
      </c>
    </row>
    <row r="7750" spans="1:3" x14ac:dyDescent="0.25">
      <c r="A7750" s="15">
        <f>Sheet1!A7750</f>
        <v>0</v>
      </c>
      <c r="B7750">
        <f>Sheet1!B7750</f>
        <v>1.33</v>
      </c>
      <c r="C7750">
        <f>IF(Sheet1!B7750&gt;0,1,0)</f>
        <v>1</v>
      </c>
    </row>
    <row r="7751" spans="1:3" x14ac:dyDescent="0.25">
      <c r="A7751" s="15">
        <f>Sheet1!A7751</f>
        <v>0</v>
      </c>
      <c r="B7751">
        <f>Sheet1!B7751</f>
        <v>0.73</v>
      </c>
      <c r="C7751">
        <f>IF(Sheet1!B7751&gt;0,1,0)</f>
        <v>1</v>
      </c>
    </row>
    <row r="7752" spans="1:3" x14ac:dyDescent="0.25">
      <c r="A7752" s="15">
        <f>Sheet1!A7752</f>
        <v>0</v>
      </c>
      <c r="B7752">
        <f>Sheet1!B7752</f>
        <v>0.77</v>
      </c>
      <c r="C7752">
        <f>IF(Sheet1!B7752&gt;0,1,0)</f>
        <v>1</v>
      </c>
    </row>
    <row r="7753" spans="1:3" x14ac:dyDescent="0.25">
      <c r="A7753" s="15">
        <f>Sheet1!A7753</f>
        <v>0</v>
      </c>
      <c r="B7753">
        <f>Sheet1!B7753</f>
        <v>0.39</v>
      </c>
      <c r="C7753">
        <f>IF(Sheet1!B7753&gt;0,1,0)</f>
        <v>1</v>
      </c>
    </row>
    <row r="7754" spans="1:3" x14ac:dyDescent="0.25">
      <c r="A7754" s="15">
        <f>Sheet1!A7754</f>
        <v>0</v>
      </c>
      <c r="B7754">
        <f>Sheet1!B7754</f>
        <v>0.44</v>
      </c>
      <c r="C7754">
        <f>IF(Sheet1!B7754&gt;0,1,0)</f>
        <v>1</v>
      </c>
    </row>
    <row r="7755" spans="1:3" x14ac:dyDescent="0.25">
      <c r="A7755" s="15">
        <f>Sheet1!A7755</f>
        <v>0</v>
      </c>
      <c r="B7755">
        <f>Sheet1!B7755</f>
        <v>0.28999999999999998</v>
      </c>
      <c r="C7755">
        <f>IF(Sheet1!B7755&gt;0,1,0)</f>
        <v>1</v>
      </c>
    </row>
    <row r="7756" spans="1:3" x14ac:dyDescent="0.25">
      <c r="A7756" s="15">
        <f>Sheet1!A7756</f>
        <v>0</v>
      </c>
      <c r="B7756">
        <f>Sheet1!B7756</f>
        <v>0.43</v>
      </c>
      <c r="C7756">
        <f>IF(Sheet1!B7756&gt;0,1,0)</f>
        <v>1</v>
      </c>
    </row>
    <row r="7757" spans="1:3" x14ac:dyDescent="0.25">
      <c r="A7757" s="15">
        <f>Sheet1!A7757</f>
        <v>0</v>
      </c>
      <c r="B7757">
        <f>Sheet1!B7757</f>
        <v>0.31</v>
      </c>
      <c r="C7757">
        <f>IF(Sheet1!B7757&gt;0,1,0)</f>
        <v>1</v>
      </c>
    </row>
    <row r="7758" spans="1:3" x14ac:dyDescent="0.25">
      <c r="A7758" s="15">
        <f>Sheet1!A7758</f>
        <v>0</v>
      </c>
      <c r="B7758">
        <f>Sheet1!B7758</f>
        <v>0.66</v>
      </c>
      <c r="C7758">
        <f>IF(Sheet1!B7758&gt;0,1,0)</f>
        <v>1</v>
      </c>
    </row>
    <row r="7759" spans="1:3" x14ac:dyDescent="0.25">
      <c r="A7759" s="15">
        <f>Sheet1!A7759</f>
        <v>0</v>
      </c>
      <c r="B7759">
        <f>Sheet1!B7759</f>
        <v>0.55000000000000004</v>
      </c>
      <c r="C7759">
        <f>IF(Sheet1!B7759&gt;0,1,0)</f>
        <v>1</v>
      </c>
    </row>
    <row r="7760" spans="1:3" x14ac:dyDescent="0.25">
      <c r="A7760" s="15">
        <f>Sheet1!A7760</f>
        <v>0</v>
      </c>
      <c r="B7760">
        <f>Sheet1!B7760</f>
        <v>0</v>
      </c>
      <c r="C7760">
        <f>IF(Sheet1!B7760&gt;0,1,0)</f>
        <v>0</v>
      </c>
    </row>
    <row r="7761" spans="1:3" x14ac:dyDescent="0.25">
      <c r="A7761" s="15">
        <f>Sheet1!A7761</f>
        <v>0</v>
      </c>
      <c r="B7761">
        <f>Sheet1!B7761</f>
        <v>0.4</v>
      </c>
      <c r="C7761">
        <f>IF(Sheet1!B7761&gt;0,1,0)</f>
        <v>1</v>
      </c>
    </row>
    <row r="7762" spans="1:3" x14ac:dyDescent="0.25">
      <c r="A7762" s="15">
        <f>Sheet1!A7762</f>
        <v>0</v>
      </c>
      <c r="B7762">
        <f>Sheet1!B7762</f>
        <v>0.39</v>
      </c>
      <c r="C7762">
        <f>IF(Sheet1!B7762&gt;0,1,0)</f>
        <v>1</v>
      </c>
    </row>
    <row r="7763" spans="1:3" x14ac:dyDescent="0.25">
      <c r="A7763" s="15">
        <f>Sheet1!A7763</f>
        <v>0</v>
      </c>
      <c r="B7763">
        <f>Sheet1!B7763</f>
        <v>0.45</v>
      </c>
      <c r="C7763">
        <f>IF(Sheet1!B7763&gt;0,1,0)</f>
        <v>1</v>
      </c>
    </row>
    <row r="7764" spans="1:3" x14ac:dyDescent="0.25">
      <c r="A7764" s="15">
        <f>Sheet1!A7764</f>
        <v>0</v>
      </c>
      <c r="B7764">
        <f>Sheet1!B7764</f>
        <v>0.56000000000000005</v>
      </c>
      <c r="C7764">
        <f>IF(Sheet1!B7764&gt;0,1,0)</f>
        <v>1</v>
      </c>
    </row>
    <row r="7765" spans="1:3" x14ac:dyDescent="0.25">
      <c r="A7765" s="15">
        <f>Sheet1!A7765</f>
        <v>0</v>
      </c>
      <c r="B7765">
        <f>Sheet1!B7765</f>
        <v>0.44</v>
      </c>
      <c r="C7765">
        <f>IF(Sheet1!B7765&gt;0,1,0)</f>
        <v>1</v>
      </c>
    </row>
    <row r="7766" spans="1:3" x14ac:dyDescent="0.25">
      <c r="A7766" s="15">
        <f>Sheet1!A7766</f>
        <v>0</v>
      </c>
      <c r="B7766">
        <f>Sheet1!B7766</f>
        <v>0.31</v>
      </c>
      <c r="C7766">
        <f>IF(Sheet1!B7766&gt;0,1,0)</f>
        <v>1</v>
      </c>
    </row>
    <row r="7767" spans="1:3" x14ac:dyDescent="0.25">
      <c r="A7767" s="15">
        <f>Sheet1!A7767</f>
        <v>0</v>
      </c>
      <c r="B7767">
        <f>Sheet1!B7767</f>
        <v>1.86</v>
      </c>
      <c r="C7767">
        <f>IF(Sheet1!B7767&gt;0,1,0)</f>
        <v>1</v>
      </c>
    </row>
    <row r="7768" spans="1:3" x14ac:dyDescent="0.25">
      <c r="A7768" s="15">
        <f>Sheet1!A7768</f>
        <v>0</v>
      </c>
      <c r="B7768">
        <f>Sheet1!B7768</f>
        <v>1.46</v>
      </c>
      <c r="C7768">
        <f>IF(Sheet1!B7768&gt;0,1,0)</f>
        <v>1</v>
      </c>
    </row>
    <row r="7769" spans="1:3" x14ac:dyDescent="0.25">
      <c r="A7769" s="15">
        <f>Sheet1!A7769</f>
        <v>0</v>
      </c>
      <c r="B7769">
        <f>Sheet1!B7769</f>
        <v>1.61</v>
      </c>
      <c r="C7769">
        <f>IF(Sheet1!B7769&gt;0,1,0)</f>
        <v>1</v>
      </c>
    </row>
    <row r="7770" spans="1:3" x14ac:dyDescent="0.25">
      <c r="A7770" s="15">
        <f>Sheet1!A7770</f>
        <v>0</v>
      </c>
      <c r="B7770">
        <f>Sheet1!B7770</f>
        <v>1.37</v>
      </c>
      <c r="C7770">
        <f>IF(Sheet1!B7770&gt;0,1,0)</f>
        <v>1</v>
      </c>
    </row>
    <row r="7771" spans="1:3" x14ac:dyDescent="0.25">
      <c r="A7771" s="15">
        <f>Sheet1!A7771</f>
        <v>0</v>
      </c>
      <c r="B7771">
        <f>Sheet1!B7771</f>
        <v>1.07</v>
      </c>
      <c r="C7771">
        <f>IF(Sheet1!B7771&gt;0,1,0)</f>
        <v>1</v>
      </c>
    </row>
    <row r="7772" spans="1:3" x14ac:dyDescent="0.25">
      <c r="A7772" s="15">
        <f>Sheet1!A7772</f>
        <v>0</v>
      </c>
      <c r="B7772">
        <f>Sheet1!B7772</f>
        <v>0.97</v>
      </c>
      <c r="C7772">
        <f>IF(Sheet1!B7772&gt;0,1,0)</f>
        <v>1</v>
      </c>
    </row>
    <row r="7773" spans="1:3" x14ac:dyDescent="0.25">
      <c r="A7773" s="15">
        <f>Sheet1!A7773</f>
        <v>0</v>
      </c>
      <c r="B7773">
        <f>Sheet1!B7773</f>
        <v>1.01</v>
      </c>
      <c r="C7773">
        <f>IF(Sheet1!B7773&gt;0,1,0)</f>
        <v>1</v>
      </c>
    </row>
    <row r="7774" spans="1:3" x14ac:dyDescent="0.25">
      <c r="A7774" s="15">
        <f>Sheet1!A7774</f>
        <v>0</v>
      </c>
      <c r="B7774">
        <f>Sheet1!B7774</f>
        <v>1.29</v>
      </c>
      <c r="C7774">
        <f>IF(Sheet1!B7774&gt;0,1,0)</f>
        <v>1</v>
      </c>
    </row>
    <row r="7775" spans="1:3" x14ac:dyDescent="0.25">
      <c r="A7775" s="15">
        <f>Sheet1!A7775</f>
        <v>0</v>
      </c>
      <c r="B7775">
        <f>Sheet1!B7775</f>
        <v>1.41</v>
      </c>
      <c r="C7775">
        <f>IF(Sheet1!B7775&gt;0,1,0)</f>
        <v>1</v>
      </c>
    </row>
    <row r="7776" spans="1:3" x14ac:dyDescent="0.25">
      <c r="A7776" s="15">
        <f>Sheet1!A7776</f>
        <v>0</v>
      </c>
      <c r="B7776">
        <f>Sheet1!B7776</f>
        <v>0.98</v>
      </c>
      <c r="C7776">
        <f>IF(Sheet1!B7776&gt;0,1,0)</f>
        <v>1</v>
      </c>
    </row>
    <row r="7777" spans="1:3" x14ac:dyDescent="0.25">
      <c r="A7777" s="15">
        <f>Sheet1!A7777</f>
        <v>0</v>
      </c>
      <c r="B7777">
        <f>Sheet1!B7777</f>
        <v>0.68</v>
      </c>
      <c r="C7777">
        <f>IF(Sheet1!B7777&gt;0,1,0)</f>
        <v>1</v>
      </c>
    </row>
    <row r="7778" spans="1:3" x14ac:dyDescent="0.25">
      <c r="A7778" s="15">
        <f>Sheet1!A7778</f>
        <v>0</v>
      </c>
      <c r="B7778">
        <f>Sheet1!B7778</f>
        <v>0.44</v>
      </c>
      <c r="C7778">
        <f>IF(Sheet1!B7778&gt;0,1,0)</f>
        <v>1</v>
      </c>
    </row>
    <row r="7779" spans="1:3" x14ac:dyDescent="0.25">
      <c r="A7779" s="15">
        <f>Sheet1!A7779</f>
        <v>0</v>
      </c>
      <c r="B7779">
        <f>Sheet1!B7779</f>
        <v>0.47</v>
      </c>
      <c r="C7779">
        <f>IF(Sheet1!B7779&gt;0,1,0)</f>
        <v>1</v>
      </c>
    </row>
    <row r="7780" spans="1:3" x14ac:dyDescent="0.25">
      <c r="A7780" s="15">
        <f>Sheet1!A7780</f>
        <v>0</v>
      </c>
      <c r="B7780">
        <f>Sheet1!B7780</f>
        <v>0.64</v>
      </c>
      <c r="C7780">
        <f>IF(Sheet1!B7780&gt;0,1,0)</f>
        <v>1</v>
      </c>
    </row>
    <row r="7781" spans="1:3" x14ac:dyDescent="0.25">
      <c r="A7781" s="15">
        <f>Sheet1!A7781</f>
        <v>0</v>
      </c>
      <c r="B7781">
        <f>Sheet1!B7781</f>
        <v>1.19</v>
      </c>
      <c r="C7781">
        <f>IF(Sheet1!B7781&gt;0,1,0)</f>
        <v>1</v>
      </c>
    </row>
    <row r="7782" spans="1:3" x14ac:dyDescent="0.25">
      <c r="A7782" s="15">
        <f>Sheet1!A7782</f>
        <v>0</v>
      </c>
      <c r="B7782">
        <f>Sheet1!B7782</f>
        <v>1.08</v>
      </c>
      <c r="C7782">
        <f>IF(Sheet1!B7782&gt;0,1,0)</f>
        <v>1</v>
      </c>
    </row>
    <row r="7783" spans="1:3" x14ac:dyDescent="0.25">
      <c r="A7783" s="15">
        <f>Sheet1!A7783</f>
        <v>0</v>
      </c>
      <c r="B7783">
        <f>Sheet1!B7783</f>
        <v>0.74</v>
      </c>
      <c r="C7783">
        <f>IF(Sheet1!B7783&gt;0,1,0)</f>
        <v>1</v>
      </c>
    </row>
    <row r="7784" spans="1:3" x14ac:dyDescent="0.25">
      <c r="A7784" s="15">
        <f>Sheet1!A7784</f>
        <v>0</v>
      </c>
      <c r="B7784">
        <f>Sheet1!B7784</f>
        <v>0.65</v>
      </c>
      <c r="C7784">
        <f>IF(Sheet1!B7784&gt;0,1,0)</f>
        <v>1</v>
      </c>
    </row>
    <row r="7785" spans="1:3" x14ac:dyDescent="0.25">
      <c r="A7785" s="15">
        <f>Sheet1!A7785</f>
        <v>0</v>
      </c>
      <c r="B7785">
        <f>Sheet1!B7785</f>
        <v>0.52</v>
      </c>
      <c r="C7785">
        <f>IF(Sheet1!B7785&gt;0,1,0)</f>
        <v>1</v>
      </c>
    </row>
    <row r="7786" spans="1:3" x14ac:dyDescent="0.25">
      <c r="A7786" s="15">
        <f>Sheet1!A7786</f>
        <v>0</v>
      </c>
      <c r="B7786">
        <f>Sheet1!B7786</f>
        <v>0.53</v>
      </c>
      <c r="C7786">
        <f>IF(Sheet1!B7786&gt;0,1,0)</f>
        <v>1</v>
      </c>
    </row>
    <row r="7787" spans="1:3" x14ac:dyDescent="0.25">
      <c r="A7787" s="15">
        <f>Sheet1!A7787</f>
        <v>0</v>
      </c>
      <c r="B7787">
        <f>Sheet1!B7787</f>
        <v>0.4</v>
      </c>
      <c r="C7787">
        <f>IF(Sheet1!B7787&gt;0,1,0)</f>
        <v>1</v>
      </c>
    </row>
    <row r="7788" spans="1:3" x14ac:dyDescent="0.25">
      <c r="A7788" s="15">
        <f>Sheet1!A7788</f>
        <v>0</v>
      </c>
      <c r="B7788">
        <f>Sheet1!B7788</f>
        <v>0.36</v>
      </c>
      <c r="C7788">
        <f>IF(Sheet1!B7788&gt;0,1,0)</f>
        <v>1</v>
      </c>
    </row>
    <row r="7789" spans="1:3" x14ac:dyDescent="0.25">
      <c r="A7789" s="15">
        <f>Sheet1!A7789</f>
        <v>0</v>
      </c>
      <c r="B7789">
        <f>Sheet1!B7789</f>
        <v>0.83</v>
      </c>
      <c r="C7789">
        <f>IF(Sheet1!B7789&gt;0,1,0)</f>
        <v>1</v>
      </c>
    </row>
    <row r="7790" spans="1:3" x14ac:dyDescent="0.25">
      <c r="A7790" s="15">
        <f>Sheet1!A7790</f>
        <v>0</v>
      </c>
      <c r="B7790">
        <f>Sheet1!B7790</f>
        <v>0.46</v>
      </c>
      <c r="C7790">
        <f>IF(Sheet1!B7790&gt;0,1,0)</f>
        <v>1</v>
      </c>
    </row>
    <row r="7791" spans="1:3" x14ac:dyDescent="0.25">
      <c r="A7791" s="15">
        <f>Sheet1!A7791</f>
        <v>0</v>
      </c>
      <c r="B7791">
        <f>Sheet1!B7791</f>
        <v>0.65</v>
      </c>
      <c r="C7791">
        <f>IF(Sheet1!B7791&gt;0,1,0)</f>
        <v>1</v>
      </c>
    </row>
    <row r="7792" spans="1:3" x14ac:dyDescent="0.25">
      <c r="A7792" s="15">
        <f>Sheet1!A7792</f>
        <v>0</v>
      </c>
      <c r="B7792">
        <f>Sheet1!B7792</f>
        <v>1.4</v>
      </c>
      <c r="C7792">
        <f>IF(Sheet1!B7792&gt;0,1,0)</f>
        <v>1</v>
      </c>
    </row>
    <row r="7793" spans="1:3" x14ac:dyDescent="0.25">
      <c r="A7793" s="15">
        <f>Sheet1!A7793</f>
        <v>0</v>
      </c>
      <c r="B7793">
        <f>Sheet1!B7793</f>
        <v>1</v>
      </c>
      <c r="C7793">
        <f>IF(Sheet1!B7793&gt;0,1,0)</f>
        <v>1</v>
      </c>
    </row>
    <row r="7794" spans="1:3" x14ac:dyDescent="0.25">
      <c r="A7794" s="15">
        <f>Sheet1!A7794</f>
        <v>0</v>
      </c>
      <c r="B7794">
        <f>Sheet1!B7794</f>
        <v>1.18</v>
      </c>
      <c r="C7794">
        <f>IF(Sheet1!B7794&gt;0,1,0)</f>
        <v>1</v>
      </c>
    </row>
    <row r="7795" spans="1:3" x14ac:dyDescent="0.25">
      <c r="A7795" s="15">
        <f>Sheet1!A7795</f>
        <v>0</v>
      </c>
      <c r="B7795">
        <f>Sheet1!B7795</f>
        <v>1.6</v>
      </c>
      <c r="C7795">
        <f>IF(Sheet1!B7795&gt;0,1,0)</f>
        <v>1</v>
      </c>
    </row>
    <row r="7796" spans="1:3" x14ac:dyDescent="0.25">
      <c r="A7796" s="15">
        <f>Sheet1!A7796</f>
        <v>0</v>
      </c>
      <c r="B7796">
        <f>Sheet1!B7796</f>
        <v>1.4</v>
      </c>
      <c r="C7796">
        <f>IF(Sheet1!B7796&gt;0,1,0)</f>
        <v>1</v>
      </c>
    </row>
    <row r="7797" spans="1:3" x14ac:dyDescent="0.25">
      <c r="A7797" s="15">
        <f>Sheet1!A7797</f>
        <v>0</v>
      </c>
      <c r="B7797">
        <f>Sheet1!B7797</f>
        <v>0.93</v>
      </c>
      <c r="C7797">
        <f>IF(Sheet1!B7797&gt;0,1,0)</f>
        <v>1</v>
      </c>
    </row>
    <row r="7798" spans="1:3" x14ac:dyDescent="0.25">
      <c r="A7798" s="15">
        <f>Sheet1!A7798</f>
        <v>0</v>
      </c>
      <c r="B7798">
        <f>Sheet1!B7798</f>
        <v>1.05</v>
      </c>
      <c r="C7798">
        <f>IF(Sheet1!B7798&gt;0,1,0)</f>
        <v>1</v>
      </c>
    </row>
    <row r="7799" spans="1:3" x14ac:dyDescent="0.25">
      <c r="A7799" s="15">
        <f>Sheet1!A7799</f>
        <v>0</v>
      </c>
      <c r="B7799">
        <f>Sheet1!B7799</f>
        <v>1.34</v>
      </c>
      <c r="C7799">
        <f>IF(Sheet1!B7799&gt;0,1,0)</f>
        <v>1</v>
      </c>
    </row>
    <row r="7800" spans="1:3" x14ac:dyDescent="0.25">
      <c r="A7800" s="15">
        <f>Sheet1!A7800</f>
        <v>0</v>
      </c>
      <c r="B7800">
        <f>Sheet1!B7800</f>
        <v>0.99</v>
      </c>
      <c r="C7800">
        <f>IF(Sheet1!B7800&gt;0,1,0)</f>
        <v>1</v>
      </c>
    </row>
    <row r="7801" spans="1:3" x14ac:dyDescent="0.25">
      <c r="A7801" s="15">
        <f>Sheet1!A7801</f>
        <v>0</v>
      </c>
      <c r="B7801">
        <f>Sheet1!B7801</f>
        <v>0.9</v>
      </c>
      <c r="C7801">
        <f>IF(Sheet1!B7801&gt;0,1,0)</f>
        <v>1</v>
      </c>
    </row>
    <row r="7802" spans="1:3" x14ac:dyDescent="0.25">
      <c r="A7802" s="15">
        <f>Sheet1!A7802</f>
        <v>0</v>
      </c>
      <c r="B7802">
        <f>Sheet1!B7802</f>
        <v>0.59</v>
      </c>
      <c r="C7802">
        <f>IF(Sheet1!B7802&gt;0,1,0)</f>
        <v>1</v>
      </c>
    </row>
    <row r="7803" spans="1:3" x14ac:dyDescent="0.25">
      <c r="A7803" s="15">
        <f>Sheet1!A7803</f>
        <v>0</v>
      </c>
      <c r="B7803">
        <f>Sheet1!B7803</f>
        <v>0.52</v>
      </c>
      <c r="C7803">
        <f>IF(Sheet1!B7803&gt;0,1,0)</f>
        <v>1</v>
      </c>
    </row>
    <row r="7804" spans="1:3" x14ac:dyDescent="0.25">
      <c r="A7804" s="15">
        <f>Sheet1!A7804</f>
        <v>0</v>
      </c>
      <c r="B7804">
        <f>Sheet1!B7804</f>
        <v>0.7</v>
      </c>
      <c r="C7804">
        <f>IF(Sheet1!B7804&gt;0,1,0)</f>
        <v>1</v>
      </c>
    </row>
    <row r="7805" spans="1:3" x14ac:dyDescent="0.25">
      <c r="A7805" s="15">
        <f>Sheet1!A7805</f>
        <v>0</v>
      </c>
      <c r="B7805">
        <f>Sheet1!B7805</f>
        <v>0.38</v>
      </c>
      <c r="C7805">
        <f>IF(Sheet1!B7805&gt;0,1,0)</f>
        <v>1</v>
      </c>
    </row>
    <row r="7806" spans="1:3" x14ac:dyDescent="0.25">
      <c r="A7806" s="15">
        <f>Sheet1!A7806</f>
        <v>0</v>
      </c>
      <c r="B7806">
        <f>Sheet1!B7806</f>
        <v>0.56999999999999995</v>
      </c>
      <c r="C7806">
        <f>IF(Sheet1!B7806&gt;0,1,0)</f>
        <v>1</v>
      </c>
    </row>
    <row r="7807" spans="1:3" x14ac:dyDescent="0.25">
      <c r="A7807" s="15">
        <f>Sheet1!A7807</f>
        <v>0</v>
      </c>
      <c r="B7807">
        <f>Sheet1!B7807</f>
        <v>0.34</v>
      </c>
      <c r="C7807">
        <f>IF(Sheet1!B7807&gt;0,1,0)</f>
        <v>1</v>
      </c>
    </row>
    <row r="7808" spans="1:3" x14ac:dyDescent="0.25">
      <c r="A7808" s="15">
        <f>Sheet1!A7808</f>
        <v>0</v>
      </c>
      <c r="B7808">
        <f>Sheet1!B7808</f>
        <v>0.85</v>
      </c>
      <c r="C7808">
        <f>IF(Sheet1!B7808&gt;0,1,0)</f>
        <v>1</v>
      </c>
    </row>
    <row r="7809" spans="1:3" x14ac:dyDescent="0.25">
      <c r="A7809" s="15">
        <f>Sheet1!A7809</f>
        <v>0</v>
      </c>
      <c r="B7809">
        <f>Sheet1!B7809</f>
        <v>0</v>
      </c>
      <c r="C7809">
        <f>IF(Sheet1!B7809&gt;0,1,0)</f>
        <v>0</v>
      </c>
    </row>
    <row r="7810" spans="1:3" x14ac:dyDescent="0.25">
      <c r="A7810" s="15">
        <f>Sheet1!A7810</f>
        <v>0</v>
      </c>
      <c r="B7810">
        <f>Sheet1!B7810</f>
        <v>0</v>
      </c>
      <c r="C7810">
        <f>IF(Sheet1!B7810&gt;0,1,0)</f>
        <v>0</v>
      </c>
    </row>
    <row r="7811" spans="1:3" x14ac:dyDescent="0.25">
      <c r="A7811" s="15">
        <f>Sheet1!A7811</f>
        <v>0</v>
      </c>
      <c r="B7811">
        <f>Sheet1!B7811</f>
        <v>0.72</v>
      </c>
      <c r="C7811">
        <f>IF(Sheet1!B7811&gt;0,1,0)</f>
        <v>1</v>
      </c>
    </row>
    <row r="7812" spans="1:3" x14ac:dyDescent="0.25">
      <c r="A7812" s="15">
        <f>Sheet1!A7812</f>
        <v>0</v>
      </c>
      <c r="B7812">
        <f>Sheet1!B7812</f>
        <v>1.41</v>
      </c>
      <c r="C7812">
        <f>IF(Sheet1!B7812&gt;0,1,0)</f>
        <v>1</v>
      </c>
    </row>
    <row r="7813" spans="1:3" x14ac:dyDescent="0.25">
      <c r="A7813" s="15">
        <f>Sheet1!A7813</f>
        <v>0</v>
      </c>
      <c r="B7813">
        <f>Sheet1!B7813</f>
        <v>1.19</v>
      </c>
      <c r="C7813">
        <f>IF(Sheet1!B7813&gt;0,1,0)</f>
        <v>1</v>
      </c>
    </row>
    <row r="7814" spans="1:3" x14ac:dyDescent="0.25">
      <c r="A7814" s="15">
        <f>Sheet1!A7814</f>
        <v>0</v>
      </c>
      <c r="B7814">
        <f>Sheet1!B7814</f>
        <v>0.39</v>
      </c>
      <c r="C7814">
        <f>IF(Sheet1!B7814&gt;0,1,0)</f>
        <v>1</v>
      </c>
    </row>
    <row r="7815" spans="1:3" x14ac:dyDescent="0.25">
      <c r="A7815" s="15">
        <f>Sheet1!A7815</f>
        <v>0</v>
      </c>
      <c r="B7815">
        <f>Sheet1!B7815</f>
        <v>0.79</v>
      </c>
      <c r="C7815">
        <f>IF(Sheet1!B7815&gt;0,1,0)</f>
        <v>1</v>
      </c>
    </row>
    <row r="7816" spans="1:3" x14ac:dyDescent="0.25">
      <c r="A7816" s="15">
        <f>Sheet1!A7816</f>
        <v>0</v>
      </c>
      <c r="B7816">
        <f>Sheet1!B7816</f>
        <v>0</v>
      </c>
      <c r="C7816">
        <f>IF(Sheet1!B7816&gt;0,1,0)</f>
        <v>0</v>
      </c>
    </row>
    <row r="7817" spans="1:3" x14ac:dyDescent="0.25">
      <c r="A7817" s="15">
        <f>Sheet1!A7817</f>
        <v>0</v>
      </c>
      <c r="B7817">
        <f>Sheet1!B7817</f>
        <v>0</v>
      </c>
      <c r="C7817">
        <f>IF(Sheet1!B7817&gt;0,1,0)</f>
        <v>0</v>
      </c>
    </row>
    <row r="7818" spans="1:3" x14ac:dyDescent="0.25">
      <c r="A7818" s="15">
        <f>Sheet1!A7818</f>
        <v>0</v>
      </c>
      <c r="B7818">
        <f>Sheet1!B7818</f>
        <v>0</v>
      </c>
      <c r="C7818">
        <f>IF(Sheet1!B7818&gt;0,1,0)</f>
        <v>0</v>
      </c>
    </row>
    <row r="7819" spans="1:3" x14ac:dyDescent="0.25">
      <c r="A7819" s="15">
        <f>Sheet1!A7819</f>
        <v>0</v>
      </c>
      <c r="B7819">
        <f>Sheet1!B7819</f>
        <v>1.17</v>
      </c>
      <c r="C7819">
        <f>IF(Sheet1!B7819&gt;0,1,0)</f>
        <v>1</v>
      </c>
    </row>
    <row r="7820" spans="1:3" x14ac:dyDescent="0.25">
      <c r="A7820" s="15">
        <f>Sheet1!A7820</f>
        <v>0</v>
      </c>
      <c r="B7820">
        <f>Sheet1!B7820</f>
        <v>1.41</v>
      </c>
      <c r="C7820">
        <f>IF(Sheet1!B7820&gt;0,1,0)</f>
        <v>1</v>
      </c>
    </row>
    <row r="7821" spans="1:3" x14ac:dyDescent="0.25">
      <c r="A7821" s="15">
        <f>Sheet1!A7821</f>
        <v>0</v>
      </c>
      <c r="B7821">
        <f>Sheet1!B7821</f>
        <v>1.21</v>
      </c>
      <c r="C7821">
        <f>IF(Sheet1!B7821&gt;0,1,0)</f>
        <v>1</v>
      </c>
    </row>
    <row r="7822" spans="1:3" x14ac:dyDescent="0.25">
      <c r="A7822" s="15">
        <f>Sheet1!A7822</f>
        <v>0</v>
      </c>
      <c r="B7822">
        <f>Sheet1!B7822</f>
        <v>0.75</v>
      </c>
      <c r="C7822">
        <f>IF(Sheet1!B7822&gt;0,1,0)</f>
        <v>1</v>
      </c>
    </row>
    <row r="7823" spans="1:3" x14ac:dyDescent="0.25">
      <c r="A7823" s="15">
        <f>Sheet1!A7823</f>
        <v>0</v>
      </c>
      <c r="B7823">
        <f>Sheet1!B7823</f>
        <v>1.02</v>
      </c>
      <c r="C7823">
        <f>IF(Sheet1!B7823&gt;0,1,0)</f>
        <v>1</v>
      </c>
    </row>
    <row r="7824" spans="1:3" x14ac:dyDescent="0.25">
      <c r="A7824" s="15">
        <f>Sheet1!A7824</f>
        <v>0</v>
      </c>
      <c r="B7824">
        <f>Sheet1!B7824</f>
        <v>0.73</v>
      </c>
      <c r="C7824">
        <f>IF(Sheet1!B7824&gt;0,1,0)</f>
        <v>1</v>
      </c>
    </row>
    <row r="7825" spans="1:3" x14ac:dyDescent="0.25">
      <c r="A7825" s="15">
        <f>Sheet1!A7825</f>
        <v>0</v>
      </c>
      <c r="B7825">
        <f>Sheet1!B7825</f>
        <v>0.51</v>
      </c>
      <c r="C7825">
        <f>IF(Sheet1!B7825&gt;0,1,0)</f>
        <v>1</v>
      </c>
    </row>
    <row r="7826" spans="1:3" x14ac:dyDescent="0.25">
      <c r="A7826" s="15">
        <f>Sheet1!A7826</f>
        <v>0</v>
      </c>
      <c r="B7826">
        <f>Sheet1!B7826</f>
        <v>0.63</v>
      </c>
      <c r="C7826">
        <f>IF(Sheet1!B7826&gt;0,1,0)</f>
        <v>1</v>
      </c>
    </row>
    <row r="7827" spans="1:3" x14ac:dyDescent="0.25">
      <c r="A7827" s="15">
        <f>Sheet1!A7827</f>
        <v>0</v>
      </c>
      <c r="B7827">
        <f>Sheet1!B7827</f>
        <v>0.42</v>
      </c>
      <c r="C7827">
        <f>IF(Sheet1!B7827&gt;0,1,0)</f>
        <v>1</v>
      </c>
    </row>
    <row r="7828" spans="1:3" x14ac:dyDescent="0.25">
      <c r="A7828" s="15">
        <f>Sheet1!A7828</f>
        <v>0</v>
      </c>
      <c r="B7828">
        <f>Sheet1!B7828</f>
        <v>0.46</v>
      </c>
      <c r="C7828">
        <f>IF(Sheet1!B7828&gt;0,1,0)</f>
        <v>1</v>
      </c>
    </row>
    <row r="7829" spans="1:3" x14ac:dyDescent="0.25">
      <c r="A7829" s="15">
        <f>Sheet1!A7829</f>
        <v>0</v>
      </c>
      <c r="B7829">
        <f>Sheet1!B7829</f>
        <v>0.66</v>
      </c>
      <c r="C7829">
        <f>IF(Sheet1!B7829&gt;0,1,0)</f>
        <v>1</v>
      </c>
    </row>
    <row r="7830" spans="1:3" x14ac:dyDescent="0.25">
      <c r="A7830" s="15">
        <f>Sheet1!A7830</f>
        <v>0</v>
      </c>
      <c r="B7830">
        <f>Sheet1!B7830</f>
        <v>0.81</v>
      </c>
      <c r="C7830">
        <f>IF(Sheet1!B7830&gt;0,1,0)</f>
        <v>1</v>
      </c>
    </row>
    <row r="7831" spans="1:3" x14ac:dyDescent="0.25">
      <c r="A7831" s="15">
        <f>Sheet1!A7831</f>
        <v>0</v>
      </c>
      <c r="B7831">
        <f>Sheet1!B7831</f>
        <v>0.54</v>
      </c>
      <c r="C7831">
        <f>IF(Sheet1!B7831&gt;0,1,0)</f>
        <v>1</v>
      </c>
    </row>
    <row r="7832" spans="1:3" x14ac:dyDescent="0.25">
      <c r="A7832" s="15">
        <f>Sheet1!A7832</f>
        <v>0</v>
      </c>
      <c r="B7832">
        <f>Sheet1!B7832</f>
        <v>0.42</v>
      </c>
      <c r="C7832">
        <f>IF(Sheet1!B7832&gt;0,1,0)</f>
        <v>1</v>
      </c>
    </row>
    <row r="7833" spans="1:3" x14ac:dyDescent="0.25">
      <c r="A7833" s="15">
        <f>Sheet1!A7833</f>
        <v>0</v>
      </c>
      <c r="B7833">
        <f>Sheet1!B7833</f>
        <v>0.28999999999999998</v>
      </c>
      <c r="C7833">
        <f>IF(Sheet1!B7833&gt;0,1,0)</f>
        <v>1</v>
      </c>
    </row>
    <row r="7834" spans="1:3" x14ac:dyDescent="0.25">
      <c r="A7834" s="15">
        <f>Sheet1!A7834</f>
        <v>0</v>
      </c>
      <c r="B7834">
        <f>Sheet1!B7834</f>
        <v>0.64</v>
      </c>
      <c r="C7834">
        <f>IF(Sheet1!B7834&gt;0,1,0)</f>
        <v>1</v>
      </c>
    </row>
    <row r="7835" spans="1:3" x14ac:dyDescent="0.25">
      <c r="A7835" s="15">
        <f>Sheet1!A7835</f>
        <v>0</v>
      </c>
      <c r="B7835">
        <f>Sheet1!B7835</f>
        <v>0.28999999999999998</v>
      </c>
      <c r="C7835">
        <f>IF(Sheet1!B7835&gt;0,1,0)</f>
        <v>1</v>
      </c>
    </row>
    <row r="7836" spans="1:3" x14ac:dyDescent="0.25">
      <c r="A7836" s="15">
        <f>Sheet1!A7836</f>
        <v>0</v>
      </c>
      <c r="B7836">
        <f>Sheet1!B7836</f>
        <v>0</v>
      </c>
      <c r="C7836">
        <f>IF(Sheet1!B7836&gt;0,1,0)</f>
        <v>0</v>
      </c>
    </row>
    <row r="7837" spans="1:3" x14ac:dyDescent="0.25">
      <c r="A7837" s="15">
        <f>Sheet1!A7837</f>
        <v>0</v>
      </c>
      <c r="B7837">
        <f>Sheet1!B7837</f>
        <v>0</v>
      </c>
      <c r="C7837">
        <f>IF(Sheet1!B7837&gt;0,1,0)</f>
        <v>0</v>
      </c>
    </row>
    <row r="7838" spans="1:3" x14ac:dyDescent="0.25">
      <c r="A7838" s="15">
        <f>Sheet1!A7838</f>
        <v>0</v>
      </c>
      <c r="B7838">
        <f>Sheet1!B7838</f>
        <v>0.99</v>
      </c>
      <c r="C7838">
        <f>IF(Sheet1!B7838&gt;0,1,0)</f>
        <v>1</v>
      </c>
    </row>
    <row r="7839" spans="1:3" x14ac:dyDescent="0.25">
      <c r="A7839" s="15">
        <f>Sheet1!A7839</f>
        <v>0</v>
      </c>
      <c r="B7839">
        <f>Sheet1!B7839</f>
        <v>0.4</v>
      </c>
      <c r="C7839">
        <f>IF(Sheet1!B7839&gt;0,1,0)</f>
        <v>1</v>
      </c>
    </row>
    <row r="7840" spans="1:3" x14ac:dyDescent="0.25">
      <c r="A7840" s="15">
        <f>Sheet1!A7840</f>
        <v>0</v>
      </c>
      <c r="B7840">
        <f>Sheet1!B7840</f>
        <v>1.23</v>
      </c>
      <c r="C7840">
        <f>IF(Sheet1!B7840&gt;0,1,0)</f>
        <v>1</v>
      </c>
    </row>
    <row r="7841" spans="1:3" x14ac:dyDescent="0.25">
      <c r="A7841" s="15">
        <f>Sheet1!A7841</f>
        <v>0</v>
      </c>
      <c r="B7841">
        <f>Sheet1!B7841</f>
        <v>0.86</v>
      </c>
      <c r="C7841">
        <f>IF(Sheet1!B7841&gt;0,1,0)</f>
        <v>1</v>
      </c>
    </row>
    <row r="7842" spans="1:3" x14ac:dyDescent="0.25">
      <c r="A7842" s="15">
        <f>Sheet1!A7842</f>
        <v>0</v>
      </c>
      <c r="B7842">
        <f>Sheet1!B7842</f>
        <v>0</v>
      </c>
      <c r="C7842">
        <f>IF(Sheet1!B7842&gt;0,1,0)</f>
        <v>0</v>
      </c>
    </row>
    <row r="7843" spans="1:3" x14ac:dyDescent="0.25">
      <c r="A7843" s="15">
        <f>Sheet1!A7843</f>
        <v>0</v>
      </c>
      <c r="B7843">
        <f>Sheet1!B7843</f>
        <v>0</v>
      </c>
      <c r="C7843">
        <f>IF(Sheet1!B7843&gt;0,1,0)</f>
        <v>0</v>
      </c>
    </row>
    <row r="7844" spans="1:3" x14ac:dyDescent="0.25">
      <c r="A7844" s="15">
        <f>Sheet1!A7844</f>
        <v>0</v>
      </c>
      <c r="B7844">
        <f>Sheet1!B7844</f>
        <v>0</v>
      </c>
      <c r="C7844">
        <f>IF(Sheet1!B7844&gt;0,1,0)</f>
        <v>0</v>
      </c>
    </row>
    <row r="7845" spans="1:3" x14ac:dyDescent="0.25">
      <c r="A7845" s="15">
        <f>Sheet1!A7845</f>
        <v>0</v>
      </c>
      <c r="B7845">
        <f>Sheet1!B7845</f>
        <v>1.32</v>
      </c>
      <c r="C7845">
        <f>IF(Sheet1!B7845&gt;0,1,0)</f>
        <v>1</v>
      </c>
    </row>
    <row r="7846" spans="1:3" x14ac:dyDescent="0.25">
      <c r="A7846" s="15">
        <f>Sheet1!A7846</f>
        <v>0</v>
      </c>
      <c r="B7846">
        <f>Sheet1!B7846</f>
        <v>1.27</v>
      </c>
      <c r="C7846">
        <f>IF(Sheet1!B7846&gt;0,1,0)</f>
        <v>1</v>
      </c>
    </row>
    <row r="7847" spans="1:3" x14ac:dyDescent="0.25">
      <c r="A7847" s="15">
        <f>Sheet1!A7847</f>
        <v>0</v>
      </c>
      <c r="B7847">
        <f>Sheet1!B7847</f>
        <v>1.42</v>
      </c>
      <c r="C7847">
        <f>IF(Sheet1!B7847&gt;0,1,0)</f>
        <v>1</v>
      </c>
    </row>
    <row r="7848" spans="1:3" x14ac:dyDescent="0.25">
      <c r="A7848" s="15">
        <f>Sheet1!A7848</f>
        <v>0</v>
      </c>
      <c r="B7848">
        <f>Sheet1!B7848</f>
        <v>1.63</v>
      </c>
      <c r="C7848">
        <f>IF(Sheet1!B7848&gt;0,1,0)</f>
        <v>1</v>
      </c>
    </row>
    <row r="7849" spans="1:3" x14ac:dyDescent="0.25">
      <c r="A7849" s="15">
        <f>Sheet1!A7849</f>
        <v>0</v>
      </c>
      <c r="B7849">
        <f>Sheet1!B7849</f>
        <v>0.99</v>
      </c>
      <c r="C7849">
        <f>IF(Sheet1!B7849&gt;0,1,0)</f>
        <v>1</v>
      </c>
    </row>
    <row r="7850" spans="1:3" x14ac:dyDescent="0.25">
      <c r="A7850" s="15">
        <f>Sheet1!A7850</f>
        <v>0</v>
      </c>
      <c r="B7850">
        <f>Sheet1!B7850</f>
        <v>0.82</v>
      </c>
      <c r="C7850">
        <f>IF(Sheet1!B7850&gt;0,1,0)</f>
        <v>1</v>
      </c>
    </row>
    <row r="7851" spans="1:3" x14ac:dyDescent="0.25">
      <c r="A7851" s="15">
        <f>Sheet1!A7851</f>
        <v>0</v>
      </c>
      <c r="B7851">
        <f>Sheet1!B7851</f>
        <v>0.65</v>
      </c>
      <c r="C7851">
        <f>IF(Sheet1!B7851&gt;0,1,0)</f>
        <v>1</v>
      </c>
    </row>
    <row r="7852" spans="1:3" x14ac:dyDescent="0.25">
      <c r="A7852" s="15">
        <f>Sheet1!A7852</f>
        <v>0</v>
      </c>
      <c r="B7852">
        <f>Sheet1!B7852</f>
        <v>0.37</v>
      </c>
      <c r="C7852">
        <f>IF(Sheet1!B7852&gt;0,1,0)</f>
        <v>1</v>
      </c>
    </row>
    <row r="7853" spans="1:3" x14ac:dyDescent="0.25">
      <c r="A7853" s="15">
        <f>Sheet1!A7853</f>
        <v>0</v>
      </c>
      <c r="B7853">
        <f>Sheet1!B7853</f>
        <v>0.54</v>
      </c>
      <c r="C7853">
        <f>IF(Sheet1!B7853&gt;0,1,0)</f>
        <v>1</v>
      </c>
    </row>
    <row r="7854" spans="1:3" x14ac:dyDescent="0.25">
      <c r="A7854" s="15">
        <f>Sheet1!A7854</f>
        <v>0</v>
      </c>
      <c r="B7854">
        <f>Sheet1!B7854</f>
        <v>0.38</v>
      </c>
      <c r="C7854">
        <f>IF(Sheet1!B7854&gt;0,1,0)</f>
        <v>1</v>
      </c>
    </row>
    <row r="7855" spans="1:3" x14ac:dyDescent="0.25">
      <c r="A7855" s="15">
        <f>Sheet1!A7855</f>
        <v>0</v>
      </c>
      <c r="B7855">
        <f>Sheet1!B7855</f>
        <v>0.85</v>
      </c>
      <c r="C7855">
        <f>IF(Sheet1!B7855&gt;0,1,0)</f>
        <v>1</v>
      </c>
    </row>
    <row r="7856" spans="1:3" x14ac:dyDescent="0.25">
      <c r="A7856" s="15">
        <f>Sheet1!A7856</f>
        <v>0</v>
      </c>
      <c r="B7856">
        <f>Sheet1!B7856</f>
        <v>0</v>
      </c>
      <c r="C7856">
        <f>IF(Sheet1!B7856&gt;0,1,0)</f>
        <v>0</v>
      </c>
    </row>
    <row r="7857" spans="1:3" x14ac:dyDescent="0.25">
      <c r="A7857" s="15">
        <f>Sheet1!A7857</f>
        <v>0</v>
      </c>
      <c r="B7857">
        <f>Sheet1!B7857</f>
        <v>0</v>
      </c>
      <c r="C7857">
        <f>IF(Sheet1!B7857&gt;0,1,0)</f>
        <v>0</v>
      </c>
    </row>
    <row r="7858" spans="1:3" x14ac:dyDescent="0.25">
      <c r="A7858" s="15">
        <f>Sheet1!A7858</f>
        <v>0</v>
      </c>
      <c r="B7858">
        <f>Sheet1!B7858</f>
        <v>0</v>
      </c>
      <c r="C7858">
        <f>IF(Sheet1!B7858&gt;0,1,0)</f>
        <v>0</v>
      </c>
    </row>
    <row r="7859" spans="1:3" x14ac:dyDescent="0.25">
      <c r="A7859" s="15">
        <f>Sheet1!A7859</f>
        <v>0</v>
      </c>
      <c r="B7859">
        <f>Sheet1!B7859</f>
        <v>0.69</v>
      </c>
      <c r="C7859">
        <f>IF(Sheet1!B7859&gt;0,1,0)</f>
        <v>1</v>
      </c>
    </row>
    <row r="7860" spans="1:3" x14ac:dyDescent="0.25">
      <c r="A7860" s="15">
        <f>Sheet1!A7860</f>
        <v>0</v>
      </c>
      <c r="B7860">
        <f>Sheet1!B7860</f>
        <v>0</v>
      </c>
      <c r="C7860">
        <f>IF(Sheet1!B7860&gt;0,1,0)</f>
        <v>0</v>
      </c>
    </row>
    <row r="7861" spans="1:3" x14ac:dyDescent="0.25">
      <c r="A7861" s="15">
        <f>Sheet1!A7861</f>
        <v>0</v>
      </c>
      <c r="B7861">
        <f>Sheet1!B7861</f>
        <v>0</v>
      </c>
      <c r="C7861">
        <f>IF(Sheet1!B7861&gt;0,1,0)</f>
        <v>0</v>
      </c>
    </row>
    <row r="7862" spans="1:3" x14ac:dyDescent="0.25">
      <c r="A7862" s="15">
        <f>Sheet1!A7862</f>
        <v>0</v>
      </c>
      <c r="B7862">
        <f>Sheet1!B7862</f>
        <v>0</v>
      </c>
      <c r="C7862">
        <f>IF(Sheet1!B7862&gt;0,1,0)</f>
        <v>0</v>
      </c>
    </row>
    <row r="7863" spans="1:3" x14ac:dyDescent="0.25">
      <c r="A7863" s="15">
        <f>Sheet1!A7863</f>
        <v>0</v>
      </c>
      <c r="B7863">
        <f>Sheet1!B7863</f>
        <v>0.54</v>
      </c>
      <c r="C7863">
        <f>IF(Sheet1!B7863&gt;0,1,0)</f>
        <v>1</v>
      </c>
    </row>
    <row r="7864" spans="1:3" x14ac:dyDescent="0.25">
      <c r="A7864" s="15">
        <f>Sheet1!A7864</f>
        <v>0</v>
      </c>
      <c r="B7864">
        <f>Sheet1!B7864</f>
        <v>0</v>
      </c>
      <c r="C7864">
        <f>IF(Sheet1!B7864&gt;0,1,0)</f>
        <v>0</v>
      </c>
    </row>
    <row r="7865" spans="1:3" x14ac:dyDescent="0.25">
      <c r="A7865" s="15">
        <f>Sheet1!A7865</f>
        <v>0</v>
      </c>
      <c r="B7865">
        <f>Sheet1!B7865</f>
        <v>0</v>
      </c>
      <c r="C7865">
        <f>IF(Sheet1!B7865&gt;0,1,0)</f>
        <v>0</v>
      </c>
    </row>
    <row r="7866" spans="1:3" x14ac:dyDescent="0.25">
      <c r="A7866" s="15">
        <f>Sheet1!A7866</f>
        <v>0</v>
      </c>
      <c r="B7866">
        <f>Sheet1!B7866</f>
        <v>0</v>
      </c>
      <c r="C7866">
        <f>IF(Sheet1!B7866&gt;0,1,0)</f>
        <v>0</v>
      </c>
    </row>
    <row r="7867" spans="1:3" x14ac:dyDescent="0.25">
      <c r="A7867" s="15">
        <f>Sheet1!A7867</f>
        <v>0</v>
      </c>
      <c r="B7867">
        <f>Sheet1!B7867</f>
        <v>0.79</v>
      </c>
      <c r="C7867">
        <f>IF(Sheet1!B7867&gt;0,1,0)</f>
        <v>1</v>
      </c>
    </row>
    <row r="7868" spans="1:3" x14ac:dyDescent="0.25">
      <c r="A7868" s="15">
        <f>Sheet1!A7868</f>
        <v>0</v>
      </c>
      <c r="B7868">
        <f>Sheet1!B7868</f>
        <v>0</v>
      </c>
      <c r="C7868">
        <f>IF(Sheet1!B7868&gt;0,1,0)</f>
        <v>0</v>
      </c>
    </row>
    <row r="7869" spans="1:3" x14ac:dyDescent="0.25">
      <c r="A7869" s="15">
        <f>Sheet1!A7869</f>
        <v>0</v>
      </c>
      <c r="B7869">
        <f>Sheet1!B7869</f>
        <v>0</v>
      </c>
      <c r="C7869">
        <f>IF(Sheet1!B7869&gt;0,1,0)</f>
        <v>0</v>
      </c>
    </row>
    <row r="7870" spans="1:3" x14ac:dyDescent="0.25">
      <c r="A7870" s="15">
        <f>Sheet1!A7870</f>
        <v>0</v>
      </c>
      <c r="B7870">
        <f>Sheet1!B7870</f>
        <v>0.94</v>
      </c>
      <c r="C7870">
        <f>IF(Sheet1!B7870&gt;0,1,0)</f>
        <v>1</v>
      </c>
    </row>
    <row r="7871" spans="1:3" x14ac:dyDescent="0.25">
      <c r="A7871" s="15">
        <f>Sheet1!A7871</f>
        <v>0</v>
      </c>
      <c r="B7871">
        <f>Sheet1!B7871</f>
        <v>1.36</v>
      </c>
      <c r="C7871">
        <f>IF(Sheet1!B7871&gt;0,1,0)</f>
        <v>1</v>
      </c>
    </row>
    <row r="7872" spans="1:3" x14ac:dyDescent="0.25">
      <c r="A7872" s="15">
        <f>Sheet1!A7872</f>
        <v>0</v>
      </c>
      <c r="B7872">
        <f>Sheet1!B7872</f>
        <v>0.79</v>
      </c>
      <c r="C7872">
        <f>IF(Sheet1!B7872&gt;0,1,0)</f>
        <v>1</v>
      </c>
    </row>
    <row r="7873" spans="1:3" x14ac:dyDescent="0.25">
      <c r="A7873" s="15">
        <f>Sheet1!A7873</f>
        <v>0</v>
      </c>
      <c r="B7873">
        <f>Sheet1!B7873</f>
        <v>0.66</v>
      </c>
      <c r="C7873">
        <f>IF(Sheet1!B7873&gt;0,1,0)</f>
        <v>1</v>
      </c>
    </row>
    <row r="7874" spans="1:3" x14ac:dyDescent="0.25">
      <c r="A7874" s="15">
        <f>Sheet1!A7874</f>
        <v>0</v>
      </c>
      <c r="B7874">
        <f>Sheet1!B7874</f>
        <v>0.73</v>
      </c>
      <c r="C7874">
        <f>IF(Sheet1!B7874&gt;0,1,0)</f>
        <v>1</v>
      </c>
    </row>
    <row r="7875" spans="1:3" x14ac:dyDescent="0.25">
      <c r="A7875" s="15">
        <f>Sheet1!A7875</f>
        <v>0</v>
      </c>
      <c r="B7875">
        <f>Sheet1!B7875</f>
        <v>0.44</v>
      </c>
      <c r="C7875">
        <f>IF(Sheet1!B7875&gt;0,1,0)</f>
        <v>1</v>
      </c>
    </row>
    <row r="7876" spans="1:3" x14ac:dyDescent="0.25">
      <c r="A7876" s="15">
        <f>Sheet1!A7876</f>
        <v>0</v>
      </c>
      <c r="B7876">
        <f>Sheet1!B7876</f>
        <v>0.62</v>
      </c>
      <c r="C7876">
        <f>IF(Sheet1!B7876&gt;0,1,0)</f>
        <v>1</v>
      </c>
    </row>
    <row r="7877" spans="1:3" x14ac:dyDescent="0.25">
      <c r="A7877" s="15">
        <f>Sheet1!A7877</f>
        <v>0</v>
      </c>
      <c r="B7877">
        <f>Sheet1!B7877</f>
        <v>0.37</v>
      </c>
      <c r="C7877">
        <f>IF(Sheet1!B7877&gt;0,1,0)</f>
        <v>1</v>
      </c>
    </row>
    <row r="7878" spans="1:3" x14ac:dyDescent="0.25">
      <c r="A7878" s="15">
        <f>Sheet1!A7878</f>
        <v>0</v>
      </c>
      <c r="B7878">
        <f>Sheet1!B7878</f>
        <v>0.41</v>
      </c>
      <c r="C7878">
        <f>IF(Sheet1!B7878&gt;0,1,0)</f>
        <v>1</v>
      </c>
    </row>
    <row r="7879" spans="1:3" x14ac:dyDescent="0.25">
      <c r="A7879" s="15">
        <f>Sheet1!A7879</f>
        <v>0</v>
      </c>
      <c r="B7879">
        <f>Sheet1!B7879</f>
        <v>1</v>
      </c>
      <c r="C7879">
        <f>IF(Sheet1!B7879&gt;0,1,0)</f>
        <v>1</v>
      </c>
    </row>
    <row r="7880" spans="1:3" x14ac:dyDescent="0.25">
      <c r="A7880" s="15">
        <f>Sheet1!A7880</f>
        <v>0</v>
      </c>
      <c r="B7880">
        <f>Sheet1!B7880</f>
        <v>0.35</v>
      </c>
      <c r="C7880">
        <f>IF(Sheet1!B7880&gt;0,1,0)</f>
        <v>1</v>
      </c>
    </row>
    <row r="7881" spans="1:3" x14ac:dyDescent="0.25">
      <c r="A7881" s="15">
        <f>Sheet1!A7881</f>
        <v>0</v>
      </c>
      <c r="B7881">
        <f>Sheet1!B7881</f>
        <v>0.59</v>
      </c>
      <c r="C7881">
        <f>IF(Sheet1!B7881&gt;0,1,0)</f>
        <v>1</v>
      </c>
    </row>
    <row r="7882" spans="1:3" x14ac:dyDescent="0.25">
      <c r="A7882" s="15">
        <f>Sheet1!A7882</f>
        <v>0</v>
      </c>
      <c r="B7882">
        <f>Sheet1!B7882</f>
        <v>0</v>
      </c>
      <c r="C7882">
        <f>IF(Sheet1!B7882&gt;0,1,0)</f>
        <v>0</v>
      </c>
    </row>
    <row r="7883" spans="1:3" x14ac:dyDescent="0.25">
      <c r="A7883" s="15">
        <f>Sheet1!A7883</f>
        <v>0</v>
      </c>
      <c r="B7883">
        <f>Sheet1!B7883</f>
        <v>0</v>
      </c>
      <c r="C7883">
        <f>IF(Sheet1!B7883&gt;0,1,0)</f>
        <v>0</v>
      </c>
    </row>
    <row r="7884" spans="1:3" x14ac:dyDescent="0.25">
      <c r="A7884" s="15">
        <f>Sheet1!A7884</f>
        <v>0</v>
      </c>
      <c r="B7884">
        <f>Sheet1!B7884</f>
        <v>0</v>
      </c>
      <c r="C7884">
        <f>IF(Sheet1!B7884&gt;0,1,0)</f>
        <v>0</v>
      </c>
    </row>
    <row r="7885" spans="1:3" x14ac:dyDescent="0.25">
      <c r="A7885" s="15">
        <f>Sheet1!A7885</f>
        <v>0</v>
      </c>
      <c r="B7885">
        <f>Sheet1!B7885</f>
        <v>0</v>
      </c>
      <c r="C7885">
        <f>IF(Sheet1!B7885&gt;0,1,0)</f>
        <v>0</v>
      </c>
    </row>
    <row r="7886" spans="1:3" x14ac:dyDescent="0.25">
      <c r="A7886" s="15">
        <f>Sheet1!A7886</f>
        <v>0</v>
      </c>
      <c r="B7886">
        <f>Sheet1!B7886</f>
        <v>0</v>
      </c>
      <c r="C7886">
        <f>IF(Sheet1!B7886&gt;0,1,0)</f>
        <v>0</v>
      </c>
    </row>
    <row r="7887" spans="1:3" x14ac:dyDescent="0.25">
      <c r="A7887" s="15">
        <f>Sheet1!A7887</f>
        <v>0</v>
      </c>
      <c r="B7887">
        <f>Sheet1!B7887</f>
        <v>0</v>
      </c>
      <c r="C7887">
        <f>IF(Sheet1!B7887&gt;0,1,0)</f>
        <v>0</v>
      </c>
    </row>
    <row r="7888" spans="1:3" x14ac:dyDescent="0.25">
      <c r="A7888" s="15">
        <f>Sheet1!A7888</f>
        <v>0</v>
      </c>
      <c r="B7888">
        <f>Sheet1!B7888</f>
        <v>0</v>
      </c>
      <c r="C7888">
        <f>IF(Sheet1!B7888&gt;0,1,0)</f>
        <v>0</v>
      </c>
    </row>
    <row r="7889" spans="1:3" x14ac:dyDescent="0.25">
      <c r="A7889" s="15">
        <f>Sheet1!A7889</f>
        <v>0</v>
      </c>
      <c r="B7889">
        <f>Sheet1!B7889</f>
        <v>1.07</v>
      </c>
      <c r="C7889">
        <f>IF(Sheet1!B7889&gt;0,1,0)</f>
        <v>1</v>
      </c>
    </row>
    <row r="7890" spans="1:3" x14ac:dyDescent="0.25">
      <c r="A7890" s="15">
        <f>Sheet1!A7890</f>
        <v>0</v>
      </c>
      <c r="B7890">
        <f>Sheet1!B7890</f>
        <v>0</v>
      </c>
      <c r="C7890">
        <f>IF(Sheet1!B7890&gt;0,1,0)</f>
        <v>0</v>
      </c>
    </row>
    <row r="7891" spans="1:3" x14ac:dyDescent="0.25">
      <c r="A7891" s="15">
        <f>Sheet1!A7891</f>
        <v>0</v>
      </c>
      <c r="B7891">
        <f>Sheet1!B7891</f>
        <v>0</v>
      </c>
      <c r="C7891">
        <f>IF(Sheet1!B7891&gt;0,1,0)</f>
        <v>0</v>
      </c>
    </row>
    <row r="7892" spans="1:3" x14ac:dyDescent="0.25">
      <c r="A7892" s="15">
        <f>Sheet1!A7892</f>
        <v>0</v>
      </c>
      <c r="B7892">
        <f>Sheet1!B7892</f>
        <v>0</v>
      </c>
      <c r="C7892">
        <f>IF(Sheet1!B7892&gt;0,1,0)</f>
        <v>0</v>
      </c>
    </row>
    <row r="7893" spans="1:3" x14ac:dyDescent="0.25">
      <c r="A7893" s="15">
        <f>Sheet1!A7893</f>
        <v>0</v>
      </c>
      <c r="B7893">
        <f>Sheet1!B7893</f>
        <v>0</v>
      </c>
      <c r="C7893">
        <f>IF(Sheet1!B7893&gt;0,1,0)</f>
        <v>0</v>
      </c>
    </row>
    <row r="7894" spans="1:3" x14ac:dyDescent="0.25">
      <c r="A7894" s="15">
        <f>Sheet1!A7894</f>
        <v>0</v>
      </c>
      <c r="B7894">
        <f>Sheet1!B7894</f>
        <v>0</v>
      </c>
      <c r="C7894">
        <f>IF(Sheet1!B7894&gt;0,1,0)</f>
        <v>0</v>
      </c>
    </row>
    <row r="7895" spans="1:3" x14ac:dyDescent="0.25">
      <c r="A7895" s="15">
        <f>Sheet1!A7895</f>
        <v>0</v>
      </c>
      <c r="B7895">
        <f>Sheet1!B7895</f>
        <v>1</v>
      </c>
      <c r="C7895">
        <f>IF(Sheet1!B7895&gt;0,1,0)</f>
        <v>1</v>
      </c>
    </row>
    <row r="7896" spans="1:3" x14ac:dyDescent="0.25">
      <c r="A7896" s="15">
        <f>Sheet1!A7896</f>
        <v>0</v>
      </c>
      <c r="B7896">
        <f>Sheet1!B7896</f>
        <v>0.51</v>
      </c>
      <c r="C7896">
        <f>IF(Sheet1!B7896&gt;0,1,0)</f>
        <v>1</v>
      </c>
    </row>
    <row r="7897" spans="1:3" x14ac:dyDescent="0.25">
      <c r="A7897" s="15">
        <f>Sheet1!A7897</f>
        <v>0</v>
      </c>
      <c r="B7897">
        <f>Sheet1!B7897</f>
        <v>0.63</v>
      </c>
      <c r="C7897">
        <f>IF(Sheet1!B7897&gt;0,1,0)</f>
        <v>1</v>
      </c>
    </row>
    <row r="7898" spans="1:3" x14ac:dyDescent="0.25">
      <c r="A7898" s="15">
        <f>Sheet1!A7898</f>
        <v>0</v>
      </c>
      <c r="B7898">
        <f>Sheet1!B7898</f>
        <v>0.42</v>
      </c>
      <c r="C7898">
        <f>IF(Sheet1!B7898&gt;0,1,0)</f>
        <v>1</v>
      </c>
    </row>
    <row r="7899" spans="1:3" x14ac:dyDescent="0.25">
      <c r="A7899" s="15">
        <f>Sheet1!A7899</f>
        <v>0</v>
      </c>
      <c r="B7899">
        <f>Sheet1!B7899</f>
        <v>0.8</v>
      </c>
      <c r="C7899">
        <f>IF(Sheet1!B7899&gt;0,1,0)</f>
        <v>1</v>
      </c>
    </row>
    <row r="7900" spans="1:3" x14ac:dyDescent="0.25">
      <c r="A7900" s="15">
        <f>Sheet1!A7900</f>
        <v>0</v>
      </c>
      <c r="B7900">
        <f>Sheet1!B7900</f>
        <v>0.28999999999999998</v>
      </c>
      <c r="C7900">
        <f>IF(Sheet1!B7900&gt;0,1,0)</f>
        <v>1</v>
      </c>
    </row>
    <row r="7901" spans="1:3" x14ac:dyDescent="0.25">
      <c r="A7901" s="15">
        <f>Sheet1!A7901</f>
        <v>0</v>
      </c>
      <c r="B7901">
        <f>Sheet1!B7901</f>
        <v>0.93</v>
      </c>
      <c r="C7901">
        <f>IF(Sheet1!B7901&gt;0,1,0)</f>
        <v>1</v>
      </c>
    </row>
    <row r="7902" spans="1:3" x14ac:dyDescent="0.25">
      <c r="A7902" s="15">
        <f>Sheet1!A7902</f>
        <v>0</v>
      </c>
      <c r="B7902">
        <f>Sheet1!B7902</f>
        <v>0.3</v>
      </c>
      <c r="C7902">
        <f>IF(Sheet1!B7902&gt;0,1,0)</f>
        <v>1</v>
      </c>
    </row>
    <row r="7903" spans="1:3" x14ac:dyDescent="0.25">
      <c r="A7903" s="15">
        <f>Sheet1!A7903</f>
        <v>0</v>
      </c>
      <c r="B7903">
        <f>Sheet1!B7903</f>
        <v>0</v>
      </c>
      <c r="C7903">
        <f>IF(Sheet1!B7903&gt;0,1,0)</f>
        <v>0</v>
      </c>
    </row>
    <row r="7904" spans="1:3" x14ac:dyDescent="0.25">
      <c r="A7904" s="15">
        <f>Sheet1!A7904</f>
        <v>0</v>
      </c>
      <c r="B7904">
        <f>Sheet1!B7904</f>
        <v>0.42</v>
      </c>
      <c r="C7904">
        <f>IF(Sheet1!B7904&gt;0,1,0)</f>
        <v>1</v>
      </c>
    </row>
    <row r="7905" spans="1:3" x14ac:dyDescent="0.25">
      <c r="A7905" s="15">
        <f>Sheet1!A7905</f>
        <v>0</v>
      </c>
      <c r="B7905">
        <f>Sheet1!B7905</f>
        <v>0.31</v>
      </c>
      <c r="C7905">
        <f>IF(Sheet1!B7905&gt;0,1,0)</f>
        <v>1</v>
      </c>
    </row>
    <row r="7906" spans="1:3" x14ac:dyDescent="0.25">
      <c r="A7906" s="15">
        <f>Sheet1!A7906</f>
        <v>0</v>
      </c>
      <c r="B7906">
        <f>Sheet1!B7906</f>
        <v>0.3</v>
      </c>
      <c r="C7906">
        <f>IF(Sheet1!B7906&gt;0,1,0)</f>
        <v>1</v>
      </c>
    </row>
    <row r="7907" spans="1:3" x14ac:dyDescent="0.25">
      <c r="A7907" s="15">
        <f>Sheet1!A7907</f>
        <v>0</v>
      </c>
      <c r="B7907">
        <f>Sheet1!B7907</f>
        <v>0.59</v>
      </c>
      <c r="C7907">
        <f>IF(Sheet1!B7907&gt;0,1,0)</f>
        <v>1</v>
      </c>
    </row>
    <row r="7908" spans="1:3" x14ac:dyDescent="0.25">
      <c r="A7908" s="15">
        <f>Sheet1!A7908</f>
        <v>0</v>
      </c>
      <c r="B7908">
        <f>Sheet1!B7908</f>
        <v>0</v>
      </c>
      <c r="C7908">
        <f>IF(Sheet1!B7908&gt;0,1,0)</f>
        <v>0</v>
      </c>
    </row>
    <row r="7909" spans="1:3" x14ac:dyDescent="0.25">
      <c r="A7909" s="15">
        <f>Sheet1!A7909</f>
        <v>0</v>
      </c>
      <c r="B7909">
        <f>Sheet1!B7909</f>
        <v>0</v>
      </c>
      <c r="C7909">
        <f>IF(Sheet1!B7909&gt;0,1,0)</f>
        <v>0</v>
      </c>
    </row>
    <row r="7910" spans="1:3" x14ac:dyDescent="0.25">
      <c r="A7910" s="15">
        <f>Sheet1!A7910</f>
        <v>0</v>
      </c>
      <c r="B7910">
        <f>Sheet1!B7910</f>
        <v>0</v>
      </c>
      <c r="C7910">
        <f>IF(Sheet1!B7910&gt;0,1,0)</f>
        <v>0</v>
      </c>
    </row>
    <row r="7911" spans="1:3" x14ac:dyDescent="0.25">
      <c r="A7911" s="15">
        <f>Sheet1!A7911</f>
        <v>0</v>
      </c>
      <c r="B7911">
        <f>Sheet1!B7911</f>
        <v>0.63</v>
      </c>
      <c r="C7911">
        <f>IF(Sheet1!B7911&gt;0,1,0)</f>
        <v>1</v>
      </c>
    </row>
    <row r="7912" spans="1:3" x14ac:dyDescent="0.25">
      <c r="A7912" s="15">
        <f>Sheet1!A7912</f>
        <v>0</v>
      </c>
      <c r="B7912">
        <f>Sheet1!B7912</f>
        <v>0</v>
      </c>
      <c r="C7912">
        <f>IF(Sheet1!B7912&gt;0,1,0)</f>
        <v>0</v>
      </c>
    </row>
    <row r="7913" spans="1:3" x14ac:dyDescent="0.25">
      <c r="A7913" s="15">
        <f>Sheet1!A7913</f>
        <v>0</v>
      </c>
      <c r="B7913">
        <f>Sheet1!B7913</f>
        <v>0</v>
      </c>
      <c r="C7913">
        <f>IF(Sheet1!B7913&gt;0,1,0)</f>
        <v>0</v>
      </c>
    </row>
    <row r="7914" spans="1:3" x14ac:dyDescent="0.25">
      <c r="A7914" s="15">
        <f>Sheet1!A7914</f>
        <v>0</v>
      </c>
      <c r="B7914">
        <f>Sheet1!B7914</f>
        <v>0</v>
      </c>
      <c r="C7914">
        <f>IF(Sheet1!B7914&gt;0,1,0)</f>
        <v>0</v>
      </c>
    </row>
    <row r="7915" spans="1:3" x14ac:dyDescent="0.25">
      <c r="A7915" s="15">
        <f>Sheet1!A7915</f>
        <v>0</v>
      </c>
      <c r="B7915">
        <f>Sheet1!B7915</f>
        <v>0.93</v>
      </c>
      <c r="C7915">
        <f>IF(Sheet1!B7915&gt;0,1,0)</f>
        <v>1</v>
      </c>
    </row>
    <row r="7916" spans="1:3" x14ac:dyDescent="0.25">
      <c r="A7916" s="15">
        <f>Sheet1!A7916</f>
        <v>0</v>
      </c>
      <c r="B7916">
        <f>Sheet1!B7916</f>
        <v>0</v>
      </c>
      <c r="C7916">
        <f>IF(Sheet1!B7916&gt;0,1,0)</f>
        <v>0</v>
      </c>
    </row>
    <row r="7917" spans="1:3" x14ac:dyDescent="0.25">
      <c r="A7917" s="15">
        <f>Sheet1!A7917</f>
        <v>0</v>
      </c>
      <c r="B7917">
        <f>Sheet1!B7917</f>
        <v>0</v>
      </c>
      <c r="C7917">
        <f>IF(Sheet1!B7917&gt;0,1,0)</f>
        <v>0</v>
      </c>
    </row>
    <row r="7918" spans="1:3" x14ac:dyDescent="0.25">
      <c r="A7918" s="15">
        <f>Sheet1!A7918</f>
        <v>0</v>
      </c>
      <c r="B7918">
        <f>Sheet1!B7918</f>
        <v>0</v>
      </c>
      <c r="C7918">
        <f>IF(Sheet1!B7918&gt;0,1,0)</f>
        <v>0</v>
      </c>
    </row>
    <row r="7919" spans="1:3" x14ac:dyDescent="0.25">
      <c r="A7919" s="15">
        <f>Sheet1!A7919</f>
        <v>0</v>
      </c>
      <c r="B7919">
        <f>Sheet1!B7919</f>
        <v>0.79</v>
      </c>
      <c r="C7919">
        <f>IF(Sheet1!B7919&gt;0,1,0)</f>
        <v>1</v>
      </c>
    </row>
    <row r="7920" spans="1:3" x14ac:dyDescent="0.25">
      <c r="A7920" s="15">
        <f>Sheet1!A7920</f>
        <v>0</v>
      </c>
      <c r="B7920">
        <f>Sheet1!B7920</f>
        <v>0</v>
      </c>
      <c r="C7920">
        <f>IF(Sheet1!B7920&gt;0,1,0)</f>
        <v>0</v>
      </c>
    </row>
    <row r="7921" spans="1:3" x14ac:dyDescent="0.25">
      <c r="A7921" s="15">
        <f>Sheet1!A7921</f>
        <v>0</v>
      </c>
      <c r="B7921">
        <f>Sheet1!B7921</f>
        <v>0</v>
      </c>
      <c r="C7921">
        <f>IF(Sheet1!B7921&gt;0,1,0)</f>
        <v>0</v>
      </c>
    </row>
    <row r="7922" spans="1:3" x14ac:dyDescent="0.25">
      <c r="A7922" s="15">
        <f>Sheet1!A7922</f>
        <v>0</v>
      </c>
      <c r="B7922">
        <f>Sheet1!B7922</f>
        <v>0.3</v>
      </c>
      <c r="C7922">
        <f>IF(Sheet1!B7922&gt;0,1,0)</f>
        <v>1</v>
      </c>
    </row>
    <row r="7923" spans="1:3" x14ac:dyDescent="0.25">
      <c r="A7923" s="15">
        <f>Sheet1!A7923</f>
        <v>0</v>
      </c>
      <c r="B7923">
        <f>Sheet1!B7923</f>
        <v>0.6</v>
      </c>
      <c r="C7923">
        <f>IF(Sheet1!B7923&gt;0,1,0)</f>
        <v>1</v>
      </c>
    </row>
    <row r="7924" spans="1:3" x14ac:dyDescent="0.25">
      <c r="A7924" s="15">
        <f>Sheet1!A7924</f>
        <v>0</v>
      </c>
      <c r="B7924">
        <f>Sheet1!B7924</f>
        <v>0.15</v>
      </c>
      <c r="C7924">
        <f>IF(Sheet1!B7924&gt;0,1,0)</f>
        <v>1</v>
      </c>
    </row>
    <row r="7925" spans="1:3" x14ac:dyDescent="0.25">
      <c r="A7925" s="15">
        <f>Sheet1!A7925</f>
        <v>0</v>
      </c>
      <c r="B7925">
        <f>Sheet1!B7925</f>
        <v>0</v>
      </c>
      <c r="C7925">
        <f>IF(Sheet1!B7925&gt;0,1,0)</f>
        <v>0</v>
      </c>
    </row>
    <row r="7926" spans="1:3" x14ac:dyDescent="0.25">
      <c r="A7926" s="15">
        <f>Sheet1!A7926</f>
        <v>0</v>
      </c>
      <c r="B7926">
        <f>Sheet1!B7926</f>
        <v>0.47</v>
      </c>
      <c r="C7926">
        <f>IF(Sheet1!B7926&gt;0,1,0)</f>
        <v>1</v>
      </c>
    </row>
    <row r="7927" spans="1:3" x14ac:dyDescent="0.25">
      <c r="A7927" s="15">
        <f>Sheet1!A7927</f>
        <v>0</v>
      </c>
      <c r="B7927">
        <f>Sheet1!B7927</f>
        <v>0.35</v>
      </c>
      <c r="C7927">
        <f>IF(Sheet1!B7927&gt;0,1,0)</f>
        <v>1</v>
      </c>
    </row>
    <row r="7928" spans="1:3" x14ac:dyDescent="0.25">
      <c r="A7928" s="15">
        <f>Sheet1!A7928</f>
        <v>0</v>
      </c>
      <c r="B7928">
        <f>Sheet1!B7928</f>
        <v>0</v>
      </c>
      <c r="C7928">
        <f>IF(Sheet1!B7928&gt;0,1,0)</f>
        <v>0</v>
      </c>
    </row>
    <row r="7929" spans="1:3" x14ac:dyDescent="0.25">
      <c r="A7929" s="15">
        <f>Sheet1!A7929</f>
        <v>0</v>
      </c>
      <c r="B7929">
        <f>Sheet1!B7929</f>
        <v>0</v>
      </c>
      <c r="C7929">
        <f>IF(Sheet1!B7929&gt;0,1,0)</f>
        <v>0</v>
      </c>
    </row>
    <row r="7930" spans="1:3" x14ac:dyDescent="0.25">
      <c r="A7930" s="15">
        <f>Sheet1!A7930</f>
        <v>0</v>
      </c>
      <c r="B7930">
        <f>Sheet1!B7930</f>
        <v>0.46</v>
      </c>
      <c r="C7930">
        <f>IF(Sheet1!B7930&gt;0,1,0)</f>
        <v>1</v>
      </c>
    </row>
    <row r="7931" spans="1:3" x14ac:dyDescent="0.25">
      <c r="A7931" s="15">
        <f>Sheet1!A7931</f>
        <v>0</v>
      </c>
      <c r="B7931">
        <f>Sheet1!B7931</f>
        <v>0.4</v>
      </c>
      <c r="C7931">
        <f>IF(Sheet1!B7931&gt;0,1,0)</f>
        <v>1</v>
      </c>
    </row>
    <row r="7932" spans="1:3" x14ac:dyDescent="0.25">
      <c r="A7932" s="15">
        <f>Sheet1!A7932</f>
        <v>0</v>
      </c>
      <c r="B7932">
        <f>Sheet1!B7932</f>
        <v>0</v>
      </c>
      <c r="C7932">
        <f>IF(Sheet1!B7932&gt;0,1,0)</f>
        <v>0</v>
      </c>
    </row>
    <row r="7933" spans="1:3" x14ac:dyDescent="0.25">
      <c r="A7933" s="15">
        <f>Sheet1!A7933</f>
        <v>0</v>
      </c>
      <c r="B7933">
        <f>Sheet1!B7933</f>
        <v>0</v>
      </c>
      <c r="C7933">
        <f>IF(Sheet1!B7933&gt;0,1,0)</f>
        <v>0</v>
      </c>
    </row>
    <row r="7934" spans="1:3" x14ac:dyDescent="0.25">
      <c r="A7934" s="15">
        <f>Sheet1!A7934</f>
        <v>0</v>
      </c>
      <c r="B7934">
        <f>Sheet1!B7934</f>
        <v>0</v>
      </c>
      <c r="C7934">
        <f>IF(Sheet1!B7934&gt;0,1,0)</f>
        <v>0</v>
      </c>
    </row>
    <row r="7935" spans="1:3" x14ac:dyDescent="0.25">
      <c r="A7935" s="15">
        <f>Sheet1!A7935</f>
        <v>0</v>
      </c>
      <c r="B7935">
        <f>Sheet1!B7935</f>
        <v>0</v>
      </c>
      <c r="C7935">
        <f>IF(Sheet1!B7935&gt;0,1,0)</f>
        <v>0</v>
      </c>
    </row>
    <row r="7936" spans="1:3" x14ac:dyDescent="0.25">
      <c r="A7936" s="15">
        <f>Sheet1!A7936</f>
        <v>0</v>
      </c>
      <c r="B7936">
        <f>Sheet1!B7936</f>
        <v>0</v>
      </c>
      <c r="C7936">
        <f>IF(Sheet1!B7936&gt;0,1,0)</f>
        <v>0</v>
      </c>
    </row>
    <row r="7937" spans="1:3" x14ac:dyDescent="0.25">
      <c r="A7937" s="15">
        <f>Sheet1!A7937</f>
        <v>0</v>
      </c>
      <c r="B7937">
        <f>Sheet1!B7937</f>
        <v>1.89</v>
      </c>
      <c r="C7937">
        <f>IF(Sheet1!B7937&gt;0,1,0)</f>
        <v>1</v>
      </c>
    </row>
    <row r="7938" spans="1:3" x14ac:dyDescent="0.25">
      <c r="A7938" s="15">
        <f>Sheet1!A7938</f>
        <v>0</v>
      </c>
      <c r="B7938">
        <f>Sheet1!B7938</f>
        <v>0</v>
      </c>
      <c r="C7938">
        <f>IF(Sheet1!B7938&gt;0,1,0)</f>
        <v>0</v>
      </c>
    </row>
    <row r="7939" spans="1:3" x14ac:dyDescent="0.25">
      <c r="A7939" s="15">
        <f>Sheet1!A7939</f>
        <v>0</v>
      </c>
      <c r="B7939">
        <f>Sheet1!B7939</f>
        <v>0</v>
      </c>
      <c r="C7939">
        <f>IF(Sheet1!B7939&gt;0,1,0)</f>
        <v>0</v>
      </c>
    </row>
    <row r="7940" spans="1:3" x14ac:dyDescent="0.25">
      <c r="A7940" s="15">
        <f>Sheet1!A7940</f>
        <v>0</v>
      </c>
      <c r="B7940">
        <f>Sheet1!B7940</f>
        <v>0</v>
      </c>
      <c r="C7940">
        <f>IF(Sheet1!B7940&gt;0,1,0)</f>
        <v>0</v>
      </c>
    </row>
    <row r="7941" spans="1:3" x14ac:dyDescent="0.25">
      <c r="A7941" s="15">
        <f>Sheet1!A7941</f>
        <v>0</v>
      </c>
      <c r="B7941">
        <f>Sheet1!B7941</f>
        <v>0</v>
      </c>
      <c r="C7941">
        <f>IF(Sheet1!B7941&gt;0,1,0)</f>
        <v>0</v>
      </c>
    </row>
    <row r="7942" spans="1:3" x14ac:dyDescent="0.25">
      <c r="A7942" s="15">
        <f>Sheet1!A7942</f>
        <v>0</v>
      </c>
      <c r="B7942">
        <f>Sheet1!B7942</f>
        <v>0.68</v>
      </c>
      <c r="C7942">
        <f>IF(Sheet1!B7942&gt;0,1,0)</f>
        <v>1</v>
      </c>
    </row>
    <row r="7943" spans="1:3" x14ac:dyDescent="0.25">
      <c r="A7943" s="15">
        <f>Sheet1!A7943</f>
        <v>0</v>
      </c>
      <c r="B7943">
        <f>Sheet1!B7943</f>
        <v>0.92</v>
      </c>
      <c r="C7943">
        <f>IF(Sheet1!B7943&gt;0,1,0)</f>
        <v>1</v>
      </c>
    </row>
    <row r="7944" spans="1:3" x14ac:dyDescent="0.25">
      <c r="A7944" s="15">
        <f>Sheet1!A7944</f>
        <v>0</v>
      </c>
      <c r="B7944">
        <f>Sheet1!B7944</f>
        <v>0.77</v>
      </c>
      <c r="C7944">
        <f>IF(Sheet1!B7944&gt;0,1,0)</f>
        <v>1</v>
      </c>
    </row>
    <row r="7945" spans="1:3" x14ac:dyDescent="0.25">
      <c r="A7945" s="15">
        <f>Sheet1!A7945</f>
        <v>0</v>
      </c>
      <c r="B7945">
        <f>Sheet1!B7945</f>
        <v>0.51</v>
      </c>
      <c r="C7945">
        <f>IF(Sheet1!B7945&gt;0,1,0)</f>
        <v>1</v>
      </c>
    </row>
    <row r="7946" spans="1:3" x14ac:dyDescent="0.25">
      <c r="A7946" s="15">
        <f>Sheet1!A7946</f>
        <v>0</v>
      </c>
      <c r="B7946">
        <f>Sheet1!B7946</f>
        <v>0.67</v>
      </c>
      <c r="C7946">
        <f>IF(Sheet1!B7946&gt;0,1,0)</f>
        <v>1</v>
      </c>
    </row>
    <row r="7947" spans="1:3" x14ac:dyDescent="0.25">
      <c r="A7947" s="15">
        <f>Sheet1!A7947</f>
        <v>0</v>
      </c>
      <c r="B7947">
        <f>Sheet1!B7947</f>
        <v>0.42</v>
      </c>
      <c r="C7947">
        <f>IF(Sheet1!B7947&gt;0,1,0)</f>
        <v>1</v>
      </c>
    </row>
    <row r="7948" spans="1:3" x14ac:dyDescent="0.25">
      <c r="A7948" s="15">
        <f>Sheet1!A7948</f>
        <v>0</v>
      </c>
      <c r="B7948">
        <f>Sheet1!B7948</f>
        <v>0.66</v>
      </c>
      <c r="C7948">
        <f>IF(Sheet1!B7948&gt;0,1,0)</f>
        <v>1</v>
      </c>
    </row>
    <row r="7949" spans="1:3" x14ac:dyDescent="0.25">
      <c r="A7949" s="15">
        <f>Sheet1!A7949</f>
        <v>0</v>
      </c>
      <c r="B7949">
        <f>Sheet1!B7949</f>
        <v>0.48</v>
      </c>
      <c r="C7949">
        <f>IF(Sheet1!B7949&gt;0,1,0)</f>
        <v>1</v>
      </c>
    </row>
    <row r="7950" spans="1:3" x14ac:dyDescent="0.25">
      <c r="A7950" s="15">
        <f>Sheet1!A7950</f>
        <v>0</v>
      </c>
      <c r="B7950">
        <f>Sheet1!B7950</f>
        <v>0.21</v>
      </c>
      <c r="C7950">
        <f>IF(Sheet1!B7950&gt;0,1,0)</f>
        <v>1</v>
      </c>
    </row>
    <row r="7951" spans="1:3" x14ac:dyDescent="0.25">
      <c r="A7951" s="15">
        <f>Sheet1!A7951</f>
        <v>0</v>
      </c>
      <c r="B7951">
        <f>Sheet1!B7951</f>
        <v>0</v>
      </c>
      <c r="C7951">
        <f>IF(Sheet1!B7951&gt;0,1,0)</f>
        <v>0</v>
      </c>
    </row>
    <row r="7952" spans="1:3" x14ac:dyDescent="0.25">
      <c r="A7952" s="15">
        <f>Sheet1!A7952</f>
        <v>0</v>
      </c>
      <c r="B7952">
        <f>Sheet1!B7952</f>
        <v>0.66</v>
      </c>
      <c r="C7952">
        <f>IF(Sheet1!B7952&gt;0,1,0)</f>
        <v>1</v>
      </c>
    </row>
    <row r="7953" spans="1:3" x14ac:dyDescent="0.25">
      <c r="A7953" s="15">
        <f>Sheet1!A7953</f>
        <v>0</v>
      </c>
      <c r="B7953">
        <f>Sheet1!B7953</f>
        <v>0.37</v>
      </c>
      <c r="C7953">
        <f>IF(Sheet1!B7953&gt;0,1,0)</f>
        <v>1</v>
      </c>
    </row>
    <row r="7954" spans="1:3" x14ac:dyDescent="0.25">
      <c r="A7954" s="15">
        <f>Sheet1!A7954</f>
        <v>0</v>
      </c>
      <c r="B7954">
        <f>Sheet1!B7954</f>
        <v>0.17</v>
      </c>
      <c r="C7954">
        <f>IF(Sheet1!B7954&gt;0,1,0)</f>
        <v>1</v>
      </c>
    </row>
    <row r="7955" spans="1:3" x14ac:dyDescent="0.25">
      <c r="A7955" s="15">
        <f>Sheet1!A7955</f>
        <v>0</v>
      </c>
      <c r="B7955">
        <f>Sheet1!B7955</f>
        <v>0</v>
      </c>
      <c r="C7955">
        <f>IF(Sheet1!B7955&gt;0,1,0)</f>
        <v>0</v>
      </c>
    </row>
    <row r="7956" spans="1:3" x14ac:dyDescent="0.25">
      <c r="A7956" s="15">
        <f>Sheet1!A7956</f>
        <v>0</v>
      </c>
      <c r="B7956">
        <f>Sheet1!B7956</f>
        <v>0.5</v>
      </c>
      <c r="C7956">
        <f>IF(Sheet1!B7956&gt;0,1,0)</f>
        <v>1</v>
      </c>
    </row>
    <row r="7957" spans="1:3" x14ac:dyDescent="0.25">
      <c r="A7957" s="15">
        <f>Sheet1!A7957</f>
        <v>0</v>
      </c>
      <c r="B7957">
        <f>Sheet1!B7957</f>
        <v>0.65</v>
      </c>
      <c r="C7957">
        <f>IF(Sheet1!B7957&gt;0,1,0)</f>
        <v>1</v>
      </c>
    </row>
    <row r="7958" spans="1:3" x14ac:dyDescent="0.25">
      <c r="A7958" s="15">
        <f>Sheet1!A7958</f>
        <v>0</v>
      </c>
      <c r="B7958">
        <f>Sheet1!B7958</f>
        <v>0.12</v>
      </c>
      <c r="C7958">
        <f>IF(Sheet1!B7958&gt;0,1,0)</f>
        <v>1</v>
      </c>
    </row>
    <row r="7959" spans="1:3" x14ac:dyDescent="0.25">
      <c r="A7959" s="15">
        <f>Sheet1!A7959</f>
        <v>0</v>
      </c>
      <c r="B7959">
        <f>Sheet1!B7959</f>
        <v>0.12</v>
      </c>
      <c r="C7959">
        <f>IF(Sheet1!B7959&gt;0,1,0)</f>
        <v>1</v>
      </c>
    </row>
    <row r="7960" spans="1:3" x14ac:dyDescent="0.25">
      <c r="A7960" s="15">
        <f>Sheet1!A7960</f>
        <v>0</v>
      </c>
      <c r="B7960">
        <f>Sheet1!B7960</f>
        <v>0.82</v>
      </c>
      <c r="C7960">
        <f>IF(Sheet1!B7960&gt;0,1,0)</f>
        <v>1</v>
      </c>
    </row>
    <row r="7961" spans="1:3" x14ac:dyDescent="0.25">
      <c r="A7961" s="15">
        <f>Sheet1!A7961</f>
        <v>0</v>
      </c>
      <c r="B7961">
        <f>Sheet1!B7961</f>
        <v>1.27</v>
      </c>
      <c r="C7961">
        <f>IF(Sheet1!B7961&gt;0,1,0)</f>
        <v>1</v>
      </c>
    </row>
    <row r="7962" spans="1:3" x14ac:dyDescent="0.25">
      <c r="A7962" s="15">
        <f>Sheet1!A7962</f>
        <v>0</v>
      </c>
      <c r="B7962">
        <f>Sheet1!B7962</f>
        <v>0</v>
      </c>
      <c r="C7962">
        <f>IF(Sheet1!B7962&gt;0,1,0)</f>
        <v>0</v>
      </c>
    </row>
    <row r="7963" spans="1:3" x14ac:dyDescent="0.25">
      <c r="A7963" s="15">
        <f>Sheet1!A7963</f>
        <v>0</v>
      </c>
      <c r="B7963">
        <f>Sheet1!B7963</f>
        <v>0</v>
      </c>
      <c r="C7963">
        <f>IF(Sheet1!B7963&gt;0,1,0)</f>
        <v>0</v>
      </c>
    </row>
    <row r="7964" spans="1:3" x14ac:dyDescent="0.25">
      <c r="A7964" s="15">
        <f>Sheet1!A7964</f>
        <v>0</v>
      </c>
      <c r="B7964">
        <f>Sheet1!B7964</f>
        <v>0</v>
      </c>
      <c r="C7964">
        <f>IF(Sheet1!B7964&gt;0,1,0)</f>
        <v>0</v>
      </c>
    </row>
    <row r="7965" spans="1:3" x14ac:dyDescent="0.25">
      <c r="A7965" s="15">
        <f>Sheet1!A7965</f>
        <v>0</v>
      </c>
      <c r="B7965">
        <f>Sheet1!B7965</f>
        <v>0</v>
      </c>
      <c r="C7965">
        <f>IF(Sheet1!B7965&gt;0,1,0)</f>
        <v>0</v>
      </c>
    </row>
    <row r="7966" spans="1:3" x14ac:dyDescent="0.25">
      <c r="A7966" s="15">
        <f>Sheet1!A7966</f>
        <v>0</v>
      </c>
      <c r="B7966">
        <f>Sheet1!B7966</f>
        <v>1.32</v>
      </c>
      <c r="C7966">
        <f>IF(Sheet1!B7966&gt;0,1,0)</f>
        <v>1</v>
      </c>
    </row>
    <row r="7967" spans="1:3" x14ac:dyDescent="0.25">
      <c r="A7967" s="15">
        <f>Sheet1!A7967</f>
        <v>0</v>
      </c>
      <c r="B7967">
        <f>Sheet1!B7967</f>
        <v>0.95</v>
      </c>
      <c r="C7967">
        <f>IF(Sheet1!B7967&gt;0,1,0)</f>
        <v>1</v>
      </c>
    </row>
    <row r="7968" spans="1:3" x14ac:dyDescent="0.25">
      <c r="A7968" s="15">
        <f>Sheet1!A7968</f>
        <v>0</v>
      </c>
      <c r="B7968">
        <f>Sheet1!B7968</f>
        <v>0.74</v>
      </c>
      <c r="C7968">
        <f>IF(Sheet1!B7968&gt;0,1,0)</f>
        <v>1</v>
      </c>
    </row>
    <row r="7969" spans="1:3" x14ac:dyDescent="0.25">
      <c r="A7969" s="15">
        <f>Sheet1!A7969</f>
        <v>0</v>
      </c>
      <c r="B7969">
        <f>Sheet1!B7969</f>
        <v>1.05</v>
      </c>
      <c r="C7969">
        <f>IF(Sheet1!B7969&gt;0,1,0)</f>
        <v>1</v>
      </c>
    </row>
    <row r="7970" spans="1:3" x14ac:dyDescent="0.25">
      <c r="A7970" s="15">
        <f>Sheet1!A7970</f>
        <v>0</v>
      </c>
      <c r="B7970">
        <f>Sheet1!B7970</f>
        <v>0.41</v>
      </c>
      <c r="C7970">
        <f>IF(Sheet1!B7970&gt;0,1,0)</f>
        <v>1</v>
      </c>
    </row>
    <row r="7971" spans="1:3" x14ac:dyDescent="0.25">
      <c r="A7971" s="15">
        <f>Sheet1!A7971</f>
        <v>0</v>
      </c>
      <c r="B7971">
        <f>Sheet1!B7971</f>
        <v>0.72</v>
      </c>
      <c r="C7971">
        <f>IF(Sheet1!B7971&gt;0,1,0)</f>
        <v>1</v>
      </c>
    </row>
    <row r="7972" spans="1:3" x14ac:dyDescent="0.25">
      <c r="A7972" s="15">
        <f>Sheet1!A7972</f>
        <v>0</v>
      </c>
      <c r="B7972">
        <f>Sheet1!B7972</f>
        <v>0.35</v>
      </c>
      <c r="C7972">
        <f>IF(Sheet1!B7972&gt;0,1,0)</f>
        <v>1</v>
      </c>
    </row>
    <row r="7973" spans="1:3" x14ac:dyDescent="0.25">
      <c r="A7973" s="15">
        <f>Sheet1!A7973</f>
        <v>0</v>
      </c>
      <c r="B7973">
        <f>Sheet1!B7973</f>
        <v>0.18</v>
      </c>
      <c r="C7973">
        <f>IF(Sheet1!B7973&gt;0,1,0)</f>
        <v>1</v>
      </c>
    </row>
    <row r="7974" spans="1:3" x14ac:dyDescent="0.25">
      <c r="A7974" s="15">
        <f>Sheet1!A7974</f>
        <v>0</v>
      </c>
      <c r="B7974">
        <f>Sheet1!B7974</f>
        <v>0.56000000000000005</v>
      </c>
      <c r="C7974">
        <f>IF(Sheet1!B7974&gt;0,1,0)</f>
        <v>1</v>
      </c>
    </row>
    <row r="7975" spans="1:3" x14ac:dyDescent="0.25">
      <c r="A7975" s="15">
        <f>Sheet1!A7975</f>
        <v>0</v>
      </c>
      <c r="B7975">
        <f>Sheet1!B7975</f>
        <v>0.16</v>
      </c>
      <c r="C7975">
        <f>IF(Sheet1!B7975&gt;0,1,0)</f>
        <v>1</v>
      </c>
    </row>
    <row r="7976" spans="1:3" x14ac:dyDescent="0.25">
      <c r="A7976" s="15">
        <f>Sheet1!A7976</f>
        <v>0</v>
      </c>
      <c r="B7976">
        <f>Sheet1!B7976</f>
        <v>0</v>
      </c>
      <c r="C7976">
        <f>IF(Sheet1!B7976&gt;0,1,0)</f>
        <v>0</v>
      </c>
    </row>
    <row r="7977" spans="1:3" x14ac:dyDescent="0.25">
      <c r="A7977" s="15">
        <f>Sheet1!A7977</f>
        <v>0</v>
      </c>
      <c r="B7977">
        <f>Sheet1!B7977</f>
        <v>0</v>
      </c>
      <c r="C7977">
        <f>IF(Sheet1!B7977&gt;0,1,0)</f>
        <v>0</v>
      </c>
    </row>
    <row r="7978" spans="1:3" x14ac:dyDescent="0.25">
      <c r="A7978" s="15">
        <f>Sheet1!A7978</f>
        <v>0</v>
      </c>
      <c r="B7978">
        <f>Sheet1!B7978</f>
        <v>0.45</v>
      </c>
      <c r="C7978">
        <f>IF(Sheet1!B7978&gt;0,1,0)</f>
        <v>1</v>
      </c>
    </row>
    <row r="7979" spans="1:3" x14ac:dyDescent="0.25">
      <c r="A7979" s="15">
        <f>Sheet1!A7979</f>
        <v>0</v>
      </c>
      <c r="B7979">
        <f>Sheet1!B7979</f>
        <v>0</v>
      </c>
      <c r="C7979">
        <f>IF(Sheet1!B7979&gt;0,1,0)</f>
        <v>0</v>
      </c>
    </row>
    <row r="7980" spans="1:3" x14ac:dyDescent="0.25">
      <c r="A7980" s="15">
        <f>Sheet1!A7980</f>
        <v>0</v>
      </c>
      <c r="B7980">
        <f>Sheet1!B7980</f>
        <v>0</v>
      </c>
      <c r="C7980">
        <f>IF(Sheet1!B7980&gt;0,1,0)</f>
        <v>0</v>
      </c>
    </row>
    <row r="7981" spans="1:3" x14ac:dyDescent="0.25">
      <c r="A7981" s="15">
        <f>Sheet1!A7981</f>
        <v>0</v>
      </c>
      <c r="B7981">
        <f>Sheet1!B7981</f>
        <v>0</v>
      </c>
      <c r="C7981">
        <f>IF(Sheet1!B7981&gt;0,1,0)</f>
        <v>0</v>
      </c>
    </row>
    <row r="7982" spans="1:3" x14ac:dyDescent="0.25">
      <c r="A7982" s="15">
        <f>Sheet1!A7982</f>
        <v>0</v>
      </c>
      <c r="B7982">
        <f>Sheet1!B7982</f>
        <v>0.68</v>
      </c>
      <c r="C7982">
        <f>IF(Sheet1!B7982&gt;0,1,0)</f>
        <v>1</v>
      </c>
    </row>
    <row r="7983" spans="1:3" x14ac:dyDescent="0.25">
      <c r="A7983" s="15">
        <f>Sheet1!A7983</f>
        <v>0</v>
      </c>
      <c r="B7983">
        <f>Sheet1!B7983</f>
        <v>0.65</v>
      </c>
      <c r="C7983">
        <f>IF(Sheet1!B7983&gt;0,1,0)</f>
        <v>1</v>
      </c>
    </row>
    <row r="7984" spans="1:3" x14ac:dyDescent="0.25">
      <c r="A7984" s="15">
        <f>Sheet1!A7984</f>
        <v>0</v>
      </c>
      <c r="B7984">
        <f>Sheet1!B7984</f>
        <v>0</v>
      </c>
      <c r="C7984">
        <f>IF(Sheet1!B7984&gt;0,1,0)</f>
        <v>0</v>
      </c>
    </row>
    <row r="7985" spans="1:3" x14ac:dyDescent="0.25">
      <c r="A7985" s="15">
        <f>Sheet1!A7985</f>
        <v>0</v>
      </c>
      <c r="B7985">
        <f>Sheet1!B7985</f>
        <v>0</v>
      </c>
      <c r="C7985">
        <f>IF(Sheet1!B7985&gt;0,1,0)</f>
        <v>0</v>
      </c>
    </row>
    <row r="7986" spans="1:3" x14ac:dyDescent="0.25">
      <c r="A7986" s="15">
        <f>Sheet1!A7986</f>
        <v>0</v>
      </c>
      <c r="B7986">
        <f>Sheet1!B7986</f>
        <v>0</v>
      </c>
      <c r="C7986">
        <f>IF(Sheet1!B7986&gt;0,1,0)</f>
        <v>0</v>
      </c>
    </row>
    <row r="7987" spans="1:3" x14ac:dyDescent="0.25">
      <c r="A7987" s="15">
        <f>Sheet1!A7987</f>
        <v>0</v>
      </c>
      <c r="B7987">
        <f>Sheet1!B7987</f>
        <v>0</v>
      </c>
      <c r="C7987">
        <f>IF(Sheet1!B7987&gt;0,1,0)</f>
        <v>0</v>
      </c>
    </row>
    <row r="7988" spans="1:3" x14ac:dyDescent="0.25">
      <c r="A7988" s="15">
        <f>Sheet1!A7988</f>
        <v>0</v>
      </c>
      <c r="B7988">
        <f>Sheet1!B7988</f>
        <v>0</v>
      </c>
      <c r="C7988">
        <f>IF(Sheet1!B7988&gt;0,1,0)</f>
        <v>0</v>
      </c>
    </row>
    <row r="7989" spans="1:3" x14ac:dyDescent="0.25">
      <c r="A7989" s="15">
        <f>Sheet1!A7989</f>
        <v>0</v>
      </c>
      <c r="B7989">
        <f>Sheet1!B7989</f>
        <v>1.28</v>
      </c>
      <c r="C7989">
        <f>IF(Sheet1!B7989&gt;0,1,0)</f>
        <v>1</v>
      </c>
    </row>
    <row r="7990" spans="1:3" x14ac:dyDescent="0.25">
      <c r="A7990" s="15">
        <f>Sheet1!A7990</f>
        <v>0</v>
      </c>
      <c r="B7990">
        <f>Sheet1!B7990</f>
        <v>0</v>
      </c>
      <c r="C7990">
        <f>IF(Sheet1!B7990&gt;0,1,0)</f>
        <v>0</v>
      </c>
    </row>
    <row r="7991" spans="1:3" x14ac:dyDescent="0.25">
      <c r="A7991" s="15">
        <f>Sheet1!A7991</f>
        <v>0</v>
      </c>
      <c r="B7991">
        <f>Sheet1!B7991</f>
        <v>1.76</v>
      </c>
      <c r="C7991">
        <f>IF(Sheet1!B7991&gt;0,1,0)</f>
        <v>1</v>
      </c>
    </row>
    <row r="7992" spans="1:3" x14ac:dyDescent="0.25">
      <c r="A7992" s="15">
        <f>Sheet1!A7992</f>
        <v>0</v>
      </c>
      <c r="B7992">
        <f>Sheet1!B7992</f>
        <v>1.59</v>
      </c>
      <c r="C7992">
        <f>IF(Sheet1!B7992&gt;0,1,0)</f>
        <v>1</v>
      </c>
    </row>
    <row r="7993" spans="1:3" x14ac:dyDescent="0.25">
      <c r="A7993" s="15">
        <f>Sheet1!A7993</f>
        <v>0</v>
      </c>
      <c r="B7993">
        <f>Sheet1!B7993</f>
        <v>1.24</v>
      </c>
      <c r="C7993">
        <f>IF(Sheet1!B7993&gt;0,1,0)</f>
        <v>1</v>
      </c>
    </row>
    <row r="7994" spans="1:3" x14ac:dyDescent="0.25">
      <c r="A7994" s="15">
        <f>Sheet1!A7994</f>
        <v>0</v>
      </c>
      <c r="B7994">
        <f>Sheet1!B7994</f>
        <v>1.5</v>
      </c>
      <c r="C7994">
        <f>IF(Sheet1!B7994&gt;0,1,0)</f>
        <v>1</v>
      </c>
    </row>
    <row r="7995" spans="1:3" x14ac:dyDescent="0.25">
      <c r="A7995" s="15">
        <f>Sheet1!A7995</f>
        <v>0</v>
      </c>
      <c r="B7995">
        <f>Sheet1!B7995</f>
        <v>1.2</v>
      </c>
      <c r="C7995">
        <f>IF(Sheet1!B7995&gt;0,1,0)</f>
        <v>1</v>
      </c>
    </row>
    <row r="7996" spans="1:3" x14ac:dyDescent="0.25">
      <c r="A7996" s="15">
        <f>Sheet1!A7996</f>
        <v>0</v>
      </c>
      <c r="B7996">
        <f>Sheet1!B7996</f>
        <v>1.43</v>
      </c>
      <c r="C7996">
        <f>IF(Sheet1!B7996&gt;0,1,0)</f>
        <v>1</v>
      </c>
    </row>
    <row r="7997" spans="1:3" x14ac:dyDescent="0.25">
      <c r="A7997" s="15">
        <f>Sheet1!A7997</f>
        <v>0</v>
      </c>
      <c r="B7997">
        <f>Sheet1!B7997</f>
        <v>1.2</v>
      </c>
      <c r="C7997">
        <f>IF(Sheet1!B7997&gt;0,1,0)</f>
        <v>1</v>
      </c>
    </row>
    <row r="7998" spans="1:3" x14ac:dyDescent="0.25">
      <c r="A7998" s="15">
        <f>Sheet1!A7998</f>
        <v>0</v>
      </c>
      <c r="B7998">
        <f>Sheet1!B7998</f>
        <v>1.35</v>
      </c>
      <c r="C7998">
        <f>IF(Sheet1!B7998&gt;0,1,0)</f>
        <v>1</v>
      </c>
    </row>
    <row r="7999" spans="1:3" x14ac:dyDescent="0.25">
      <c r="A7999" s="15">
        <f>Sheet1!A7999</f>
        <v>0</v>
      </c>
      <c r="B7999">
        <f>Sheet1!B7999</f>
        <v>1.1499999999999999</v>
      </c>
      <c r="C7999">
        <f>IF(Sheet1!B7999&gt;0,1,0)</f>
        <v>1</v>
      </c>
    </row>
    <row r="8000" spans="1:3" x14ac:dyDescent="0.25">
      <c r="A8000" s="15">
        <f>Sheet1!A8000</f>
        <v>0</v>
      </c>
      <c r="B8000">
        <f>Sheet1!B8000</f>
        <v>1.05</v>
      </c>
      <c r="C8000">
        <f>IF(Sheet1!B8000&gt;0,1,0)</f>
        <v>1</v>
      </c>
    </row>
    <row r="8001" spans="1:3" x14ac:dyDescent="0.25">
      <c r="A8001" s="15">
        <f>Sheet1!A8001</f>
        <v>0</v>
      </c>
      <c r="B8001">
        <f>Sheet1!B8001</f>
        <v>0.64</v>
      </c>
      <c r="C8001">
        <f>IF(Sheet1!B8001&gt;0,1,0)</f>
        <v>1</v>
      </c>
    </row>
    <row r="8002" spans="1:3" x14ac:dyDescent="0.25">
      <c r="A8002" s="15">
        <f>Sheet1!A8002</f>
        <v>0</v>
      </c>
      <c r="B8002">
        <f>Sheet1!B8002</f>
        <v>0</v>
      </c>
      <c r="C8002">
        <f>IF(Sheet1!B8002&gt;0,1,0)</f>
        <v>0</v>
      </c>
    </row>
    <row r="8003" spans="1:3" x14ac:dyDescent="0.25">
      <c r="A8003" s="15">
        <f>Sheet1!A8003</f>
        <v>0</v>
      </c>
      <c r="B8003">
        <f>Sheet1!B8003</f>
        <v>0</v>
      </c>
      <c r="C8003">
        <f>IF(Sheet1!B8003&gt;0,1,0)</f>
        <v>0</v>
      </c>
    </row>
    <row r="8004" spans="1:3" x14ac:dyDescent="0.25">
      <c r="A8004" s="15">
        <f>Sheet1!A8004</f>
        <v>0</v>
      </c>
      <c r="B8004">
        <f>Sheet1!B8004</f>
        <v>0.97</v>
      </c>
      <c r="C8004">
        <f>IF(Sheet1!B8004&gt;0,1,0)</f>
        <v>1</v>
      </c>
    </row>
    <row r="8005" spans="1:3" x14ac:dyDescent="0.25">
      <c r="A8005" s="15">
        <f>Sheet1!A8005</f>
        <v>0</v>
      </c>
      <c r="B8005">
        <f>Sheet1!B8005</f>
        <v>0.82</v>
      </c>
      <c r="C8005">
        <f>IF(Sheet1!B8005&gt;0,1,0)</f>
        <v>1</v>
      </c>
    </row>
    <row r="8006" spans="1:3" x14ac:dyDescent="0.25">
      <c r="A8006" s="15">
        <f>Sheet1!A8006</f>
        <v>0</v>
      </c>
      <c r="B8006">
        <f>Sheet1!B8006</f>
        <v>0</v>
      </c>
      <c r="C8006">
        <f>IF(Sheet1!B8006&gt;0,1,0)</f>
        <v>0</v>
      </c>
    </row>
    <row r="8007" spans="1:3" x14ac:dyDescent="0.25">
      <c r="A8007" s="15">
        <f>Sheet1!A8007</f>
        <v>0</v>
      </c>
      <c r="B8007">
        <f>Sheet1!B8007</f>
        <v>0</v>
      </c>
      <c r="C8007">
        <f>IF(Sheet1!B8007&gt;0,1,0)</f>
        <v>0</v>
      </c>
    </row>
    <row r="8008" spans="1:3" x14ac:dyDescent="0.25">
      <c r="A8008" s="15">
        <f>Sheet1!A8008</f>
        <v>0</v>
      </c>
      <c r="B8008">
        <f>Sheet1!B8008</f>
        <v>0</v>
      </c>
      <c r="C8008">
        <f>IF(Sheet1!B8008&gt;0,1,0)</f>
        <v>0</v>
      </c>
    </row>
    <row r="8009" spans="1:3" x14ac:dyDescent="0.25">
      <c r="A8009" s="15">
        <f>Sheet1!A8009</f>
        <v>0</v>
      </c>
      <c r="B8009">
        <f>Sheet1!B8009</f>
        <v>0</v>
      </c>
      <c r="C8009">
        <f>IF(Sheet1!B8009&gt;0,1,0)</f>
        <v>0</v>
      </c>
    </row>
    <row r="8010" spans="1:3" x14ac:dyDescent="0.25">
      <c r="A8010" s="15">
        <f>Sheet1!A8010</f>
        <v>0</v>
      </c>
      <c r="B8010">
        <f>Sheet1!B8010</f>
        <v>0</v>
      </c>
      <c r="C8010">
        <f>IF(Sheet1!B8010&gt;0,1,0)</f>
        <v>0</v>
      </c>
    </row>
    <row r="8011" spans="1:3" x14ac:dyDescent="0.25">
      <c r="A8011" s="15">
        <f>Sheet1!A8011</f>
        <v>0</v>
      </c>
      <c r="B8011">
        <f>Sheet1!B8011</f>
        <v>1.02</v>
      </c>
      <c r="C8011">
        <f>IF(Sheet1!B8011&gt;0,1,0)</f>
        <v>1</v>
      </c>
    </row>
    <row r="8012" spans="1:3" x14ac:dyDescent="0.25">
      <c r="A8012" s="15">
        <f>Sheet1!A8012</f>
        <v>0</v>
      </c>
      <c r="B8012">
        <f>Sheet1!B8012</f>
        <v>0</v>
      </c>
      <c r="C8012">
        <f>IF(Sheet1!B8012&gt;0,1,0)</f>
        <v>0</v>
      </c>
    </row>
    <row r="8013" spans="1:3" x14ac:dyDescent="0.25">
      <c r="A8013" s="15">
        <f>Sheet1!A8013</f>
        <v>0</v>
      </c>
      <c r="B8013">
        <f>Sheet1!B8013</f>
        <v>0</v>
      </c>
      <c r="C8013">
        <f>IF(Sheet1!B8013&gt;0,1,0)</f>
        <v>0</v>
      </c>
    </row>
    <row r="8014" spans="1:3" x14ac:dyDescent="0.25">
      <c r="A8014" s="15">
        <f>Sheet1!A8014</f>
        <v>0</v>
      </c>
      <c r="B8014">
        <f>Sheet1!B8014</f>
        <v>0</v>
      </c>
      <c r="C8014">
        <f>IF(Sheet1!B8014&gt;0,1,0)</f>
        <v>0</v>
      </c>
    </row>
    <row r="8015" spans="1:3" x14ac:dyDescent="0.25">
      <c r="A8015" s="15">
        <f>Sheet1!A8015</f>
        <v>0</v>
      </c>
      <c r="B8015">
        <f>Sheet1!B8015</f>
        <v>1.26</v>
      </c>
      <c r="C8015">
        <f>IF(Sheet1!B8015&gt;0,1,0)</f>
        <v>1</v>
      </c>
    </row>
    <row r="8016" spans="1:3" x14ac:dyDescent="0.25">
      <c r="A8016" s="15">
        <f>Sheet1!A8016</f>
        <v>0</v>
      </c>
      <c r="B8016">
        <f>Sheet1!B8016</f>
        <v>1.22</v>
      </c>
      <c r="C8016">
        <f>IF(Sheet1!B8016&gt;0,1,0)</f>
        <v>1</v>
      </c>
    </row>
    <row r="8017" spans="1:3" x14ac:dyDescent="0.25">
      <c r="A8017" s="15">
        <f>Sheet1!A8017</f>
        <v>0</v>
      </c>
      <c r="B8017">
        <f>Sheet1!B8017</f>
        <v>0.89</v>
      </c>
      <c r="C8017">
        <f>IF(Sheet1!B8017&gt;0,1,0)</f>
        <v>1</v>
      </c>
    </row>
    <row r="8018" spans="1:3" x14ac:dyDescent="0.25">
      <c r="A8018" s="15">
        <f>Sheet1!A8018</f>
        <v>0</v>
      </c>
      <c r="B8018">
        <f>Sheet1!B8018</f>
        <v>1.43</v>
      </c>
      <c r="C8018">
        <f>IF(Sheet1!B8018&gt;0,1,0)</f>
        <v>1</v>
      </c>
    </row>
    <row r="8019" spans="1:3" x14ac:dyDescent="0.25">
      <c r="A8019" s="15">
        <f>Sheet1!A8019</f>
        <v>0</v>
      </c>
      <c r="B8019">
        <f>Sheet1!B8019</f>
        <v>1.1299999999999999</v>
      </c>
      <c r="C8019">
        <f>IF(Sheet1!B8019&gt;0,1,0)</f>
        <v>1</v>
      </c>
    </row>
    <row r="8020" spans="1:3" x14ac:dyDescent="0.25">
      <c r="A8020" s="15">
        <f>Sheet1!A8020</f>
        <v>0</v>
      </c>
      <c r="B8020">
        <f>Sheet1!B8020</f>
        <v>1.44</v>
      </c>
      <c r="C8020">
        <f>IF(Sheet1!B8020&gt;0,1,0)</f>
        <v>1</v>
      </c>
    </row>
    <row r="8021" spans="1:3" x14ac:dyDescent="0.25">
      <c r="A8021" s="15">
        <f>Sheet1!A8021</f>
        <v>0</v>
      </c>
      <c r="B8021">
        <f>Sheet1!B8021</f>
        <v>1.39</v>
      </c>
      <c r="C8021">
        <f>IF(Sheet1!B8021&gt;0,1,0)</f>
        <v>1</v>
      </c>
    </row>
    <row r="8022" spans="1:3" x14ac:dyDescent="0.25">
      <c r="A8022" s="15">
        <f>Sheet1!A8022</f>
        <v>0</v>
      </c>
      <c r="B8022">
        <f>Sheet1!B8022</f>
        <v>1.7</v>
      </c>
      <c r="C8022">
        <f>IF(Sheet1!B8022&gt;0,1,0)</f>
        <v>1</v>
      </c>
    </row>
    <row r="8023" spans="1:3" x14ac:dyDescent="0.25">
      <c r="A8023" s="15">
        <f>Sheet1!A8023</f>
        <v>0</v>
      </c>
      <c r="B8023">
        <f>Sheet1!B8023</f>
        <v>1.1399999999999999</v>
      </c>
      <c r="C8023">
        <f>IF(Sheet1!B8023&gt;0,1,0)</f>
        <v>1</v>
      </c>
    </row>
    <row r="8024" spans="1:3" x14ac:dyDescent="0.25">
      <c r="A8024" s="15">
        <f>Sheet1!A8024</f>
        <v>0</v>
      </c>
      <c r="B8024">
        <f>Sheet1!B8024</f>
        <v>0</v>
      </c>
      <c r="C8024">
        <f>IF(Sheet1!B8024&gt;0,1,0)</f>
        <v>0</v>
      </c>
    </row>
    <row r="8025" spans="1:3" x14ac:dyDescent="0.25">
      <c r="A8025" s="15">
        <f>Sheet1!A8025</f>
        <v>0</v>
      </c>
      <c r="B8025">
        <f>Sheet1!B8025</f>
        <v>0</v>
      </c>
      <c r="C8025">
        <f>IF(Sheet1!B8025&gt;0,1,0)</f>
        <v>0</v>
      </c>
    </row>
    <row r="8026" spans="1:3" x14ac:dyDescent="0.25">
      <c r="A8026" s="15">
        <f>Sheet1!A8026</f>
        <v>0</v>
      </c>
      <c r="B8026">
        <f>Sheet1!B8026</f>
        <v>0</v>
      </c>
      <c r="C8026">
        <f>IF(Sheet1!B8026&gt;0,1,0)</f>
        <v>0</v>
      </c>
    </row>
    <row r="8027" spans="1:3" x14ac:dyDescent="0.25">
      <c r="A8027" s="15">
        <f>Sheet1!A8027</f>
        <v>0</v>
      </c>
      <c r="B8027">
        <f>Sheet1!B8027</f>
        <v>0.7</v>
      </c>
      <c r="C8027">
        <f>IF(Sheet1!B8027&gt;0,1,0)</f>
        <v>1</v>
      </c>
    </row>
    <row r="8028" spans="1:3" x14ac:dyDescent="0.25">
      <c r="A8028" s="15">
        <f>Sheet1!A8028</f>
        <v>0</v>
      </c>
      <c r="B8028">
        <f>Sheet1!B8028</f>
        <v>0.74</v>
      </c>
      <c r="C8028">
        <f>IF(Sheet1!B8028&gt;0,1,0)</f>
        <v>1</v>
      </c>
    </row>
    <row r="8029" spans="1:3" x14ac:dyDescent="0.25">
      <c r="A8029" s="15">
        <f>Sheet1!A8029</f>
        <v>0</v>
      </c>
      <c r="B8029">
        <f>Sheet1!B8029</f>
        <v>0</v>
      </c>
      <c r="C8029">
        <f>IF(Sheet1!B8029&gt;0,1,0)</f>
        <v>0</v>
      </c>
    </row>
    <row r="8030" spans="1:3" x14ac:dyDescent="0.25">
      <c r="A8030" s="15">
        <f>Sheet1!A8030</f>
        <v>0</v>
      </c>
      <c r="B8030">
        <f>Sheet1!B8030</f>
        <v>0</v>
      </c>
      <c r="C8030">
        <f>IF(Sheet1!B8030&gt;0,1,0)</f>
        <v>0</v>
      </c>
    </row>
    <row r="8031" spans="1:3" x14ac:dyDescent="0.25">
      <c r="A8031" s="15">
        <f>Sheet1!A8031</f>
        <v>0</v>
      </c>
      <c r="B8031">
        <f>Sheet1!B8031</f>
        <v>0.47</v>
      </c>
      <c r="C8031">
        <f>IF(Sheet1!B8031&gt;0,1,0)</f>
        <v>1</v>
      </c>
    </row>
    <row r="8032" spans="1:3" x14ac:dyDescent="0.25">
      <c r="A8032" s="15">
        <f>Sheet1!A8032</f>
        <v>0</v>
      </c>
      <c r="B8032">
        <f>Sheet1!B8032</f>
        <v>0</v>
      </c>
      <c r="C8032">
        <f>IF(Sheet1!B8032&gt;0,1,0)</f>
        <v>0</v>
      </c>
    </row>
    <row r="8033" spans="1:3" x14ac:dyDescent="0.25">
      <c r="A8033" s="15">
        <f>Sheet1!A8033</f>
        <v>0</v>
      </c>
      <c r="B8033">
        <f>Sheet1!B8033</f>
        <v>0</v>
      </c>
      <c r="C8033">
        <f>IF(Sheet1!B8033&gt;0,1,0)</f>
        <v>0</v>
      </c>
    </row>
    <row r="8034" spans="1:3" x14ac:dyDescent="0.25">
      <c r="A8034" s="15">
        <f>Sheet1!A8034</f>
        <v>0</v>
      </c>
      <c r="B8034">
        <f>Sheet1!B8034</f>
        <v>0</v>
      </c>
      <c r="C8034">
        <f>IF(Sheet1!B8034&gt;0,1,0)</f>
        <v>0</v>
      </c>
    </row>
    <row r="8035" spans="1:3" x14ac:dyDescent="0.25">
      <c r="A8035" s="15">
        <f>Sheet1!A8035</f>
        <v>0</v>
      </c>
      <c r="B8035">
        <f>Sheet1!B8035</f>
        <v>0</v>
      </c>
      <c r="C8035">
        <f>IF(Sheet1!B8035&gt;0,1,0)</f>
        <v>0</v>
      </c>
    </row>
    <row r="8036" spans="1:3" x14ac:dyDescent="0.25">
      <c r="A8036" s="15">
        <f>Sheet1!A8036</f>
        <v>0</v>
      </c>
      <c r="B8036">
        <f>Sheet1!B8036</f>
        <v>1.18</v>
      </c>
      <c r="C8036">
        <f>IF(Sheet1!B8036&gt;0,1,0)</f>
        <v>1</v>
      </c>
    </row>
    <row r="8037" spans="1:3" x14ac:dyDescent="0.25">
      <c r="A8037" s="15">
        <f>Sheet1!A8037</f>
        <v>0</v>
      </c>
      <c r="B8037">
        <f>Sheet1!B8037</f>
        <v>1.39</v>
      </c>
      <c r="C8037">
        <f>IF(Sheet1!B8037&gt;0,1,0)</f>
        <v>1</v>
      </c>
    </row>
    <row r="8038" spans="1:3" x14ac:dyDescent="0.25">
      <c r="A8038" s="15">
        <f>Sheet1!A8038</f>
        <v>0</v>
      </c>
      <c r="B8038">
        <f>Sheet1!B8038</f>
        <v>0</v>
      </c>
      <c r="C8038">
        <f>IF(Sheet1!B8038&gt;0,1,0)</f>
        <v>0</v>
      </c>
    </row>
    <row r="8039" spans="1:3" x14ac:dyDescent="0.25">
      <c r="A8039" s="15">
        <f>Sheet1!A8039</f>
        <v>0</v>
      </c>
      <c r="B8039">
        <f>Sheet1!B8039</f>
        <v>1.37</v>
      </c>
      <c r="C8039">
        <f>IF(Sheet1!B8039&gt;0,1,0)</f>
        <v>1</v>
      </c>
    </row>
    <row r="8040" spans="1:3" x14ac:dyDescent="0.25">
      <c r="A8040" s="15">
        <f>Sheet1!A8040</f>
        <v>0</v>
      </c>
      <c r="B8040">
        <f>Sheet1!B8040</f>
        <v>1</v>
      </c>
      <c r="C8040">
        <f>IF(Sheet1!B8040&gt;0,1,0)</f>
        <v>1</v>
      </c>
    </row>
    <row r="8041" spans="1:3" x14ac:dyDescent="0.25">
      <c r="A8041" s="15">
        <f>Sheet1!A8041</f>
        <v>0</v>
      </c>
      <c r="B8041">
        <f>Sheet1!B8041</f>
        <v>1.1399999999999999</v>
      </c>
      <c r="C8041">
        <f>IF(Sheet1!B8041&gt;0,1,0)</f>
        <v>1</v>
      </c>
    </row>
    <row r="8042" spans="1:3" x14ac:dyDescent="0.25">
      <c r="A8042" s="15">
        <f>Sheet1!A8042</f>
        <v>0</v>
      </c>
      <c r="B8042">
        <f>Sheet1!B8042</f>
        <v>1.75</v>
      </c>
      <c r="C8042">
        <f>IF(Sheet1!B8042&gt;0,1,0)</f>
        <v>1</v>
      </c>
    </row>
    <row r="8043" spans="1:3" x14ac:dyDescent="0.25">
      <c r="A8043" s="15">
        <f>Sheet1!A8043</f>
        <v>0</v>
      </c>
      <c r="B8043">
        <f>Sheet1!B8043</f>
        <v>1.1000000000000001</v>
      </c>
      <c r="C8043">
        <f>IF(Sheet1!B8043&gt;0,1,0)</f>
        <v>1</v>
      </c>
    </row>
    <row r="8044" spans="1:3" x14ac:dyDescent="0.25">
      <c r="A8044" s="15">
        <f>Sheet1!A8044</f>
        <v>0</v>
      </c>
      <c r="B8044">
        <f>Sheet1!B8044</f>
        <v>1.46</v>
      </c>
      <c r="C8044">
        <f>IF(Sheet1!B8044&gt;0,1,0)</f>
        <v>1</v>
      </c>
    </row>
    <row r="8045" spans="1:3" x14ac:dyDescent="0.25">
      <c r="A8045" s="15">
        <f>Sheet1!A8045</f>
        <v>0</v>
      </c>
      <c r="B8045">
        <f>Sheet1!B8045</f>
        <v>1.4</v>
      </c>
      <c r="C8045">
        <f>IF(Sheet1!B8045&gt;0,1,0)</f>
        <v>1</v>
      </c>
    </row>
    <row r="8046" spans="1:3" x14ac:dyDescent="0.25">
      <c r="A8046" s="15">
        <f>Sheet1!A8046</f>
        <v>0</v>
      </c>
      <c r="B8046">
        <f>Sheet1!B8046</f>
        <v>1.66</v>
      </c>
      <c r="C8046">
        <f>IF(Sheet1!B8046&gt;0,1,0)</f>
        <v>1</v>
      </c>
    </row>
    <row r="8047" spans="1:3" x14ac:dyDescent="0.25">
      <c r="A8047" s="15">
        <f>Sheet1!A8047</f>
        <v>0</v>
      </c>
      <c r="B8047">
        <f>Sheet1!B8047</f>
        <v>0.86</v>
      </c>
      <c r="C8047">
        <f>IF(Sheet1!B8047&gt;0,1,0)</f>
        <v>1</v>
      </c>
    </row>
    <row r="8048" spans="1:3" x14ac:dyDescent="0.25">
      <c r="A8048" s="15">
        <f>Sheet1!A8048</f>
        <v>0</v>
      </c>
      <c r="B8048">
        <f>Sheet1!B8048</f>
        <v>0.68</v>
      </c>
      <c r="C8048">
        <f>IF(Sheet1!B8048&gt;0,1,0)</f>
        <v>1</v>
      </c>
    </row>
    <row r="8049" spans="1:3" x14ac:dyDescent="0.25">
      <c r="A8049" s="15">
        <f>Sheet1!A8049</f>
        <v>0</v>
      </c>
      <c r="B8049">
        <f>Sheet1!B8049</f>
        <v>0.43</v>
      </c>
      <c r="C8049">
        <f>IF(Sheet1!B8049&gt;0,1,0)</f>
        <v>1</v>
      </c>
    </row>
    <row r="8050" spans="1:3" x14ac:dyDescent="0.25">
      <c r="A8050" s="15">
        <f>Sheet1!A8050</f>
        <v>0</v>
      </c>
      <c r="B8050">
        <f>Sheet1!B8050</f>
        <v>0</v>
      </c>
      <c r="C8050">
        <f>IF(Sheet1!B8050&gt;0,1,0)</f>
        <v>0</v>
      </c>
    </row>
    <row r="8051" spans="1:3" x14ac:dyDescent="0.25">
      <c r="A8051" s="15">
        <f>Sheet1!A8051</f>
        <v>0</v>
      </c>
      <c r="B8051">
        <f>Sheet1!B8051</f>
        <v>0</v>
      </c>
      <c r="C8051">
        <f>IF(Sheet1!B8051&gt;0,1,0)</f>
        <v>0</v>
      </c>
    </row>
    <row r="8052" spans="1:3" x14ac:dyDescent="0.25">
      <c r="A8052" s="15">
        <f>Sheet1!A8052</f>
        <v>0</v>
      </c>
      <c r="B8052">
        <f>Sheet1!B8052</f>
        <v>0</v>
      </c>
      <c r="C8052">
        <f>IF(Sheet1!B8052&gt;0,1,0)</f>
        <v>0</v>
      </c>
    </row>
    <row r="8053" spans="1:3" x14ac:dyDescent="0.25">
      <c r="A8053" s="15">
        <f>Sheet1!A8053</f>
        <v>0</v>
      </c>
      <c r="B8053">
        <f>Sheet1!B8053</f>
        <v>0.43</v>
      </c>
      <c r="C8053">
        <f>IF(Sheet1!B8053&gt;0,1,0)</f>
        <v>1</v>
      </c>
    </row>
    <row r="8054" spans="1:3" x14ac:dyDescent="0.25">
      <c r="A8054" s="15">
        <f>Sheet1!A8054</f>
        <v>0</v>
      </c>
      <c r="B8054">
        <f>Sheet1!B8054</f>
        <v>0</v>
      </c>
      <c r="C8054">
        <f>IF(Sheet1!B8054&gt;0,1,0)</f>
        <v>0</v>
      </c>
    </row>
    <row r="8055" spans="1:3" x14ac:dyDescent="0.25">
      <c r="A8055" s="15">
        <f>Sheet1!A8055</f>
        <v>0</v>
      </c>
      <c r="B8055">
        <f>Sheet1!B8055</f>
        <v>0</v>
      </c>
      <c r="C8055">
        <f>IF(Sheet1!B8055&gt;0,1,0)</f>
        <v>0</v>
      </c>
    </row>
    <row r="8056" spans="1:3" x14ac:dyDescent="0.25">
      <c r="A8056" s="15">
        <f>Sheet1!A8056</f>
        <v>0</v>
      </c>
      <c r="B8056">
        <f>Sheet1!B8056</f>
        <v>0</v>
      </c>
      <c r="C8056">
        <f>IF(Sheet1!B8056&gt;0,1,0)</f>
        <v>0</v>
      </c>
    </row>
    <row r="8057" spans="1:3" x14ac:dyDescent="0.25">
      <c r="A8057" s="15">
        <f>Sheet1!A8057</f>
        <v>0</v>
      </c>
      <c r="B8057">
        <f>Sheet1!B8057</f>
        <v>0</v>
      </c>
      <c r="C8057">
        <f>IF(Sheet1!B8057&gt;0,1,0)</f>
        <v>0</v>
      </c>
    </row>
    <row r="8058" spans="1:3" x14ac:dyDescent="0.25">
      <c r="A8058" s="15">
        <f>Sheet1!A8058</f>
        <v>0</v>
      </c>
      <c r="B8058">
        <f>Sheet1!B8058</f>
        <v>1.97</v>
      </c>
      <c r="C8058">
        <f>IF(Sheet1!B8058&gt;0,1,0)</f>
        <v>1</v>
      </c>
    </row>
    <row r="8059" spans="1:3" x14ac:dyDescent="0.25">
      <c r="A8059" s="15">
        <f>Sheet1!A8059</f>
        <v>0</v>
      </c>
      <c r="B8059">
        <f>Sheet1!B8059</f>
        <v>0</v>
      </c>
      <c r="C8059">
        <f>IF(Sheet1!B8059&gt;0,1,0)</f>
        <v>0</v>
      </c>
    </row>
    <row r="8060" spans="1:3" x14ac:dyDescent="0.25">
      <c r="A8060" s="15">
        <f>Sheet1!A8060</f>
        <v>0</v>
      </c>
      <c r="B8060">
        <f>Sheet1!B8060</f>
        <v>0</v>
      </c>
      <c r="C8060">
        <f>IF(Sheet1!B8060&gt;0,1,0)</f>
        <v>0</v>
      </c>
    </row>
    <row r="8061" spans="1:3" x14ac:dyDescent="0.25">
      <c r="A8061" s="15">
        <f>Sheet1!A8061</f>
        <v>0</v>
      </c>
      <c r="B8061">
        <f>Sheet1!B8061</f>
        <v>0</v>
      </c>
      <c r="C8061">
        <f>IF(Sheet1!B8061&gt;0,1,0)</f>
        <v>0</v>
      </c>
    </row>
    <row r="8062" spans="1:3" x14ac:dyDescent="0.25">
      <c r="A8062" s="15">
        <f>Sheet1!A8062</f>
        <v>0</v>
      </c>
      <c r="B8062">
        <f>Sheet1!B8062</f>
        <v>2.69</v>
      </c>
      <c r="C8062">
        <f>IF(Sheet1!B8062&gt;0,1,0)</f>
        <v>1</v>
      </c>
    </row>
    <row r="8063" spans="1:3" x14ac:dyDescent="0.25">
      <c r="A8063" s="15">
        <f>Sheet1!A8063</f>
        <v>0</v>
      </c>
      <c r="B8063">
        <f>Sheet1!B8063</f>
        <v>1.36</v>
      </c>
      <c r="C8063">
        <f>IF(Sheet1!B8063&gt;0,1,0)</f>
        <v>1</v>
      </c>
    </row>
    <row r="8064" spans="1:3" x14ac:dyDescent="0.25">
      <c r="A8064" s="15">
        <f>Sheet1!A8064</f>
        <v>0</v>
      </c>
      <c r="B8064">
        <f>Sheet1!B8064</f>
        <v>0.99</v>
      </c>
      <c r="C8064">
        <f>IF(Sheet1!B8064&gt;0,1,0)</f>
        <v>1</v>
      </c>
    </row>
    <row r="8065" spans="1:3" x14ac:dyDescent="0.25">
      <c r="A8065" s="15">
        <f>Sheet1!A8065</f>
        <v>0</v>
      </c>
      <c r="B8065">
        <f>Sheet1!B8065</f>
        <v>0.99</v>
      </c>
      <c r="C8065">
        <f>IF(Sheet1!B8065&gt;0,1,0)</f>
        <v>1</v>
      </c>
    </row>
    <row r="8066" spans="1:3" x14ac:dyDescent="0.25">
      <c r="A8066" s="15">
        <f>Sheet1!A8066</f>
        <v>0</v>
      </c>
      <c r="B8066">
        <f>Sheet1!B8066</f>
        <v>1.01</v>
      </c>
      <c r="C8066">
        <f>IF(Sheet1!B8066&gt;0,1,0)</f>
        <v>1</v>
      </c>
    </row>
    <row r="8067" spans="1:3" x14ac:dyDescent="0.25">
      <c r="A8067" s="15">
        <f>Sheet1!A8067</f>
        <v>0</v>
      </c>
      <c r="B8067">
        <f>Sheet1!B8067</f>
        <v>1</v>
      </c>
      <c r="C8067">
        <f>IF(Sheet1!B8067&gt;0,1,0)</f>
        <v>1</v>
      </c>
    </row>
    <row r="8068" spans="1:3" x14ac:dyDescent="0.25">
      <c r="A8068" s="15">
        <f>Sheet1!A8068</f>
        <v>0</v>
      </c>
      <c r="B8068">
        <f>Sheet1!B8068</f>
        <v>1.01</v>
      </c>
      <c r="C8068">
        <f>IF(Sheet1!B8068&gt;0,1,0)</f>
        <v>1</v>
      </c>
    </row>
    <row r="8069" spans="1:3" x14ac:dyDescent="0.25">
      <c r="A8069" s="15">
        <f>Sheet1!A8069</f>
        <v>0</v>
      </c>
      <c r="B8069">
        <f>Sheet1!B8069</f>
        <v>0.5</v>
      </c>
      <c r="C8069">
        <f>IF(Sheet1!B8069&gt;0,1,0)</f>
        <v>1</v>
      </c>
    </row>
    <row r="8070" spans="1:3" x14ac:dyDescent="0.25">
      <c r="A8070" s="15">
        <f>Sheet1!A8070</f>
        <v>0</v>
      </c>
      <c r="B8070">
        <f>Sheet1!B8070</f>
        <v>0</v>
      </c>
      <c r="C8070">
        <f>IF(Sheet1!B8070&gt;0,1,0)</f>
        <v>0</v>
      </c>
    </row>
    <row r="8071" spans="1:3" x14ac:dyDescent="0.25">
      <c r="A8071" s="15">
        <f>Sheet1!A8071</f>
        <v>0</v>
      </c>
      <c r="B8071">
        <f>Sheet1!B8071</f>
        <v>2.13</v>
      </c>
      <c r="C8071">
        <f>IF(Sheet1!B8071&gt;0,1,0)</f>
        <v>1</v>
      </c>
    </row>
    <row r="8072" spans="1:3" x14ac:dyDescent="0.25">
      <c r="A8072" s="15">
        <f>Sheet1!A8072</f>
        <v>0</v>
      </c>
      <c r="B8072">
        <f>Sheet1!B8072</f>
        <v>0.7</v>
      </c>
      <c r="C8072">
        <f>IF(Sheet1!B8072&gt;0,1,0)</f>
        <v>1</v>
      </c>
    </row>
    <row r="8073" spans="1:3" x14ac:dyDescent="0.25">
      <c r="A8073" s="15">
        <f>Sheet1!A8073</f>
        <v>0</v>
      </c>
      <c r="B8073">
        <f>Sheet1!B8073</f>
        <v>0.4</v>
      </c>
      <c r="C8073">
        <f>IF(Sheet1!B8073&gt;0,1,0)</f>
        <v>1</v>
      </c>
    </row>
    <row r="8074" spans="1:3" x14ac:dyDescent="0.25">
      <c r="A8074" s="15">
        <f>Sheet1!A8074</f>
        <v>0</v>
      </c>
      <c r="B8074">
        <f>Sheet1!B8074</f>
        <v>0.14000000000000001</v>
      </c>
      <c r="C8074">
        <f>IF(Sheet1!B8074&gt;0,1,0)</f>
        <v>1</v>
      </c>
    </row>
    <row r="8075" spans="1:3" x14ac:dyDescent="0.25">
      <c r="A8075" s="15">
        <f>Sheet1!A8075</f>
        <v>0</v>
      </c>
      <c r="B8075">
        <f>Sheet1!B8075</f>
        <v>0</v>
      </c>
      <c r="C8075">
        <f>IF(Sheet1!B8075&gt;0,1,0)</f>
        <v>0</v>
      </c>
    </row>
    <row r="8076" spans="1:3" x14ac:dyDescent="0.25">
      <c r="A8076" s="15">
        <f>Sheet1!A8076</f>
        <v>0</v>
      </c>
      <c r="B8076">
        <f>Sheet1!B8076</f>
        <v>0.28999999999999998</v>
      </c>
      <c r="C8076">
        <f>IF(Sheet1!B8076&gt;0,1,0)</f>
        <v>1</v>
      </c>
    </row>
    <row r="8077" spans="1:3" x14ac:dyDescent="0.25">
      <c r="A8077" s="15">
        <f>Sheet1!A8077</f>
        <v>0</v>
      </c>
      <c r="B8077">
        <f>Sheet1!B8077</f>
        <v>0.6</v>
      </c>
      <c r="C8077">
        <f>IF(Sheet1!B8077&gt;0,1,0)</f>
        <v>1</v>
      </c>
    </row>
    <row r="8078" spans="1:3" x14ac:dyDescent="0.25">
      <c r="A8078" s="15">
        <f>Sheet1!A8078</f>
        <v>0</v>
      </c>
      <c r="B8078">
        <f>Sheet1!B8078</f>
        <v>0.75</v>
      </c>
      <c r="C8078">
        <f>IF(Sheet1!B8078&gt;0,1,0)</f>
        <v>1</v>
      </c>
    </row>
    <row r="8079" spans="1:3" x14ac:dyDescent="0.25">
      <c r="A8079" s="15">
        <f>Sheet1!A8079</f>
        <v>0</v>
      </c>
      <c r="B8079">
        <f>Sheet1!B8079</f>
        <v>0.8</v>
      </c>
      <c r="C8079">
        <f>IF(Sheet1!B8079&gt;0,1,0)</f>
        <v>1</v>
      </c>
    </row>
    <row r="8080" spans="1:3" x14ac:dyDescent="0.25">
      <c r="A8080" s="15">
        <f>Sheet1!A8080</f>
        <v>0</v>
      </c>
      <c r="B8080">
        <f>Sheet1!B8080</f>
        <v>0</v>
      </c>
      <c r="C8080">
        <f>IF(Sheet1!B8080&gt;0,1,0)</f>
        <v>0</v>
      </c>
    </row>
    <row r="8081" spans="1:3" x14ac:dyDescent="0.25">
      <c r="A8081" s="15">
        <f>Sheet1!A8081</f>
        <v>0</v>
      </c>
      <c r="B8081">
        <f>Sheet1!B8081</f>
        <v>0</v>
      </c>
      <c r="C8081">
        <f>IF(Sheet1!B8081&gt;0,1,0)</f>
        <v>0</v>
      </c>
    </row>
    <row r="8082" spans="1:3" x14ac:dyDescent="0.25">
      <c r="A8082" s="15">
        <f>Sheet1!A8082</f>
        <v>0</v>
      </c>
      <c r="B8082">
        <f>Sheet1!B8082</f>
        <v>0</v>
      </c>
      <c r="C8082">
        <f>IF(Sheet1!B8082&gt;0,1,0)</f>
        <v>0</v>
      </c>
    </row>
    <row r="8083" spans="1:3" x14ac:dyDescent="0.25">
      <c r="A8083" s="15">
        <f>Sheet1!A8083</f>
        <v>0</v>
      </c>
      <c r="B8083">
        <f>Sheet1!B8083</f>
        <v>0.86</v>
      </c>
      <c r="C8083">
        <f>IF(Sheet1!B8083&gt;0,1,0)</f>
        <v>1</v>
      </c>
    </row>
    <row r="8084" spans="1:3" x14ac:dyDescent="0.25">
      <c r="A8084" s="15">
        <f>Sheet1!A8084</f>
        <v>0</v>
      </c>
      <c r="B8084">
        <f>Sheet1!B8084</f>
        <v>0</v>
      </c>
      <c r="C8084">
        <f>IF(Sheet1!B8084&gt;0,1,0)</f>
        <v>0</v>
      </c>
    </row>
    <row r="8085" spans="1:3" x14ac:dyDescent="0.25">
      <c r="A8085" s="15">
        <f>Sheet1!A8085</f>
        <v>0</v>
      </c>
      <c r="B8085">
        <f>Sheet1!B8085</f>
        <v>0</v>
      </c>
      <c r="C8085">
        <f>IF(Sheet1!B8085&gt;0,1,0)</f>
        <v>0</v>
      </c>
    </row>
    <row r="8086" spans="1:3" x14ac:dyDescent="0.25">
      <c r="A8086" s="15">
        <f>Sheet1!A8086</f>
        <v>0</v>
      </c>
      <c r="B8086">
        <f>Sheet1!B8086</f>
        <v>0</v>
      </c>
      <c r="C8086">
        <f>IF(Sheet1!B8086&gt;0,1,0)</f>
        <v>0</v>
      </c>
    </row>
    <row r="8087" spans="1:3" x14ac:dyDescent="0.25">
      <c r="A8087" s="15">
        <f>Sheet1!A8087</f>
        <v>0</v>
      </c>
      <c r="B8087">
        <f>Sheet1!B8087</f>
        <v>0.77</v>
      </c>
      <c r="C8087">
        <f>IF(Sheet1!B8087&gt;0,1,0)</f>
        <v>1</v>
      </c>
    </row>
    <row r="8088" spans="1:3" x14ac:dyDescent="0.25">
      <c r="A8088" s="15">
        <f>Sheet1!A8088</f>
        <v>0</v>
      </c>
      <c r="B8088">
        <f>Sheet1!B8088</f>
        <v>0.86</v>
      </c>
      <c r="C8088">
        <f>IF(Sheet1!B8088&gt;0,1,0)</f>
        <v>1</v>
      </c>
    </row>
    <row r="8089" spans="1:3" x14ac:dyDescent="0.25">
      <c r="A8089" s="15">
        <f>Sheet1!A8089</f>
        <v>0</v>
      </c>
      <c r="B8089">
        <f>Sheet1!B8089</f>
        <v>0.62</v>
      </c>
      <c r="C8089">
        <f>IF(Sheet1!B8089&gt;0,1,0)</f>
        <v>1</v>
      </c>
    </row>
    <row r="8090" spans="1:3" x14ac:dyDescent="0.25">
      <c r="A8090" s="15">
        <f>Sheet1!A8090</f>
        <v>0</v>
      </c>
      <c r="B8090">
        <f>Sheet1!B8090</f>
        <v>0.69</v>
      </c>
      <c r="C8090">
        <f>IF(Sheet1!B8090&gt;0,1,0)</f>
        <v>1</v>
      </c>
    </row>
    <row r="8091" spans="1:3" x14ac:dyDescent="0.25">
      <c r="A8091" s="15">
        <f>Sheet1!A8091</f>
        <v>0</v>
      </c>
      <c r="B8091">
        <f>Sheet1!B8091</f>
        <v>0.32</v>
      </c>
      <c r="C8091">
        <f>IF(Sheet1!B8091&gt;0,1,0)</f>
        <v>1</v>
      </c>
    </row>
    <row r="8092" spans="1:3" x14ac:dyDescent="0.25">
      <c r="A8092" s="15">
        <f>Sheet1!A8092</f>
        <v>0</v>
      </c>
      <c r="B8092">
        <f>Sheet1!B8092</f>
        <v>0.67</v>
      </c>
      <c r="C8092">
        <f>IF(Sheet1!B8092&gt;0,1,0)</f>
        <v>1</v>
      </c>
    </row>
    <row r="8093" spans="1:3" x14ac:dyDescent="0.25">
      <c r="A8093" s="15">
        <f>Sheet1!A8093</f>
        <v>0</v>
      </c>
      <c r="B8093">
        <f>Sheet1!B8093</f>
        <v>0.95</v>
      </c>
      <c r="C8093">
        <f>IF(Sheet1!B8093&gt;0,1,0)</f>
        <v>1</v>
      </c>
    </row>
    <row r="8094" spans="1:3" x14ac:dyDescent="0.25">
      <c r="A8094" s="15">
        <f>Sheet1!A8094</f>
        <v>0</v>
      </c>
      <c r="B8094">
        <f>Sheet1!B8094</f>
        <v>0</v>
      </c>
      <c r="C8094">
        <f>IF(Sheet1!B8094&gt;0,1,0)</f>
        <v>0</v>
      </c>
    </row>
    <row r="8095" spans="1:3" x14ac:dyDescent="0.25">
      <c r="A8095" s="15">
        <f>Sheet1!A8095</f>
        <v>0</v>
      </c>
      <c r="B8095">
        <f>Sheet1!B8095</f>
        <v>0</v>
      </c>
      <c r="C8095">
        <f>IF(Sheet1!B8095&gt;0,1,0)</f>
        <v>0</v>
      </c>
    </row>
    <row r="8096" spans="1:3" x14ac:dyDescent="0.25">
      <c r="A8096" s="15">
        <f>Sheet1!A8096</f>
        <v>0</v>
      </c>
      <c r="B8096">
        <f>Sheet1!B8096</f>
        <v>0.45</v>
      </c>
      <c r="C8096">
        <f>IF(Sheet1!B8096&gt;0,1,0)</f>
        <v>1</v>
      </c>
    </row>
    <row r="8097" spans="1:3" x14ac:dyDescent="0.25">
      <c r="A8097" s="15">
        <f>Sheet1!A8097</f>
        <v>0</v>
      </c>
      <c r="B8097">
        <f>Sheet1!B8097</f>
        <v>0.28999999999999998</v>
      </c>
      <c r="C8097">
        <f>IF(Sheet1!B8097&gt;0,1,0)</f>
        <v>1</v>
      </c>
    </row>
    <row r="8098" spans="1:3" x14ac:dyDescent="0.25">
      <c r="A8098" s="15">
        <f>Sheet1!A8098</f>
        <v>0</v>
      </c>
      <c r="B8098">
        <f>Sheet1!B8098</f>
        <v>0.16</v>
      </c>
      <c r="C8098">
        <f>IF(Sheet1!B8098&gt;0,1,0)</f>
        <v>1</v>
      </c>
    </row>
    <row r="8099" spans="1:3" x14ac:dyDescent="0.25">
      <c r="A8099" s="15">
        <f>Sheet1!A8099</f>
        <v>0</v>
      </c>
      <c r="B8099">
        <f>Sheet1!B8099</f>
        <v>0</v>
      </c>
      <c r="C8099">
        <f>IF(Sheet1!B8099&gt;0,1,0)</f>
        <v>0</v>
      </c>
    </row>
    <row r="8100" spans="1:3" x14ac:dyDescent="0.25">
      <c r="A8100" s="15">
        <f>Sheet1!A8100</f>
        <v>0</v>
      </c>
      <c r="B8100">
        <f>Sheet1!B8100</f>
        <v>0.38</v>
      </c>
      <c r="C8100">
        <f>IF(Sheet1!B8100&gt;0,1,0)</f>
        <v>1</v>
      </c>
    </row>
    <row r="8101" spans="1:3" x14ac:dyDescent="0.25">
      <c r="A8101" s="15">
        <f>Sheet1!A8101</f>
        <v>0</v>
      </c>
      <c r="B8101">
        <f>Sheet1!B8101</f>
        <v>0.5</v>
      </c>
      <c r="C8101">
        <f>IF(Sheet1!B8101&gt;0,1,0)</f>
        <v>1</v>
      </c>
    </row>
    <row r="8102" spans="1:3" x14ac:dyDescent="0.25">
      <c r="A8102" s="15">
        <f>Sheet1!A8102</f>
        <v>0</v>
      </c>
      <c r="B8102">
        <f>Sheet1!B8102</f>
        <v>0</v>
      </c>
      <c r="C8102">
        <f>IF(Sheet1!B8102&gt;0,1,0)</f>
        <v>0</v>
      </c>
    </row>
    <row r="8103" spans="1:3" x14ac:dyDescent="0.25">
      <c r="A8103" s="15">
        <f>Sheet1!A8103</f>
        <v>0</v>
      </c>
      <c r="B8103">
        <f>Sheet1!B8103</f>
        <v>0</v>
      </c>
      <c r="C8103">
        <f>IF(Sheet1!B8103&gt;0,1,0)</f>
        <v>0</v>
      </c>
    </row>
    <row r="8104" spans="1:3" x14ac:dyDescent="0.25">
      <c r="A8104" s="15">
        <f>Sheet1!A8104</f>
        <v>0</v>
      </c>
      <c r="B8104">
        <f>Sheet1!B8104</f>
        <v>0</v>
      </c>
      <c r="C8104">
        <f>IF(Sheet1!B8104&gt;0,1,0)</f>
        <v>0</v>
      </c>
    </row>
    <row r="8105" spans="1:3" x14ac:dyDescent="0.25">
      <c r="A8105" s="15">
        <f>Sheet1!A8105</f>
        <v>0</v>
      </c>
      <c r="B8105">
        <f>Sheet1!B8105</f>
        <v>0</v>
      </c>
      <c r="C8105">
        <f>IF(Sheet1!B8105&gt;0,1,0)</f>
        <v>0</v>
      </c>
    </row>
    <row r="8106" spans="1:3" x14ac:dyDescent="0.25">
      <c r="A8106" s="15">
        <f>Sheet1!A8106</f>
        <v>0</v>
      </c>
      <c r="B8106">
        <f>Sheet1!B8106</f>
        <v>0</v>
      </c>
      <c r="C8106">
        <f>IF(Sheet1!B8106&gt;0,1,0)</f>
        <v>0</v>
      </c>
    </row>
    <row r="8107" spans="1:3" x14ac:dyDescent="0.25">
      <c r="A8107" s="15">
        <f>Sheet1!A8107</f>
        <v>0</v>
      </c>
      <c r="B8107">
        <f>Sheet1!B8107</f>
        <v>1.53</v>
      </c>
      <c r="C8107">
        <f>IF(Sheet1!B8107&gt;0,1,0)</f>
        <v>1</v>
      </c>
    </row>
    <row r="8108" spans="1:3" x14ac:dyDescent="0.25">
      <c r="A8108" s="15">
        <f>Sheet1!A8108</f>
        <v>0</v>
      </c>
      <c r="B8108">
        <f>Sheet1!B8108</f>
        <v>0</v>
      </c>
      <c r="C8108">
        <f>IF(Sheet1!B8108&gt;0,1,0)</f>
        <v>0</v>
      </c>
    </row>
    <row r="8109" spans="1:3" x14ac:dyDescent="0.25">
      <c r="A8109" s="15">
        <f>Sheet1!A8109</f>
        <v>0</v>
      </c>
      <c r="B8109">
        <f>Sheet1!B8109</f>
        <v>0</v>
      </c>
      <c r="C8109">
        <f>IF(Sheet1!B8109&gt;0,1,0)</f>
        <v>0</v>
      </c>
    </row>
    <row r="8110" spans="1:3" x14ac:dyDescent="0.25">
      <c r="A8110" s="15">
        <f>Sheet1!A8110</f>
        <v>0</v>
      </c>
      <c r="B8110">
        <f>Sheet1!B8110</f>
        <v>0.69</v>
      </c>
      <c r="C8110">
        <f>IF(Sheet1!B8110&gt;0,1,0)</f>
        <v>1</v>
      </c>
    </row>
    <row r="8111" spans="1:3" x14ac:dyDescent="0.25">
      <c r="A8111" s="15">
        <f>Sheet1!A8111</f>
        <v>0</v>
      </c>
      <c r="B8111">
        <f>Sheet1!B8111</f>
        <v>1.32</v>
      </c>
      <c r="C8111">
        <f>IF(Sheet1!B8111&gt;0,1,0)</f>
        <v>1</v>
      </c>
    </row>
    <row r="8112" spans="1:3" x14ac:dyDescent="0.25">
      <c r="A8112" s="15">
        <f>Sheet1!A8112</f>
        <v>0</v>
      </c>
      <c r="B8112">
        <f>Sheet1!B8112</f>
        <v>0.74</v>
      </c>
      <c r="C8112">
        <f>IF(Sheet1!B8112&gt;0,1,0)</f>
        <v>1</v>
      </c>
    </row>
    <row r="8113" spans="1:3" x14ac:dyDescent="0.25">
      <c r="A8113" s="15">
        <f>Sheet1!A8113</f>
        <v>0</v>
      </c>
      <c r="B8113">
        <f>Sheet1!B8113</f>
        <v>0.51</v>
      </c>
      <c r="C8113">
        <f>IF(Sheet1!B8113&gt;0,1,0)</f>
        <v>1</v>
      </c>
    </row>
    <row r="8114" spans="1:3" x14ac:dyDescent="0.25">
      <c r="A8114" s="15">
        <f>Sheet1!A8114</f>
        <v>0</v>
      </c>
      <c r="B8114">
        <f>Sheet1!B8114</f>
        <v>0.68</v>
      </c>
      <c r="C8114">
        <f>IF(Sheet1!B8114&gt;0,1,0)</f>
        <v>1</v>
      </c>
    </row>
    <row r="8115" spans="1:3" x14ac:dyDescent="0.25">
      <c r="A8115" s="15">
        <f>Sheet1!A8115</f>
        <v>0</v>
      </c>
      <c r="B8115">
        <f>Sheet1!B8115</f>
        <v>0.55000000000000004</v>
      </c>
      <c r="C8115">
        <f>IF(Sheet1!B8115&gt;0,1,0)</f>
        <v>1</v>
      </c>
    </row>
    <row r="8116" spans="1:3" x14ac:dyDescent="0.25">
      <c r="A8116" s="15">
        <f>Sheet1!A8116</f>
        <v>0</v>
      </c>
      <c r="B8116">
        <f>Sheet1!B8116</f>
        <v>0.45</v>
      </c>
      <c r="C8116">
        <f>IF(Sheet1!B8116&gt;0,1,0)</f>
        <v>1</v>
      </c>
    </row>
    <row r="8117" spans="1:3" x14ac:dyDescent="0.25">
      <c r="A8117" s="15">
        <f>Sheet1!A8117</f>
        <v>0</v>
      </c>
      <c r="B8117">
        <f>Sheet1!B8117</f>
        <v>0.85</v>
      </c>
      <c r="C8117">
        <f>IF(Sheet1!B8117&gt;0,1,0)</f>
        <v>1</v>
      </c>
    </row>
    <row r="8118" spans="1:3" x14ac:dyDescent="0.25">
      <c r="A8118" s="15">
        <f>Sheet1!A8118</f>
        <v>0</v>
      </c>
      <c r="B8118">
        <f>Sheet1!B8118</f>
        <v>0</v>
      </c>
      <c r="C8118">
        <f>IF(Sheet1!B8118&gt;0,1,0)</f>
        <v>0</v>
      </c>
    </row>
    <row r="8119" spans="1:3" x14ac:dyDescent="0.25">
      <c r="A8119" s="15">
        <f>Sheet1!A8119</f>
        <v>0</v>
      </c>
      <c r="B8119">
        <f>Sheet1!B8119</f>
        <v>0</v>
      </c>
      <c r="C8119">
        <f>IF(Sheet1!B8119&gt;0,1,0)</f>
        <v>0</v>
      </c>
    </row>
    <row r="8120" spans="1:3" x14ac:dyDescent="0.25">
      <c r="A8120" s="15">
        <f>Sheet1!A8120</f>
        <v>0</v>
      </c>
      <c r="B8120">
        <f>Sheet1!B8120</f>
        <v>0.37</v>
      </c>
      <c r="C8120">
        <f>IF(Sheet1!B8120&gt;0,1,0)</f>
        <v>1</v>
      </c>
    </row>
    <row r="8121" spans="1:3" x14ac:dyDescent="0.25">
      <c r="A8121" s="15">
        <f>Sheet1!A8121</f>
        <v>0</v>
      </c>
      <c r="B8121">
        <f>Sheet1!B8121</f>
        <v>0.74</v>
      </c>
      <c r="C8121">
        <f>IF(Sheet1!B8121&gt;0,1,0)</f>
        <v>1</v>
      </c>
    </row>
    <row r="8122" spans="1:3" x14ac:dyDescent="0.25">
      <c r="A8122" s="15">
        <f>Sheet1!A8122</f>
        <v>0</v>
      </c>
      <c r="B8122">
        <f>Sheet1!B8122</f>
        <v>0</v>
      </c>
      <c r="C8122">
        <f>IF(Sheet1!B8122&gt;0,1,0)</f>
        <v>0</v>
      </c>
    </row>
    <row r="8123" spans="1:3" x14ac:dyDescent="0.25">
      <c r="A8123" s="15">
        <f>Sheet1!A8123</f>
        <v>0</v>
      </c>
      <c r="B8123">
        <f>Sheet1!B8123</f>
        <v>0</v>
      </c>
      <c r="C8123">
        <f>IF(Sheet1!B8123&gt;0,1,0)</f>
        <v>0</v>
      </c>
    </row>
    <row r="8124" spans="1:3" x14ac:dyDescent="0.25">
      <c r="A8124" s="15">
        <f>Sheet1!A8124</f>
        <v>0</v>
      </c>
      <c r="B8124">
        <f>Sheet1!B8124</f>
        <v>0</v>
      </c>
      <c r="C8124">
        <f>IF(Sheet1!B8124&gt;0,1,0)</f>
        <v>0</v>
      </c>
    </row>
    <row r="8125" spans="1:3" x14ac:dyDescent="0.25">
      <c r="A8125" s="15">
        <f>Sheet1!A8125</f>
        <v>0</v>
      </c>
      <c r="B8125">
        <f>Sheet1!B8125</f>
        <v>0</v>
      </c>
      <c r="C8125">
        <f>IF(Sheet1!B8125&gt;0,1,0)</f>
        <v>0</v>
      </c>
    </row>
    <row r="8126" spans="1:3" x14ac:dyDescent="0.25">
      <c r="A8126" s="15">
        <f>Sheet1!A8126</f>
        <v>0</v>
      </c>
      <c r="B8126">
        <f>Sheet1!B8126</f>
        <v>0</v>
      </c>
      <c r="C8126">
        <f>IF(Sheet1!B8126&gt;0,1,0)</f>
        <v>0</v>
      </c>
    </row>
    <row r="8127" spans="1:3" x14ac:dyDescent="0.25">
      <c r="A8127" s="15">
        <f>Sheet1!A8127</f>
        <v>0</v>
      </c>
      <c r="B8127">
        <f>Sheet1!B8127</f>
        <v>1.61</v>
      </c>
      <c r="C8127">
        <f>IF(Sheet1!B8127&gt;0,1,0)</f>
        <v>1</v>
      </c>
    </row>
    <row r="8128" spans="1:3" x14ac:dyDescent="0.25">
      <c r="A8128" s="15">
        <f>Sheet1!A8128</f>
        <v>0</v>
      </c>
      <c r="B8128">
        <f>Sheet1!B8128</f>
        <v>0</v>
      </c>
      <c r="C8128">
        <f>IF(Sheet1!B8128&gt;0,1,0)</f>
        <v>0</v>
      </c>
    </row>
    <row r="8129" spans="1:3" x14ac:dyDescent="0.25">
      <c r="A8129" s="15">
        <f>Sheet1!A8129</f>
        <v>0</v>
      </c>
      <c r="B8129">
        <f>Sheet1!B8129</f>
        <v>0</v>
      </c>
      <c r="C8129">
        <f>IF(Sheet1!B8129&gt;0,1,0)</f>
        <v>0</v>
      </c>
    </row>
    <row r="8130" spans="1:3" x14ac:dyDescent="0.25">
      <c r="A8130" s="15">
        <f>Sheet1!A8130</f>
        <v>0</v>
      </c>
      <c r="B8130">
        <f>Sheet1!B8130</f>
        <v>0</v>
      </c>
      <c r="C8130">
        <f>IF(Sheet1!B8130&gt;0,1,0)</f>
        <v>0</v>
      </c>
    </row>
    <row r="8131" spans="1:3" x14ac:dyDescent="0.25">
      <c r="A8131" s="15">
        <f>Sheet1!A8131</f>
        <v>0</v>
      </c>
      <c r="B8131">
        <f>Sheet1!B8131</f>
        <v>0</v>
      </c>
      <c r="C8131">
        <f>IF(Sheet1!B8131&gt;0,1,0)</f>
        <v>0</v>
      </c>
    </row>
    <row r="8132" spans="1:3" x14ac:dyDescent="0.25">
      <c r="A8132" s="15">
        <f>Sheet1!A8132</f>
        <v>0</v>
      </c>
      <c r="B8132">
        <f>Sheet1!B8132</f>
        <v>0</v>
      </c>
      <c r="C8132">
        <f>IF(Sheet1!B8132&gt;0,1,0)</f>
        <v>0</v>
      </c>
    </row>
    <row r="8133" spans="1:3" x14ac:dyDescent="0.25">
      <c r="A8133" s="15">
        <f>Sheet1!A8133</f>
        <v>0</v>
      </c>
      <c r="B8133">
        <f>Sheet1!B8133</f>
        <v>1.78</v>
      </c>
      <c r="C8133">
        <f>IF(Sheet1!B8133&gt;0,1,0)</f>
        <v>1</v>
      </c>
    </row>
    <row r="8134" spans="1:3" x14ac:dyDescent="0.25">
      <c r="A8134" s="15">
        <f>Sheet1!A8134</f>
        <v>0</v>
      </c>
      <c r="B8134">
        <f>Sheet1!B8134</f>
        <v>0</v>
      </c>
      <c r="C8134">
        <f>IF(Sheet1!B8134&gt;0,1,0)</f>
        <v>0</v>
      </c>
    </row>
    <row r="8135" spans="1:3" x14ac:dyDescent="0.25">
      <c r="A8135" s="15">
        <f>Sheet1!A8135</f>
        <v>0</v>
      </c>
      <c r="B8135">
        <f>Sheet1!B8135</f>
        <v>1.4</v>
      </c>
      <c r="C8135">
        <f>IF(Sheet1!B8135&gt;0,1,0)</f>
        <v>1</v>
      </c>
    </row>
    <row r="8136" spans="1:3" x14ac:dyDescent="0.25">
      <c r="A8136" s="15">
        <f>Sheet1!A8136</f>
        <v>0</v>
      </c>
      <c r="B8136">
        <f>Sheet1!B8136</f>
        <v>1.21</v>
      </c>
      <c r="C8136">
        <f>IF(Sheet1!B8136&gt;0,1,0)</f>
        <v>1</v>
      </c>
    </row>
    <row r="8137" spans="1:3" x14ac:dyDescent="0.25">
      <c r="A8137" s="15">
        <f>Sheet1!A8137</f>
        <v>0</v>
      </c>
      <c r="B8137">
        <f>Sheet1!B8137</f>
        <v>1.26</v>
      </c>
      <c r="C8137">
        <f>IF(Sheet1!B8137&gt;0,1,0)</f>
        <v>1</v>
      </c>
    </row>
    <row r="8138" spans="1:3" x14ac:dyDescent="0.25">
      <c r="A8138" s="15">
        <f>Sheet1!A8138</f>
        <v>0</v>
      </c>
      <c r="B8138">
        <f>Sheet1!B8138</f>
        <v>1.56</v>
      </c>
      <c r="C8138">
        <f>IF(Sheet1!B8138&gt;0,1,0)</f>
        <v>1</v>
      </c>
    </row>
    <row r="8139" spans="1:3" x14ac:dyDescent="0.25">
      <c r="A8139" s="15">
        <f>Sheet1!A8139</f>
        <v>0</v>
      </c>
      <c r="B8139">
        <f>Sheet1!B8139</f>
        <v>1.33</v>
      </c>
      <c r="C8139">
        <f>IF(Sheet1!B8139&gt;0,1,0)</f>
        <v>1</v>
      </c>
    </row>
    <row r="8140" spans="1:3" x14ac:dyDescent="0.25">
      <c r="A8140" s="15">
        <f>Sheet1!A8140</f>
        <v>0</v>
      </c>
      <c r="B8140">
        <f>Sheet1!B8140</f>
        <v>1.6</v>
      </c>
      <c r="C8140">
        <f>IF(Sheet1!B8140&gt;0,1,0)</f>
        <v>1</v>
      </c>
    </row>
    <row r="8141" spans="1:3" x14ac:dyDescent="0.25">
      <c r="A8141" s="15">
        <f>Sheet1!A8141</f>
        <v>0</v>
      </c>
      <c r="B8141">
        <f>Sheet1!B8141</f>
        <v>1.24</v>
      </c>
      <c r="C8141">
        <f>IF(Sheet1!B8141&gt;0,1,0)</f>
        <v>1</v>
      </c>
    </row>
    <row r="8142" spans="1:3" x14ac:dyDescent="0.25">
      <c r="A8142" s="15">
        <f>Sheet1!A8142</f>
        <v>0</v>
      </c>
      <c r="B8142">
        <f>Sheet1!B8142</f>
        <v>1.39</v>
      </c>
      <c r="C8142">
        <f>IF(Sheet1!B8142&gt;0,1,0)</f>
        <v>1</v>
      </c>
    </row>
    <row r="8143" spans="1:3" x14ac:dyDescent="0.25">
      <c r="A8143" s="15">
        <f>Sheet1!A8143</f>
        <v>0</v>
      </c>
      <c r="B8143">
        <f>Sheet1!B8143</f>
        <v>0.67</v>
      </c>
      <c r="C8143">
        <f>IF(Sheet1!B8143&gt;0,1,0)</f>
        <v>1</v>
      </c>
    </row>
    <row r="8144" spans="1:3" x14ac:dyDescent="0.25">
      <c r="A8144" s="15">
        <f>Sheet1!A8144</f>
        <v>0</v>
      </c>
      <c r="B8144">
        <f>Sheet1!B8144</f>
        <v>0</v>
      </c>
      <c r="C8144">
        <f>IF(Sheet1!B8144&gt;0,1,0)</f>
        <v>0</v>
      </c>
    </row>
    <row r="8145" spans="1:3" x14ac:dyDescent="0.25">
      <c r="A8145" s="15">
        <f>Sheet1!A8145</f>
        <v>0</v>
      </c>
      <c r="B8145">
        <f>Sheet1!B8145</f>
        <v>0</v>
      </c>
      <c r="C8145">
        <f>IF(Sheet1!B8145&gt;0,1,0)</f>
        <v>0</v>
      </c>
    </row>
    <row r="8146" spans="1:3" x14ac:dyDescent="0.25">
      <c r="A8146" s="15">
        <f>Sheet1!A8146</f>
        <v>0</v>
      </c>
      <c r="B8146">
        <f>Sheet1!B8146</f>
        <v>0.38</v>
      </c>
      <c r="C8146">
        <f>IF(Sheet1!B8146&gt;0,1,0)</f>
        <v>1</v>
      </c>
    </row>
    <row r="8147" spans="1:3" x14ac:dyDescent="0.25">
      <c r="A8147" s="15">
        <f>Sheet1!A8147</f>
        <v>0</v>
      </c>
      <c r="B8147">
        <f>Sheet1!B8147</f>
        <v>0.44</v>
      </c>
      <c r="C8147">
        <f>IF(Sheet1!B8147&gt;0,1,0)</f>
        <v>1</v>
      </c>
    </row>
    <row r="8148" spans="1:3" x14ac:dyDescent="0.25">
      <c r="A8148" s="15">
        <f>Sheet1!A8148</f>
        <v>0</v>
      </c>
      <c r="B8148">
        <f>Sheet1!B8148</f>
        <v>0</v>
      </c>
      <c r="C8148">
        <f>IF(Sheet1!B8148&gt;0,1,0)</f>
        <v>0</v>
      </c>
    </row>
    <row r="8149" spans="1:3" x14ac:dyDescent="0.25">
      <c r="A8149" s="15">
        <f>Sheet1!A8149</f>
        <v>0</v>
      </c>
      <c r="B8149">
        <f>Sheet1!B8149</f>
        <v>0</v>
      </c>
      <c r="C8149">
        <f>IF(Sheet1!B8149&gt;0,1,0)</f>
        <v>0</v>
      </c>
    </row>
    <row r="8150" spans="1:3" x14ac:dyDescent="0.25">
      <c r="A8150" s="15">
        <f>Sheet1!A8150</f>
        <v>0</v>
      </c>
      <c r="B8150">
        <f>Sheet1!B8150</f>
        <v>0</v>
      </c>
      <c r="C8150">
        <f>IF(Sheet1!B8150&gt;0,1,0)</f>
        <v>0</v>
      </c>
    </row>
    <row r="8151" spans="1:3" x14ac:dyDescent="0.25">
      <c r="A8151" s="15">
        <f>Sheet1!A8151</f>
        <v>0</v>
      </c>
      <c r="B8151">
        <f>Sheet1!B8151</f>
        <v>0.75</v>
      </c>
      <c r="C8151">
        <f>IF(Sheet1!B8151&gt;0,1,0)</f>
        <v>1</v>
      </c>
    </row>
    <row r="8152" spans="1:3" x14ac:dyDescent="0.25">
      <c r="A8152" s="15">
        <f>Sheet1!A8152</f>
        <v>0</v>
      </c>
      <c r="B8152">
        <f>Sheet1!B8152</f>
        <v>0</v>
      </c>
      <c r="C8152">
        <f>IF(Sheet1!B8152&gt;0,1,0)</f>
        <v>0</v>
      </c>
    </row>
    <row r="8153" spans="1:3" x14ac:dyDescent="0.25">
      <c r="A8153" s="15">
        <f>Sheet1!A8153</f>
        <v>0</v>
      </c>
      <c r="B8153">
        <f>Sheet1!B8153</f>
        <v>0</v>
      </c>
      <c r="C8153">
        <f>IF(Sheet1!B8153&gt;0,1,0)</f>
        <v>0</v>
      </c>
    </row>
    <row r="8154" spans="1:3" x14ac:dyDescent="0.25">
      <c r="A8154" s="15">
        <f>Sheet1!A8154</f>
        <v>0</v>
      </c>
      <c r="B8154">
        <f>Sheet1!B8154</f>
        <v>0</v>
      </c>
      <c r="C8154">
        <f>IF(Sheet1!B8154&gt;0,1,0)</f>
        <v>0</v>
      </c>
    </row>
    <row r="8155" spans="1:3" x14ac:dyDescent="0.25">
      <c r="A8155" s="15">
        <f>Sheet1!A8155</f>
        <v>0</v>
      </c>
      <c r="B8155">
        <f>Sheet1!B8155</f>
        <v>0</v>
      </c>
      <c r="C8155">
        <f>IF(Sheet1!B8155&gt;0,1,0)</f>
        <v>0</v>
      </c>
    </row>
    <row r="8156" spans="1:3" x14ac:dyDescent="0.25">
      <c r="A8156" s="15">
        <f>Sheet1!A8156</f>
        <v>0</v>
      </c>
      <c r="B8156">
        <f>Sheet1!B8156</f>
        <v>0</v>
      </c>
      <c r="C8156">
        <f>IF(Sheet1!B8156&gt;0,1,0)</f>
        <v>0</v>
      </c>
    </row>
    <row r="8157" spans="1:3" x14ac:dyDescent="0.25">
      <c r="A8157" s="15">
        <f>Sheet1!A8157</f>
        <v>0</v>
      </c>
      <c r="B8157">
        <f>Sheet1!B8157</f>
        <v>1.47</v>
      </c>
      <c r="C8157">
        <f>IF(Sheet1!B8157&gt;0,1,0)</f>
        <v>1</v>
      </c>
    </row>
    <row r="8158" spans="1:3" x14ac:dyDescent="0.25">
      <c r="A8158" s="15">
        <f>Sheet1!A8158</f>
        <v>0</v>
      </c>
      <c r="B8158">
        <f>Sheet1!B8158</f>
        <v>0</v>
      </c>
      <c r="C8158">
        <f>IF(Sheet1!B8158&gt;0,1,0)</f>
        <v>0</v>
      </c>
    </row>
    <row r="8159" spans="1:3" x14ac:dyDescent="0.25">
      <c r="A8159" s="15">
        <f>Sheet1!A8159</f>
        <v>0</v>
      </c>
      <c r="B8159">
        <f>Sheet1!B8159</f>
        <v>1.1599999999999999</v>
      </c>
      <c r="C8159">
        <f>IF(Sheet1!B8159&gt;0,1,0)</f>
        <v>1</v>
      </c>
    </row>
    <row r="8160" spans="1:3" x14ac:dyDescent="0.25">
      <c r="A8160" s="15">
        <f>Sheet1!A8160</f>
        <v>0</v>
      </c>
      <c r="B8160">
        <f>Sheet1!B8160</f>
        <v>1.2</v>
      </c>
      <c r="C8160">
        <f>IF(Sheet1!B8160&gt;0,1,0)</f>
        <v>1</v>
      </c>
    </row>
    <row r="8161" spans="1:3" x14ac:dyDescent="0.25">
      <c r="A8161" s="15">
        <f>Sheet1!A8161</f>
        <v>0</v>
      </c>
      <c r="B8161">
        <f>Sheet1!B8161</f>
        <v>1.24</v>
      </c>
      <c r="C8161">
        <f>IF(Sheet1!B8161&gt;0,1,0)</f>
        <v>1</v>
      </c>
    </row>
    <row r="8162" spans="1:3" x14ac:dyDescent="0.25">
      <c r="A8162" s="15">
        <f>Sheet1!A8162</f>
        <v>0</v>
      </c>
      <c r="B8162">
        <f>Sheet1!B8162</f>
        <v>0.75</v>
      </c>
      <c r="C8162">
        <f>IF(Sheet1!B8162&gt;0,1,0)</f>
        <v>1</v>
      </c>
    </row>
    <row r="8163" spans="1:3" x14ac:dyDescent="0.25">
      <c r="A8163" s="15">
        <f>Sheet1!A8163</f>
        <v>0</v>
      </c>
      <c r="B8163">
        <f>Sheet1!B8163</f>
        <v>0.96</v>
      </c>
      <c r="C8163">
        <f>IF(Sheet1!B8163&gt;0,1,0)</f>
        <v>1</v>
      </c>
    </row>
    <row r="8164" spans="1:3" x14ac:dyDescent="0.25">
      <c r="A8164" s="15">
        <f>Sheet1!A8164</f>
        <v>0</v>
      </c>
      <c r="B8164">
        <f>Sheet1!B8164</f>
        <v>0.73</v>
      </c>
      <c r="C8164">
        <f>IF(Sheet1!B8164&gt;0,1,0)</f>
        <v>1</v>
      </c>
    </row>
    <row r="8165" spans="1:3" x14ac:dyDescent="0.25">
      <c r="A8165" s="15">
        <f>Sheet1!A8165</f>
        <v>0</v>
      </c>
      <c r="B8165">
        <f>Sheet1!B8165</f>
        <v>1.26</v>
      </c>
      <c r="C8165">
        <f>IF(Sheet1!B8165&gt;0,1,0)</f>
        <v>1</v>
      </c>
    </row>
    <row r="8166" spans="1:3" x14ac:dyDescent="0.25">
      <c r="A8166" s="15">
        <f>Sheet1!A8166</f>
        <v>0</v>
      </c>
      <c r="B8166">
        <f>Sheet1!B8166</f>
        <v>0.64</v>
      </c>
      <c r="C8166">
        <f>IF(Sheet1!B8166&gt;0,1,0)</f>
        <v>1</v>
      </c>
    </row>
    <row r="8167" spans="1:3" x14ac:dyDescent="0.25">
      <c r="A8167" s="15">
        <f>Sheet1!A8167</f>
        <v>0</v>
      </c>
      <c r="B8167">
        <f>Sheet1!B8167</f>
        <v>0.28000000000000003</v>
      </c>
      <c r="C8167">
        <f>IF(Sheet1!B8167&gt;0,1,0)</f>
        <v>1</v>
      </c>
    </row>
    <row r="8168" spans="1:3" x14ac:dyDescent="0.25">
      <c r="A8168" s="15">
        <f>Sheet1!A8168</f>
        <v>0</v>
      </c>
      <c r="B8168">
        <f>Sheet1!B8168</f>
        <v>0.56000000000000005</v>
      </c>
      <c r="C8168">
        <f>IF(Sheet1!B8168&gt;0,1,0)</f>
        <v>1</v>
      </c>
    </row>
    <row r="8169" spans="1:3" x14ac:dyDescent="0.25">
      <c r="A8169" s="15">
        <f>Sheet1!A8169</f>
        <v>0</v>
      </c>
      <c r="B8169">
        <f>Sheet1!B8169</f>
        <v>0.23</v>
      </c>
      <c r="C8169">
        <f>IF(Sheet1!B8169&gt;0,1,0)</f>
        <v>1</v>
      </c>
    </row>
    <row r="8170" spans="1:3" x14ac:dyDescent="0.25">
      <c r="A8170" s="15">
        <f>Sheet1!A8170</f>
        <v>0</v>
      </c>
      <c r="B8170">
        <f>Sheet1!B8170</f>
        <v>0.13</v>
      </c>
      <c r="C8170">
        <f>IF(Sheet1!B8170&gt;0,1,0)</f>
        <v>1</v>
      </c>
    </row>
    <row r="8171" spans="1:3" x14ac:dyDescent="0.25">
      <c r="A8171" s="15">
        <f>Sheet1!A8171</f>
        <v>0</v>
      </c>
      <c r="B8171">
        <f>Sheet1!B8171</f>
        <v>0</v>
      </c>
      <c r="C8171">
        <f>IF(Sheet1!B8171&gt;0,1,0)</f>
        <v>0</v>
      </c>
    </row>
    <row r="8172" spans="1:3" x14ac:dyDescent="0.25">
      <c r="A8172" s="15">
        <f>Sheet1!A8172</f>
        <v>0</v>
      </c>
      <c r="B8172">
        <f>Sheet1!B8172</f>
        <v>0.38</v>
      </c>
      <c r="C8172">
        <f>IF(Sheet1!B8172&gt;0,1,0)</f>
        <v>1</v>
      </c>
    </row>
    <row r="8173" spans="1:3" x14ac:dyDescent="0.25">
      <c r="A8173" s="15">
        <f>Sheet1!A8173</f>
        <v>0</v>
      </c>
      <c r="B8173">
        <f>Sheet1!B8173</f>
        <v>0.83</v>
      </c>
      <c r="C8173">
        <f>IF(Sheet1!B8173&gt;0,1,0)</f>
        <v>1</v>
      </c>
    </row>
    <row r="8174" spans="1:3" x14ac:dyDescent="0.25">
      <c r="A8174" s="15">
        <f>Sheet1!A8174</f>
        <v>0</v>
      </c>
      <c r="B8174">
        <f>Sheet1!B8174</f>
        <v>0</v>
      </c>
      <c r="C8174">
        <f>IF(Sheet1!B8174&gt;0,1,0)</f>
        <v>0</v>
      </c>
    </row>
    <row r="8175" spans="1:3" x14ac:dyDescent="0.25">
      <c r="A8175" s="15">
        <f>Sheet1!A8175</f>
        <v>0</v>
      </c>
      <c r="B8175">
        <f>Sheet1!B8175</f>
        <v>0</v>
      </c>
      <c r="C8175">
        <f>IF(Sheet1!B8175&gt;0,1,0)</f>
        <v>0</v>
      </c>
    </row>
    <row r="8176" spans="1:3" x14ac:dyDescent="0.25">
      <c r="A8176" s="15">
        <f>Sheet1!A8176</f>
        <v>0</v>
      </c>
      <c r="B8176">
        <f>Sheet1!B8176</f>
        <v>0</v>
      </c>
      <c r="C8176">
        <f>IF(Sheet1!B8176&gt;0,1,0)</f>
        <v>0</v>
      </c>
    </row>
    <row r="8177" spans="1:3" x14ac:dyDescent="0.25">
      <c r="A8177" s="15">
        <f>Sheet1!A8177</f>
        <v>0</v>
      </c>
      <c r="B8177">
        <f>Sheet1!B8177</f>
        <v>0.92</v>
      </c>
      <c r="C8177">
        <f>IF(Sheet1!B8177&gt;0,1,0)</f>
        <v>1</v>
      </c>
    </row>
    <row r="8178" spans="1:3" x14ac:dyDescent="0.25">
      <c r="A8178" s="15">
        <f>Sheet1!A8178</f>
        <v>0</v>
      </c>
      <c r="B8178">
        <f>Sheet1!B8178</f>
        <v>0</v>
      </c>
      <c r="C8178">
        <f>IF(Sheet1!B8178&gt;0,1,0)</f>
        <v>0</v>
      </c>
    </row>
    <row r="8179" spans="1:3" x14ac:dyDescent="0.25">
      <c r="A8179" s="15">
        <f>Sheet1!A8179</f>
        <v>0</v>
      </c>
      <c r="B8179">
        <f>Sheet1!B8179</f>
        <v>0</v>
      </c>
      <c r="C8179">
        <f>IF(Sheet1!B8179&gt;0,1,0)</f>
        <v>0</v>
      </c>
    </row>
    <row r="8180" spans="1:3" x14ac:dyDescent="0.25">
      <c r="A8180" s="15">
        <f>Sheet1!A8180</f>
        <v>0</v>
      </c>
      <c r="B8180">
        <f>Sheet1!B8180</f>
        <v>0</v>
      </c>
      <c r="C8180">
        <f>IF(Sheet1!B8180&gt;0,1,0)</f>
        <v>0</v>
      </c>
    </row>
    <row r="8181" spans="1:3" x14ac:dyDescent="0.25">
      <c r="A8181" s="15">
        <f>Sheet1!A8181</f>
        <v>0</v>
      </c>
      <c r="B8181">
        <f>Sheet1!B8181</f>
        <v>0</v>
      </c>
      <c r="C8181">
        <f>IF(Sheet1!B8181&gt;0,1,0)</f>
        <v>0</v>
      </c>
    </row>
    <row r="8182" spans="1:3" x14ac:dyDescent="0.25">
      <c r="A8182" s="15">
        <f>Sheet1!A8182</f>
        <v>0</v>
      </c>
      <c r="B8182">
        <f>Sheet1!B8182</f>
        <v>0</v>
      </c>
      <c r="C8182">
        <f>IF(Sheet1!B8182&gt;0,1,0)</f>
        <v>0</v>
      </c>
    </row>
    <row r="8183" spans="1:3" x14ac:dyDescent="0.25">
      <c r="A8183" s="15">
        <f>Sheet1!A8183</f>
        <v>0</v>
      </c>
      <c r="B8183">
        <f>Sheet1!B8183</f>
        <v>1.37</v>
      </c>
      <c r="C8183">
        <f>IF(Sheet1!B8183&gt;0,1,0)</f>
        <v>1</v>
      </c>
    </row>
    <row r="8184" spans="1:3" x14ac:dyDescent="0.25">
      <c r="A8184" s="15">
        <f>Sheet1!A8184</f>
        <v>0</v>
      </c>
      <c r="B8184">
        <f>Sheet1!B8184</f>
        <v>1.51</v>
      </c>
      <c r="C8184">
        <f>IF(Sheet1!B8184&gt;0,1,0)</f>
        <v>1</v>
      </c>
    </row>
    <row r="8185" spans="1:3" x14ac:dyDescent="0.25">
      <c r="A8185" s="15">
        <f>Sheet1!A8185</f>
        <v>0</v>
      </c>
      <c r="B8185">
        <f>Sheet1!B8185</f>
        <v>1.19</v>
      </c>
      <c r="C8185">
        <f>IF(Sheet1!B8185&gt;0,1,0)</f>
        <v>1</v>
      </c>
    </row>
    <row r="8186" spans="1:3" x14ac:dyDescent="0.25">
      <c r="A8186" s="15">
        <f>Sheet1!A8186</f>
        <v>0</v>
      </c>
      <c r="B8186">
        <f>Sheet1!B8186</f>
        <v>1.33</v>
      </c>
      <c r="C8186">
        <f>IF(Sheet1!B8186&gt;0,1,0)</f>
        <v>1</v>
      </c>
    </row>
    <row r="8187" spans="1:3" x14ac:dyDescent="0.25">
      <c r="A8187" s="15">
        <f>Sheet1!A8187</f>
        <v>0</v>
      </c>
      <c r="B8187">
        <f>Sheet1!B8187</f>
        <v>1.5</v>
      </c>
      <c r="C8187">
        <f>IF(Sheet1!B8187&gt;0,1,0)</f>
        <v>1</v>
      </c>
    </row>
    <row r="8188" spans="1:3" x14ac:dyDescent="0.25">
      <c r="A8188" s="15">
        <f>Sheet1!A8188</f>
        <v>0</v>
      </c>
      <c r="B8188">
        <f>Sheet1!B8188</f>
        <v>1.1399999999999999</v>
      </c>
      <c r="C8188">
        <f>IF(Sheet1!B8188&gt;0,1,0)</f>
        <v>1</v>
      </c>
    </row>
    <row r="8189" spans="1:3" x14ac:dyDescent="0.25">
      <c r="A8189" s="15">
        <f>Sheet1!A8189</f>
        <v>0</v>
      </c>
      <c r="B8189">
        <f>Sheet1!B8189</f>
        <v>1.32</v>
      </c>
      <c r="C8189">
        <f>IF(Sheet1!B8189&gt;0,1,0)</f>
        <v>1</v>
      </c>
    </row>
    <row r="8190" spans="1:3" x14ac:dyDescent="0.25">
      <c r="A8190" s="15">
        <f>Sheet1!A8190</f>
        <v>0</v>
      </c>
      <c r="B8190">
        <f>Sheet1!B8190</f>
        <v>3</v>
      </c>
      <c r="C8190">
        <f>IF(Sheet1!B8190&gt;0,1,0)</f>
        <v>1</v>
      </c>
    </row>
    <row r="8191" spans="1:3" x14ac:dyDescent="0.25">
      <c r="A8191" s="15">
        <f>Sheet1!A8191</f>
        <v>0</v>
      </c>
      <c r="B8191">
        <f>Sheet1!B8191</f>
        <v>0</v>
      </c>
      <c r="C8191">
        <f>IF(Sheet1!B8191&gt;0,1,0)</f>
        <v>0</v>
      </c>
    </row>
    <row r="8192" spans="1:3" x14ac:dyDescent="0.25">
      <c r="A8192" s="15">
        <f>Sheet1!A8192</f>
        <v>0</v>
      </c>
      <c r="B8192">
        <f>Sheet1!B8192</f>
        <v>0</v>
      </c>
      <c r="C8192">
        <f>IF(Sheet1!B8192&gt;0,1,0)</f>
        <v>0</v>
      </c>
    </row>
    <row r="8193" spans="1:3" x14ac:dyDescent="0.25">
      <c r="A8193" s="15">
        <f>Sheet1!A8193</f>
        <v>0</v>
      </c>
      <c r="B8193">
        <f>Sheet1!B8193</f>
        <v>1.22</v>
      </c>
      <c r="C8193">
        <f>IF(Sheet1!B8193&gt;0,1,0)</f>
        <v>1</v>
      </c>
    </row>
    <row r="8194" spans="1:3" x14ac:dyDescent="0.25">
      <c r="A8194" s="15">
        <f>Sheet1!A8194</f>
        <v>0</v>
      </c>
      <c r="B8194">
        <f>Sheet1!B8194</f>
        <v>0</v>
      </c>
      <c r="C8194">
        <f>IF(Sheet1!B8194&gt;0,1,0)</f>
        <v>0</v>
      </c>
    </row>
    <row r="8195" spans="1:3" x14ac:dyDescent="0.25">
      <c r="A8195" s="15">
        <f>Sheet1!A8195</f>
        <v>0</v>
      </c>
      <c r="B8195">
        <f>Sheet1!B8195</f>
        <v>0</v>
      </c>
      <c r="C8195">
        <f>IF(Sheet1!B8195&gt;0,1,0)</f>
        <v>0</v>
      </c>
    </row>
    <row r="8196" spans="1:3" x14ac:dyDescent="0.25">
      <c r="A8196" s="15">
        <f>Sheet1!A8196</f>
        <v>0</v>
      </c>
      <c r="B8196">
        <f>Sheet1!B8196</f>
        <v>0</v>
      </c>
      <c r="C8196">
        <f>IF(Sheet1!B8196&gt;0,1,0)</f>
        <v>0</v>
      </c>
    </row>
    <row r="8197" spans="1:3" x14ac:dyDescent="0.25">
      <c r="A8197" s="15">
        <f>Sheet1!A8197</f>
        <v>0</v>
      </c>
      <c r="B8197">
        <f>Sheet1!B8197</f>
        <v>0</v>
      </c>
      <c r="C8197">
        <f>IF(Sheet1!B8197&gt;0,1,0)</f>
        <v>0</v>
      </c>
    </row>
    <row r="8198" spans="1:3" x14ac:dyDescent="0.25">
      <c r="A8198" s="15">
        <f>Sheet1!A8198</f>
        <v>0</v>
      </c>
      <c r="B8198">
        <f>Sheet1!B8198</f>
        <v>0</v>
      </c>
      <c r="C8198">
        <f>IF(Sheet1!B8198&gt;0,1,0)</f>
        <v>0</v>
      </c>
    </row>
    <row r="8199" spans="1:3" x14ac:dyDescent="0.25">
      <c r="A8199" s="15">
        <f>Sheet1!A8199</f>
        <v>0</v>
      </c>
      <c r="B8199">
        <f>Sheet1!B8199</f>
        <v>0</v>
      </c>
      <c r="C8199">
        <f>IF(Sheet1!B8199&gt;0,1,0)</f>
        <v>0</v>
      </c>
    </row>
    <row r="8200" spans="1:3" x14ac:dyDescent="0.25">
      <c r="A8200" s="15">
        <f>Sheet1!A8200</f>
        <v>0</v>
      </c>
      <c r="B8200">
        <f>Sheet1!B8200</f>
        <v>0</v>
      </c>
      <c r="C8200">
        <f>IF(Sheet1!B8200&gt;0,1,0)</f>
        <v>0</v>
      </c>
    </row>
    <row r="8201" spans="1:3" x14ac:dyDescent="0.25">
      <c r="A8201" s="15">
        <f>Sheet1!A8201</f>
        <v>0</v>
      </c>
      <c r="B8201">
        <f>Sheet1!B8201</f>
        <v>0</v>
      </c>
      <c r="C8201">
        <f>IF(Sheet1!B8201&gt;0,1,0)</f>
        <v>0</v>
      </c>
    </row>
    <row r="8202" spans="1:3" x14ac:dyDescent="0.25">
      <c r="A8202" s="15">
        <f>Sheet1!A8202</f>
        <v>0</v>
      </c>
      <c r="B8202">
        <f>Sheet1!B8202</f>
        <v>0</v>
      </c>
      <c r="C8202">
        <f>IF(Sheet1!B8202&gt;0,1,0)</f>
        <v>0</v>
      </c>
    </row>
    <row r="8203" spans="1:3" x14ac:dyDescent="0.25">
      <c r="A8203" s="15">
        <f>Sheet1!A8203</f>
        <v>0</v>
      </c>
      <c r="B8203">
        <f>Sheet1!B8203</f>
        <v>0</v>
      </c>
      <c r="C8203">
        <f>IF(Sheet1!B8203&gt;0,1,0)</f>
        <v>0</v>
      </c>
    </row>
    <row r="8204" spans="1:3" x14ac:dyDescent="0.25">
      <c r="A8204" s="15">
        <f>Sheet1!A8204</f>
        <v>0</v>
      </c>
      <c r="B8204">
        <f>Sheet1!B8204</f>
        <v>0</v>
      </c>
      <c r="C8204">
        <f>IF(Sheet1!B8204&gt;0,1,0)</f>
        <v>0</v>
      </c>
    </row>
    <row r="8205" spans="1:3" x14ac:dyDescent="0.25">
      <c r="A8205" s="15">
        <f>Sheet1!A8205</f>
        <v>0</v>
      </c>
      <c r="B8205">
        <f>Sheet1!B8205</f>
        <v>0</v>
      </c>
      <c r="C8205">
        <f>IF(Sheet1!B8205&gt;0,1,0)</f>
        <v>0</v>
      </c>
    </row>
    <row r="8206" spans="1:3" x14ac:dyDescent="0.25">
      <c r="A8206" s="15">
        <f>Sheet1!A8206</f>
        <v>0</v>
      </c>
      <c r="B8206">
        <f>Sheet1!B8206</f>
        <v>0</v>
      </c>
      <c r="C8206">
        <f>IF(Sheet1!B8206&gt;0,1,0)</f>
        <v>0</v>
      </c>
    </row>
    <row r="8207" spans="1:3" x14ac:dyDescent="0.25">
      <c r="A8207" s="15">
        <f>Sheet1!A8207</f>
        <v>0</v>
      </c>
      <c r="B8207">
        <f>Sheet1!B8207</f>
        <v>1.92</v>
      </c>
      <c r="C8207">
        <f>IF(Sheet1!B8207&gt;0,1,0)</f>
        <v>1</v>
      </c>
    </row>
    <row r="8208" spans="1:3" x14ac:dyDescent="0.25">
      <c r="A8208" s="15">
        <f>Sheet1!A8208</f>
        <v>0</v>
      </c>
      <c r="B8208">
        <f>Sheet1!B8208</f>
        <v>2.2999999999999998</v>
      </c>
      <c r="C8208">
        <f>IF(Sheet1!B8208&gt;0,1,0)</f>
        <v>1</v>
      </c>
    </row>
    <row r="8209" spans="1:3" x14ac:dyDescent="0.25">
      <c r="A8209" s="15">
        <f>Sheet1!A8209</f>
        <v>0</v>
      </c>
      <c r="B8209">
        <f>Sheet1!B8209</f>
        <v>2.12</v>
      </c>
      <c r="C8209">
        <f>IF(Sheet1!B8209&gt;0,1,0)</f>
        <v>1</v>
      </c>
    </row>
    <row r="8210" spans="1:3" x14ac:dyDescent="0.25">
      <c r="A8210" s="15">
        <f>Sheet1!A8210</f>
        <v>0</v>
      </c>
      <c r="B8210">
        <f>Sheet1!B8210</f>
        <v>2.4500000000000002</v>
      </c>
      <c r="C8210">
        <f>IF(Sheet1!B8210&gt;0,1,0)</f>
        <v>1</v>
      </c>
    </row>
    <row r="8211" spans="1:3" x14ac:dyDescent="0.25">
      <c r="A8211" s="15">
        <f>Sheet1!A8211</f>
        <v>0</v>
      </c>
      <c r="B8211">
        <f>Sheet1!B8211</f>
        <v>1.93</v>
      </c>
      <c r="C8211">
        <f>IF(Sheet1!B8211&gt;0,1,0)</f>
        <v>1</v>
      </c>
    </row>
    <row r="8212" spans="1:3" x14ac:dyDescent="0.25">
      <c r="A8212" s="15">
        <f>Sheet1!A8212</f>
        <v>0</v>
      </c>
      <c r="B8212">
        <f>Sheet1!B8212</f>
        <v>2.14</v>
      </c>
      <c r="C8212">
        <f>IF(Sheet1!B8212&gt;0,1,0)</f>
        <v>1</v>
      </c>
    </row>
    <row r="8213" spans="1:3" x14ac:dyDescent="0.25">
      <c r="A8213" s="15">
        <f>Sheet1!A8213</f>
        <v>0</v>
      </c>
      <c r="B8213">
        <f>Sheet1!B8213</f>
        <v>1</v>
      </c>
      <c r="C8213">
        <f>IF(Sheet1!B8213&gt;0,1,0)</f>
        <v>1</v>
      </c>
    </row>
    <row r="8214" spans="1:3" x14ac:dyDescent="0.25">
      <c r="A8214" s="15">
        <f>Sheet1!A8214</f>
        <v>0</v>
      </c>
      <c r="B8214">
        <f>Sheet1!B8214</f>
        <v>0</v>
      </c>
      <c r="C8214">
        <f>IF(Sheet1!B8214&gt;0,1,0)</f>
        <v>0</v>
      </c>
    </row>
    <row r="8215" spans="1:3" x14ac:dyDescent="0.25">
      <c r="A8215" s="15">
        <f>Sheet1!A8215</f>
        <v>0</v>
      </c>
      <c r="B8215">
        <f>Sheet1!B8215</f>
        <v>2.29</v>
      </c>
      <c r="C8215">
        <f>IF(Sheet1!B8215&gt;0,1,0)</f>
        <v>1</v>
      </c>
    </row>
    <row r="8216" spans="1:3" x14ac:dyDescent="0.25">
      <c r="A8216" s="15">
        <f>Sheet1!A8216</f>
        <v>0</v>
      </c>
      <c r="B8216">
        <f>Sheet1!B8216</f>
        <v>0</v>
      </c>
      <c r="C8216">
        <f>IF(Sheet1!B8216&gt;0,1,0)</f>
        <v>0</v>
      </c>
    </row>
    <row r="8217" spans="1:3" x14ac:dyDescent="0.25">
      <c r="A8217" s="15">
        <f>Sheet1!A8217</f>
        <v>0</v>
      </c>
      <c r="B8217">
        <f>Sheet1!B8217</f>
        <v>0</v>
      </c>
      <c r="C8217">
        <f>IF(Sheet1!B8217&gt;0,1,0)</f>
        <v>0</v>
      </c>
    </row>
    <row r="8218" spans="1:3" x14ac:dyDescent="0.25">
      <c r="A8218" s="15">
        <f>Sheet1!A8218</f>
        <v>0</v>
      </c>
      <c r="B8218">
        <f>Sheet1!B8218</f>
        <v>0</v>
      </c>
      <c r="C8218">
        <f>IF(Sheet1!B8218&gt;0,1,0)</f>
        <v>0</v>
      </c>
    </row>
    <row r="8219" spans="1:3" x14ac:dyDescent="0.25">
      <c r="A8219" s="15">
        <f>Sheet1!A8219</f>
        <v>0</v>
      </c>
      <c r="B8219">
        <f>Sheet1!B8219</f>
        <v>0</v>
      </c>
      <c r="C8219">
        <f>IF(Sheet1!B8219&gt;0,1,0)</f>
        <v>0</v>
      </c>
    </row>
    <row r="8220" spans="1:3" x14ac:dyDescent="0.25">
      <c r="A8220" s="15">
        <f>Sheet1!A8220</f>
        <v>0</v>
      </c>
      <c r="B8220">
        <f>Sheet1!B8220</f>
        <v>0</v>
      </c>
      <c r="C8220">
        <f>IF(Sheet1!B8220&gt;0,1,0)</f>
        <v>0</v>
      </c>
    </row>
    <row r="8221" spans="1:3" x14ac:dyDescent="0.25">
      <c r="A8221" s="15">
        <f>Sheet1!A8221</f>
        <v>0</v>
      </c>
      <c r="B8221">
        <f>Sheet1!B8221</f>
        <v>0</v>
      </c>
      <c r="C8221">
        <f>IF(Sheet1!B8221&gt;0,1,0)</f>
        <v>0</v>
      </c>
    </row>
    <row r="8222" spans="1:3" x14ac:dyDescent="0.25">
      <c r="A8222" s="15">
        <f>Sheet1!A8222</f>
        <v>0</v>
      </c>
      <c r="B8222">
        <f>Sheet1!B8222</f>
        <v>0</v>
      </c>
      <c r="C8222">
        <f>IF(Sheet1!B8222&gt;0,1,0)</f>
        <v>0</v>
      </c>
    </row>
    <row r="8223" spans="1:3" x14ac:dyDescent="0.25">
      <c r="A8223" s="15">
        <f>Sheet1!A8223</f>
        <v>0</v>
      </c>
      <c r="B8223">
        <f>Sheet1!B8223</f>
        <v>0</v>
      </c>
      <c r="C8223">
        <f>IF(Sheet1!B8223&gt;0,1,0)</f>
        <v>0</v>
      </c>
    </row>
    <row r="8224" spans="1:3" x14ac:dyDescent="0.25">
      <c r="A8224" s="15">
        <f>Sheet1!A8224</f>
        <v>0</v>
      </c>
      <c r="B8224">
        <f>Sheet1!B8224</f>
        <v>0</v>
      </c>
      <c r="C8224">
        <f>IF(Sheet1!B8224&gt;0,1,0)</f>
        <v>0</v>
      </c>
    </row>
    <row r="8225" spans="1:3" x14ac:dyDescent="0.25">
      <c r="A8225" s="15">
        <f>Sheet1!A8225</f>
        <v>0</v>
      </c>
      <c r="B8225">
        <f>Sheet1!B8225</f>
        <v>0</v>
      </c>
      <c r="C8225">
        <f>IF(Sheet1!B8225&gt;0,1,0)</f>
        <v>0</v>
      </c>
    </row>
    <row r="8226" spans="1:3" x14ac:dyDescent="0.25">
      <c r="A8226" s="15">
        <f>Sheet1!A8226</f>
        <v>0</v>
      </c>
      <c r="B8226">
        <f>Sheet1!B8226</f>
        <v>0</v>
      </c>
      <c r="C8226">
        <f>IF(Sheet1!B8226&gt;0,1,0)</f>
        <v>0</v>
      </c>
    </row>
    <row r="8227" spans="1:3" x14ac:dyDescent="0.25">
      <c r="A8227" s="15">
        <f>Sheet1!A8227</f>
        <v>0</v>
      </c>
      <c r="B8227">
        <f>Sheet1!B8227</f>
        <v>0</v>
      </c>
      <c r="C8227">
        <f>IF(Sheet1!B8227&gt;0,1,0)</f>
        <v>0</v>
      </c>
    </row>
    <row r="8228" spans="1:3" x14ac:dyDescent="0.25">
      <c r="A8228" s="15">
        <f>Sheet1!A8228</f>
        <v>0</v>
      </c>
      <c r="B8228">
        <f>Sheet1!B8228</f>
        <v>0</v>
      </c>
      <c r="C8228">
        <f>IF(Sheet1!B8228&gt;0,1,0)</f>
        <v>0</v>
      </c>
    </row>
    <row r="8229" spans="1:3" x14ac:dyDescent="0.25">
      <c r="A8229" s="15">
        <f>Sheet1!A8229</f>
        <v>0</v>
      </c>
      <c r="B8229">
        <f>Sheet1!B8229</f>
        <v>0</v>
      </c>
      <c r="C8229">
        <f>IF(Sheet1!B8229&gt;0,1,0)</f>
        <v>0</v>
      </c>
    </row>
    <row r="8230" spans="1:3" x14ac:dyDescent="0.25">
      <c r="A8230" s="15">
        <f>Sheet1!A8230</f>
        <v>0</v>
      </c>
      <c r="B8230">
        <f>Sheet1!B8230</f>
        <v>0</v>
      </c>
      <c r="C8230">
        <f>IF(Sheet1!B8230&gt;0,1,0)</f>
        <v>0</v>
      </c>
    </row>
    <row r="8231" spans="1:3" x14ac:dyDescent="0.25">
      <c r="A8231" s="15">
        <f>Sheet1!A8231</f>
        <v>0</v>
      </c>
      <c r="B8231">
        <f>Sheet1!B8231</f>
        <v>0</v>
      </c>
      <c r="C8231">
        <f>IF(Sheet1!B8231&gt;0,1,0)</f>
        <v>0</v>
      </c>
    </row>
    <row r="8232" spans="1:3" x14ac:dyDescent="0.25">
      <c r="A8232" s="15">
        <f>Sheet1!A8232</f>
        <v>0</v>
      </c>
      <c r="B8232">
        <f>Sheet1!B8232</f>
        <v>0</v>
      </c>
      <c r="C8232">
        <f>IF(Sheet1!B8232&gt;0,1,0)</f>
        <v>0</v>
      </c>
    </row>
    <row r="8233" spans="1:3" x14ac:dyDescent="0.25">
      <c r="A8233" s="15">
        <f>Sheet1!A8233</f>
        <v>0</v>
      </c>
      <c r="B8233">
        <f>Sheet1!B8233</f>
        <v>2.2200000000000002</v>
      </c>
      <c r="C8233">
        <f>IF(Sheet1!B8233&gt;0,1,0)</f>
        <v>1</v>
      </c>
    </row>
    <row r="8234" spans="1:3" x14ac:dyDescent="0.25">
      <c r="A8234" s="15">
        <f>Sheet1!A8234</f>
        <v>0</v>
      </c>
      <c r="B8234">
        <f>Sheet1!B8234</f>
        <v>2.2400000000000002</v>
      </c>
      <c r="C8234">
        <f>IF(Sheet1!B8234&gt;0,1,0)</f>
        <v>1</v>
      </c>
    </row>
    <row r="8235" spans="1:3" x14ac:dyDescent="0.25">
      <c r="A8235" s="15">
        <f>Sheet1!A8235</f>
        <v>0</v>
      </c>
      <c r="B8235">
        <f>Sheet1!B8235</f>
        <v>2.0099999999999998</v>
      </c>
      <c r="C8235">
        <f>IF(Sheet1!B8235&gt;0,1,0)</f>
        <v>1</v>
      </c>
    </row>
    <row r="8236" spans="1:3" x14ac:dyDescent="0.25">
      <c r="A8236" s="15">
        <f>Sheet1!A8236</f>
        <v>0</v>
      </c>
      <c r="B8236">
        <f>Sheet1!B8236</f>
        <v>2.11</v>
      </c>
      <c r="C8236">
        <f>IF(Sheet1!B8236&gt;0,1,0)</f>
        <v>1</v>
      </c>
    </row>
    <row r="8237" spans="1:3" x14ac:dyDescent="0.25">
      <c r="A8237" s="15">
        <f>Sheet1!A8237</f>
        <v>0</v>
      </c>
      <c r="B8237">
        <f>Sheet1!B8237</f>
        <v>2.13</v>
      </c>
      <c r="C8237">
        <f>IF(Sheet1!B8237&gt;0,1,0)</f>
        <v>1</v>
      </c>
    </row>
    <row r="8238" spans="1:3" x14ac:dyDescent="0.25">
      <c r="A8238" s="15">
        <f>Sheet1!A8238</f>
        <v>0</v>
      </c>
      <c r="B8238">
        <f>Sheet1!B8238</f>
        <v>0</v>
      </c>
      <c r="C8238">
        <f>IF(Sheet1!B8238&gt;0,1,0)</f>
        <v>0</v>
      </c>
    </row>
    <row r="8239" spans="1:3" x14ac:dyDescent="0.25">
      <c r="A8239" s="15">
        <f>Sheet1!A8239</f>
        <v>0</v>
      </c>
      <c r="B8239">
        <f>Sheet1!B8239</f>
        <v>2.2999999999999998</v>
      </c>
      <c r="C8239">
        <f>IF(Sheet1!B8239&gt;0,1,0)</f>
        <v>1</v>
      </c>
    </row>
    <row r="8240" spans="1:3" x14ac:dyDescent="0.25">
      <c r="A8240" s="15">
        <f>Sheet1!A8240</f>
        <v>0</v>
      </c>
      <c r="B8240">
        <f>Sheet1!B8240</f>
        <v>0</v>
      </c>
      <c r="C8240">
        <f>IF(Sheet1!B8240&gt;0,1,0)</f>
        <v>0</v>
      </c>
    </row>
    <row r="8241" spans="1:3" x14ac:dyDescent="0.25">
      <c r="A8241" s="15">
        <f>Sheet1!A8241</f>
        <v>0</v>
      </c>
      <c r="B8241">
        <f>Sheet1!B8241</f>
        <v>0</v>
      </c>
      <c r="C8241">
        <f>IF(Sheet1!B8241&gt;0,1,0)</f>
        <v>0</v>
      </c>
    </row>
    <row r="8242" spans="1:3" x14ac:dyDescent="0.25">
      <c r="A8242" s="15">
        <f>Sheet1!A8242</f>
        <v>0</v>
      </c>
      <c r="B8242">
        <f>Sheet1!B8242</f>
        <v>0</v>
      </c>
      <c r="C8242">
        <f>IF(Sheet1!B8242&gt;0,1,0)</f>
        <v>0</v>
      </c>
    </row>
    <row r="8243" spans="1:3" x14ac:dyDescent="0.25">
      <c r="A8243" s="15">
        <f>Sheet1!A8243</f>
        <v>0</v>
      </c>
      <c r="B8243">
        <f>Sheet1!B8243</f>
        <v>0</v>
      </c>
      <c r="C8243">
        <f>IF(Sheet1!B8243&gt;0,1,0)</f>
        <v>0</v>
      </c>
    </row>
    <row r="8244" spans="1:3" x14ac:dyDescent="0.25">
      <c r="A8244" s="15">
        <f>Sheet1!A8244</f>
        <v>0</v>
      </c>
      <c r="B8244">
        <f>Sheet1!B8244</f>
        <v>0</v>
      </c>
      <c r="C8244">
        <f>IF(Sheet1!B8244&gt;0,1,0)</f>
        <v>0</v>
      </c>
    </row>
    <row r="8245" spans="1:3" x14ac:dyDescent="0.25">
      <c r="A8245" s="15">
        <f>Sheet1!A8245</f>
        <v>0</v>
      </c>
      <c r="B8245">
        <f>Sheet1!B8245</f>
        <v>0</v>
      </c>
      <c r="C8245">
        <f>IF(Sheet1!B8245&gt;0,1,0)</f>
        <v>0</v>
      </c>
    </row>
    <row r="8246" spans="1:3" x14ac:dyDescent="0.25">
      <c r="A8246" s="15">
        <f>Sheet1!A8246</f>
        <v>0</v>
      </c>
      <c r="B8246">
        <f>Sheet1!B8246</f>
        <v>0</v>
      </c>
      <c r="C8246">
        <f>IF(Sheet1!B8246&gt;0,1,0)</f>
        <v>0</v>
      </c>
    </row>
    <row r="8247" spans="1:3" x14ac:dyDescent="0.25">
      <c r="A8247" s="15">
        <f>Sheet1!A8247</f>
        <v>0</v>
      </c>
      <c r="B8247">
        <f>Sheet1!B8247</f>
        <v>0</v>
      </c>
      <c r="C8247">
        <f>IF(Sheet1!B8247&gt;0,1,0)</f>
        <v>0</v>
      </c>
    </row>
    <row r="8248" spans="1:3" x14ac:dyDescent="0.25">
      <c r="A8248" s="15">
        <f>Sheet1!A8248</f>
        <v>0</v>
      </c>
      <c r="B8248">
        <f>Sheet1!B8248</f>
        <v>0</v>
      </c>
      <c r="C8248">
        <f>IF(Sheet1!B8248&gt;0,1,0)</f>
        <v>0</v>
      </c>
    </row>
    <row r="8249" spans="1:3" x14ac:dyDescent="0.25">
      <c r="A8249" s="15">
        <f>Sheet1!A8249</f>
        <v>0</v>
      </c>
      <c r="B8249">
        <f>Sheet1!B8249</f>
        <v>0</v>
      </c>
      <c r="C8249">
        <f>IF(Sheet1!B8249&gt;0,1,0)</f>
        <v>0</v>
      </c>
    </row>
    <row r="8250" spans="1:3" x14ac:dyDescent="0.25">
      <c r="A8250" s="15">
        <f>Sheet1!A8250</f>
        <v>0</v>
      </c>
      <c r="B8250">
        <f>Sheet1!B8250</f>
        <v>0</v>
      </c>
      <c r="C8250">
        <f>IF(Sheet1!B8250&gt;0,1,0)</f>
        <v>0</v>
      </c>
    </row>
    <row r="8251" spans="1:3" x14ac:dyDescent="0.25">
      <c r="A8251" s="15">
        <f>Sheet1!A8251</f>
        <v>0</v>
      </c>
      <c r="B8251">
        <f>Sheet1!B8251</f>
        <v>0</v>
      </c>
      <c r="C8251">
        <f>IF(Sheet1!B8251&gt;0,1,0)</f>
        <v>0</v>
      </c>
    </row>
    <row r="8252" spans="1:3" x14ac:dyDescent="0.25">
      <c r="A8252" s="15">
        <f>Sheet1!A8252</f>
        <v>0</v>
      </c>
      <c r="B8252">
        <f>Sheet1!B8252</f>
        <v>0</v>
      </c>
      <c r="C8252">
        <f>IF(Sheet1!B8252&gt;0,1,0)</f>
        <v>0</v>
      </c>
    </row>
    <row r="8253" spans="1:3" x14ac:dyDescent="0.25">
      <c r="A8253" s="15">
        <f>Sheet1!A8253</f>
        <v>0</v>
      </c>
      <c r="B8253">
        <f>Sheet1!B8253</f>
        <v>0</v>
      </c>
      <c r="C8253">
        <f>IF(Sheet1!B8253&gt;0,1,0)</f>
        <v>0</v>
      </c>
    </row>
    <row r="8254" spans="1:3" x14ac:dyDescent="0.25">
      <c r="A8254" s="15">
        <f>Sheet1!A8254</f>
        <v>0</v>
      </c>
      <c r="B8254">
        <f>Sheet1!B8254</f>
        <v>0</v>
      </c>
      <c r="C8254">
        <f>IF(Sheet1!B8254&gt;0,1,0)</f>
        <v>0</v>
      </c>
    </row>
    <row r="8255" spans="1:3" x14ac:dyDescent="0.25">
      <c r="A8255" s="15">
        <f>Sheet1!A8255</f>
        <v>0</v>
      </c>
      <c r="B8255">
        <f>Sheet1!B8255</f>
        <v>3.08</v>
      </c>
      <c r="C8255">
        <f>IF(Sheet1!B8255&gt;0,1,0)</f>
        <v>1</v>
      </c>
    </row>
    <row r="8256" spans="1:3" x14ac:dyDescent="0.25">
      <c r="A8256" s="15">
        <f>Sheet1!A8256</f>
        <v>0</v>
      </c>
      <c r="B8256">
        <f>Sheet1!B8256</f>
        <v>1.72</v>
      </c>
      <c r="C8256">
        <f>IF(Sheet1!B8256&gt;0,1,0)</f>
        <v>1</v>
      </c>
    </row>
    <row r="8257" spans="1:3" x14ac:dyDescent="0.25">
      <c r="A8257" s="15">
        <f>Sheet1!A8257</f>
        <v>0</v>
      </c>
      <c r="B8257">
        <f>Sheet1!B8257</f>
        <v>1.65</v>
      </c>
      <c r="C8257">
        <f>IF(Sheet1!B8257&gt;0,1,0)</f>
        <v>1</v>
      </c>
    </row>
    <row r="8258" spans="1:3" x14ac:dyDescent="0.25">
      <c r="A8258" s="15">
        <f>Sheet1!A8258</f>
        <v>0</v>
      </c>
      <c r="B8258">
        <f>Sheet1!B8258</f>
        <v>2.19</v>
      </c>
      <c r="C8258">
        <f>IF(Sheet1!B8258&gt;0,1,0)</f>
        <v>1</v>
      </c>
    </row>
    <row r="8259" spans="1:3" x14ac:dyDescent="0.25">
      <c r="A8259" s="15">
        <f>Sheet1!A8259</f>
        <v>0</v>
      </c>
      <c r="B8259">
        <f>Sheet1!B8259</f>
        <v>2.11</v>
      </c>
      <c r="C8259">
        <f>IF(Sheet1!B8259&gt;0,1,0)</f>
        <v>1</v>
      </c>
    </row>
    <row r="8260" spans="1:3" x14ac:dyDescent="0.25">
      <c r="A8260" s="15">
        <f>Sheet1!A8260</f>
        <v>0</v>
      </c>
      <c r="B8260">
        <f>Sheet1!B8260</f>
        <v>1.86</v>
      </c>
      <c r="C8260">
        <f>IF(Sheet1!B8260&gt;0,1,0)</f>
        <v>1</v>
      </c>
    </row>
    <row r="8261" spans="1:3" x14ac:dyDescent="0.25">
      <c r="A8261" s="15">
        <f>Sheet1!A8261</f>
        <v>0</v>
      </c>
      <c r="B8261">
        <f>Sheet1!B8261</f>
        <v>0</v>
      </c>
      <c r="C8261">
        <f>IF(Sheet1!B8261&gt;0,1,0)</f>
        <v>0</v>
      </c>
    </row>
    <row r="8262" spans="1:3" x14ac:dyDescent="0.25">
      <c r="A8262" s="15">
        <f>Sheet1!A8262</f>
        <v>0</v>
      </c>
      <c r="B8262">
        <f>Sheet1!B8262</f>
        <v>0</v>
      </c>
      <c r="C8262">
        <f>IF(Sheet1!B8262&gt;0,1,0)</f>
        <v>0</v>
      </c>
    </row>
    <row r="8263" spans="1:3" x14ac:dyDescent="0.25">
      <c r="A8263" s="15">
        <f>Sheet1!A8263</f>
        <v>0</v>
      </c>
      <c r="B8263">
        <f>Sheet1!B8263</f>
        <v>1.0900000000000001</v>
      </c>
      <c r="C8263">
        <f>IF(Sheet1!B8263&gt;0,1,0)</f>
        <v>1</v>
      </c>
    </row>
    <row r="8264" spans="1:3" x14ac:dyDescent="0.25">
      <c r="A8264" s="15">
        <f>Sheet1!A8264</f>
        <v>0</v>
      </c>
      <c r="B8264">
        <f>Sheet1!B8264</f>
        <v>0</v>
      </c>
      <c r="C8264">
        <f>IF(Sheet1!B8264&gt;0,1,0)</f>
        <v>0</v>
      </c>
    </row>
    <row r="8265" spans="1:3" x14ac:dyDescent="0.25">
      <c r="A8265" s="15">
        <f>Sheet1!A8265</f>
        <v>0</v>
      </c>
      <c r="B8265">
        <f>Sheet1!B8265</f>
        <v>0</v>
      </c>
      <c r="C8265">
        <f>IF(Sheet1!B8265&gt;0,1,0)</f>
        <v>0</v>
      </c>
    </row>
    <row r="8266" spans="1:3" x14ac:dyDescent="0.25">
      <c r="A8266" s="15">
        <f>Sheet1!A8266</f>
        <v>0</v>
      </c>
      <c r="B8266">
        <f>Sheet1!B8266</f>
        <v>0</v>
      </c>
      <c r="C8266">
        <f>IF(Sheet1!B8266&gt;0,1,0)</f>
        <v>0</v>
      </c>
    </row>
    <row r="8267" spans="1:3" x14ac:dyDescent="0.25">
      <c r="A8267" s="15">
        <f>Sheet1!A8267</f>
        <v>0</v>
      </c>
      <c r="B8267">
        <f>Sheet1!B8267</f>
        <v>0.96</v>
      </c>
      <c r="C8267">
        <f>IF(Sheet1!B8267&gt;0,1,0)</f>
        <v>1</v>
      </c>
    </row>
    <row r="8268" spans="1:3" x14ac:dyDescent="0.25">
      <c r="A8268" s="15">
        <f>Sheet1!A8268</f>
        <v>0</v>
      </c>
      <c r="B8268">
        <f>Sheet1!B8268</f>
        <v>0</v>
      </c>
      <c r="C8268">
        <f>IF(Sheet1!B8268&gt;0,1,0)</f>
        <v>0</v>
      </c>
    </row>
    <row r="8269" spans="1:3" x14ac:dyDescent="0.25">
      <c r="A8269" s="15">
        <f>Sheet1!A8269</f>
        <v>0</v>
      </c>
      <c r="B8269">
        <f>Sheet1!B8269</f>
        <v>0</v>
      </c>
      <c r="C8269">
        <f>IF(Sheet1!B8269&gt;0,1,0)</f>
        <v>0</v>
      </c>
    </row>
    <row r="8270" spans="1:3" x14ac:dyDescent="0.25">
      <c r="A8270" s="15">
        <f>Sheet1!A8270</f>
        <v>0</v>
      </c>
      <c r="B8270">
        <f>Sheet1!B8270</f>
        <v>0</v>
      </c>
      <c r="C8270">
        <f>IF(Sheet1!B8270&gt;0,1,0)</f>
        <v>0</v>
      </c>
    </row>
    <row r="8271" spans="1:3" x14ac:dyDescent="0.25">
      <c r="A8271" s="15">
        <f>Sheet1!A8271</f>
        <v>0</v>
      </c>
      <c r="B8271">
        <f>Sheet1!B8271</f>
        <v>0</v>
      </c>
      <c r="C8271">
        <f>IF(Sheet1!B8271&gt;0,1,0)</f>
        <v>0</v>
      </c>
    </row>
    <row r="8272" spans="1:3" x14ac:dyDescent="0.25">
      <c r="A8272" s="15">
        <f>Sheet1!A8272</f>
        <v>0</v>
      </c>
      <c r="B8272">
        <f>Sheet1!B8272</f>
        <v>0</v>
      </c>
      <c r="C8272">
        <f>IF(Sheet1!B8272&gt;0,1,0)</f>
        <v>0</v>
      </c>
    </row>
    <row r="8273" spans="1:3" x14ac:dyDescent="0.25">
      <c r="A8273" s="15">
        <f>Sheet1!A8273</f>
        <v>0</v>
      </c>
      <c r="B8273">
        <f>Sheet1!B8273</f>
        <v>0</v>
      </c>
      <c r="C8273">
        <f>IF(Sheet1!B8273&gt;0,1,0)</f>
        <v>0</v>
      </c>
    </row>
    <row r="8274" spans="1:3" x14ac:dyDescent="0.25">
      <c r="A8274" s="15">
        <f>Sheet1!A8274</f>
        <v>0</v>
      </c>
      <c r="B8274">
        <f>Sheet1!B8274</f>
        <v>0</v>
      </c>
      <c r="C8274">
        <f>IF(Sheet1!B8274&gt;0,1,0)</f>
        <v>0</v>
      </c>
    </row>
    <row r="8275" spans="1:3" x14ac:dyDescent="0.25">
      <c r="A8275" s="15">
        <f>Sheet1!A8275</f>
        <v>0</v>
      </c>
      <c r="B8275">
        <f>Sheet1!B8275</f>
        <v>0</v>
      </c>
      <c r="C8275">
        <f>IF(Sheet1!B8275&gt;0,1,0)</f>
        <v>0</v>
      </c>
    </row>
    <row r="8276" spans="1:3" x14ac:dyDescent="0.25">
      <c r="A8276" s="15">
        <f>Sheet1!A8276</f>
        <v>0</v>
      </c>
      <c r="B8276">
        <f>Sheet1!B8276</f>
        <v>0</v>
      </c>
      <c r="C8276">
        <f>IF(Sheet1!B8276&gt;0,1,0)</f>
        <v>0</v>
      </c>
    </row>
    <row r="8277" spans="1:3" x14ac:dyDescent="0.25">
      <c r="A8277" s="15">
        <f>Sheet1!A8277</f>
        <v>0</v>
      </c>
      <c r="B8277">
        <f>Sheet1!B8277</f>
        <v>0</v>
      </c>
      <c r="C8277">
        <f>IF(Sheet1!B8277&gt;0,1,0)</f>
        <v>0</v>
      </c>
    </row>
    <row r="8278" spans="1:3" x14ac:dyDescent="0.25">
      <c r="A8278" s="15">
        <f>Sheet1!A8278</f>
        <v>0</v>
      </c>
      <c r="B8278">
        <f>Sheet1!B8278</f>
        <v>0</v>
      </c>
      <c r="C8278">
        <f>IF(Sheet1!B8278&gt;0,1,0)</f>
        <v>0</v>
      </c>
    </row>
    <row r="8279" spans="1:3" x14ac:dyDescent="0.25">
      <c r="A8279" s="15">
        <f>Sheet1!A8279</f>
        <v>0</v>
      </c>
      <c r="B8279">
        <f>Sheet1!B8279</f>
        <v>0</v>
      </c>
      <c r="C8279">
        <f>IF(Sheet1!B8279&gt;0,1,0)</f>
        <v>0</v>
      </c>
    </row>
    <row r="8280" spans="1:3" x14ac:dyDescent="0.25">
      <c r="A8280" s="15">
        <f>Sheet1!A8280</f>
        <v>0</v>
      </c>
      <c r="B8280">
        <f>Sheet1!B8280</f>
        <v>2</v>
      </c>
      <c r="C8280">
        <f>IF(Sheet1!B8280&gt;0,1,0)</f>
        <v>1</v>
      </c>
    </row>
    <row r="8281" spans="1:3" x14ac:dyDescent="0.25">
      <c r="A8281" s="15">
        <f>Sheet1!A8281</f>
        <v>0</v>
      </c>
      <c r="B8281">
        <f>Sheet1!B8281</f>
        <v>2.14</v>
      </c>
      <c r="C8281">
        <f>IF(Sheet1!B8281&gt;0,1,0)</f>
        <v>1</v>
      </c>
    </row>
    <row r="8282" spans="1:3" x14ac:dyDescent="0.25">
      <c r="A8282" s="15">
        <f>Sheet1!A8282</f>
        <v>0</v>
      </c>
      <c r="B8282">
        <f>Sheet1!B8282</f>
        <v>1.75</v>
      </c>
      <c r="C8282">
        <f>IF(Sheet1!B8282&gt;0,1,0)</f>
        <v>1</v>
      </c>
    </row>
    <row r="8283" spans="1:3" x14ac:dyDescent="0.25">
      <c r="A8283" s="15">
        <f>Sheet1!A8283</f>
        <v>0</v>
      </c>
      <c r="B8283">
        <f>Sheet1!B8283</f>
        <v>2.06</v>
      </c>
      <c r="C8283">
        <f>IF(Sheet1!B8283&gt;0,1,0)</f>
        <v>1</v>
      </c>
    </row>
    <row r="8284" spans="1:3" x14ac:dyDescent="0.25">
      <c r="A8284" s="15">
        <f>Sheet1!A8284</f>
        <v>0</v>
      </c>
      <c r="B8284">
        <f>Sheet1!B8284</f>
        <v>1.97</v>
      </c>
      <c r="C8284">
        <f>IF(Sheet1!B8284&gt;0,1,0)</f>
        <v>1</v>
      </c>
    </row>
    <row r="8285" spans="1:3" x14ac:dyDescent="0.25">
      <c r="A8285" s="15">
        <f>Sheet1!A8285</f>
        <v>0</v>
      </c>
      <c r="B8285">
        <f>Sheet1!B8285</f>
        <v>2.2799999999999998</v>
      </c>
      <c r="C8285">
        <f>IF(Sheet1!B8285&gt;0,1,0)</f>
        <v>1</v>
      </c>
    </row>
    <row r="8286" spans="1:3" x14ac:dyDescent="0.25">
      <c r="A8286" s="15">
        <f>Sheet1!A8286</f>
        <v>0</v>
      </c>
      <c r="B8286">
        <f>Sheet1!B8286</f>
        <v>0</v>
      </c>
      <c r="C8286">
        <f>IF(Sheet1!B8286&gt;0,1,0)</f>
        <v>0</v>
      </c>
    </row>
    <row r="8287" spans="1:3" x14ac:dyDescent="0.25">
      <c r="A8287" s="15">
        <f>Sheet1!A8287</f>
        <v>0</v>
      </c>
      <c r="B8287">
        <f>Sheet1!B8287</f>
        <v>0</v>
      </c>
      <c r="C8287">
        <f>IF(Sheet1!B8287&gt;0,1,0)</f>
        <v>0</v>
      </c>
    </row>
    <row r="8288" spans="1:3" x14ac:dyDescent="0.25">
      <c r="A8288" s="15">
        <f>Sheet1!A8288</f>
        <v>0</v>
      </c>
      <c r="B8288">
        <f>Sheet1!B8288</f>
        <v>0</v>
      </c>
      <c r="C8288">
        <f>IF(Sheet1!B8288&gt;0,1,0)</f>
        <v>0</v>
      </c>
    </row>
    <row r="8289" spans="1:3" x14ac:dyDescent="0.25">
      <c r="A8289" s="15">
        <f>Sheet1!A8289</f>
        <v>0</v>
      </c>
      <c r="B8289">
        <f>Sheet1!B8289</f>
        <v>0</v>
      </c>
      <c r="C8289">
        <f>IF(Sheet1!B8289&gt;0,1,0)</f>
        <v>0</v>
      </c>
    </row>
    <row r="8290" spans="1:3" x14ac:dyDescent="0.25">
      <c r="A8290" s="15">
        <f>Sheet1!A8290</f>
        <v>0</v>
      </c>
      <c r="B8290">
        <f>Sheet1!B8290</f>
        <v>0</v>
      </c>
      <c r="C8290">
        <f>IF(Sheet1!B8290&gt;0,1,0)</f>
        <v>0</v>
      </c>
    </row>
    <row r="8291" spans="1:3" x14ac:dyDescent="0.25">
      <c r="A8291" s="15">
        <f>Sheet1!A8291</f>
        <v>0</v>
      </c>
      <c r="B8291">
        <f>Sheet1!B8291</f>
        <v>0</v>
      </c>
      <c r="C8291">
        <f>IF(Sheet1!B8291&gt;0,1,0)</f>
        <v>0</v>
      </c>
    </row>
    <row r="8292" spans="1:3" x14ac:dyDescent="0.25">
      <c r="A8292" s="15">
        <f>Sheet1!A8292</f>
        <v>0</v>
      </c>
      <c r="B8292">
        <f>Sheet1!B8292</f>
        <v>0</v>
      </c>
      <c r="C8292">
        <f>IF(Sheet1!B8292&gt;0,1,0)</f>
        <v>0</v>
      </c>
    </row>
    <row r="8293" spans="1:3" x14ac:dyDescent="0.25">
      <c r="A8293" s="15">
        <f>Sheet1!A8293</f>
        <v>0</v>
      </c>
      <c r="B8293">
        <f>Sheet1!B8293</f>
        <v>0.84</v>
      </c>
      <c r="C8293">
        <f>IF(Sheet1!B8293&gt;0,1,0)</f>
        <v>1</v>
      </c>
    </row>
    <row r="8294" spans="1:3" x14ac:dyDescent="0.25">
      <c r="A8294" s="15">
        <f>Sheet1!A8294</f>
        <v>0</v>
      </c>
      <c r="B8294">
        <f>Sheet1!B8294</f>
        <v>0</v>
      </c>
      <c r="C8294">
        <f>IF(Sheet1!B8294&gt;0,1,0)</f>
        <v>0</v>
      </c>
    </row>
    <row r="8295" spans="1:3" x14ac:dyDescent="0.25">
      <c r="A8295" s="15">
        <f>Sheet1!A8295</f>
        <v>0</v>
      </c>
      <c r="B8295">
        <f>Sheet1!B8295</f>
        <v>0</v>
      </c>
      <c r="C8295">
        <f>IF(Sheet1!B8295&gt;0,1,0)</f>
        <v>0</v>
      </c>
    </row>
    <row r="8296" spans="1:3" x14ac:dyDescent="0.25">
      <c r="A8296" s="15">
        <f>Sheet1!A8296</f>
        <v>0</v>
      </c>
      <c r="B8296">
        <f>Sheet1!B8296</f>
        <v>0</v>
      </c>
      <c r="C8296">
        <f>IF(Sheet1!B8296&gt;0,1,0)</f>
        <v>0</v>
      </c>
    </row>
    <row r="8297" spans="1:3" x14ac:dyDescent="0.25">
      <c r="A8297" s="15">
        <f>Sheet1!A8297</f>
        <v>0</v>
      </c>
      <c r="B8297">
        <f>Sheet1!B8297</f>
        <v>0</v>
      </c>
      <c r="C8297">
        <f>IF(Sheet1!B8297&gt;0,1,0)</f>
        <v>0</v>
      </c>
    </row>
    <row r="8298" spans="1:3" x14ac:dyDescent="0.25">
      <c r="A8298" s="15">
        <f>Sheet1!A8298</f>
        <v>0</v>
      </c>
      <c r="B8298">
        <f>Sheet1!B8298</f>
        <v>0</v>
      </c>
      <c r="C8298">
        <f>IF(Sheet1!B8298&gt;0,1,0)</f>
        <v>0</v>
      </c>
    </row>
    <row r="8299" spans="1:3" x14ac:dyDescent="0.25">
      <c r="A8299" s="15">
        <f>Sheet1!A8299</f>
        <v>0</v>
      </c>
      <c r="B8299">
        <f>Sheet1!B8299</f>
        <v>0</v>
      </c>
      <c r="C8299">
        <f>IF(Sheet1!B8299&gt;0,1,0)</f>
        <v>0</v>
      </c>
    </row>
    <row r="8300" spans="1:3" x14ac:dyDescent="0.25">
      <c r="A8300" s="15">
        <f>Sheet1!A8300</f>
        <v>0</v>
      </c>
      <c r="B8300">
        <f>Sheet1!B8300</f>
        <v>1.85</v>
      </c>
      <c r="C8300">
        <f>IF(Sheet1!B8300&gt;0,1,0)</f>
        <v>1</v>
      </c>
    </row>
    <row r="8301" spans="1:3" x14ac:dyDescent="0.25">
      <c r="A8301" s="15">
        <f>Sheet1!A8301</f>
        <v>0</v>
      </c>
      <c r="B8301">
        <f>Sheet1!B8301</f>
        <v>0</v>
      </c>
      <c r="C8301">
        <f>IF(Sheet1!B8301&gt;0,1,0)</f>
        <v>0</v>
      </c>
    </row>
    <row r="8302" spans="1:3" x14ac:dyDescent="0.25">
      <c r="A8302" s="15">
        <f>Sheet1!A8302</f>
        <v>0</v>
      </c>
      <c r="B8302">
        <f>Sheet1!B8302</f>
        <v>0</v>
      </c>
      <c r="C8302">
        <f>IF(Sheet1!B8302&gt;0,1,0)</f>
        <v>0</v>
      </c>
    </row>
    <row r="8303" spans="1:3" x14ac:dyDescent="0.25">
      <c r="A8303" s="15">
        <f>Sheet1!A8303</f>
        <v>0</v>
      </c>
      <c r="B8303">
        <f>Sheet1!B8303</f>
        <v>0</v>
      </c>
      <c r="C8303">
        <f>IF(Sheet1!B8303&gt;0,1,0)</f>
        <v>0</v>
      </c>
    </row>
    <row r="8304" spans="1:3" x14ac:dyDescent="0.25">
      <c r="A8304" s="15">
        <f>Sheet1!A8304</f>
        <v>0</v>
      </c>
      <c r="B8304">
        <f>Sheet1!B8304</f>
        <v>0</v>
      </c>
      <c r="C8304">
        <f>IF(Sheet1!B8304&gt;0,1,0)</f>
        <v>0</v>
      </c>
    </row>
    <row r="8305" spans="1:3" x14ac:dyDescent="0.25">
      <c r="A8305" s="15">
        <f>Sheet1!A8305</f>
        <v>0</v>
      </c>
      <c r="B8305">
        <f>Sheet1!B8305</f>
        <v>2.23</v>
      </c>
      <c r="C8305">
        <f>IF(Sheet1!B8305&gt;0,1,0)</f>
        <v>1</v>
      </c>
    </row>
    <row r="8306" spans="1:3" x14ac:dyDescent="0.25">
      <c r="A8306" s="15">
        <f>Sheet1!A8306</f>
        <v>0</v>
      </c>
      <c r="B8306">
        <f>Sheet1!B8306</f>
        <v>0</v>
      </c>
      <c r="C8306">
        <f>IF(Sheet1!B8306&gt;0,1,0)</f>
        <v>0</v>
      </c>
    </row>
    <row r="8307" spans="1:3" x14ac:dyDescent="0.25">
      <c r="A8307" s="15">
        <f>Sheet1!A8307</f>
        <v>0</v>
      </c>
      <c r="B8307">
        <f>Sheet1!B8307</f>
        <v>0</v>
      </c>
      <c r="C8307">
        <f>IF(Sheet1!B8307&gt;0,1,0)</f>
        <v>0</v>
      </c>
    </row>
    <row r="8308" spans="1:3" x14ac:dyDescent="0.25">
      <c r="A8308" s="15">
        <f>Sheet1!A8308</f>
        <v>0</v>
      </c>
      <c r="B8308">
        <f>Sheet1!B8308</f>
        <v>0</v>
      </c>
      <c r="C8308">
        <f>IF(Sheet1!B8308&gt;0,1,0)</f>
        <v>0</v>
      </c>
    </row>
    <row r="8309" spans="1:3" x14ac:dyDescent="0.25">
      <c r="A8309" s="15">
        <f>Sheet1!A8309</f>
        <v>0</v>
      </c>
      <c r="B8309">
        <f>Sheet1!B8309</f>
        <v>1.89</v>
      </c>
      <c r="C8309">
        <f>IF(Sheet1!B8309&gt;0,1,0)</f>
        <v>1</v>
      </c>
    </row>
    <row r="8310" spans="1:3" x14ac:dyDescent="0.25">
      <c r="A8310" s="15">
        <f>Sheet1!A8310</f>
        <v>0</v>
      </c>
      <c r="B8310">
        <f>Sheet1!B8310</f>
        <v>0</v>
      </c>
      <c r="C8310">
        <f>IF(Sheet1!B8310&gt;0,1,0)</f>
        <v>0</v>
      </c>
    </row>
    <row r="8311" spans="1:3" x14ac:dyDescent="0.25">
      <c r="A8311" s="15">
        <f>Sheet1!A8311</f>
        <v>0</v>
      </c>
      <c r="B8311">
        <f>Sheet1!B8311</f>
        <v>0</v>
      </c>
      <c r="C8311">
        <f>IF(Sheet1!B8311&gt;0,1,0)</f>
        <v>0</v>
      </c>
    </row>
    <row r="8312" spans="1:3" x14ac:dyDescent="0.25">
      <c r="A8312" s="15">
        <f>Sheet1!A8312</f>
        <v>0</v>
      </c>
      <c r="B8312">
        <f>Sheet1!B8312</f>
        <v>0</v>
      </c>
      <c r="C8312">
        <f>IF(Sheet1!B8312&gt;0,1,0)</f>
        <v>0</v>
      </c>
    </row>
    <row r="8313" spans="1:3" x14ac:dyDescent="0.25">
      <c r="A8313" s="15">
        <f>Sheet1!A8313</f>
        <v>0</v>
      </c>
      <c r="B8313">
        <f>Sheet1!B8313</f>
        <v>0</v>
      </c>
      <c r="C8313">
        <f>IF(Sheet1!B8313&gt;0,1,0)</f>
        <v>0</v>
      </c>
    </row>
    <row r="8314" spans="1:3" x14ac:dyDescent="0.25">
      <c r="A8314" s="15">
        <f>Sheet1!A8314</f>
        <v>0</v>
      </c>
      <c r="B8314">
        <f>Sheet1!B8314</f>
        <v>0</v>
      </c>
      <c r="C8314">
        <f>IF(Sheet1!B8314&gt;0,1,0)</f>
        <v>0</v>
      </c>
    </row>
    <row r="8315" spans="1:3" x14ac:dyDescent="0.25">
      <c r="A8315" s="15">
        <f>Sheet1!A8315</f>
        <v>0</v>
      </c>
      <c r="B8315">
        <f>Sheet1!B8315</f>
        <v>1.1499999999999999</v>
      </c>
      <c r="C8315">
        <f>IF(Sheet1!B8315&gt;0,1,0)</f>
        <v>1</v>
      </c>
    </row>
    <row r="8316" spans="1:3" x14ac:dyDescent="0.25">
      <c r="A8316" s="15">
        <f>Sheet1!A8316</f>
        <v>0</v>
      </c>
      <c r="B8316">
        <f>Sheet1!B8316</f>
        <v>0</v>
      </c>
      <c r="C8316">
        <f>IF(Sheet1!B8316&gt;0,1,0)</f>
        <v>0</v>
      </c>
    </row>
    <row r="8317" spans="1:3" x14ac:dyDescent="0.25">
      <c r="A8317" s="15">
        <f>Sheet1!A8317</f>
        <v>0</v>
      </c>
      <c r="B8317">
        <f>Sheet1!B8317</f>
        <v>0</v>
      </c>
      <c r="C8317">
        <f>IF(Sheet1!B8317&gt;0,1,0)</f>
        <v>0</v>
      </c>
    </row>
    <row r="8318" spans="1:3" x14ac:dyDescent="0.25">
      <c r="A8318" s="15">
        <f>Sheet1!A8318</f>
        <v>0</v>
      </c>
      <c r="B8318">
        <f>Sheet1!B8318</f>
        <v>0</v>
      </c>
      <c r="C8318">
        <f>IF(Sheet1!B8318&gt;0,1,0)</f>
        <v>0</v>
      </c>
    </row>
    <row r="8319" spans="1:3" x14ac:dyDescent="0.25">
      <c r="A8319" s="15">
        <f>Sheet1!A8319</f>
        <v>0</v>
      </c>
      <c r="B8319">
        <f>Sheet1!B8319</f>
        <v>0.92</v>
      </c>
      <c r="C8319">
        <f>IF(Sheet1!B8319&gt;0,1,0)</f>
        <v>1</v>
      </c>
    </row>
    <row r="8320" spans="1:3" x14ac:dyDescent="0.25">
      <c r="A8320" s="15">
        <f>Sheet1!A8320</f>
        <v>0</v>
      </c>
      <c r="B8320">
        <f>Sheet1!B8320</f>
        <v>0</v>
      </c>
      <c r="C8320">
        <f>IF(Sheet1!B8320&gt;0,1,0)</f>
        <v>0</v>
      </c>
    </row>
    <row r="8321" spans="1:3" x14ac:dyDescent="0.25">
      <c r="A8321" s="15">
        <f>Sheet1!A8321</f>
        <v>0</v>
      </c>
      <c r="B8321">
        <f>Sheet1!B8321</f>
        <v>0</v>
      </c>
      <c r="C8321">
        <f>IF(Sheet1!B8321&gt;0,1,0)</f>
        <v>0</v>
      </c>
    </row>
    <row r="8322" spans="1:3" x14ac:dyDescent="0.25">
      <c r="A8322" s="15">
        <f>Sheet1!A8322</f>
        <v>0</v>
      </c>
      <c r="B8322">
        <f>Sheet1!B8322</f>
        <v>0</v>
      </c>
      <c r="C8322">
        <f>IF(Sheet1!B8322&gt;0,1,0)</f>
        <v>0</v>
      </c>
    </row>
    <row r="8323" spans="1:3" x14ac:dyDescent="0.25">
      <c r="A8323" s="15">
        <f>Sheet1!A8323</f>
        <v>0</v>
      </c>
      <c r="B8323">
        <f>Sheet1!B8323</f>
        <v>0</v>
      </c>
      <c r="C8323">
        <f>IF(Sheet1!B8323&gt;0,1,0)</f>
        <v>0</v>
      </c>
    </row>
    <row r="8324" spans="1:3" x14ac:dyDescent="0.25">
      <c r="A8324" s="15">
        <f>Sheet1!A8324</f>
        <v>0</v>
      </c>
      <c r="B8324">
        <f>Sheet1!B8324</f>
        <v>0</v>
      </c>
      <c r="C8324">
        <f>IF(Sheet1!B8324&gt;0,1,0)</f>
        <v>0</v>
      </c>
    </row>
    <row r="8325" spans="1:3" x14ac:dyDescent="0.25">
      <c r="A8325" s="15">
        <f>Sheet1!A8325</f>
        <v>0</v>
      </c>
      <c r="B8325">
        <f>Sheet1!B8325</f>
        <v>0</v>
      </c>
      <c r="C8325">
        <f>IF(Sheet1!B8325&gt;0,1,0)</f>
        <v>0</v>
      </c>
    </row>
    <row r="8326" spans="1:3" x14ac:dyDescent="0.25">
      <c r="A8326" s="15">
        <f>Sheet1!A8326</f>
        <v>0</v>
      </c>
      <c r="B8326">
        <f>Sheet1!B8326</f>
        <v>0</v>
      </c>
      <c r="C8326">
        <f>IF(Sheet1!B8326&gt;0,1,0)</f>
        <v>0</v>
      </c>
    </row>
    <row r="8327" spans="1:3" x14ac:dyDescent="0.25">
      <c r="A8327" s="15">
        <f>Sheet1!A8327</f>
        <v>0</v>
      </c>
      <c r="B8327">
        <f>Sheet1!B8327</f>
        <v>0</v>
      </c>
      <c r="C8327">
        <f>IF(Sheet1!B8327&gt;0,1,0)</f>
        <v>0</v>
      </c>
    </row>
    <row r="8328" spans="1:3" x14ac:dyDescent="0.25">
      <c r="A8328" s="15">
        <f>Sheet1!A8328</f>
        <v>0</v>
      </c>
      <c r="B8328">
        <f>Sheet1!B8328</f>
        <v>0</v>
      </c>
      <c r="C8328">
        <f>IF(Sheet1!B8328&gt;0,1,0)</f>
        <v>0</v>
      </c>
    </row>
    <row r="8329" spans="1:3" x14ac:dyDescent="0.25">
      <c r="A8329" s="15">
        <f>Sheet1!A8329</f>
        <v>0</v>
      </c>
      <c r="B8329">
        <f>Sheet1!B8329</f>
        <v>1.82</v>
      </c>
      <c r="C8329">
        <f>IF(Sheet1!B8329&gt;0,1,0)</f>
        <v>1</v>
      </c>
    </row>
    <row r="8330" spans="1:3" x14ac:dyDescent="0.25">
      <c r="A8330" s="15">
        <f>Sheet1!A8330</f>
        <v>0</v>
      </c>
      <c r="B8330">
        <f>Sheet1!B8330</f>
        <v>1.77</v>
      </c>
      <c r="C8330">
        <f>IF(Sheet1!B8330&gt;0,1,0)</f>
        <v>1</v>
      </c>
    </row>
    <row r="8331" spans="1:3" x14ac:dyDescent="0.25">
      <c r="A8331" s="15">
        <f>Sheet1!A8331</f>
        <v>0</v>
      </c>
      <c r="B8331">
        <f>Sheet1!B8331</f>
        <v>2.14</v>
      </c>
      <c r="C8331">
        <f>IF(Sheet1!B8331&gt;0,1,0)</f>
        <v>1</v>
      </c>
    </row>
    <row r="8332" spans="1:3" x14ac:dyDescent="0.25">
      <c r="A8332" s="15">
        <f>Sheet1!A8332</f>
        <v>0</v>
      </c>
      <c r="B8332">
        <f>Sheet1!B8332</f>
        <v>1.74</v>
      </c>
      <c r="C8332">
        <f>IF(Sheet1!B8332&gt;0,1,0)</f>
        <v>1</v>
      </c>
    </row>
    <row r="8333" spans="1:3" x14ac:dyDescent="0.25">
      <c r="A8333" s="15">
        <f>Sheet1!A8333</f>
        <v>0</v>
      </c>
      <c r="B8333">
        <f>Sheet1!B8333</f>
        <v>0</v>
      </c>
      <c r="C8333">
        <f>IF(Sheet1!B8333&gt;0,1,0)</f>
        <v>0</v>
      </c>
    </row>
    <row r="8334" spans="1:3" x14ac:dyDescent="0.25">
      <c r="A8334" s="15">
        <f>Sheet1!A8334</f>
        <v>0</v>
      </c>
      <c r="B8334">
        <f>Sheet1!B8334</f>
        <v>0</v>
      </c>
      <c r="C8334">
        <f>IF(Sheet1!B8334&gt;0,1,0)</f>
        <v>0</v>
      </c>
    </row>
    <row r="8335" spans="1:3" x14ac:dyDescent="0.25">
      <c r="A8335" s="15">
        <f>Sheet1!A8335</f>
        <v>0</v>
      </c>
      <c r="B8335">
        <f>Sheet1!B8335</f>
        <v>0.83</v>
      </c>
      <c r="C8335">
        <f>IF(Sheet1!B8335&gt;0,1,0)</f>
        <v>1</v>
      </c>
    </row>
    <row r="8336" spans="1:3" x14ac:dyDescent="0.25">
      <c r="A8336" s="15">
        <f>Sheet1!A8336</f>
        <v>0</v>
      </c>
      <c r="B8336">
        <f>Sheet1!B8336</f>
        <v>0</v>
      </c>
      <c r="C8336">
        <f>IF(Sheet1!B8336&gt;0,1,0)</f>
        <v>0</v>
      </c>
    </row>
    <row r="8337" spans="1:3" x14ac:dyDescent="0.25">
      <c r="A8337" s="15">
        <f>Sheet1!A8337</f>
        <v>0</v>
      </c>
      <c r="B8337">
        <f>Sheet1!B8337</f>
        <v>0</v>
      </c>
      <c r="C8337">
        <f>IF(Sheet1!B8337&gt;0,1,0)</f>
        <v>0</v>
      </c>
    </row>
    <row r="8338" spans="1:3" x14ac:dyDescent="0.25">
      <c r="A8338" s="15">
        <f>Sheet1!A8338</f>
        <v>0</v>
      </c>
      <c r="B8338">
        <f>Sheet1!B8338</f>
        <v>0</v>
      </c>
      <c r="C8338">
        <f>IF(Sheet1!B8338&gt;0,1,0)</f>
        <v>0</v>
      </c>
    </row>
    <row r="8339" spans="1:3" x14ac:dyDescent="0.25">
      <c r="A8339" s="15">
        <f>Sheet1!A8339</f>
        <v>0</v>
      </c>
      <c r="B8339">
        <f>Sheet1!B8339</f>
        <v>0</v>
      </c>
      <c r="C8339">
        <f>IF(Sheet1!B8339&gt;0,1,0)</f>
        <v>0</v>
      </c>
    </row>
    <row r="8340" spans="1:3" x14ac:dyDescent="0.25">
      <c r="A8340" s="15">
        <f>Sheet1!A8340</f>
        <v>0</v>
      </c>
      <c r="B8340">
        <f>Sheet1!B8340</f>
        <v>0.74</v>
      </c>
      <c r="C8340">
        <f>IF(Sheet1!B8340&gt;0,1,0)</f>
        <v>1</v>
      </c>
    </row>
    <row r="8341" spans="1:3" x14ac:dyDescent="0.25">
      <c r="A8341" s="15">
        <f>Sheet1!A8341</f>
        <v>0</v>
      </c>
      <c r="B8341">
        <f>Sheet1!B8341</f>
        <v>0.91</v>
      </c>
      <c r="C8341">
        <f>IF(Sheet1!B8341&gt;0,1,0)</f>
        <v>1</v>
      </c>
    </row>
    <row r="8342" spans="1:3" x14ac:dyDescent="0.25">
      <c r="A8342" s="15">
        <f>Sheet1!A8342</f>
        <v>0</v>
      </c>
      <c r="B8342">
        <f>Sheet1!B8342</f>
        <v>0</v>
      </c>
      <c r="C8342">
        <f>IF(Sheet1!B8342&gt;0,1,0)</f>
        <v>0</v>
      </c>
    </row>
    <row r="8343" spans="1:3" x14ac:dyDescent="0.25">
      <c r="A8343" s="15">
        <f>Sheet1!A8343</f>
        <v>0</v>
      </c>
      <c r="B8343">
        <f>Sheet1!B8343</f>
        <v>0</v>
      </c>
      <c r="C8343">
        <f>IF(Sheet1!B8343&gt;0,1,0)</f>
        <v>0</v>
      </c>
    </row>
    <row r="8344" spans="1:3" x14ac:dyDescent="0.25">
      <c r="A8344" s="15">
        <f>Sheet1!A8344</f>
        <v>0</v>
      </c>
      <c r="B8344">
        <f>Sheet1!B8344</f>
        <v>0</v>
      </c>
      <c r="C8344">
        <f>IF(Sheet1!B8344&gt;0,1,0)</f>
        <v>0</v>
      </c>
    </row>
    <row r="8345" spans="1:3" x14ac:dyDescent="0.25">
      <c r="A8345" s="15">
        <f>Sheet1!A8345</f>
        <v>0</v>
      </c>
      <c r="B8345">
        <f>Sheet1!B8345</f>
        <v>1.35</v>
      </c>
      <c r="C8345">
        <f>IF(Sheet1!B8345&gt;0,1,0)</f>
        <v>1</v>
      </c>
    </row>
    <row r="8346" spans="1:3" x14ac:dyDescent="0.25">
      <c r="A8346" s="15">
        <f>Sheet1!A8346</f>
        <v>0</v>
      </c>
      <c r="B8346">
        <f>Sheet1!B8346</f>
        <v>0</v>
      </c>
      <c r="C8346">
        <f>IF(Sheet1!B8346&gt;0,1,0)</f>
        <v>0</v>
      </c>
    </row>
    <row r="8347" spans="1:3" x14ac:dyDescent="0.25">
      <c r="A8347" s="15">
        <f>Sheet1!A8347</f>
        <v>0</v>
      </c>
      <c r="B8347">
        <f>Sheet1!B8347</f>
        <v>0</v>
      </c>
      <c r="C8347">
        <f>IF(Sheet1!B8347&gt;0,1,0)</f>
        <v>0</v>
      </c>
    </row>
    <row r="8348" spans="1:3" x14ac:dyDescent="0.25">
      <c r="A8348" s="15">
        <f>Sheet1!A8348</f>
        <v>0</v>
      </c>
      <c r="B8348">
        <f>Sheet1!B8348</f>
        <v>0</v>
      </c>
      <c r="C8348">
        <f>IF(Sheet1!B8348&gt;0,1,0)</f>
        <v>0</v>
      </c>
    </row>
    <row r="8349" spans="1:3" x14ac:dyDescent="0.25">
      <c r="A8349" s="15">
        <f>Sheet1!A8349</f>
        <v>0</v>
      </c>
      <c r="B8349">
        <f>Sheet1!B8349</f>
        <v>1.64</v>
      </c>
      <c r="C8349">
        <f>IF(Sheet1!B8349&gt;0,1,0)</f>
        <v>1</v>
      </c>
    </row>
    <row r="8350" spans="1:3" x14ac:dyDescent="0.25">
      <c r="A8350" s="15">
        <f>Sheet1!A8350</f>
        <v>0</v>
      </c>
      <c r="B8350">
        <f>Sheet1!B8350</f>
        <v>1.89</v>
      </c>
      <c r="C8350">
        <f>IF(Sheet1!B8350&gt;0,1,0)</f>
        <v>1</v>
      </c>
    </row>
    <row r="8351" spans="1:3" x14ac:dyDescent="0.25">
      <c r="A8351" s="15">
        <f>Sheet1!A8351</f>
        <v>0</v>
      </c>
      <c r="B8351">
        <f>Sheet1!B8351</f>
        <v>1.49</v>
      </c>
      <c r="C8351">
        <f>IF(Sheet1!B8351&gt;0,1,0)</f>
        <v>1</v>
      </c>
    </row>
    <row r="8352" spans="1:3" x14ac:dyDescent="0.25">
      <c r="A8352" s="15">
        <f>Sheet1!A8352</f>
        <v>0</v>
      </c>
      <c r="B8352">
        <f>Sheet1!B8352</f>
        <v>1.81</v>
      </c>
      <c r="C8352">
        <f>IF(Sheet1!B8352&gt;0,1,0)</f>
        <v>1</v>
      </c>
    </row>
    <row r="8353" spans="1:3" x14ac:dyDescent="0.25">
      <c r="A8353" s="15">
        <f>Sheet1!A8353</f>
        <v>0</v>
      </c>
      <c r="B8353">
        <f>Sheet1!B8353</f>
        <v>1.57</v>
      </c>
      <c r="C8353">
        <f>IF(Sheet1!B8353&gt;0,1,0)</f>
        <v>1</v>
      </c>
    </row>
    <row r="8354" spans="1:3" x14ac:dyDescent="0.25">
      <c r="A8354" s="15">
        <f>Sheet1!A8354</f>
        <v>0</v>
      </c>
      <c r="B8354">
        <f>Sheet1!B8354</f>
        <v>1.88</v>
      </c>
      <c r="C8354">
        <f>IF(Sheet1!B8354&gt;0,1,0)</f>
        <v>1</v>
      </c>
    </row>
    <row r="8355" spans="1:3" x14ac:dyDescent="0.25">
      <c r="A8355" s="15">
        <f>Sheet1!A8355</f>
        <v>0</v>
      </c>
      <c r="B8355">
        <f>Sheet1!B8355</f>
        <v>1.72</v>
      </c>
      <c r="C8355">
        <f>IF(Sheet1!B8355&gt;0,1,0)</f>
        <v>1</v>
      </c>
    </row>
    <row r="8356" spans="1:3" x14ac:dyDescent="0.25">
      <c r="A8356" s="15">
        <f>Sheet1!A8356</f>
        <v>0</v>
      </c>
      <c r="B8356">
        <f>Sheet1!B8356</f>
        <v>2.11</v>
      </c>
      <c r="C8356">
        <f>IF(Sheet1!B8356&gt;0,1,0)</f>
        <v>1</v>
      </c>
    </row>
    <row r="8357" spans="1:3" x14ac:dyDescent="0.25">
      <c r="A8357" s="15">
        <f>Sheet1!A8357</f>
        <v>0</v>
      </c>
      <c r="B8357">
        <f>Sheet1!B8357</f>
        <v>1.7</v>
      </c>
      <c r="C8357">
        <f>IF(Sheet1!B8357&gt;0,1,0)</f>
        <v>1</v>
      </c>
    </row>
    <row r="8358" spans="1:3" x14ac:dyDescent="0.25">
      <c r="A8358" s="15">
        <f>Sheet1!A8358</f>
        <v>0</v>
      </c>
      <c r="B8358">
        <f>Sheet1!B8358</f>
        <v>0</v>
      </c>
      <c r="C8358">
        <f>IF(Sheet1!B8358&gt;0,1,0)</f>
        <v>0</v>
      </c>
    </row>
    <row r="8359" spans="1:3" x14ac:dyDescent="0.25">
      <c r="A8359" s="15">
        <f>Sheet1!A8359</f>
        <v>0</v>
      </c>
      <c r="B8359">
        <f>Sheet1!B8359</f>
        <v>0</v>
      </c>
      <c r="C8359">
        <f>IF(Sheet1!B8359&gt;0,1,0)</f>
        <v>0</v>
      </c>
    </row>
    <row r="8360" spans="1:3" x14ac:dyDescent="0.25">
      <c r="A8360" s="15">
        <f>Sheet1!A8360</f>
        <v>0</v>
      </c>
      <c r="B8360">
        <f>Sheet1!B8360</f>
        <v>0</v>
      </c>
      <c r="C8360">
        <f>IF(Sheet1!B8360&gt;0,1,0)</f>
        <v>0</v>
      </c>
    </row>
    <row r="8361" spans="1:3" x14ac:dyDescent="0.25">
      <c r="A8361" s="15">
        <f>Sheet1!A8361</f>
        <v>0</v>
      </c>
      <c r="B8361">
        <f>Sheet1!B8361</f>
        <v>0.8</v>
      </c>
      <c r="C8361">
        <f>IF(Sheet1!B8361&gt;0,1,0)</f>
        <v>1</v>
      </c>
    </row>
    <row r="8362" spans="1:3" x14ac:dyDescent="0.25">
      <c r="A8362" s="15">
        <f>Sheet1!A8362</f>
        <v>0</v>
      </c>
      <c r="B8362">
        <f>Sheet1!B8362</f>
        <v>1.82</v>
      </c>
      <c r="C8362">
        <f>IF(Sheet1!B8362&gt;0,1,0)</f>
        <v>1</v>
      </c>
    </row>
    <row r="8363" spans="1:3" x14ac:dyDescent="0.25">
      <c r="A8363" s="15">
        <f>Sheet1!A8363</f>
        <v>0</v>
      </c>
      <c r="B8363">
        <f>Sheet1!B8363</f>
        <v>0</v>
      </c>
      <c r="C8363">
        <f>IF(Sheet1!B8363&gt;0,1,0)</f>
        <v>0</v>
      </c>
    </row>
    <row r="8364" spans="1:3" x14ac:dyDescent="0.25">
      <c r="A8364" s="15">
        <f>Sheet1!A8364</f>
        <v>0</v>
      </c>
      <c r="B8364">
        <f>Sheet1!B8364</f>
        <v>0</v>
      </c>
      <c r="C8364">
        <f>IF(Sheet1!B8364&gt;0,1,0)</f>
        <v>0</v>
      </c>
    </row>
    <row r="8365" spans="1:3" x14ac:dyDescent="0.25">
      <c r="A8365" s="15">
        <f>Sheet1!A8365</f>
        <v>0</v>
      </c>
      <c r="B8365">
        <f>Sheet1!B8365</f>
        <v>0</v>
      </c>
      <c r="C8365">
        <f>IF(Sheet1!B8365&gt;0,1,0)</f>
        <v>0</v>
      </c>
    </row>
    <row r="8366" spans="1:3" x14ac:dyDescent="0.25">
      <c r="A8366" s="15">
        <f>Sheet1!A8366</f>
        <v>0</v>
      </c>
      <c r="B8366">
        <f>Sheet1!B8366</f>
        <v>0</v>
      </c>
      <c r="C8366">
        <f>IF(Sheet1!B8366&gt;0,1,0)</f>
        <v>0</v>
      </c>
    </row>
    <row r="8367" spans="1:3" x14ac:dyDescent="0.25">
      <c r="A8367" s="15">
        <f>Sheet1!A8367</f>
        <v>0</v>
      </c>
      <c r="B8367">
        <f>Sheet1!B8367</f>
        <v>0.72</v>
      </c>
      <c r="C8367">
        <f>IF(Sheet1!B8367&gt;0,1,0)</f>
        <v>1</v>
      </c>
    </row>
    <row r="8368" spans="1:3" x14ac:dyDescent="0.25">
      <c r="A8368" s="15">
        <f>Sheet1!A8368</f>
        <v>0</v>
      </c>
      <c r="B8368">
        <f>Sheet1!B8368</f>
        <v>0</v>
      </c>
      <c r="C8368">
        <f>IF(Sheet1!B8368&gt;0,1,0)</f>
        <v>0</v>
      </c>
    </row>
    <row r="8369" spans="1:3" x14ac:dyDescent="0.25">
      <c r="A8369" s="15">
        <f>Sheet1!A8369</f>
        <v>0</v>
      </c>
      <c r="B8369">
        <f>Sheet1!B8369</f>
        <v>0</v>
      </c>
      <c r="C8369">
        <f>IF(Sheet1!B8369&gt;0,1,0)</f>
        <v>0</v>
      </c>
    </row>
    <row r="8370" spans="1:3" x14ac:dyDescent="0.25">
      <c r="A8370" s="15">
        <f>Sheet1!A8370</f>
        <v>0</v>
      </c>
      <c r="B8370">
        <f>Sheet1!B8370</f>
        <v>0</v>
      </c>
      <c r="C8370">
        <f>IF(Sheet1!B8370&gt;0,1,0)</f>
        <v>0</v>
      </c>
    </row>
    <row r="8371" spans="1:3" x14ac:dyDescent="0.25">
      <c r="A8371" s="15">
        <f>Sheet1!A8371</f>
        <v>0</v>
      </c>
      <c r="B8371">
        <f>Sheet1!B8371</f>
        <v>0</v>
      </c>
      <c r="C8371">
        <f>IF(Sheet1!B8371&gt;0,1,0)</f>
        <v>0</v>
      </c>
    </row>
    <row r="8372" spans="1:3" x14ac:dyDescent="0.25">
      <c r="A8372" s="15">
        <f>Sheet1!A8372</f>
        <v>0</v>
      </c>
      <c r="B8372">
        <f>Sheet1!B8372</f>
        <v>1.1599999999999999</v>
      </c>
      <c r="C8372">
        <f>IF(Sheet1!B8372&gt;0,1,0)</f>
        <v>1</v>
      </c>
    </row>
    <row r="8373" spans="1:3" x14ac:dyDescent="0.25">
      <c r="A8373" s="15">
        <f>Sheet1!A8373</f>
        <v>0</v>
      </c>
      <c r="B8373">
        <f>Sheet1!B8373</f>
        <v>1.45</v>
      </c>
      <c r="C8373">
        <f>IF(Sheet1!B8373&gt;0,1,0)</f>
        <v>1</v>
      </c>
    </row>
    <row r="8374" spans="1:3" x14ac:dyDescent="0.25">
      <c r="A8374" s="15">
        <f>Sheet1!A8374</f>
        <v>0</v>
      </c>
      <c r="B8374">
        <f>Sheet1!B8374</f>
        <v>0</v>
      </c>
      <c r="C8374">
        <f>IF(Sheet1!B8374&gt;0,1,0)</f>
        <v>0</v>
      </c>
    </row>
    <row r="8375" spans="1:3" x14ac:dyDescent="0.25">
      <c r="A8375" s="15">
        <f>Sheet1!A8375</f>
        <v>0</v>
      </c>
      <c r="B8375">
        <f>Sheet1!B8375</f>
        <v>0</v>
      </c>
      <c r="C8375">
        <f>IF(Sheet1!B8375&gt;0,1,0)</f>
        <v>0</v>
      </c>
    </row>
    <row r="8376" spans="1:3" x14ac:dyDescent="0.25">
      <c r="A8376" s="15">
        <f>Sheet1!A8376</f>
        <v>0</v>
      </c>
      <c r="B8376">
        <f>Sheet1!B8376</f>
        <v>1.8</v>
      </c>
      <c r="C8376">
        <f>IF(Sheet1!B8376&gt;0,1,0)</f>
        <v>1</v>
      </c>
    </row>
    <row r="8377" spans="1:3" x14ac:dyDescent="0.25">
      <c r="A8377" s="15">
        <f>Sheet1!A8377</f>
        <v>0</v>
      </c>
      <c r="B8377">
        <f>Sheet1!B8377</f>
        <v>1.72</v>
      </c>
      <c r="C8377">
        <f>IF(Sheet1!B8377&gt;0,1,0)</f>
        <v>1</v>
      </c>
    </row>
    <row r="8378" spans="1:3" x14ac:dyDescent="0.25">
      <c r="A8378" s="15">
        <f>Sheet1!A8378</f>
        <v>0</v>
      </c>
      <c r="B8378">
        <f>Sheet1!B8378</f>
        <v>1.56</v>
      </c>
      <c r="C8378">
        <f>IF(Sheet1!B8378&gt;0,1,0)</f>
        <v>1</v>
      </c>
    </row>
    <row r="8379" spans="1:3" x14ac:dyDescent="0.25">
      <c r="A8379" s="15">
        <f>Sheet1!A8379</f>
        <v>0</v>
      </c>
      <c r="B8379">
        <f>Sheet1!B8379</f>
        <v>1.7</v>
      </c>
      <c r="C8379">
        <f>IF(Sheet1!B8379&gt;0,1,0)</f>
        <v>1</v>
      </c>
    </row>
    <row r="8380" spans="1:3" x14ac:dyDescent="0.25">
      <c r="A8380" s="15">
        <f>Sheet1!A8380</f>
        <v>0</v>
      </c>
      <c r="B8380">
        <f>Sheet1!B8380</f>
        <v>1.75</v>
      </c>
      <c r="C8380">
        <f>IF(Sheet1!B8380&gt;0,1,0)</f>
        <v>1</v>
      </c>
    </row>
    <row r="8381" spans="1:3" x14ac:dyDescent="0.25">
      <c r="A8381" s="15">
        <f>Sheet1!A8381</f>
        <v>0</v>
      </c>
      <c r="B8381">
        <f>Sheet1!B8381</f>
        <v>1.78</v>
      </c>
      <c r="C8381">
        <f>IF(Sheet1!B8381&gt;0,1,0)</f>
        <v>1</v>
      </c>
    </row>
    <row r="8382" spans="1:3" x14ac:dyDescent="0.25">
      <c r="A8382" s="15">
        <f>Sheet1!A8382</f>
        <v>0</v>
      </c>
      <c r="B8382">
        <f>Sheet1!B8382</f>
        <v>0</v>
      </c>
      <c r="C8382">
        <f>IF(Sheet1!B8382&gt;0,1,0)</f>
        <v>0</v>
      </c>
    </row>
    <row r="8383" spans="1:3" x14ac:dyDescent="0.25">
      <c r="A8383" s="15">
        <f>Sheet1!A8383</f>
        <v>0</v>
      </c>
      <c r="B8383">
        <f>Sheet1!B8383</f>
        <v>0</v>
      </c>
      <c r="C8383">
        <f>IF(Sheet1!B8383&gt;0,1,0)</f>
        <v>0</v>
      </c>
    </row>
    <row r="8384" spans="1:3" x14ac:dyDescent="0.25">
      <c r="A8384" s="15">
        <f>Sheet1!A8384</f>
        <v>0</v>
      </c>
      <c r="B8384">
        <f>Sheet1!B8384</f>
        <v>0</v>
      </c>
      <c r="C8384">
        <f>IF(Sheet1!B8384&gt;0,1,0)</f>
        <v>0</v>
      </c>
    </row>
    <row r="8385" spans="1:3" x14ac:dyDescent="0.25">
      <c r="A8385" s="15">
        <f>Sheet1!A8385</f>
        <v>0</v>
      </c>
      <c r="B8385">
        <f>Sheet1!B8385</f>
        <v>1.21</v>
      </c>
      <c r="C8385">
        <f>IF(Sheet1!B8385&gt;0,1,0)</f>
        <v>1</v>
      </c>
    </row>
    <row r="8386" spans="1:3" x14ac:dyDescent="0.25">
      <c r="A8386" s="15">
        <f>Sheet1!A8386</f>
        <v>0</v>
      </c>
      <c r="B8386">
        <f>Sheet1!B8386</f>
        <v>0</v>
      </c>
      <c r="C8386">
        <f>IF(Sheet1!B8386&gt;0,1,0)</f>
        <v>0</v>
      </c>
    </row>
    <row r="8387" spans="1:3" x14ac:dyDescent="0.25">
      <c r="A8387" s="15">
        <f>Sheet1!A8387</f>
        <v>0</v>
      </c>
      <c r="B8387">
        <f>Sheet1!B8387</f>
        <v>0</v>
      </c>
      <c r="C8387">
        <f>IF(Sheet1!B8387&gt;0,1,0)</f>
        <v>0</v>
      </c>
    </row>
    <row r="8388" spans="1:3" x14ac:dyDescent="0.25">
      <c r="A8388" s="15">
        <f>Sheet1!A8388</f>
        <v>0</v>
      </c>
      <c r="B8388">
        <f>Sheet1!B8388</f>
        <v>0</v>
      </c>
      <c r="C8388">
        <f>IF(Sheet1!B8388&gt;0,1,0)</f>
        <v>0</v>
      </c>
    </row>
    <row r="8389" spans="1:3" x14ac:dyDescent="0.25">
      <c r="A8389" s="15">
        <f>Sheet1!A8389</f>
        <v>0</v>
      </c>
      <c r="B8389">
        <f>Sheet1!B8389</f>
        <v>2.2599999999999998</v>
      </c>
      <c r="C8389">
        <f>IF(Sheet1!B8389&gt;0,1,0)</f>
        <v>1</v>
      </c>
    </row>
    <row r="8390" spans="1:3" x14ac:dyDescent="0.25">
      <c r="A8390" s="15">
        <f>Sheet1!A8390</f>
        <v>0</v>
      </c>
      <c r="B8390">
        <f>Sheet1!B8390</f>
        <v>0</v>
      </c>
      <c r="C8390">
        <f>IF(Sheet1!B8390&gt;0,1,0)</f>
        <v>0</v>
      </c>
    </row>
    <row r="8391" spans="1:3" x14ac:dyDescent="0.25">
      <c r="A8391" s="15">
        <f>Sheet1!A8391</f>
        <v>0</v>
      </c>
      <c r="B8391">
        <f>Sheet1!B8391</f>
        <v>0</v>
      </c>
      <c r="C8391">
        <f>IF(Sheet1!B8391&gt;0,1,0)</f>
        <v>0</v>
      </c>
    </row>
    <row r="8392" spans="1:3" x14ac:dyDescent="0.25">
      <c r="A8392" s="15">
        <f>Sheet1!A8392</f>
        <v>0</v>
      </c>
      <c r="B8392">
        <f>Sheet1!B8392</f>
        <v>0</v>
      </c>
      <c r="C8392">
        <f>IF(Sheet1!B8392&gt;0,1,0)</f>
        <v>0</v>
      </c>
    </row>
    <row r="8393" spans="1:3" x14ac:dyDescent="0.25">
      <c r="A8393" s="15">
        <f>Sheet1!A8393</f>
        <v>0</v>
      </c>
      <c r="B8393">
        <f>Sheet1!B8393</f>
        <v>0</v>
      </c>
      <c r="C8393">
        <f>IF(Sheet1!B8393&gt;0,1,0)</f>
        <v>0</v>
      </c>
    </row>
    <row r="8394" spans="1:3" x14ac:dyDescent="0.25">
      <c r="A8394" s="15">
        <f>Sheet1!A8394</f>
        <v>0</v>
      </c>
      <c r="B8394">
        <f>Sheet1!B8394</f>
        <v>0</v>
      </c>
      <c r="C8394">
        <f>IF(Sheet1!B8394&gt;0,1,0)</f>
        <v>0</v>
      </c>
    </row>
    <row r="8395" spans="1:3" x14ac:dyDescent="0.25">
      <c r="A8395" s="15">
        <f>Sheet1!A8395</f>
        <v>0</v>
      </c>
      <c r="B8395">
        <f>Sheet1!B8395</f>
        <v>0</v>
      </c>
      <c r="C8395">
        <f>IF(Sheet1!B8395&gt;0,1,0)</f>
        <v>0</v>
      </c>
    </row>
    <row r="8396" spans="1:3" x14ac:dyDescent="0.25">
      <c r="A8396" s="15">
        <f>Sheet1!A8396</f>
        <v>0</v>
      </c>
      <c r="B8396">
        <f>Sheet1!B8396</f>
        <v>0</v>
      </c>
      <c r="C8396">
        <f>IF(Sheet1!B8396&gt;0,1,0)</f>
        <v>0</v>
      </c>
    </row>
    <row r="8397" spans="1:3" x14ac:dyDescent="0.25">
      <c r="A8397" s="15">
        <f>Sheet1!A8397</f>
        <v>0</v>
      </c>
      <c r="B8397">
        <f>Sheet1!B8397</f>
        <v>0</v>
      </c>
      <c r="C8397">
        <f>IF(Sheet1!B8397&gt;0,1,0)</f>
        <v>0</v>
      </c>
    </row>
    <row r="8398" spans="1:3" x14ac:dyDescent="0.25">
      <c r="A8398" s="15">
        <f>Sheet1!A8398</f>
        <v>0</v>
      </c>
      <c r="B8398">
        <f>Sheet1!B8398</f>
        <v>0</v>
      </c>
      <c r="C8398">
        <f>IF(Sheet1!B8398&gt;0,1,0)</f>
        <v>0</v>
      </c>
    </row>
    <row r="8399" spans="1:3" x14ac:dyDescent="0.25">
      <c r="A8399" s="15">
        <f>Sheet1!A8399</f>
        <v>0</v>
      </c>
      <c r="B8399">
        <f>Sheet1!B8399</f>
        <v>1.79</v>
      </c>
      <c r="C8399">
        <f>IF(Sheet1!B8399&gt;0,1,0)</f>
        <v>1</v>
      </c>
    </row>
    <row r="8400" spans="1:3" x14ac:dyDescent="0.25">
      <c r="A8400" s="15">
        <f>Sheet1!A8400</f>
        <v>0</v>
      </c>
      <c r="B8400">
        <f>Sheet1!B8400</f>
        <v>0</v>
      </c>
      <c r="C8400">
        <f>IF(Sheet1!B8400&gt;0,1,0)</f>
        <v>0</v>
      </c>
    </row>
    <row r="8401" spans="1:3" x14ac:dyDescent="0.25">
      <c r="A8401" s="15">
        <f>Sheet1!A8401</f>
        <v>0</v>
      </c>
      <c r="B8401">
        <f>Sheet1!B8401</f>
        <v>0</v>
      </c>
      <c r="C8401">
        <f>IF(Sheet1!B8401&gt;0,1,0)</f>
        <v>0</v>
      </c>
    </row>
    <row r="8402" spans="1:3" x14ac:dyDescent="0.25">
      <c r="A8402" s="15">
        <f>Sheet1!A8402</f>
        <v>0</v>
      </c>
      <c r="B8402">
        <f>Sheet1!B8402</f>
        <v>1.1000000000000001</v>
      </c>
      <c r="C8402">
        <f>IF(Sheet1!B8402&gt;0,1,0)</f>
        <v>1</v>
      </c>
    </row>
    <row r="8403" spans="1:3" x14ac:dyDescent="0.25">
      <c r="A8403" s="15">
        <f>Sheet1!A8403</f>
        <v>0</v>
      </c>
      <c r="B8403">
        <f>Sheet1!B8403</f>
        <v>1.28</v>
      </c>
      <c r="C8403">
        <f>IF(Sheet1!B8403&gt;0,1,0)</f>
        <v>1</v>
      </c>
    </row>
    <row r="8404" spans="1:3" x14ac:dyDescent="0.25">
      <c r="A8404" s="15">
        <f>Sheet1!A8404</f>
        <v>0</v>
      </c>
      <c r="B8404">
        <f>Sheet1!B8404</f>
        <v>1.48</v>
      </c>
      <c r="C8404">
        <f>IF(Sheet1!B8404&gt;0,1,0)</f>
        <v>1</v>
      </c>
    </row>
    <row r="8405" spans="1:3" x14ac:dyDescent="0.25">
      <c r="A8405" s="15">
        <f>Sheet1!A8405</f>
        <v>0</v>
      </c>
      <c r="B8405">
        <f>Sheet1!B8405</f>
        <v>0.99</v>
      </c>
      <c r="C8405">
        <f>IF(Sheet1!B8405&gt;0,1,0)</f>
        <v>1</v>
      </c>
    </row>
    <row r="8406" spans="1:3" x14ac:dyDescent="0.25">
      <c r="A8406" s="15">
        <f>Sheet1!A8406</f>
        <v>0</v>
      </c>
      <c r="B8406">
        <f>Sheet1!B8406</f>
        <v>0</v>
      </c>
      <c r="C8406">
        <f>IF(Sheet1!B8406&gt;0,1,0)</f>
        <v>0</v>
      </c>
    </row>
    <row r="8407" spans="1:3" x14ac:dyDescent="0.25">
      <c r="A8407" s="15">
        <f>Sheet1!A8407</f>
        <v>0</v>
      </c>
      <c r="B8407">
        <f>Sheet1!B8407</f>
        <v>0</v>
      </c>
      <c r="C8407">
        <f>IF(Sheet1!B8407&gt;0,1,0)</f>
        <v>0</v>
      </c>
    </row>
    <row r="8408" spans="1:3" x14ac:dyDescent="0.25">
      <c r="A8408" s="15">
        <f>Sheet1!A8408</f>
        <v>0</v>
      </c>
      <c r="B8408">
        <f>Sheet1!B8408</f>
        <v>0</v>
      </c>
      <c r="C8408">
        <f>IF(Sheet1!B8408&gt;0,1,0)</f>
        <v>0</v>
      </c>
    </row>
    <row r="8409" spans="1:3" x14ac:dyDescent="0.25">
      <c r="A8409" s="15">
        <f>Sheet1!A8409</f>
        <v>0</v>
      </c>
      <c r="B8409">
        <f>Sheet1!B8409</f>
        <v>0.85</v>
      </c>
      <c r="C8409">
        <f>IF(Sheet1!B8409&gt;0,1,0)</f>
        <v>1</v>
      </c>
    </row>
    <row r="8410" spans="1:3" x14ac:dyDescent="0.25">
      <c r="A8410" s="15">
        <f>Sheet1!A8410</f>
        <v>0</v>
      </c>
      <c r="B8410">
        <f>Sheet1!B8410</f>
        <v>0.85</v>
      </c>
      <c r="C8410">
        <f>IF(Sheet1!B8410&gt;0,1,0)</f>
        <v>1</v>
      </c>
    </row>
    <row r="8411" spans="1:3" x14ac:dyDescent="0.25">
      <c r="A8411" s="15">
        <f>Sheet1!A8411</f>
        <v>0</v>
      </c>
      <c r="B8411">
        <f>Sheet1!B8411</f>
        <v>0.85</v>
      </c>
      <c r="C8411">
        <f>IF(Sheet1!B8411&gt;0,1,0)</f>
        <v>1</v>
      </c>
    </row>
    <row r="8412" spans="1:3" x14ac:dyDescent="0.25">
      <c r="A8412" s="15">
        <f>Sheet1!A8412</f>
        <v>0</v>
      </c>
      <c r="B8412">
        <f>Sheet1!B8412</f>
        <v>0.26</v>
      </c>
      <c r="C8412">
        <f>IF(Sheet1!B8412&gt;0,1,0)</f>
        <v>1</v>
      </c>
    </row>
    <row r="8413" spans="1:3" x14ac:dyDescent="0.25">
      <c r="A8413" s="15">
        <f>Sheet1!A8413</f>
        <v>0</v>
      </c>
      <c r="B8413">
        <f>Sheet1!B8413</f>
        <v>0</v>
      </c>
      <c r="C8413">
        <f>IF(Sheet1!B8413&gt;0,1,0)</f>
        <v>0</v>
      </c>
    </row>
    <row r="8414" spans="1:3" x14ac:dyDescent="0.25">
      <c r="A8414" s="15">
        <f>Sheet1!A8414</f>
        <v>0</v>
      </c>
      <c r="B8414">
        <f>Sheet1!B8414</f>
        <v>0</v>
      </c>
      <c r="C8414">
        <f>IF(Sheet1!B8414&gt;0,1,0)</f>
        <v>0</v>
      </c>
    </row>
    <row r="8415" spans="1:3" x14ac:dyDescent="0.25">
      <c r="A8415" s="15">
        <f>Sheet1!A8415</f>
        <v>0</v>
      </c>
      <c r="B8415">
        <f>Sheet1!B8415</f>
        <v>1.66</v>
      </c>
      <c r="C8415">
        <f>IF(Sheet1!B8415&gt;0,1,0)</f>
        <v>1</v>
      </c>
    </row>
    <row r="8416" spans="1:3" x14ac:dyDescent="0.25">
      <c r="A8416" s="15">
        <f>Sheet1!A8416</f>
        <v>0</v>
      </c>
      <c r="B8416">
        <f>Sheet1!B8416</f>
        <v>0</v>
      </c>
      <c r="C8416">
        <f>IF(Sheet1!B8416&gt;0,1,0)</f>
        <v>0</v>
      </c>
    </row>
    <row r="8417" spans="1:3" x14ac:dyDescent="0.25">
      <c r="A8417" s="15">
        <f>Sheet1!A8417</f>
        <v>0</v>
      </c>
      <c r="B8417">
        <f>Sheet1!B8417</f>
        <v>0</v>
      </c>
      <c r="C8417">
        <f>IF(Sheet1!B8417&gt;0,1,0)</f>
        <v>0</v>
      </c>
    </row>
    <row r="8418" spans="1:3" x14ac:dyDescent="0.25">
      <c r="A8418" s="15">
        <f>Sheet1!A8418</f>
        <v>0</v>
      </c>
      <c r="B8418">
        <f>Sheet1!B8418</f>
        <v>0</v>
      </c>
      <c r="C8418">
        <f>IF(Sheet1!B8418&gt;0,1,0)</f>
        <v>0</v>
      </c>
    </row>
    <row r="8419" spans="1:3" x14ac:dyDescent="0.25">
      <c r="A8419" s="15">
        <f>Sheet1!A8419</f>
        <v>0</v>
      </c>
      <c r="B8419">
        <f>Sheet1!B8419</f>
        <v>1.4</v>
      </c>
      <c r="C8419">
        <f>IF(Sheet1!B8419&gt;0,1,0)</f>
        <v>1</v>
      </c>
    </row>
    <row r="8420" spans="1:3" x14ac:dyDescent="0.25">
      <c r="A8420" s="15">
        <f>Sheet1!A8420</f>
        <v>0</v>
      </c>
      <c r="B8420">
        <f>Sheet1!B8420</f>
        <v>0</v>
      </c>
      <c r="C8420">
        <f>IF(Sheet1!B8420&gt;0,1,0)</f>
        <v>0</v>
      </c>
    </row>
    <row r="8421" spans="1:3" x14ac:dyDescent="0.25">
      <c r="A8421" s="15">
        <f>Sheet1!A8421</f>
        <v>0</v>
      </c>
      <c r="B8421">
        <f>Sheet1!B8421</f>
        <v>0</v>
      </c>
      <c r="C8421">
        <f>IF(Sheet1!B8421&gt;0,1,0)</f>
        <v>0</v>
      </c>
    </row>
    <row r="8422" spans="1:3" x14ac:dyDescent="0.25">
      <c r="A8422" s="15">
        <f>Sheet1!A8422</f>
        <v>0</v>
      </c>
      <c r="B8422">
        <f>Sheet1!B8422</f>
        <v>0</v>
      </c>
      <c r="C8422">
        <f>IF(Sheet1!B8422&gt;0,1,0)</f>
        <v>0</v>
      </c>
    </row>
    <row r="8423" spans="1:3" x14ac:dyDescent="0.25">
      <c r="A8423" s="15">
        <f>Sheet1!A8423</f>
        <v>0</v>
      </c>
      <c r="B8423">
        <f>Sheet1!B8423</f>
        <v>1.57</v>
      </c>
      <c r="C8423">
        <f>IF(Sheet1!B8423&gt;0,1,0)</f>
        <v>1</v>
      </c>
    </row>
    <row r="8424" spans="1:3" x14ac:dyDescent="0.25">
      <c r="A8424" s="15">
        <f>Sheet1!A8424</f>
        <v>0</v>
      </c>
      <c r="B8424">
        <f>Sheet1!B8424</f>
        <v>1.77</v>
      </c>
      <c r="C8424">
        <f>IF(Sheet1!B8424&gt;0,1,0)</f>
        <v>1</v>
      </c>
    </row>
    <row r="8425" spans="1:3" x14ac:dyDescent="0.25">
      <c r="A8425" s="15">
        <f>Sheet1!A8425</f>
        <v>0</v>
      </c>
      <c r="B8425">
        <f>Sheet1!B8425</f>
        <v>1.86</v>
      </c>
      <c r="C8425">
        <f>IF(Sheet1!B8425&gt;0,1,0)</f>
        <v>1</v>
      </c>
    </row>
    <row r="8426" spans="1:3" x14ac:dyDescent="0.25">
      <c r="A8426" s="15">
        <f>Sheet1!A8426</f>
        <v>0</v>
      </c>
      <c r="B8426">
        <f>Sheet1!B8426</f>
        <v>1.53</v>
      </c>
      <c r="C8426">
        <f>IF(Sheet1!B8426&gt;0,1,0)</f>
        <v>1</v>
      </c>
    </row>
    <row r="8427" spans="1:3" x14ac:dyDescent="0.25">
      <c r="A8427" s="15">
        <f>Sheet1!A8427</f>
        <v>0</v>
      </c>
      <c r="B8427">
        <f>Sheet1!B8427</f>
        <v>1.74</v>
      </c>
      <c r="C8427">
        <f>IF(Sheet1!B8427&gt;0,1,0)</f>
        <v>1</v>
      </c>
    </row>
    <row r="8428" spans="1:3" x14ac:dyDescent="0.25">
      <c r="A8428" s="15">
        <f>Sheet1!A8428</f>
        <v>0</v>
      </c>
      <c r="B8428">
        <f>Sheet1!B8428</f>
        <v>1.85</v>
      </c>
      <c r="C8428">
        <f>IF(Sheet1!B8428&gt;0,1,0)</f>
        <v>1</v>
      </c>
    </row>
    <row r="8429" spans="1:3" x14ac:dyDescent="0.25">
      <c r="A8429" s="15">
        <f>Sheet1!A8429</f>
        <v>0</v>
      </c>
      <c r="B8429">
        <f>Sheet1!B8429</f>
        <v>1.6</v>
      </c>
      <c r="C8429">
        <f>IF(Sheet1!B8429&gt;0,1,0)</f>
        <v>1</v>
      </c>
    </row>
    <row r="8430" spans="1:3" x14ac:dyDescent="0.25">
      <c r="A8430" s="15">
        <f>Sheet1!A8430</f>
        <v>0</v>
      </c>
      <c r="B8430">
        <f>Sheet1!B8430</f>
        <v>0</v>
      </c>
      <c r="C8430">
        <f>IF(Sheet1!B8430&gt;0,1,0)</f>
        <v>0</v>
      </c>
    </row>
    <row r="8431" spans="1:3" x14ac:dyDescent="0.25">
      <c r="A8431" s="15">
        <f>Sheet1!A8431</f>
        <v>0</v>
      </c>
      <c r="B8431">
        <f>Sheet1!B8431</f>
        <v>0</v>
      </c>
      <c r="C8431">
        <f>IF(Sheet1!B8431&gt;0,1,0)</f>
        <v>0</v>
      </c>
    </row>
    <row r="8432" spans="1:3" x14ac:dyDescent="0.25">
      <c r="A8432" s="15">
        <f>Sheet1!A8432</f>
        <v>0</v>
      </c>
      <c r="B8432">
        <f>Sheet1!B8432</f>
        <v>0</v>
      </c>
      <c r="C8432">
        <f>IF(Sheet1!B8432&gt;0,1,0)</f>
        <v>0</v>
      </c>
    </row>
    <row r="8433" spans="1:3" x14ac:dyDescent="0.25">
      <c r="A8433" s="15">
        <f>Sheet1!A8433</f>
        <v>0</v>
      </c>
      <c r="B8433">
        <f>Sheet1!B8433</f>
        <v>0.75</v>
      </c>
      <c r="C8433">
        <f>IF(Sheet1!B8433&gt;0,1,0)</f>
        <v>1</v>
      </c>
    </row>
    <row r="8434" spans="1:3" x14ac:dyDescent="0.25">
      <c r="A8434" s="15">
        <f>Sheet1!A8434</f>
        <v>0</v>
      </c>
      <c r="B8434">
        <f>Sheet1!B8434</f>
        <v>0.68</v>
      </c>
      <c r="C8434">
        <f>IF(Sheet1!B8434&gt;0,1,0)</f>
        <v>1</v>
      </c>
    </row>
    <row r="8435" spans="1:3" x14ac:dyDescent="0.25">
      <c r="A8435" s="15">
        <f>Sheet1!A8435</f>
        <v>0</v>
      </c>
      <c r="B8435">
        <f>Sheet1!B8435</f>
        <v>0.68</v>
      </c>
      <c r="C8435">
        <f>IF(Sheet1!B8435&gt;0,1,0)</f>
        <v>1</v>
      </c>
    </row>
    <row r="8436" spans="1:3" x14ac:dyDescent="0.25">
      <c r="A8436" s="15">
        <f>Sheet1!A8436</f>
        <v>0</v>
      </c>
      <c r="B8436">
        <f>Sheet1!B8436</f>
        <v>0</v>
      </c>
      <c r="C8436">
        <f>IF(Sheet1!B8436&gt;0,1,0)</f>
        <v>0</v>
      </c>
    </row>
    <row r="8437" spans="1:3" x14ac:dyDescent="0.25">
      <c r="A8437" s="15">
        <f>Sheet1!A8437</f>
        <v>0</v>
      </c>
      <c r="B8437">
        <f>Sheet1!B8437</f>
        <v>0</v>
      </c>
      <c r="C8437">
        <f>IF(Sheet1!B8437&gt;0,1,0)</f>
        <v>0</v>
      </c>
    </row>
    <row r="8438" spans="1:3" x14ac:dyDescent="0.25">
      <c r="A8438" s="15">
        <f>Sheet1!A8438</f>
        <v>0</v>
      </c>
      <c r="B8438">
        <f>Sheet1!B8438</f>
        <v>0</v>
      </c>
      <c r="C8438">
        <f>IF(Sheet1!B8438&gt;0,1,0)</f>
        <v>0</v>
      </c>
    </row>
    <row r="8439" spans="1:3" x14ac:dyDescent="0.25">
      <c r="A8439" s="15">
        <f>Sheet1!A8439</f>
        <v>0</v>
      </c>
      <c r="B8439">
        <f>Sheet1!B8439</f>
        <v>1.66</v>
      </c>
      <c r="C8439">
        <f>IF(Sheet1!B8439&gt;0,1,0)</f>
        <v>1</v>
      </c>
    </row>
    <row r="8440" spans="1:3" x14ac:dyDescent="0.25">
      <c r="A8440" s="15">
        <f>Sheet1!A8440</f>
        <v>0</v>
      </c>
      <c r="B8440">
        <f>Sheet1!B8440</f>
        <v>0</v>
      </c>
      <c r="C8440">
        <f>IF(Sheet1!B8440&gt;0,1,0)</f>
        <v>0</v>
      </c>
    </row>
    <row r="8441" spans="1:3" x14ac:dyDescent="0.25">
      <c r="A8441" s="15">
        <f>Sheet1!A8441</f>
        <v>0</v>
      </c>
      <c r="B8441">
        <f>Sheet1!B8441</f>
        <v>0</v>
      </c>
      <c r="C8441">
        <f>IF(Sheet1!B8441&gt;0,1,0)</f>
        <v>0</v>
      </c>
    </row>
    <row r="8442" spans="1:3" x14ac:dyDescent="0.25">
      <c r="A8442" s="15">
        <f>Sheet1!A8442</f>
        <v>0</v>
      </c>
      <c r="B8442">
        <f>Sheet1!B8442</f>
        <v>0</v>
      </c>
      <c r="C8442">
        <f>IF(Sheet1!B8442&gt;0,1,0)</f>
        <v>0</v>
      </c>
    </row>
    <row r="8443" spans="1:3" x14ac:dyDescent="0.25">
      <c r="A8443" s="15">
        <f>Sheet1!A8443</f>
        <v>0</v>
      </c>
      <c r="B8443">
        <f>Sheet1!B8443</f>
        <v>0</v>
      </c>
      <c r="C8443">
        <f>IF(Sheet1!B8443&gt;0,1,0)</f>
        <v>0</v>
      </c>
    </row>
    <row r="8444" spans="1:3" x14ac:dyDescent="0.25">
      <c r="A8444" s="15">
        <f>Sheet1!A8444</f>
        <v>0</v>
      </c>
      <c r="B8444">
        <f>Sheet1!B8444</f>
        <v>0</v>
      </c>
      <c r="C8444">
        <f>IF(Sheet1!B8444&gt;0,1,0)</f>
        <v>0</v>
      </c>
    </row>
    <row r="8445" spans="1:3" x14ac:dyDescent="0.25">
      <c r="A8445" s="15">
        <f>Sheet1!A8445</f>
        <v>0</v>
      </c>
      <c r="B8445">
        <f>Sheet1!B8445</f>
        <v>0</v>
      </c>
      <c r="C8445">
        <f>IF(Sheet1!B8445&gt;0,1,0)</f>
        <v>0</v>
      </c>
    </row>
    <row r="8446" spans="1:3" x14ac:dyDescent="0.25">
      <c r="A8446" s="15">
        <f>Sheet1!A8446</f>
        <v>0</v>
      </c>
      <c r="B8446">
        <f>Sheet1!B8446</f>
        <v>2.98</v>
      </c>
      <c r="C8446">
        <f>IF(Sheet1!B8446&gt;0,1,0)</f>
        <v>1</v>
      </c>
    </row>
    <row r="8447" spans="1:3" x14ac:dyDescent="0.25">
      <c r="A8447" s="15">
        <f>Sheet1!A8447</f>
        <v>0</v>
      </c>
      <c r="B8447">
        <f>Sheet1!B8447</f>
        <v>1.67</v>
      </c>
      <c r="C8447">
        <f>IF(Sheet1!B8447&gt;0,1,0)</f>
        <v>1</v>
      </c>
    </row>
    <row r="8448" spans="1:3" x14ac:dyDescent="0.25">
      <c r="A8448" s="15">
        <f>Sheet1!A8448</f>
        <v>0</v>
      </c>
      <c r="B8448">
        <f>Sheet1!B8448</f>
        <v>0</v>
      </c>
      <c r="C8448">
        <f>IF(Sheet1!B8448&gt;0,1,0)</f>
        <v>0</v>
      </c>
    </row>
    <row r="8449" spans="1:3" x14ac:dyDescent="0.25">
      <c r="A8449" s="15">
        <f>Sheet1!A8449</f>
        <v>0</v>
      </c>
      <c r="B8449">
        <f>Sheet1!B8449</f>
        <v>2.1</v>
      </c>
      <c r="C8449">
        <f>IF(Sheet1!B8449&gt;0,1,0)</f>
        <v>1</v>
      </c>
    </row>
    <row r="8450" spans="1:3" x14ac:dyDescent="0.25">
      <c r="A8450" s="15">
        <f>Sheet1!A8450</f>
        <v>0</v>
      </c>
      <c r="B8450">
        <f>Sheet1!B8450</f>
        <v>1.59</v>
      </c>
      <c r="C8450">
        <f>IF(Sheet1!B8450&gt;0,1,0)</f>
        <v>1</v>
      </c>
    </row>
    <row r="8451" spans="1:3" x14ac:dyDescent="0.25">
      <c r="A8451" s="15">
        <f>Sheet1!A8451</f>
        <v>0</v>
      </c>
      <c r="B8451">
        <f>Sheet1!B8451</f>
        <v>1.72</v>
      </c>
      <c r="C8451">
        <f>IF(Sheet1!B8451&gt;0,1,0)</f>
        <v>1</v>
      </c>
    </row>
    <row r="8452" spans="1:3" x14ac:dyDescent="0.25">
      <c r="A8452" s="15">
        <f>Sheet1!A8452</f>
        <v>0</v>
      </c>
      <c r="B8452">
        <f>Sheet1!B8452</f>
        <v>1.9</v>
      </c>
      <c r="C8452">
        <f>IF(Sheet1!B8452&gt;0,1,0)</f>
        <v>1</v>
      </c>
    </row>
    <row r="8453" spans="1:3" x14ac:dyDescent="0.25">
      <c r="A8453" s="15">
        <f>Sheet1!A8453</f>
        <v>0</v>
      </c>
      <c r="B8453">
        <f>Sheet1!B8453</f>
        <v>1.78</v>
      </c>
      <c r="C8453">
        <f>IF(Sheet1!B8453&gt;0,1,0)</f>
        <v>1</v>
      </c>
    </row>
    <row r="8454" spans="1:3" x14ac:dyDescent="0.25">
      <c r="A8454" s="15">
        <f>Sheet1!A8454</f>
        <v>0</v>
      </c>
      <c r="B8454">
        <f>Sheet1!B8454</f>
        <v>1.48</v>
      </c>
      <c r="C8454">
        <f>IF(Sheet1!B8454&gt;0,1,0)</f>
        <v>1</v>
      </c>
    </row>
    <row r="8455" spans="1:3" x14ac:dyDescent="0.25">
      <c r="A8455" s="15">
        <f>Sheet1!A8455</f>
        <v>0</v>
      </c>
      <c r="B8455">
        <f>Sheet1!B8455</f>
        <v>1.0900000000000001</v>
      </c>
      <c r="C8455">
        <f>IF(Sheet1!B8455&gt;0,1,0)</f>
        <v>1</v>
      </c>
    </row>
    <row r="8456" spans="1:3" x14ac:dyDescent="0.25">
      <c r="A8456" s="15">
        <f>Sheet1!A8456</f>
        <v>0</v>
      </c>
      <c r="B8456">
        <f>Sheet1!B8456</f>
        <v>0</v>
      </c>
      <c r="C8456">
        <f>IF(Sheet1!B8456&gt;0,1,0)</f>
        <v>0</v>
      </c>
    </row>
    <row r="8457" spans="1:3" x14ac:dyDescent="0.25">
      <c r="A8457" s="15">
        <f>Sheet1!A8457</f>
        <v>0</v>
      </c>
      <c r="B8457">
        <f>Sheet1!B8457</f>
        <v>0</v>
      </c>
      <c r="C8457">
        <f>IF(Sheet1!B8457&gt;0,1,0)</f>
        <v>0</v>
      </c>
    </row>
    <row r="8458" spans="1:3" x14ac:dyDescent="0.25">
      <c r="A8458" s="15">
        <f>Sheet1!A8458</f>
        <v>0</v>
      </c>
      <c r="B8458">
        <f>Sheet1!B8458</f>
        <v>0</v>
      </c>
      <c r="C8458">
        <f>IF(Sheet1!B8458&gt;0,1,0)</f>
        <v>0</v>
      </c>
    </row>
    <row r="8459" spans="1:3" x14ac:dyDescent="0.25">
      <c r="A8459" s="15">
        <f>Sheet1!A8459</f>
        <v>0</v>
      </c>
      <c r="B8459">
        <f>Sheet1!B8459</f>
        <v>1.04</v>
      </c>
      <c r="C8459">
        <f>IF(Sheet1!B8459&gt;0,1,0)</f>
        <v>1</v>
      </c>
    </row>
    <row r="8460" spans="1:3" x14ac:dyDescent="0.25">
      <c r="A8460" s="15">
        <f>Sheet1!A8460</f>
        <v>0</v>
      </c>
      <c r="B8460">
        <f>Sheet1!B8460</f>
        <v>0</v>
      </c>
      <c r="C8460">
        <f>IF(Sheet1!B8460&gt;0,1,0)</f>
        <v>0</v>
      </c>
    </row>
    <row r="8461" spans="1:3" x14ac:dyDescent="0.25">
      <c r="A8461" s="15">
        <f>Sheet1!A8461</f>
        <v>0</v>
      </c>
      <c r="B8461">
        <f>Sheet1!B8461</f>
        <v>0</v>
      </c>
      <c r="C8461">
        <f>IF(Sheet1!B8461&gt;0,1,0)</f>
        <v>0</v>
      </c>
    </row>
    <row r="8462" spans="1:3" x14ac:dyDescent="0.25">
      <c r="A8462" s="15">
        <f>Sheet1!A8462</f>
        <v>0</v>
      </c>
      <c r="B8462">
        <f>Sheet1!B8462</f>
        <v>0</v>
      </c>
      <c r="C8462">
        <f>IF(Sheet1!B8462&gt;0,1,0)</f>
        <v>0</v>
      </c>
    </row>
    <row r="8463" spans="1:3" x14ac:dyDescent="0.25">
      <c r="A8463" s="15">
        <f>Sheet1!A8463</f>
        <v>0</v>
      </c>
      <c r="B8463">
        <f>Sheet1!B8463</f>
        <v>2.6</v>
      </c>
      <c r="C8463">
        <f>IF(Sheet1!B8463&gt;0,1,0)</f>
        <v>1</v>
      </c>
    </row>
    <row r="8464" spans="1:3" x14ac:dyDescent="0.25">
      <c r="A8464" s="15">
        <f>Sheet1!A8464</f>
        <v>0</v>
      </c>
      <c r="B8464">
        <f>Sheet1!B8464</f>
        <v>0</v>
      </c>
      <c r="C8464">
        <f>IF(Sheet1!B8464&gt;0,1,0)</f>
        <v>0</v>
      </c>
    </row>
    <row r="8465" spans="1:3" x14ac:dyDescent="0.25">
      <c r="A8465" s="15">
        <f>Sheet1!A8465</f>
        <v>0</v>
      </c>
      <c r="B8465">
        <f>Sheet1!B8465</f>
        <v>0</v>
      </c>
      <c r="C8465">
        <f>IF(Sheet1!B8465&gt;0,1,0)</f>
        <v>0</v>
      </c>
    </row>
    <row r="8466" spans="1:3" x14ac:dyDescent="0.25">
      <c r="A8466" s="15">
        <f>Sheet1!A8466</f>
        <v>0</v>
      </c>
      <c r="B8466">
        <f>Sheet1!B8466</f>
        <v>0</v>
      </c>
      <c r="C8466">
        <f>IF(Sheet1!B8466&gt;0,1,0)</f>
        <v>0</v>
      </c>
    </row>
    <row r="8467" spans="1:3" x14ac:dyDescent="0.25">
      <c r="A8467" s="15">
        <f>Sheet1!A8467</f>
        <v>0</v>
      </c>
      <c r="B8467">
        <f>Sheet1!B8467</f>
        <v>1.97</v>
      </c>
      <c r="C8467">
        <f>IF(Sheet1!B8467&gt;0,1,0)</f>
        <v>1</v>
      </c>
    </row>
    <row r="8468" spans="1:3" x14ac:dyDescent="0.25">
      <c r="A8468" s="15">
        <f>Sheet1!A8468</f>
        <v>0</v>
      </c>
      <c r="B8468">
        <f>Sheet1!B8468</f>
        <v>0</v>
      </c>
      <c r="C8468">
        <f>IF(Sheet1!B8468&gt;0,1,0)</f>
        <v>0</v>
      </c>
    </row>
    <row r="8469" spans="1:3" x14ac:dyDescent="0.25">
      <c r="A8469" s="15">
        <f>Sheet1!A8469</f>
        <v>0</v>
      </c>
      <c r="B8469">
        <f>Sheet1!B8469</f>
        <v>0</v>
      </c>
      <c r="C8469">
        <f>IF(Sheet1!B8469&gt;0,1,0)</f>
        <v>0</v>
      </c>
    </row>
    <row r="8470" spans="1:3" x14ac:dyDescent="0.25">
      <c r="A8470" s="15">
        <f>Sheet1!A8470</f>
        <v>0</v>
      </c>
      <c r="B8470">
        <f>Sheet1!B8470</f>
        <v>0</v>
      </c>
      <c r="C8470">
        <f>IF(Sheet1!B8470&gt;0,1,0)</f>
        <v>0</v>
      </c>
    </row>
    <row r="8471" spans="1:3" x14ac:dyDescent="0.25">
      <c r="A8471" s="15">
        <f>Sheet1!A8471</f>
        <v>0</v>
      </c>
      <c r="B8471">
        <f>Sheet1!B8471</f>
        <v>0</v>
      </c>
      <c r="C8471">
        <f>IF(Sheet1!B8471&gt;0,1,0)</f>
        <v>0</v>
      </c>
    </row>
    <row r="8472" spans="1:3" x14ac:dyDescent="0.25">
      <c r="A8472" s="15">
        <f>Sheet1!A8472</f>
        <v>0</v>
      </c>
      <c r="B8472">
        <f>Sheet1!B8472</f>
        <v>1.39</v>
      </c>
      <c r="C8472">
        <f>IF(Sheet1!B8472&gt;0,1,0)</f>
        <v>1</v>
      </c>
    </row>
    <row r="8473" spans="1:3" x14ac:dyDescent="0.25">
      <c r="A8473" s="15">
        <f>Sheet1!A8473</f>
        <v>0</v>
      </c>
      <c r="B8473">
        <f>Sheet1!B8473</f>
        <v>1.74</v>
      </c>
      <c r="C8473">
        <f>IF(Sheet1!B8473&gt;0,1,0)</f>
        <v>1</v>
      </c>
    </row>
    <row r="8474" spans="1:3" x14ac:dyDescent="0.25">
      <c r="A8474" s="15">
        <f>Sheet1!A8474</f>
        <v>0</v>
      </c>
      <c r="B8474">
        <f>Sheet1!B8474</f>
        <v>1.52</v>
      </c>
      <c r="C8474">
        <f>IF(Sheet1!B8474&gt;0,1,0)</f>
        <v>1</v>
      </c>
    </row>
    <row r="8475" spans="1:3" x14ac:dyDescent="0.25">
      <c r="A8475" s="15">
        <f>Sheet1!A8475</f>
        <v>0</v>
      </c>
      <c r="B8475">
        <f>Sheet1!B8475</f>
        <v>1.33</v>
      </c>
      <c r="C8475">
        <f>IF(Sheet1!B8475&gt;0,1,0)</f>
        <v>1</v>
      </c>
    </row>
    <row r="8476" spans="1:3" x14ac:dyDescent="0.25">
      <c r="A8476" s="15">
        <f>Sheet1!A8476</f>
        <v>0</v>
      </c>
      <c r="B8476">
        <f>Sheet1!B8476</f>
        <v>1.5</v>
      </c>
      <c r="C8476">
        <f>IF(Sheet1!B8476&gt;0,1,0)</f>
        <v>1</v>
      </c>
    </row>
    <row r="8477" spans="1:3" x14ac:dyDescent="0.25">
      <c r="A8477" s="15">
        <f>Sheet1!A8477</f>
        <v>0</v>
      </c>
      <c r="B8477">
        <f>Sheet1!B8477</f>
        <v>0</v>
      </c>
      <c r="C8477">
        <f>IF(Sheet1!B8477&gt;0,1,0)</f>
        <v>0</v>
      </c>
    </row>
    <row r="8478" spans="1:3" x14ac:dyDescent="0.25">
      <c r="A8478" s="15">
        <f>Sheet1!A8478</f>
        <v>0</v>
      </c>
      <c r="B8478">
        <f>Sheet1!B8478</f>
        <v>0</v>
      </c>
      <c r="C8478">
        <f>IF(Sheet1!B8478&gt;0,1,0)</f>
        <v>0</v>
      </c>
    </row>
    <row r="8479" spans="1:3" x14ac:dyDescent="0.25">
      <c r="A8479" s="15">
        <f>Sheet1!A8479</f>
        <v>0</v>
      </c>
      <c r="B8479">
        <f>Sheet1!B8479</f>
        <v>0.61</v>
      </c>
      <c r="C8479">
        <f>IF(Sheet1!B8479&gt;0,1,0)</f>
        <v>1</v>
      </c>
    </row>
    <row r="8480" spans="1:3" x14ac:dyDescent="0.25">
      <c r="A8480" s="15">
        <f>Sheet1!A8480</f>
        <v>0</v>
      </c>
      <c r="B8480">
        <f>Sheet1!B8480</f>
        <v>0.87</v>
      </c>
      <c r="C8480">
        <f>IF(Sheet1!B8480&gt;0,1,0)</f>
        <v>1</v>
      </c>
    </row>
    <row r="8481" spans="1:3" x14ac:dyDescent="0.25">
      <c r="A8481" s="15">
        <f>Sheet1!A8481</f>
        <v>0</v>
      </c>
      <c r="B8481">
        <f>Sheet1!B8481</f>
        <v>0.59</v>
      </c>
      <c r="C8481">
        <f>IF(Sheet1!B8481&gt;0,1,0)</f>
        <v>1</v>
      </c>
    </row>
    <row r="8482" spans="1:3" x14ac:dyDescent="0.25">
      <c r="A8482" s="15">
        <f>Sheet1!A8482</f>
        <v>0</v>
      </c>
      <c r="B8482">
        <f>Sheet1!B8482</f>
        <v>0</v>
      </c>
      <c r="C8482">
        <f>IF(Sheet1!B8482&gt;0,1,0)</f>
        <v>0</v>
      </c>
    </row>
    <row r="8483" spans="1:3" x14ac:dyDescent="0.25">
      <c r="A8483" s="15">
        <f>Sheet1!A8483</f>
        <v>0</v>
      </c>
      <c r="B8483">
        <f>Sheet1!B8483</f>
        <v>0</v>
      </c>
      <c r="C8483">
        <f>IF(Sheet1!B8483&gt;0,1,0)</f>
        <v>0</v>
      </c>
    </row>
    <row r="8484" spans="1:3" x14ac:dyDescent="0.25">
      <c r="A8484" s="15">
        <f>Sheet1!A8484</f>
        <v>0</v>
      </c>
      <c r="B8484">
        <f>Sheet1!B8484</f>
        <v>0</v>
      </c>
      <c r="C8484">
        <f>IF(Sheet1!B8484&gt;0,1,0)</f>
        <v>0</v>
      </c>
    </row>
    <row r="8485" spans="1:3" x14ac:dyDescent="0.25">
      <c r="A8485" s="15">
        <f>Sheet1!A8485</f>
        <v>0</v>
      </c>
      <c r="B8485">
        <f>Sheet1!B8485</f>
        <v>0.84</v>
      </c>
      <c r="C8485">
        <f>IF(Sheet1!B8485&gt;0,1,0)</f>
        <v>1</v>
      </c>
    </row>
    <row r="8486" spans="1:3" x14ac:dyDescent="0.25">
      <c r="A8486" s="15">
        <f>Sheet1!A8486</f>
        <v>0</v>
      </c>
      <c r="B8486">
        <f>Sheet1!B8486</f>
        <v>0</v>
      </c>
      <c r="C8486">
        <f>IF(Sheet1!B8486&gt;0,1,0)</f>
        <v>0</v>
      </c>
    </row>
    <row r="8487" spans="1:3" x14ac:dyDescent="0.25">
      <c r="A8487" s="15">
        <f>Sheet1!A8487</f>
        <v>0</v>
      </c>
      <c r="B8487">
        <f>Sheet1!B8487</f>
        <v>0</v>
      </c>
      <c r="C8487">
        <f>IF(Sheet1!B8487&gt;0,1,0)</f>
        <v>0</v>
      </c>
    </row>
    <row r="8488" spans="1:3" x14ac:dyDescent="0.25">
      <c r="A8488" s="15">
        <f>Sheet1!A8488</f>
        <v>0</v>
      </c>
      <c r="B8488">
        <f>Sheet1!B8488</f>
        <v>0</v>
      </c>
      <c r="C8488">
        <f>IF(Sheet1!B8488&gt;0,1,0)</f>
        <v>0</v>
      </c>
    </row>
    <row r="8489" spans="1:3" x14ac:dyDescent="0.25">
      <c r="A8489" s="15">
        <f>Sheet1!A8489</f>
        <v>0</v>
      </c>
      <c r="B8489">
        <f>Sheet1!B8489</f>
        <v>1.83</v>
      </c>
      <c r="C8489">
        <f>IF(Sheet1!B8489&gt;0,1,0)</f>
        <v>1</v>
      </c>
    </row>
    <row r="8490" spans="1:3" x14ac:dyDescent="0.25">
      <c r="A8490" s="15">
        <f>Sheet1!A8490</f>
        <v>0</v>
      </c>
      <c r="B8490">
        <f>Sheet1!B8490</f>
        <v>0</v>
      </c>
      <c r="C8490">
        <f>IF(Sheet1!B8490&gt;0,1,0)</f>
        <v>0</v>
      </c>
    </row>
    <row r="8491" spans="1:3" x14ac:dyDescent="0.25">
      <c r="A8491" s="15">
        <f>Sheet1!A8491</f>
        <v>0</v>
      </c>
      <c r="B8491">
        <f>Sheet1!B8491</f>
        <v>0</v>
      </c>
      <c r="C8491">
        <f>IF(Sheet1!B8491&gt;0,1,0)</f>
        <v>0</v>
      </c>
    </row>
    <row r="8492" spans="1:3" x14ac:dyDescent="0.25">
      <c r="A8492" s="15">
        <f>Sheet1!A8492</f>
        <v>0</v>
      </c>
      <c r="B8492">
        <f>Sheet1!B8492</f>
        <v>0</v>
      </c>
      <c r="C8492">
        <f>IF(Sheet1!B8492&gt;0,1,0)</f>
        <v>0</v>
      </c>
    </row>
    <row r="8493" spans="1:3" x14ac:dyDescent="0.25">
      <c r="A8493" s="15">
        <f>Sheet1!A8493</f>
        <v>0</v>
      </c>
      <c r="B8493">
        <f>Sheet1!B8493</f>
        <v>0</v>
      </c>
      <c r="C8493">
        <f>IF(Sheet1!B8493&gt;0,1,0)</f>
        <v>0</v>
      </c>
    </row>
    <row r="8494" spans="1:3" x14ac:dyDescent="0.25">
      <c r="A8494" s="15">
        <f>Sheet1!A8494</f>
        <v>0</v>
      </c>
      <c r="B8494">
        <f>Sheet1!B8494</f>
        <v>0</v>
      </c>
      <c r="C8494">
        <f>IF(Sheet1!B8494&gt;0,1,0)</f>
        <v>0</v>
      </c>
    </row>
    <row r="8495" spans="1:3" x14ac:dyDescent="0.25">
      <c r="A8495" s="15">
        <f>Sheet1!A8495</f>
        <v>0</v>
      </c>
      <c r="B8495">
        <f>Sheet1!B8495</f>
        <v>1.27</v>
      </c>
      <c r="C8495">
        <f>IF(Sheet1!B8495&gt;0,1,0)</f>
        <v>1</v>
      </c>
    </row>
    <row r="8496" spans="1:3" x14ac:dyDescent="0.25">
      <c r="A8496" s="15">
        <f>Sheet1!A8496</f>
        <v>0</v>
      </c>
      <c r="B8496">
        <f>Sheet1!B8496</f>
        <v>1.31</v>
      </c>
      <c r="C8496">
        <f>IF(Sheet1!B8496&gt;0,1,0)</f>
        <v>1</v>
      </c>
    </row>
    <row r="8497" spans="1:3" x14ac:dyDescent="0.25">
      <c r="A8497" s="15">
        <f>Sheet1!A8497</f>
        <v>0</v>
      </c>
      <c r="B8497">
        <f>Sheet1!B8497</f>
        <v>0.91</v>
      </c>
      <c r="C8497">
        <f>IF(Sheet1!B8497&gt;0,1,0)</f>
        <v>1</v>
      </c>
    </row>
    <row r="8498" spans="1:3" x14ac:dyDescent="0.25">
      <c r="A8498" s="15">
        <f>Sheet1!A8498</f>
        <v>0</v>
      </c>
      <c r="B8498">
        <f>Sheet1!B8498</f>
        <v>1.1499999999999999</v>
      </c>
      <c r="C8498">
        <f>IF(Sheet1!B8498&gt;0,1,0)</f>
        <v>1</v>
      </c>
    </row>
    <row r="8499" spans="1:3" x14ac:dyDescent="0.25">
      <c r="A8499" s="15">
        <f>Sheet1!A8499</f>
        <v>0</v>
      </c>
      <c r="B8499">
        <f>Sheet1!B8499</f>
        <v>0.9</v>
      </c>
      <c r="C8499">
        <f>IF(Sheet1!B8499&gt;0,1,0)</f>
        <v>1</v>
      </c>
    </row>
    <row r="8500" spans="1:3" x14ac:dyDescent="0.25">
      <c r="A8500" s="15">
        <f>Sheet1!A8500</f>
        <v>0</v>
      </c>
      <c r="B8500">
        <f>Sheet1!B8500</f>
        <v>0.81</v>
      </c>
      <c r="C8500">
        <f>IF(Sheet1!B8500&gt;0,1,0)</f>
        <v>1</v>
      </c>
    </row>
    <row r="8501" spans="1:3" x14ac:dyDescent="0.25">
      <c r="A8501" s="15">
        <f>Sheet1!A8501</f>
        <v>0</v>
      </c>
      <c r="B8501">
        <f>Sheet1!B8501</f>
        <v>1.46</v>
      </c>
      <c r="C8501">
        <f>IF(Sheet1!B8501&gt;0,1,0)</f>
        <v>1</v>
      </c>
    </row>
    <row r="8502" spans="1:3" x14ac:dyDescent="0.25">
      <c r="A8502" s="15">
        <f>Sheet1!A8502</f>
        <v>0</v>
      </c>
      <c r="B8502">
        <f>Sheet1!B8502</f>
        <v>0</v>
      </c>
      <c r="C8502">
        <f>IF(Sheet1!B8502&gt;0,1,0)</f>
        <v>0</v>
      </c>
    </row>
    <row r="8503" spans="1:3" x14ac:dyDescent="0.25">
      <c r="A8503" s="15">
        <f>Sheet1!A8503</f>
        <v>0</v>
      </c>
      <c r="B8503">
        <f>Sheet1!B8503</f>
        <v>0</v>
      </c>
      <c r="C8503">
        <f>IF(Sheet1!B8503&gt;0,1,0)</f>
        <v>0</v>
      </c>
    </row>
    <row r="8504" spans="1:3" x14ac:dyDescent="0.25">
      <c r="A8504" s="15">
        <f>Sheet1!A8504</f>
        <v>0</v>
      </c>
      <c r="B8504">
        <f>Sheet1!B8504</f>
        <v>0</v>
      </c>
      <c r="C8504">
        <f>IF(Sheet1!B8504&gt;0,1,0)</f>
        <v>0</v>
      </c>
    </row>
    <row r="8505" spans="1:3" x14ac:dyDescent="0.25">
      <c r="A8505" s="15">
        <f>Sheet1!A8505</f>
        <v>0</v>
      </c>
      <c r="B8505">
        <f>Sheet1!B8505</f>
        <v>0.93</v>
      </c>
      <c r="C8505">
        <f>IF(Sheet1!B8505&gt;0,1,0)</f>
        <v>1</v>
      </c>
    </row>
    <row r="8506" spans="1:3" x14ac:dyDescent="0.25">
      <c r="A8506" s="15">
        <f>Sheet1!A8506</f>
        <v>0</v>
      </c>
      <c r="B8506">
        <f>Sheet1!B8506</f>
        <v>0.82</v>
      </c>
      <c r="C8506">
        <f>IF(Sheet1!B8506&gt;0,1,0)</f>
        <v>1</v>
      </c>
    </row>
    <row r="8507" spans="1:3" x14ac:dyDescent="0.25">
      <c r="A8507" s="15">
        <f>Sheet1!A8507</f>
        <v>0</v>
      </c>
      <c r="B8507">
        <f>Sheet1!B8507</f>
        <v>1.1200000000000001</v>
      </c>
      <c r="C8507">
        <f>IF(Sheet1!B8507&gt;0,1,0)</f>
        <v>1</v>
      </c>
    </row>
    <row r="8508" spans="1:3" x14ac:dyDescent="0.25">
      <c r="A8508" s="15">
        <f>Sheet1!A8508</f>
        <v>0</v>
      </c>
      <c r="B8508">
        <f>Sheet1!B8508</f>
        <v>0</v>
      </c>
      <c r="C8508">
        <f>IF(Sheet1!B8508&gt;0,1,0)</f>
        <v>0</v>
      </c>
    </row>
    <row r="8509" spans="1:3" x14ac:dyDescent="0.25">
      <c r="A8509" s="15">
        <f>Sheet1!A8509</f>
        <v>0</v>
      </c>
      <c r="B8509">
        <f>Sheet1!B8509</f>
        <v>0</v>
      </c>
      <c r="C8509">
        <f>IF(Sheet1!B8509&gt;0,1,0)</f>
        <v>0</v>
      </c>
    </row>
    <row r="8510" spans="1:3" x14ac:dyDescent="0.25">
      <c r="A8510" s="15">
        <f>Sheet1!A8510</f>
        <v>0</v>
      </c>
      <c r="B8510">
        <f>Sheet1!B8510</f>
        <v>0</v>
      </c>
      <c r="C8510">
        <f>IF(Sheet1!B8510&gt;0,1,0)</f>
        <v>0</v>
      </c>
    </row>
    <row r="8511" spans="1:3" x14ac:dyDescent="0.25">
      <c r="A8511" s="15">
        <f>Sheet1!A8511</f>
        <v>0</v>
      </c>
      <c r="B8511">
        <f>Sheet1!B8511</f>
        <v>1.1000000000000001</v>
      </c>
      <c r="C8511">
        <f>IF(Sheet1!B8511&gt;0,1,0)</f>
        <v>1</v>
      </c>
    </row>
    <row r="8512" spans="1:3" x14ac:dyDescent="0.25">
      <c r="A8512" s="15">
        <f>Sheet1!A8512</f>
        <v>0</v>
      </c>
      <c r="B8512">
        <f>Sheet1!B8512</f>
        <v>0</v>
      </c>
      <c r="C8512">
        <f>IF(Sheet1!B8512&gt;0,1,0)</f>
        <v>0</v>
      </c>
    </row>
    <row r="8513" spans="1:3" x14ac:dyDescent="0.25">
      <c r="A8513" s="15">
        <f>Sheet1!A8513</f>
        <v>0</v>
      </c>
      <c r="B8513">
        <f>Sheet1!B8513</f>
        <v>0</v>
      </c>
      <c r="C8513">
        <f>IF(Sheet1!B8513&gt;0,1,0)</f>
        <v>0</v>
      </c>
    </row>
    <row r="8514" spans="1:3" x14ac:dyDescent="0.25">
      <c r="A8514" s="15">
        <f>Sheet1!A8514</f>
        <v>0</v>
      </c>
      <c r="B8514">
        <f>Sheet1!B8514</f>
        <v>0</v>
      </c>
      <c r="C8514">
        <f>IF(Sheet1!B8514&gt;0,1,0)</f>
        <v>0</v>
      </c>
    </row>
    <row r="8515" spans="1:3" x14ac:dyDescent="0.25">
      <c r="A8515" s="15">
        <f>Sheet1!A8515</f>
        <v>0</v>
      </c>
      <c r="B8515">
        <f>Sheet1!B8515</f>
        <v>1.32</v>
      </c>
      <c r="C8515">
        <f>IF(Sheet1!B8515&gt;0,1,0)</f>
        <v>1</v>
      </c>
    </row>
    <row r="8516" spans="1:3" x14ac:dyDescent="0.25">
      <c r="A8516" s="15">
        <f>Sheet1!A8516</f>
        <v>0</v>
      </c>
      <c r="B8516">
        <f>Sheet1!B8516</f>
        <v>0</v>
      </c>
      <c r="C8516">
        <f>IF(Sheet1!B8516&gt;0,1,0)</f>
        <v>0</v>
      </c>
    </row>
    <row r="8517" spans="1:3" x14ac:dyDescent="0.25">
      <c r="A8517" s="15">
        <f>Sheet1!A8517</f>
        <v>0</v>
      </c>
      <c r="B8517">
        <f>Sheet1!B8517</f>
        <v>0</v>
      </c>
      <c r="C8517">
        <f>IF(Sheet1!B8517&gt;0,1,0)</f>
        <v>0</v>
      </c>
    </row>
    <row r="8518" spans="1:3" x14ac:dyDescent="0.25">
      <c r="A8518" s="15">
        <f>Sheet1!A8518</f>
        <v>0</v>
      </c>
      <c r="B8518">
        <f>Sheet1!B8518</f>
        <v>0</v>
      </c>
      <c r="C8518">
        <f>IF(Sheet1!B8518&gt;0,1,0)</f>
        <v>0</v>
      </c>
    </row>
    <row r="8519" spans="1:3" x14ac:dyDescent="0.25">
      <c r="A8519" s="15">
        <f>Sheet1!A8519</f>
        <v>0</v>
      </c>
      <c r="B8519">
        <f>Sheet1!B8519</f>
        <v>1.02</v>
      </c>
      <c r="C8519">
        <f>IF(Sheet1!B8519&gt;0,1,0)</f>
        <v>1</v>
      </c>
    </row>
    <row r="8520" spans="1:3" x14ac:dyDescent="0.25">
      <c r="A8520" s="15">
        <f>Sheet1!A8520</f>
        <v>0</v>
      </c>
      <c r="B8520">
        <f>Sheet1!B8520</f>
        <v>0.69</v>
      </c>
      <c r="C8520">
        <f>IF(Sheet1!B8520&gt;0,1,0)</f>
        <v>1</v>
      </c>
    </row>
    <row r="8521" spans="1:3" x14ac:dyDescent="0.25">
      <c r="A8521" s="15">
        <f>Sheet1!A8521</f>
        <v>0</v>
      </c>
      <c r="B8521">
        <f>Sheet1!B8521</f>
        <v>0.52</v>
      </c>
      <c r="C8521">
        <f>IF(Sheet1!B8521&gt;0,1,0)</f>
        <v>1</v>
      </c>
    </row>
    <row r="8522" spans="1:3" x14ac:dyDescent="0.25">
      <c r="A8522" s="15">
        <f>Sheet1!A8522</f>
        <v>0</v>
      </c>
      <c r="B8522">
        <f>Sheet1!B8522</f>
        <v>0.55000000000000004</v>
      </c>
      <c r="C8522">
        <f>IF(Sheet1!B8522&gt;0,1,0)</f>
        <v>1</v>
      </c>
    </row>
    <row r="8523" spans="1:3" x14ac:dyDescent="0.25">
      <c r="A8523" s="15">
        <f>Sheet1!A8523</f>
        <v>0</v>
      </c>
      <c r="B8523">
        <f>Sheet1!B8523</f>
        <v>1.07</v>
      </c>
      <c r="C8523">
        <f>IF(Sheet1!B8523&gt;0,1,0)</f>
        <v>1</v>
      </c>
    </row>
    <row r="8524" spans="1:3" x14ac:dyDescent="0.25">
      <c r="A8524" s="15">
        <f>Sheet1!A8524</f>
        <v>0</v>
      </c>
      <c r="B8524">
        <f>Sheet1!B8524</f>
        <v>0.9</v>
      </c>
      <c r="C8524">
        <f>IF(Sheet1!B8524&gt;0,1,0)</f>
        <v>1</v>
      </c>
    </row>
    <row r="8525" spans="1:3" x14ac:dyDescent="0.25">
      <c r="A8525" s="15">
        <f>Sheet1!A8525</f>
        <v>0</v>
      </c>
      <c r="B8525">
        <f>Sheet1!B8525</f>
        <v>1.01</v>
      </c>
      <c r="C8525">
        <f>IF(Sheet1!B8525&gt;0,1,0)</f>
        <v>1</v>
      </c>
    </row>
    <row r="8526" spans="1:3" x14ac:dyDescent="0.25">
      <c r="A8526" s="15">
        <f>Sheet1!A8526</f>
        <v>0</v>
      </c>
      <c r="B8526">
        <f>Sheet1!B8526</f>
        <v>0.94</v>
      </c>
      <c r="C8526">
        <f>IF(Sheet1!B8526&gt;0,1,0)</f>
        <v>1</v>
      </c>
    </row>
    <row r="8527" spans="1:3" x14ac:dyDescent="0.25">
      <c r="A8527" s="15">
        <f>Sheet1!A8527</f>
        <v>0</v>
      </c>
      <c r="B8527">
        <f>Sheet1!B8527</f>
        <v>1.35</v>
      </c>
      <c r="C8527">
        <f>IF(Sheet1!B8527&gt;0,1,0)</f>
        <v>1</v>
      </c>
    </row>
    <row r="8528" spans="1:3" x14ac:dyDescent="0.25">
      <c r="A8528" s="15">
        <f>Sheet1!A8528</f>
        <v>0</v>
      </c>
      <c r="B8528">
        <f>Sheet1!B8528</f>
        <v>0.74</v>
      </c>
      <c r="C8528">
        <f>IF(Sheet1!B8528&gt;0,1,0)</f>
        <v>1</v>
      </c>
    </row>
    <row r="8529" spans="1:3" x14ac:dyDescent="0.25">
      <c r="A8529" s="15">
        <f>Sheet1!A8529</f>
        <v>0</v>
      </c>
      <c r="B8529">
        <f>Sheet1!B8529</f>
        <v>0.94</v>
      </c>
      <c r="C8529">
        <f>IF(Sheet1!B8529&gt;0,1,0)</f>
        <v>1</v>
      </c>
    </row>
    <row r="8530" spans="1:3" x14ac:dyDescent="0.25">
      <c r="A8530" s="15">
        <f>Sheet1!A8530</f>
        <v>0</v>
      </c>
      <c r="B8530">
        <f>Sheet1!B8530</f>
        <v>0</v>
      </c>
      <c r="C8530">
        <f>IF(Sheet1!B8530&gt;0,1,0)</f>
        <v>0</v>
      </c>
    </row>
    <row r="8531" spans="1:3" x14ac:dyDescent="0.25">
      <c r="A8531" s="15">
        <f>Sheet1!A8531</f>
        <v>0</v>
      </c>
      <c r="B8531">
        <f>Sheet1!B8531</f>
        <v>0</v>
      </c>
      <c r="C8531">
        <f>IF(Sheet1!B8531&gt;0,1,0)</f>
        <v>0</v>
      </c>
    </row>
    <row r="8532" spans="1:3" x14ac:dyDescent="0.25">
      <c r="A8532" s="15">
        <f>Sheet1!A8532</f>
        <v>0</v>
      </c>
      <c r="B8532">
        <f>Sheet1!B8532</f>
        <v>0</v>
      </c>
      <c r="C8532">
        <f>IF(Sheet1!B8532&gt;0,1,0)</f>
        <v>0</v>
      </c>
    </row>
    <row r="8533" spans="1:3" x14ac:dyDescent="0.25">
      <c r="A8533" s="15">
        <f>Sheet1!A8533</f>
        <v>0</v>
      </c>
      <c r="B8533">
        <f>Sheet1!B8533</f>
        <v>0.9</v>
      </c>
      <c r="C8533">
        <f>IF(Sheet1!B8533&gt;0,1,0)</f>
        <v>1</v>
      </c>
    </row>
    <row r="8534" spans="1:3" x14ac:dyDescent="0.25">
      <c r="A8534" s="15">
        <f>Sheet1!A8534</f>
        <v>0</v>
      </c>
      <c r="B8534">
        <f>Sheet1!B8534</f>
        <v>0.85</v>
      </c>
      <c r="C8534">
        <f>IF(Sheet1!B8534&gt;0,1,0)</f>
        <v>1</v>
      </c>
    </row>
    <row r="8535" spans="1:3" x14ac:dyDescent="0.25">
      <c r="A8535" s="15">
        <f>Sheet1!A8535</f>
        <v>0</v>
      </c>
      <c r="B8535">
        <f>Sheet1!B8535</f>
        <v>0</v>
      </c>
      <c r="C8535">
        <f>IF(Sheet1!B8535&gt;0,1,0)</f>
        <v>0</v>
      </c>
    </row>
    <row r="8536" spans="1:3" x14ac:dyDescent="0.25">
      <c r="A8536" s="15">
        <f>Sheet1!A8536</f>
        <v>0</v>
      </c>
      <c r="B8536">
        <f>Sheet1!B8536</f>
        <v>0</v>
      </c>
      <c r="C8536">
        <f>IF(Sheet1!B8536&gt;0,1,0)</f>
        <v>0</v>
      </c>
    </row>
    <row r="8537" spans="1:3" x14ac:dyDescent="0.25">
      <c r="A8537" s="15">
        <f>Sheet1!A8537</f>
        <v>0</v>
      </c>
      <c r="B8537">
        <f>Sheet1!B8537</f>
        <v>1.49</v>
      </c>
      <c r="C8537">
        <f>IF(Sheet1!B8537&gt;0,1,0)</f>
        <v>1</v>
      </c>
    </row>
    <row r="8538" spans="1:3" x14ac:dyDescent="0.25">
      <c r="A8538" s="15">
        <f>Sheet1!A8538</f>
        <v>0</v>
      </c>
      <c r="B8538">
        <f>Sheet1!B8538</f>
        <v>1.34</v>
      </c>
      <c r="C8538">
        <f>IF(Sheet1!B8538&gt;0,1,0)</f>
        <v>1</v>
      </c>
    </row>
    <row r="8539" spans="1:3" x14ac:dyDescent="0.25">
      <c r="A8539" s="15">
        <f>Sheet1!A8539</f>
        <v>0</v>
      </c>
      <c r="B8539">
        <f>Sheet1!B8539</f>
        <v>1.53</v>
      </c>
      <c r="C8539">
        <f>IF(Sheet1!B8539&gt;0,1,0)</f>
        <v>1</v>
      </c>
    </row>
    <row r="8540" spans="1:3" x14ac:dyDescent="0.25">
      <c r="A8540" s="15">
        <f>Sheet1!A8540</f>
        <v>0</v>
      </c>
      <c r="B8540">
        <f>Sheet1!B8540</f>
        <v>1.1000000000000001</v>
      </c>
      <c r="C8540">
        <f>IF(Sheet1!B8540&gt;0,1,0)</f>
        <v>1</v>
      </c>
    </row>
    <row r="8541" spans="1:3" x14ac:dyDescent="0.25">
      <c r="A8541" s="15">
        <f>Sheet1!A8541</f>
        <v>0</v>
      </c>
      <c r="B8541">
        <f>Sheet1!B8541</f>
        <v>1.1499999999999999</v>
      </c>
      <c r="C8541">
        <f>IF(Sheet1!B8541&gt;0,1,0)</f>
        <v>1</v>
      </c>
    </row>
    <row r="8542" spans="1:3" x14ac:dyDescent="0.25">
      <c r="A8542" s="15">
        <f>Sheet1!A8542</f>
        <v>0</v>
      </c>
      <c r="B8542">
        <f>Sheet1!B8542</f>
        <v>1.56</v>
      </c>
      <c r="C8542">
        <f>IF(Sheet1!B8542&gt;0,1,0)</f>
        <v>1</v>
      </c>
    </row>
    <row r="8543" spans="1:3" x14ac:dyDescent="0.25">
      <c r="A8543" s="15">
        <f>Sheet1!A8543</f>
        <v>0</v>
      </c>
      <c r="B8543">
        <f>Sheet1!B8543</f>
        <v>1.43</v>
      </c>
      <c r="C8543">
        <f>IF(Sheet1!B8543&gt;0,1,0)</f>
        <v>1</v>
      </c>
    </row>
    <row r="8544" spans="1:3" x14ac:dyDescent="0.25">
      <c r="A8544" s="15">
        <f>Sheet1!A8544</f>
        <v>0</v>
      </c>
      <c r="B8544">
        <f>Sheet1!B8544</f>
        <v>1.1499999999999999</v>
      </c>
      <c r="C8544">
        <f>IF(Sheet1!B8544&gt;0,1,0)</f>
        <v>1</v>
      </c>
    </row>
    <row r="8545" spans="1:3" x14ac:dyDescent="0.25">
      <c r="A8545" s="15">
        <f>Sheet1!A8545</f>
        <v>0</v>
      </c>
      <c r="B8545">
        <f>Sheet1!B8545</f>
        <v>0.77</v>
      </c>
      <c r="C8545">
        <f>IF(Sheet1!B8545&gt;0,1,0)</f>
        <v>1</v>
      </c>
    </row>
    <row r="8546" spans="1:3" x14ac:dyDescent="0.25">
      <c r="A8546" s="15">
        <f>Sheet1!A8546</f>
        <v>0</v>
      </c>
      <c r="B8546">
        <f>Sheet1!B8546</f>
        <v>0.62</v>
      </c>
      <c r="C8546">
        <f>IF(Sheet1!B8546&gt;0,1,0)</f>
        <v>1</v>
      </c>
    </row>
    <row r="8547" spans="1:3" x14ac:dyDescent="0.25">
      <c r="A8547" s="15">
        <f>Sheet1!A8547</f>
        <v>0</v>
      </c>
      <c r="B8547">
        <f>Sheet1!B8547</f>
        <v>0.89</v>
      </c>
      <c r="C8547">
        <f>IF(Sheet1!B8547&gt;0,1,0)</f>
        <v>1</v>
      </c>
    </row>
    <row r="8548" spans="1:3" x14ac:dyDescent="0.25">
      <c r="A8548" s="15">
        <f>Sheet1!A8548</f>
        <v>0</v>
      </c>
      <c r="B8548">
        <f>Sheet1!B8548</f>
        <v>0.59</v>
      </c>
      <c r="C8548">
        <f>IF(Sheet1!B8548&gt;0,1,0)</f>
        <v>1</v>
      </c>
    </row>
    <row r="8549" spans="1:3" x14ac:dyDescent="0.25">
      <c r="A8549" s="15">
        <f>Sheet1!A8549</f>
        <v>0</v>
      </c>
      <c r="B8549">
        <f>Sheet1!B8549</f>
        <v>0.87</v>
      </c>
      <c r="C8549">
        <f>IF(Sheet1!B8549&gt;0,1,0)</f>
        <v>1</v>
      </c>
    </row>
    <row r="8550" spans="1:3" x14ac:dyDescent="0.25">
      <c r="A8550" s="15">
        <f>Sheet1!A8550</f>
        <v>0</v>
      </c>
      <c r="B8550">
        <f>Sheet1!B8550</f>
        <v>0.71</v>
      </c>
      <c r="C8550">
        <f>IF(Sheet1!B8550&gt;0,1,0)</f>
        <v>1</v>
      </c>
    </row>
    <row r="8551" spans="1:3" x14ac:dyDescent="0.25">
      <c r="A8551" s="15">
        <f>Sheet1!A8551</f>
        <v>0</v>
      </c>
      <c r="B8551">
        <f>Sheet1!B8551</f>
        <v>0.89</v>
      </c>
      <c r="C8551">
        <f>IF(Sheet1!B8551&gt;0,1,0)</f>
        <v>1</v>
      </c>
    </row>
    <row r="8552" spans="1:3" x14ac:dyDescent="0.25">
      <c r="A8552" s="15">
        <f>Sheet1!A8552</f>
        <v>0</v>
      </c>
      <c r="B8552">
        <f>Sheet1!B8552</f>
        <v>0.62</v>
      </c>
      <c r="C8552">
        <f>IF(Sheet1!B8552&gt;0,1,0)</f>
        <v>1</v>
      </c>
    </row>
    <row r="8553" spans="1:3" x14ac:dyDescent="0.25">
      <c r="A8553" s="15">
        <f>Sheet1!A8553</f>
        <v>0</v>
      </c>
      <c r="B8553">
        <f>Sheet1!B8553</f>
        <v>1.34</v>
      </c>
      <c r="C8553">
        <f>IF(Sheet1!B8553&gt;0,1,0)</f>
        <v>1</v>
      </c>
    </row>
    <row r="8554" spans="1:3" x14ac:dyDescent="0.25">
      <c r="A8554" s="15">
        <f>Sheet1!A8554</f>
        <v>0</v>
      </c>
      <c r="B8554">
        <f>Sheet1!B8554</f>
        <v>0</v>
      </c>
      <c r="C8554">
        <f>IF(Sheet1!B8554&gt;0,1,0)</f>
        <v>0</v>
      </c>
    </row>
    <row r="8555" spans="1:3" x14ac:dyDescent="0.25">
      <c r="A8555" s="15">
        <f>Sheet1!A8555</f>
        <v>0</v>
      </c>
      <c r="B8555">
        <f>Sheet1!B8555</f>
        <v>0</v>
      </c>
      <c r="C8555">
        <f>IF(Sheet1!B8555&gt;0,1,0)</f>
        <v>0</v>
      </c>
    </row>
    <row r="8556" spans="1:3" x14ac:dyDescent="0.25">
      <c r="A8556" s="15">
        <f>Sheet1!A8556</f>
        <v>0</v>
      </c>
      <c r="B8556">
        <f>Sheet1!B8556</f>
        <v>1.06</v>
      </c>
      <c r="C8556">
        <f>IF(Sheet1!B8556&gt;0,1,0)</f>
        <v>1</v>
      </c>
    </row>
    <row r="8557" spans="1:3" x14ac:dyDescent="0.25">
      <c r="A8557" s="15">
        <f>Sheet1!A8557</f>
        <v>0</v>
      </c>
      <c r="B8557">
        <f>Sheet1!B8557</f>
        <v>0.64</v>
      </c>
      <c r="C8557">
        <f>IF(Sheet1!B8557&gt;0,1,0)</f>
        <v>1</v>
      </c>
    </row>
    <row r="8558" spans="1:3" x14ac:dyDescent="0.25">
      <c r="A8558" s="15">
        <f>Sheet1!A8558</f>
        <v>0</v>
      </c>
      <c r="B8558">
        <f>Sheet1!B8558</f>
        <v>0.78</v>
      </c>
      <c r="C8558">
        <f>IF(Sheet1!B8558&gt;0,1,0)</f>
        <v>1</v>
      </c>
    </row>
    <row r="8559" spans="1:3" x14ac:dyDescent="0.25">
      <c r="A8559" s="15">
        <f>Sheet1!A8559</f>
        <v>0</v>
      </c>
      <c r="B8559">
        <f>Sheet1!B8559</f>
        <v>0.87</v>
      </c>
      <c r="C8559">
        <f>IF(Sheet1!B8559&gt;0,1,0)</f>
        <v>1</v>
      </c>
    </row>
    <row r="8560" spans="1:3" x14ac:dyDescent="0.25">
      <c r="A8560" s="15">
        <f>Sheet1!A8560</f>
        <v>0</v>
      </c>
      <c r="B8560">
        <f>Sheet1!B8560</f>
        <v>0</v>
      </c>
      <c r="C8560">
        <f>IF(Sheet1!B8560&gt;0,1,0)</f>
        <v>0</v>
      </c>
    </row>
    <row r="8561" spans="1:3" x14ac:dyDescent="0.25">
      <c r="A8561" s="15">
        <f>Sheet1!A8561</f>
        <v>0</v>
      </c>
      <c r="B8561">
        <f>Sheet1!B8561</f>
        <v>0</v>
      </c>
      <c r="C8561">
        <f>IF(Sheet1!B8561&gt;0,1,0)</f>
        <v>0</v>
      </c>
    </row>
    <row r="8562" spans="1:3" x14ac:dyDescent="0.25">
      <c r="A8562" s="15">
        <f>Sheet1!A8562</f>
        <v>0</v>
      </c>
      <c r="B8562">
        <f>Sheet1!B8562</f>
        <v>4.25</v>
      </c>
      <c r="C8562">
        <f>IF(Sheet1!B8562&gt;0,1,0)</f>
        <v>1</v>
      </c>
    </row>
    <row r="8563" spans="1:3" x14ac:dyDescent="0.25">
      <c r="A8563" s="15">
        <f>Sheet1!A8563</f>
        <v>0</v>
      </c>
      <c r="B8563">
        <f>Sheet1!B8563</f>
        <v>1</v>
      </c>
      <c r="C8563">
        <f>IF(Sheet1!B8563&gt;0,1,0)</f>
        <v>1</v>
      </c>
    </row>
    <row r="8564" spans="1:3" x14ac:dyDescent="0.25">
      <c r="A8564" s="15">
        <f>Sheet1!A8564</f>
        <v>0</v>
      </c>
      <c r="B8564">
        <f>Sheet1!B8564</f>
        <v>1.28</v>
      </c>
      <c r="C8564">
        <f>IF(Sheet1!B8564&gt;0,1,0)</f>
        <v>1</v>
      </c>
    </row>
    <row r="8565" spans="1:3" x14ac:dyDescent="0.25">
      <c r="A8565" s="15">
        <f>Sheet1!A8565</f>
        <v>0</v>
      </c>
      <c r="B8565">
        <f>Sheet1!B8565</f>
        <v>1.04</v>
      </c>
      <c r="C8565">
        <f>IF(Sheet1!B8565&gt;0,1,0)</f>
        <v>1</v>
      </c>
    </row>
    <row r="8566" spans="1:3" x14ac:dyDescent="0.25">
      <c r="A8566" s="15">
        <f>Sheet1!A8566</f>
        <v>0</v>
      </c>
      <c r="B8566">
        <f>Sheet1!B8566</f>
        <v>1.25</v>
      </c>
      <c r="C8566">
        <f>IF(Sheet1!B8566&gt;0,1,0)</f>
        <v>1</v>
      </c>
    </row>
    <row r="8567" spans="1:3" x14ac:dyDescent="0.25">
      <c r="A8567" s="15">
        <f>Sheet1!A8567</f>
        <v>0</v>
      </c>
      <c r="B8567">
        <f>Sheet1!B8567</f>
        <v>1.26</v>
      </c>
      <c r="C8567">
        <f>IF(Sheet1!B8567&gt;0,1,0)</f>
        <v>1</v>
      </c>
    </row>
    <row r="8568" spans="1:3" x14ac:dyDescent="0.25">
      <c r="A8568" s="15">
        <f>Sheet1!A8568</f>
        <v>0</v>
      </c>
      <c r="B8568">
        <f>Sheet1!B8568</f>
        <v>0.83</v>
      </c>
      <c r="C8568">
        <f>IF(Sheet1!B8568&gt;0,1,0)</f>
        <v>1</v>
      </c>
    </row>
    <row r="8569" spans="1:3" x14ac:dyDescent="0.25">
      <c r="A8569" s="15">
        <f>Sheet1!A8569</f>
        <v>0</v>
      </c>
      <c r="B8569">
        <f>Sheet1!B8569</f>
        <v>0.43</v>
      </c>
      <c r="C8569">
        <f>IF(Sheet1!B8569&gt;0,1,0)</f>
        <v>1</v>
      </c>
    </row>
    <row r="8570" spans="1:3" x14ac:dyDescent="0.25">
      <c r="A8570" s="15">
        <f>Sheet1!A8570</f>
        <v>0</v>
      </c>
      <c r="B8570">
        <f>Sheet1!B8570</f>
        <v>0.62</v>
      </c>
      <c r="C8570">
        <f>IF(Sheet1!B8570&gt;0,1,0)</f>
        <v>1</v>
      </c>
    </row>
    <row r="8571" spans="1:3" x14ac:dyDescent="0.25">
      <c r="A8571" s="15">
        <f>Sheet1!A8571</f>
        <v>0</v>
      </c>
      <c r="B8571">
        <f>Sheet1!B8571</f>
        <v>0.95</v>
      </c>
      <c r="C8571">
        <f>IF(Sheet1!B8571&gt;0,1,0)</f>
        <v>1</v>
      </c>
    </row>
    <row r="8572" spans="1:3" x14ac:dyDescent="0.25">
      <c r="A8572" s="15">
        <f>Sheet1!A8572</f>
        <v>0</v>
      </c>
      <c r="B8572">
        <f>Sheet1!B8572</f>
        <v>1.07</v>
      </c>
      <c r="C8572">
        <f>IF(Sheet1!B8572&gt;0,1,0)</f>
        <v>1</v>
      </c>
    </row>
    <row r="8573" spans="1:3" x14ac:dyDescent="0.25">
      <c r="A8573" s="15">
        <f>Sheet1!A8573</f>
        <v>0</v>
      </c>
      <c r="B8573">
        <f>Sheet1!B8573</f>
        <v>0.88</v>
      </c>
      <c r="C8573">
        <f>IF(Sheet1!B8573&gt;0,1,0)</f>
        <v>1</v>
      </c>
    </row>
    <row r="8574" spans="1:3" x14ac:dyDescent="0.25">
      <c r="A8574" s="15">
        <f>Sheet1!A8574</f>
        <v>0</v>
      </c>
      <c r="B8574">
        <f>Sheet1!B8574</f>
        <v>0.5</v>
      </c>
      <c r="C8574">
        <f>IF(Sheet1!B8574&gt;0,1,0)</f>
        <v>1</v>
      </c>
    </row>
    <row r="8575" spans="1:3" x14ac:dyDescent="0.25">
      <c r="A8575" s="15">
        <f>Sheet1!A8575</f>
        <v>0</v>
      </c>
      <c r="B8575">
        <f>Sheet1!B8575</f>
        <v>7.0000000000000007E-2</v>
      </c>
      <c r="C8575">
        <f>IF(Sheet1!B8575&gt;0,1,0)</f>
        <v>1</v>
      </c>
    </row>
    <row r="8576" spans="1:3" x14ac:dyDescent="0.25">
      <c r="A8576" s="15">
        <f>Sheet1!A8576</f>
        <v>0</v>
      </c>
      <c r="B8576">
        <f>Sheet1!B8576</f>
        <v>0.82</v>
      </c>
      <c r="C8576">
        <f>IF(Sheet1!B8576&gt;0,1,0)</f>
        <v>1</v>
      </c>
    </row>
    <row r="8577" spans="1:3" x14ac:dyDescent="0.25">
      <c r="A8577" s="15">
        <f>Sheet1!A8577</f>
        <v>0</v>
      </c>
      <c r="B8577">
        <f>Sheet1!B8577</f>
        <v>0.38</v>
      </c>
      <c r="C8577">
        <f>IF(Sheet1!B8577&gt;0,1,0)</f>
        <v>1</v>
      </c>
    </row>
    <row r="8578" spans="1:3" x14ac:dyDescent="0.25">
      <c r="A8578" s="15">
        <f>Sheet1!A8578</f>
        <v>0</v>
      </c>
      <c r="B8578">
        <f>Sheet1!B8578</f>
        <v>0.41</v>
      </c>
      <c r="C8578">
        <f>IF(Sheet1!B8578&gt;0,1,0)</f>
        <v>1</v>
      </c>
    </row>
    <row r="8579" spans="1:3" x14ac:dyDescent="0.25">
      <c r="A8579" s="15">
        <f>Sheet1!A8579</f>
        <v>0</v>
      </c>
      <c r="B8579">
        <f>Sheet1!B8579</f>
        <v>0.85</v>
      </c>
      <c r="C8579">
        <f>IF(Sheet1!B8579&gt;0,1,0)</f>
        <v>1</v>
      </c>
    </row>
    <row r="8580" spans="1:3" x14ac:dyDescent="0.25">
      <c r="A8580" s="15">
        <f>Sheet1!A8580</f>
        <v>0</v>
      </c>
      <c r="B8580">
        <f>Sheet1!B8580</f>
        <v>0</v>
      </c>
      <c r="C8580">
        <f>IF(Sheet1!B8580&gt;0,1,0)</f>
        <v>0</v>
      </c>
    </row>
    <row r="8581" spans="1:3" x14ac:dyDescent="0.25">
      <c r="A8581" s="15">
        <f>Sheet1!A8581</f>
        <v>0</v>
      </c>
      <c r="B8581">
        <f>Sheet1!B8581</f>
        <v>0</v>
      </c>
      <c r="C8581">
        <f>IF(Sheet1!B8581&gt;0,1,0)</f>
        <v>0</v>
      </c>
    </row>
    <row r="8582" spans="1:3" x14ac:dyDescent="0.25">
      <c r="A8582" s="15">
        <f>Sheet1!A8582</f>
        <v>0</v>
      </c>
      <c r="B8582">
        <f>Sheet1!B8582</f>
        <v>0</v>
      </c>
      <c r="C8582">
        <f>IF(Sheet1!B8582&gt;0,1,0)</f>
        <v>0</v>
      </c>
    </row>
    <row r="8583" spans="1:3" x14ac:dyDescent="0.25">
      <c r="A8583" s="15">
        <f>Sheet1!A8583</f>
        <v>0</v>
      </c>
      <c r="B8583">
        <f>Sheet1!B8583</f>
        <v>1.31</v>
      </c>
      <c r="C8583">
        <f>IF(Sheet1!B8583&gt;0,1,0)</f>
        <v>1</v>
      </c>
    </row>
    <row r="8584" spans="1:3" x14ac:dyDescent="0.25">
      <c r="A8584" s="15">
        <f>Sheet1!A8584</f>
        <v>0</v>
      </c>
      <c r="B8584">
        <f>Sheet1!B8584</f>
        <v>1.39</v>
      </c>
      <c r="C8584">
        <f>IF(Sheet1!B8584&gt;0,1,0)</f>
        <v>1</v>
      </c>
    </row>
    <row r="8585" spans="1:3" x14ac:dyDescent="0.25">
      <c r="A8585" s="15">
        <f>Sheet1!A8585</f>
        <v>0</v>
      </c>
      <c r="B8585">
        <f>Sheet1!B8585</f>
        <v>1.17</v>
      </c>
      <c r="C8585">
        <f>IF(Sheet1!B8585&gt;0,1,0)</f>
        <v>1</v>
      </c>
    </row>
    <row r="8586" spans="1:3" x14ac:dyDescent="0.25">
      <c r="A8586" s="15">
        <f>Sheet1!A8586</f>
        <v>0</v>
      </c>
      <c r="B8586">
        <f>Sheet1!B8586</f>
        <v>0</v>
      </c>
      <c r="C8586">
        <f>IF(Sheet1!B8586&gt;0,1,0)</f>
        <v>0</v>
      </c>
    </row>
    <row r="8587" spans="1:3" x14ac:dyDescent="0.25">
      <c r="A8587" s="15">
        <f>Sheet1!A8587</f>
        <v>0</v>
      </c>
      <c r="B8587">
        <f>Sheet1!B8587</f>
        <v>0</v>
      </c>
      <c r="C8587">
        <f>IF(Sheet1!B8587&gt;0,1,0)</f>
        <v>0</v>
      </c>
    </row>
    <row r="8588" spans="1:3" x14ac:dyDescent="0.25">
      <c r="A8588" s="15">
        <f>Sheet1!A8588</f>
        <v>0</v>
      </c>
      <c r="B8588">
        <f>Sheet1!B8588</f>
        <v>0</v>
      </c>
      <c r="C8588">
        <f>IF(Sheet1!B8588&gt;0,1,0)</f>
        <v>0</v>
      </c>
    </row>
    <row r="8589" spans="1:3" x14ac:dyDescent="0.25">
      <c r="A8589" s="15">
        <f>Sheet1!A8589</f>
        <v>0</v>
      </c>
      <c r="B8589">
        <f>Sheet1!B8589</f>
        <v>0.82</v>
      </c>
      <c r="C8589">
        <f>IF(Sheet1!B8589&gt;0,1,0)</f>
        <v>1</v>
      </c>
    </row>
    <row r="8590" spans="1:3" x14ac:dyDescent="0.25">
      <c r="A8590" s="15">
        <f>Sheet1!A8590</f>
        <v>0</v>
      </c>
      <c r="B8590">
        <f>Sheet1!B8590</f>
        <v>0</v>
      </c>
      <c r="C8590">
        <f>IF(Sheet1!B8590&gt;0,1,0)</f>
        <v>0</v>
      </c>
    </row>
    <row r="8591" spans="1:3" x14ac:dyDescent="0.25">
      <c r="A8591" s="15">
        <f>Sheet1!A8591</f>
        <v>0</v>
      </c>
      <c r="B8591">
        <f>Sheet1!B8591</f>
        <v>0</v>
      </c>
      <c r="C8591">
        <f>IF(Sheet1!B8591&gt;0,1,0)</f>
        <v>0</v>
      </c>
    </row>
    <row r="8592" spans="1:3" x14ac:dyDescent="0.25">
      <c r="A8592" s="15">
        <f>Sheet1!A8592</f>
        <v>0</v>
      </c>
      <c r="B8592">
        <f>Sheet1!B8592</f>
        <v>0</v>
      </c>
      <c r="C8592">
        <f>IF(Sheet1!B8592&gt;0,1,0)</f>
        <v>0</v>
      </c>
    </row>
    <row r="8593" spans="1:3" x14ac:dyDescent="0.25">
      <c r="A8593" s="15">
        <f>Sheet1!A8593</f>
        <v>0</v>
      </c>
      <c r="B8593">
        <f>Sheet1!B8593</f>
        <v>1.41</v>
      </c>
      <c r="C8593">
        <f>IF(Sheet1!B8593&gt;0,1,0)</f>
        <v>1</v>
      </c>
    </row>
    <row r="8594" spans="1:3" x14ac:dyDescent="0.25">
      <c r="A8594" s="15">
        <f>Sheet1!A8594</f>
        <v>0</v>
      </c>
      <c r="B8594">
        <f>Sheet1!B8594</f>
        <v>1.42</v>
      </c>
      <c r="C8594">
        <f>IF(Sheet1!B8594&gt;0,1,0)</f>
        <v>1</v>
      </c>
    </row>
    <row r="8595" spans="1:3" x14ac:dyDescent="0.25">
      <c r="A8595" s="15">
        <f>Sheet1!A8595</f>
        <v>0</v>
      </c>
      <c r="B8595">
        <f>Sheet1!B8595</f>
        <v>1.03</v>
      </c>
      <c r="C8595">
        <f>IF(Sheet1!B8595&gt;0,1,0)</f>
        <v>1</v>
      </c>
    </row>
    <row r="8596" spans="1:3" x14ac:dyDescent="0.25">
      <c r="A8596" s="15">
        <f>Sheet1!A8596</f>
        <v>0</v>
      </c>
      <c r="B8596">
        <f>Sheet1!B8596</f>
        <v>1.4</v>
      </c>
      <c r="C8596">
        <f>IF(Sheet1!B8596&gt;0,1,0)</f>
        <v>1</v>
      </c>
    </row>
    <row r="8597" spans="1:3" x14ac:dyDescent="0.25">
      <c r="A8597" s="15">
        <f>Sheet1!A8597</f>
        <v>0</v>
      </c>
      <c r="B8597">
        <f>Sheet1!B8597</f>
        <v>0.9</v>
      </c>
      <c r="C8597">
        <f>IF(Sheet1!B8597&gt;0,1,0)</f>
        <v>1</v>
      </c>
    </row>
    <row r="8598" spans="1:3" x14ac:dyDescent="0.25">
      <c r="A8598" s="15">
        <f>Sheet1!A8598</f>
        <v>0</v>
      </c>
      <c r="B8598">
        <f>Sheet1!B8598</f>
        <v>1.05</v>
      </c>
      <c r="C8598">
        <f>IF(Sheet1!B8598&gt;0,1,0)</f>
        <v>1</v>
      </c>
    </row>
    <row r="8599" spans="1:3" x14ac:dyDescent="0.25">
      <c r="A8599" s="15">
        <f>Sheet1!A8599</f>
        <v>0</v>
      </c>
      <c r="B8599">
        <f>Sheet1!B8599</f>
        <v>0.57999999999999996</v>
      </c>
      <c r="C8599">
        <f>IF(Sheet1!B8599&gt;0,1,0)</f>
        <v>1</v>
      </c>
    </row>
    <row r="8600" spans="1:3" x14ac:dyDescent="0.25">
      <c r="A8600" s="15">
        <f>Sheet1!A8600</f>
        <v>0</v>
      </c>
      <c r="B8600">
        <f>Sheet1!B8600</f>
        <v>0.73</v>
      </c>
      <c r="C8600">
        <f>IF(Sheet1!B8600&gt;0,1,0)</f>
        <v>1</v>
      </c>
    </row>
    <row r="8601" spans="1:3" x14ac:dyDescent="0.25">
      <c r="A8601" s="15">
        <f>Sheet1!A8601</f>
        <v>0</v>
      </c>
      <c r="B8601">
        <f>Sheet1!B8601</f>
        <v>0.71</v>
      </c>
      <c r="C8601">
        <f>IF(Sheet1!B8601&gt;0,1,0)</f>
        <v>1</v>
      </c>
    </row>
    <row r="8602" spans="1:3" x14ac:dyDescent="0.25">
      <c r="A8602" s="15">
        <f>Sheet1!A8602</f>
        <v>0</v>
      </c>
      <c r="B8602">
        <f>Sheet1!B8602</f>
        <v>0</v>
      </c>
      <c r="C8602">
        <f>IF(Sheet1!B8602&gt;0,1,0)</f>
        <v>0</v>
      </c>
    </row>
    <row r="8603" spans="1:3" x14ac:dyDescent="0.25">
      <c r="A8603" s="15">
        <f>Sheet1!A8603</f>
        <v>0</v>
      </c>
      <c r="B8603">
        <f>Sheet1!B8603</f>
        <v>0</v>
      </c>
      <c r="C8603">
        <f>IF(Sheet1!B8603&gt;0,1,0)</f>
        <v>0</v>
      </c>
    </row>
    <row r="8604" spans="1:3" x14ac:dyDescent="0.25">
      <c r="A8604" s="15">
        <f>Sheet1!A8604</f>
        <v>0</v>
      </c>
      <c r="B8604">
        <f>Sheet1!B8604</f>
        <v>0.63</v>
      </c>
      <c r="C8604">
        <f>IF(Sheet1!B8604&gt;0,1,0)</f>
        <v>1</v>
      </c>
    </row>
    <row r="8605" spans="1:3" x14ac:dyDescent="0.25">
      <c r="A8605" s="15">
        <f>Sheet1!A8605</f>
        <v>0</v>
      </c>
      <c r="B8605">
        <f>Sheet1!B8605</f>
        <v>0.75</v>
      </c>
      <c r="C8605">
        <f>IF(Sheet1!B8605&gt;0,1,0)</f>
        <v>1</v>
      </c>
    </row>
    <row r="8606" spans="1:3" x14ac:dyDescent="0.25">
      <c r="A8606" s="15">
        <f>Sheet1!A8606</f>
        <v>0</v>
      </c>
      <c r="B8606">
        <f>Sheet1!B8606</f>
        <v>0</v>
      </c>
      <c r="C8606">
        <f>IF(Sheet1!B8606&gt;0,1,0)</f>
        <v>0</v>
      </c>
    </row>
    <row r="8607" spans="1:3" x14ac:dyDescent="0.25">
      <c r="A8607" s="15">
        <f>Sheet1!A8607</f>
        <v>0</v>
      </c>
      <c r="B8607">
        <f>Sheet1!B8607</f>
        <v>0</v>
      </c>
      <c r="C8607">
        <f>IF(Sheet1!B8607&gt;0,1,0)</f>
        <v>0</v>
      </c>
    </row>
    <row r="8608" spans="1:3" x14ac:dyDescent="0.25">
      <c r="A8608" s="15">
        <f>Sheet1!A8608</f>
        <v>0</v>
      </c>
      <c r="B8608">
        <f>Sheet1!B8608</f>
        <v>0</v>
      </c>
      <c r="C8608">
        <f>IF(Sheet1!B8608&gt;0,1,0)</f>
        <v>0</v>
      </c>
    </row>
    <row r="8609" spans="1:3" x14ac:dyDescent="0.25">
      <c r="A8609" s="15">
        <f>Sheet1!A8609</f>
        <v>0</v>
      </c>
      <c r="B8609">
        <f>Sheet1!B8609</f>
        <v>0.76</v>
      </c>
      <c r="C8609">
        <f>IF(Sheet1!B8609&gt;0,1,0)</f>
        <v>1</v>
      </c>
    </row>
    <row r="8610" spans="1:3" x14ac:dyDescent="0.25">
      <c r="A8610" s="15">
        <f>Sheet1!A8610</f>
        <v>0</v>
      </c>
      <c r="B8610">
        <f>Sheet1!B8610</f>
        <v>0</v>
      </c>
      <c r="C8610">
        <f>IF(Sheet1!B8610&gt;0,1,0)</f>
        <v>0</v>
      </c>
    </row>
    <row r="8611" spans="1:3" x14ac:dyDescent="0.25">
      <c r="A8611" s="15">
        <f>Sheet1!A8611</f>
        <v>0</v>
      </c>
      <c r="B8611">
        <f>Sheet1!B8611</f>
        <v>0</v>
      </c>
      <c r="C8611">
        <f>IF(Sheet1!B8611&gt;0,1,0)</f>
        <v>0</v>
      </c>
    </row>
    <row r="8612" spans="1:3" x14ac:dyDescent="0.25">
      <c r="A8612" s="15">
        <f>Sheet1!A8612</f>
        <v>0</v>
      </c>
      <c r="B8612">
        <f>Sheet1!B8612</f>
        <v>0</v>
      </c>
      <c r="C8612">
        <f>IF(Sheet1!B8612&gt;0,1,0)</f>
        <v>0</v>
      </c>
    </row>
    <row r="8613" spans="1:3" x14ac:dyDescent="0.25">
      <c r="A8613" s="15">
        <f>Sheet1!A8613</f>
        <v>0</v>
      </c>
      <c r="B8613">
        <f>Sheet1!B8613</f>
        <v>0.91</v>
      </c>
      <c r="C8613">
        <f>IF(Sheet1!B8613&gt;0,1,0)</f>
        <v>1</v>
      </c>
    </row>
    <row r="8614" spans="1:3" x14ac:dyDescent="0.25">
      <c r="A8614" s="15">
        <f>Sheet1!A8614</f>
        <v>0</v>
      </c>
      <c r="B8614">
        <f>Sheet1!B8614</f>
        <v>1.01</v>
      </c>
      <c r="C8614">
        <f>IF(Sheet1!B8614&gt;0,1,0)</f>
        <v>1</v>
      </c>
    </row>
    <row r="8615" spans="1:3" x14ac:dyDescent="0.25">
      <c r="A8615" s="15">
        <f>Sheet1!A8615</f>
        <v>0</v>
      </c>
      <c r="B8615">
        <f>Sheet1!B8615</f>
        <v>1.1200000000000001</v>
      </c>
      <c r="C8615">
        <f>IF(Sheet1!B8615&gt;0,1,0)</f>
        <v>1</v>
      </c>
    </row>
    <row r="8616" spans="1:3" x14ac:dyDescent="0.25">
      <c r="A8616" s="15">
        <f>Sheet1!A8616</f>
        <v>0</v>
      </c>
      <c r="B8616">
        <f>Sheet1!B8616</f>
        <v>0.75</v>
      </c>
      <c r="C8616">
        <f>IF(Sheet1!B8616&gt;0,1,0)</f>
        <v>1</v>
      </c>
    </row>
    <row r="8617" spans="1:3" x14ac:dyDescent="0.25">
      <c r="A8617" s="15">
        <f>Sheet1!A8617</f>
        <v>0</v>
      </c>
      <c r="B8617">
        <f>Sheet1!B8617</f>
        <v>0.48</v>
      </c>
      <c r="C8617">
        <f>IF(Sheet1!B8617&gt;0,1,0)</f>
        <v>1</v>
      </c>
    </row>
    <row r="8618" spans="1:3" x14ac:dyDescent="0.25">
      <c r="A8618" s="15">
        <f>Sheet1!A8618</f>
        <v>0</v>
      </c>
      <c r="B8618">
        <f>Sheet1!B8618</f>
        <v>0.59</v>
      </c>
      <c r="C8618">
        <f>IF(Sheet1!B8618&gt;0,1,0)</f>
        <v>1</v>
      </c>
    </row>
    <row r="8619" spans="1:3" x14ac:dyDescent="0.25">
      <c r="A8619" s="15">
        <f>Sheet1!A8619</f>
        <v>0</v>
      </c>
      <c r="B8619">
        <f>Sheet1!B8619</f>
        <v>0.33</v>
      </c>
      <c r="C8619">
        <f>IF(Sheet1!B8619&gt;0,1,0)</f>
        <v>1</v>
      </c>
    </row>
    <row r="8620" spans="1:3" x14ac:dyDescent="0.25">
      <c r="A8620" s="15">
        <f>Sheet1!A8620</f>
        <v>0</v>
      </c>
      <c r="B8620">
        <f>Sheet1!B8620</f>
        <v>0.65</v>
      </c>
      <c r="C8620">
        <f>IF(Sheet1!B8620&gt;0,1,0)</f>
        <v>1</v>
      </c>
    </row>
    <row r="8621" spans="1:3" x14ac:dyDescent="0.25">
      <c r="A8621" s="15">
        <f>Sheet1!A8621</f>
        <v>0</v>
      </c>
      <c r="B8621">
        <f>Sheet1!B8621</f>
        <v>0.36</v>
      </c>
      <c r="C8621">
        <f>IF(Sheet1!B8621&gt;0,1,0)</f>
        <v>1</v>
      </c>
    </row>
    <row r="8622" spans="1:3" x14ac:dyDescent="0.25">
      <c r="A8622" s="15">
        <f>Sheet1!A8622</f>
        <v>0</v>
      </c>
      <c r="B8622">
        <f>Sheet1!B8622</f>
        <v>0.98</v>
      </c>
      <c r="C8622">
        <f>IF(Sheet1!B8622&gt;0,1,0)</f>
        <v>1</v>
      </c>
    </row>
    <row r="8623" spans="1:3" x14ac:dyDescent="0.25">
      <c r="A8623" s="15">
        <f>Sheet1!A8623</f>
        <v>0</v>
      </c>
      <c r="B8623">
        <f>Sheet1!B8623</f>
        <v>0.1</v>
      </c>
      <c r="C8623">
        <f>IF(Sheet1!B8623&gt;0,1,0)</f>
        <v>1</v>
      </c>
    </row>
    <row r="8624" spans="1:3" x14ac:dyDescent="0.25">
      <c r="A8624" s="15">
        <f>Sheet1!A8624</f>
        <v>0</v>
      </c>
      <c r="B8624">
        <f>Sheet1!B8624</f>
        <v>0.43</v>
      </c>
      <c r="C8624">
        <f>IF(Sheet1!B8624&gt;0,1,0)</f>
        <v>1</v>
      </c>
    </row>
    <row r="8625" spans="1:3" x14ac:dyDescent="0.25">
      <c r="A8625" s="15">
        <f>Sheet1!A8625</f>
        <v>0</v>
      </c>
      <c r="B8625">
        <f>Sheet1!B8625</f>
        <v>0.66</v>
      </c>
      <c r="C8625">
        <f>IF(Sheet1!B8625&gt;0,1,0)</f>
        <v>1</v>
      </c>
    </row>
    <row r="8626" spans="1:3" x14ac:dyDescent="0.25">
      <c r="A8626" s="15">
        <f>Sheet1!A8626</f>
        <v>0</v>
      </c>
      <c r="B8626">
        <f>Sheet1!B8626</f>
        <v>0.7</v>
      </c>
      <c r="C8626">
        <f>IF(Sheet1!B8626&gt;0,1,0)</f>
        <v>1</v>
      </c>
    </row>
    <row r="8627" spans="1:3" x14ac:dyDescent="0.25">
      <c r="A8627" s="15">
        <f>Sheet1!A8627</f>
        <v>0</v>
      </c>
      <c r="B8627">
        <f>Sheet1!B8627</f>
        <v>0.83</v>
      </c>
      <c r="C8627">
        <f>IF(Sheet1!B8627&gt;0,1,0)</f>
        <v>1</v>
      </c>
    </row>
    <row r="8628" spans="1:3" x14ac:dyDescent="0.25">
      <c r="A8628" s="15">
        <f>Sheet1!A8628</f>
        <v>0</v>
      </c>
      <c r="B8628">
        <f>Sheet1!B8628</f>
        <v>0</v>
      </c>
      <c r="C8628">
        <f>IF(Sheet1!B8628&gt;0,1,0)</f>
        <v>0</v>
      </c>
    </row>
    <row r="8629" spans="1:3" x14ac:dyDescent="0.25">
      <c r="A8629" s="15">
        <f>Sheet1!A8629</f>
        <v>0</v>
      </c>
      <c r="B8629">
        <f>Sheet1!B8629</f>
        <v>0</v>
      </c>
      <c r="C8629">
        <f>IF(Sheet1!B8629&gt;0,1,0)</f>
        <v>0</v>
      </c>
    </row>
    <row r="8630" spans="1:3" x14ac:dyDescent="0.25">
      <c r="A8630" s="15">
        <f>Sheet1!A8630</f>
        <v>0</v>
      </c>
      <c r="B8630">
        <f>Sheet1!B8630</f>
        <v>1.07</v>
      </c>
      <c r="C8630">
        <f>IF(Sheet1!B8630&gt;0,1,0)</f>
        <v>1</v>
      </c>
    </row>
    <row r="8631" spans="1:3" x14ac:dyDescent="0.25">
      <c r="A8631" s="15">
        <f>Sheet1!A8631</f>
        <v>0</v>
      </c>
      <c r="B8631">
        <f>Sheet1!B8631</f>
        <v>0.98</v>
      </c>
      <c r="C8631">
        <f>IF(Sheet1!B8631&gt;0,1,0)</f>
        <v>1</v>
      </c>
    </row>
    <row r="8632" spans="1:3" x14ac:dyDescent="0.25">
      <c r="A8632" s="15">
        <f>Sheet1!A8632</f>
        <v>0</v>
      </c>
      <c r="B8632">
        <f>Sheet1!B8632</f>
        <v>1.1399999999999999</v>
      </c>
      <c r="C8632">
        <f>IF(Sheet1!B8632&gt;0,1,0)</f>
        <v>1</v>
      </c>
    </row>
    <row r="8633" spans="1:3" x14ac:dyDescent="0.25">
      <c r="A8633" s="15">
        <f>Sheet1!A8633</f>
        <v>0</v>
      </c>
      <c r="B8633">
        <f>Sheet1!B8633</f>
        <v>0.9</v>
      </c>
      <c r="C8633">
        <f>IF(Sheet1!B8633&gt;0,1,0)</f>
        <v>1</v>
      </c>
    </row>
    <row r="8634" spans="1:3" x14ac:dyDescent="0.25">
      <c r="A8634" s="15">
        <f>Sheet1!A8634</f>
        <v>0</v>
      </c>
      <c r="B8634">
        <f>Sheet1!B8634</f>
        <v>0</v>
      </c>
      <c r="C8634">
        <f>IF(Sheet1!B8634&gt;0,1,0)</f>
        <v>0</v>
      </c>
    </row>
    <row r="8635" spans="1:3" x14ac:dyDescent="0.25">
      <c r="A8635" s="15">
        <f>Sheet1!A8635</f>
        <v>0</v>
      </c>
      <c r="B8635">
        <f>Sheet1!B8635</f>
        <v>0</v>
      </c>
      <c r="C8635">
        <f>IF(Sheet1!B8635&gt;0,1,0)</f>
        <v>0</v>
      </c>
    </row>
    <row r="8636" spans="1:3" x14ac:dyDescent="0.25">
      <c r="A8636" s="15">
        <f>Sheet1!A8636</f>
        <v>0</v>
      </c>
      <c r="B8636">
        <f>Sheet1!B8636</f>
        <v>0.61</v>
      </c>
      <c r="C8636">
        <f>IF(Sheet1!B8636&gt;0,1,0)</f>
        <v>1</v>
      </c>
    </row>
    <row r="8637" spans="1:3" x14ac:dyDescent="0.25">
      <c r="A8637" s="15">
        <f>Sheet1!A8637</f>
        <v>0</v>
      </c>
      <c r="B8637">
        <f>Sheet1!B8637</f>
        <v>0.74</v>
      </c>
      <c r="C8637">
        <f>IF(Sheet1!B8637&gt;0,1,0)</f>
        <v>1</v>
      </c>
    </row>
    <row r="8638" spans="1:3" x14ac:dyDescent="0.25">
      <c r="A8638" s="15">
        <f>Sheet1!A8638</f>
        <v>0</v>
      </c>
      <c r="B8638">
        <f>Sheet1!B8638</f>
        <v>0</v>
      </c>
      <c r="C8638">
        <f>IF(Sheet1!B8638&gt;0,1,0)</f>
        <v>0</v>
      </c>
    </row>
    <row r="8639" spans="1:3" x14ac:dyDescent="0.25">
      <c r="A8639" s="15">
        <f>Sheet1!A8639</f>
        <v>0</v>
      </c>
      <c r="B8639">
        <f>Sheet1!B8639</f>
        <v>0.75</v>
      </c>
      <c r="C8639">
        <f>IF(Sheet1!B8639&gt;0,1,0)</f>
        <v>1</v>
      </c>
    </row>
    <row r="8640" spans="1:3" x14ac:dyDescent="0.25">
      <c r="A8640" s="15">
        <f>Sheet1!A8640</f>
        <v>0</v>
      </c>
      <c r="B8640">
        <f>Sheet1!B8640</f>
        <v>1.05</v>
      </c>
      <c r="C8640">
        <f>IF(Sheet1!B8640&gt;0,1,0)</f>
        <v>1</v>
      </c>
    </row>
    <row r="8641" spans="1:3" x14ac:dyDescent="0.25">
      <c r="A8641" s="15">
        <f>Sheet1!A8641</f>
        <v>0</v>
      </c>
      <c r="B8641">
        <f>Sheet1!B8641</f>
        <v>1.04</v>
      </c>
      <c r="C8641">
        <f>IF(Sheet1!B8641&gt;0,1,0)</f>
        <v>1</v>
      </c>
    </row>
    <row r="8642" spans="1:3" x14ac:dyDescent="0.25">
      <c r="A8642" s="15">
        <f>Sheet1!A8642</f>
        <v>0</v>
      </c>
      <c r="B8642">
        <f>Sheet1!B8642</f>
        <v>0.94</v>
      </c>
      <c r="C8642">
        <f>IF(Sheet1!B8642&gt;0,1,0)</f>
        <v>1</v>
      </c>
    </row>
    <row r="8643" spans="1:3" x14ac:dyDescent="0.25">
      <c r="A8643" s="15">
        <f>Sheet1!A8643</f>
        <v>0</v>
      </c>
      <c r="B8643">
        <f>Sheet1!B8643</f>
        <v>0.49</v>
      </c>
      <c r="C8643">
        <f>IF(Sheet1!B8643&gt;0,1,0)</f>
        <v>1</v>
      </c>
    </row>
    <row r="8644" spans="1:3" x14ac:dyDescent="0.25">
      <c r="A8644" s="15">
        <f>Sheet1!A8644</f>
        <v>0</v>
      </c>
      <c r="B8644">
        <f>Sheet1!B8644</f>
        <v>0.56999999999999995</v>
      </c>
      <c r="C8644">
        <f>IF(Sheet1!B8644&gt;0,1,0)</f>
        <v>1</v>
      </c>
    </row>
    <row r="8645" spans="1:3" x14ac:dyDescent="0.25">
      <c r="A8645" s="15">
        <f>Sheet1!A8645</f>
        <v>0</v>
      </c>
      <c r="B8645">
        <f>Sheet1!B8645</f>
        <v>0.63</v>
      </c>
      <c r="C8645">
        <f>IF(Sheet1!B8645&gt;0,1,0)</f>
        <v>1</v>
      </c>
    </row>
    <row r="8646" spans="1:3" x14ac:dyDescent="0.25">
      <c r="A8646" s="15">
        <f>Sheet1!A8646</f>
        <v>0</v>
      </c>
      <c r="B8646">
        <f>Sheet1!B8646</f>
        <v>0.82</v>
      </c>
      <c r="C8646">
        <f>IF(Sheet1!B8646&gt;0,1,0)</f>
        <v>1</v>
      </c>
    </row>
    <row r="8647" spans="1:3" x14ac:dyDescent="0.25">
      <c r="A8647" s="15">
        <f>Sheet1!A8647</f>
        <v>0</v>
      </c>
      <c r="B8647">
        <f>Sheet1!B8647</f>
        <v>0.34</v>
      </c>
      <c r="C8647">
        <f>IF(Sheet1!B8647&gt;0,1,0)</f>
        <v>1</v>
      </c>
    </row>
    <row r="8648" spans="1:3" x14ac:dyDescent="0.25">
      <c r="A8648" s="15">
        <f>Sheet1!A8648</f>
        <v>0</v>
      </c>
      <c r="B8648">
        <f>Sheet1!B8648</f>
        <v>0.43</v>
      </c>
      <c r="C8648">
        <f>IF(Sheet1!B8648&gt;0,1,0)</f>
        <v>1</v>
      </c>
    </row>
    <row r="8649" spans="1:3" x14ac:dyDescent="0.25">
      <c r="A8649" s="15">
        <f>Sheet1!A8649</f>
        <v>0</v>
      </c>
      <c r="B8649">
        <f>Sheet1!B8649</f>
        <v>0.4</v>
      </c>
      <c r="C8649">
        <f>IF(Sheet1!B8649&gt;0,1,0)</f>
        <v>1</v>
      </c>
    </row>
    <row r="8650" spans="1:3" x14ac:dyDescent="0.25">
      <c r="A8650" s="15">
        <f>Sheet1!A8650</f>
        <v>0</v>
      </c>
      <c r="B8650">
        <f>Sheet1!B8650</f>
        <v>0.41</v>
      </c>
      <c r="C8650">
        <f>IF(Sheet1!B8650&gt;0,1,0)</f>
        <v>1</v>
      </c>
    </row>
    <row r="8651" spans="1:3" x14ac:dyDescent="0.25">
      <c r="A8651" s="15">
        <f>Sheet1!A8651</f>
        <v>0</v>
      </c>
      <c r="B8651">
        <f>Sheet1!B8651</f>
        <v>0.76</v>
      </c>
      <c r="C8651">
        <f>IF(Sheet1!B8651&gt;0,1,0)</f>
        <v>1</v>
      </c>
    </row>
    <row r="8652" spans="1:3" x14ac:dyDescent="0.25">
      <c r="A8652" s="15">
        <f>Sheet1!A8652</f>
        <v>0</v>
      </c>
      <c r="B8652">
        <f>Sheet1!B8652</f>
        <v>0</v>
      </c>
      <c r="C8652">
        <f>IF(Sheet1!B8652&gt;0,1,0)</f>
        <v>0</v>
      </c>
    </row>
    <row r="8653" spans="1:3" x14ac:dyDescent="0.25">
      <c r="A8653" s="15">
        <f>Sheet1!A8653</f>
        <v>0</v>
      </c>
      <c r="B8653">
        <f>Sheet1!B8653</f>
        <v>0</v>
      </c>
      <c r="C8653">
        <f>IF(Sheet1!B8653&gt;0,1,0)</f>
        <v>0</v>
      </c>
    </row>
    <row r="8654" spans="1:3" x14ac:dyDescent="0.25">
      <c r="A8654" s="15">
        <f>Sheet1!A8654</f>
        <v>0</v>
      </c>
      <c r="B8654">
        <f>Sheet1!B8654</f>
        <v>0</v>
      </c>
      <c r="C8654">
        <f>IF(Sheet1!B8654&gt;0,1,0)</f>
        <v>0</v>
      </c>
    </row>
    <row r="8655" spans="1:3" x14ac:dyDescent="0.25">
      <c r="A8655" s="15">
        <f>Sheet1!A8655</f>
        <v>0</v>
      </c>
      <c r="B8655">
        <f>Sheet1!B8655</f>
        <v>1.1000000000000001</v>
      </c>
      <c r="C8655">
        <f>IF(Sheet1!B8655&gt;0,1,0)</f>
        <v>1</v>
      </c>
    </row>
    <row r="8656" spans="1:3" x14ac:dyDescent="0.25">
      <c r="A8656" s="15">
        <f>Sheet1!A8656</f>
        <v>0</v>
      </c>
      <c r="B8656">
        <f>Sheet1!B8656</f>
        <v>0</v>
      </c>
      <c r="C8656">
        <f>IF(Sheet1!B8656&gt;0,1,0)</f>
        <v>0</v>
      </c>
    </row>
    <row r="8657" spans="1:3" x14ac:dyDescent="0.25">
      <c r="A8657" s="15">
        <f>Sheet1!A8657</f>
        <v>0</v>
      </c>
      <c r="B8657">
        <f>Sheet1!B8657</f>
        <v>0</v>
      </c>
      <c r="C8657">
        <f>IF(Sheet1!B8657&gt;0,1,0)</f>
        <v>0</v>
      </c>
    </row>
    <row r="8658" spans="1:3" x14ac:dyDescent="0.25">
      <c r="A8658" s="15">
        <f>Sheet1!A8658</f>
        <v>0</v>
      </c>
      <c r="B8658">
        <f>Sheet1!B8658</f>
        <v>0</v>
      </c>
      <c r="C8658">
        <f>IF(Sheet1!B8658&gt;0,1,0)</f>
        <v>0</v>
      </c>
    </row>
    <row r="8659" spans="1:3" x14ac:dyDescent="0.25">
      <c r="A8659" s="15">
        <f>Sheet1!A8659</f>
        <v>0</v>
      </c>
      <c r="B8659">
        <f>Sheet1!B8659</f>
        <v>1.06</v>
      </c>
      <c r="C8659">
        <f>IF(Sheet1!B8659&gt;0,1,0)</f>
        <v>1</v>
      </c>
    </row>
    <row r="8660" spans="1:3" x14ac:dyDescent="0.25">
      <c r="A8660" s="15">
        <f>Sheet1!A8660</f>
        <v>0</v>
      </c>
      <c r="B8660">
        <f>Sheet1!B8660</f>
        <v>0.41</v>
      </c>
      <c r="C8660">
        <f>IF(Sheet1!B8660&gt;0,1,0)</f>
        <v>1</v>
      </c>
    </row>
    <row r="8661" spans="1:3" x14ac:dyDescent="0.25">
      <c r="A8661" s="15">
        <f>Sheet1!A8661</f>
        <v>0</v>
      </c>
      <c r="B8661">
        <f>Sheet1!B8661</f>
        <v>0</v>
      </c>
      <c r="C8661">
        <f>IF(Sheet1!B8661&gt;0,1,0)</f>
        <v>0</v>
      </c>
    </row>
    <row r="8662" spans="1:3" x14ac:dyDescent="0.25">
      <c r="A8662" s="15">
        <f>Sheet1!A8662</f>
        <v>0</v>
      </c>
      <c r="B8662">
        <f>Sheet1!B8662</f>
        <v>0</v>
      </c>
      <c r="C8662">
        <f>IF(Sheet1!B8662&gt;0,1,0)</f>
        <v>0</v>
      </c>
    </row>
    <row r="8663" spans="1:3" x14ac:dyDescent="0.25">
      <c r="A8663" s="15">
        <f>Sheet1!A8663</f>
        <v>0</v>
      </c>
      <c r="B8663">
        <f>Sheet1!B8663</f>
        <v>1.07</v>
      </c>
      <c r="C8663">
        <f>IF(Sheet1!B8663&gt;0,1,0)</f>
        <v>1</v>
      </c>
    </row>
    <row r="8664" spans="1:3" x14ac:dyDescent="0.25">
      <c r="A8664" s="15">
        <f>Sheet1!A8664</f>
        <v>0</v>
      </c>
      <c r="B8664">
        <f>Sheet1!B8664</f>
        <v>0.85</v>
      </c>
      <c r="C8664">
        <f>IF(Sheet1!B8664&gt;0,1,0)</f>
        <v>1</v>
      </c>
    </row>
    <row r="8665" spans="1:3" x14ac:dyDescent="0.25">
      <c r="A8665" s="15">
        <f>Sheet1!A8665</f>
        <v>0</v>
      </c>
      <c r="B8665">
        <f>Sheet1!B8665</f>
        <v>0.83</v>
      </c>
      <c r="C8665">
        <f>IF(Sheet1!B8665&gt;0,1,0)</f>
        <v>1</v>
      </c>
    </row>
    <row r="8666" spans="1:3" x14ac:dyDescent="0.25">
      <c r="A8666" s="15">
        <f>Sheet1!A8666</f>
        <v>0</v>
      </c>
      <c r="B8666">
        <f>Sheet1!B8666</f>
        <v>0.57999999999999996</v>
      </c>
      <c r="C8666">
        <f>IF(Sheet1!B8666&gt;0,1,0)</f>
        <v>1</v>
      </c>
    </row>
    <row r="8667" spans="1:3" x14ac:dyDescent="0.25">
      <c r="A8667" s="15">
        <f>Sheet1!A8667</f>
        <v>0</v>
      </c>
      <c r="B8667">
        <f>Sheet1!B8667</f>
        <v>0.41</v>
      </c>
      <c r="C8667">
        <f>IF(Sheet1!B8667&gt;0,1,0)</f>
        <v>1</v>
      </c>
    </row>
    <row r="8668" spans="1:3" x14ac:dyDescent="0.25">
      <c r="A8668" s="15">
        <f>Sheet1!A8668</f>
        <v>0</v>
      </c>
      <c r="B8668">
        <f>Sheet1!B8668</f>
        <v>0.34</v>
      </c>
      <c r="C8668">
        <f>IF(Sheet1!B8668&gt;0,1,0)</f>
        <v>1</v>
      </c>
    </row>
    <row r="8669" spans="1:3" x14ac:dyDescent="0.25">
      <c r="A8669" s="15">
        <f>Sheet1!A8669</f>
        <v>0</v>
      </c>
      <c r="B8669">
        <f>Sheet1!B8669</f>
        <v>1.1000000000000001</v>
      </c>
      <c r="C8669">
        <f>IF(Sheet1!B8669&gt;0,1,0)</f>
        <v>1</v>
      </c>
    </row>
    <row r="8670" spans="1:3" x14ac:dyDescent="0.25">
      <c r="A8670" s="15">
        <f>Sheet1!A8670</f>
        <v>0</v>
      </c>
      <c r="B8670">
        <f>Sheet1!B8670</f>
        <v>0</v>
      </c>
      <c r="C8670">
        <f>IF(Sheet1!B8670&gt;0,1,0)</f>
        <v>0</v>
      </c>
    </row>
    <row r="8671" spans="1:3" x14ac:dyDescent="0.25">
      <c r="A8671" s="15">
        <f>Sheet1!A8671</f>
        <v>0</v>
      </c>
      <c r="B8671">
        <f>Sheet1!B8671</f>
        <v>0</v>
      </c>
      <c r="C8671">
        <f>IF(Sheet1!B8671&gt;0,1,0)</f>
        <v>0</v>
      </c>
    </row>
    <row r="8672" spans="1:3" x14ac:dyDescent="0.25">
      <c r="A8672" s="15">
        <f>Sheet1!A8672</f>
        <v>0</v>
      </c>
      <c r="B8672">
        <f>Sheet1!B8672</f>
        <v>0.38</v>
      </c>
      <c r="C8672">
        <f>IF(Sheet1!B8672&gt;0,1,0)</f>
        <v>1</v>
      </c>
    </row>
    <row r="8673" spans="1:3" x14ac:dyDescent="0.25">
      <c r="A8673" s="15">
        <f>Sheet1!A8673</f>
        <v>0</v>
      </c>
      <c r="B8673">
        <f>Sheet1!B8673</f>
        <v>0.72</v>
      </c>
      <c r="C8673">
        <f>IF(Sheet1!B8673&gt;0,1,0)</f>
        <v>1</v>
      </c>
    </row>
    <row r="8674" spans="1:3" x14ac:dyDescent="0.25">
      <c r="A8674" s="15">
        <f>Sheet1!A8674</f>
        <v>0</v>
      </c>
      <c r="B8674">
        <f>Sheet1!B8674</f>
        <v>0</v>
      </c>
      <c r="C8674">
        <f>IF(Sheet1!B8674&gt;0,1,0)</f>
        <v>0</v>
      </c>
    </row>
    <row r="8675" spans="1:3" x14ac:dyDescent="0.25">
      <c r="A8675" s="15">
        <f>Sheet1!A8675</f>
        <v>0</v>
      </c>
      <c r="B8675">
        <f>Sheet1!B8675</f>
        <v>0</v>
      </c>
      <c r="C8675">
        <f>IF(Sheet1!B8675&gt;0,1,0)</f>
        <v>0</v>
      </c>
    </row>
    <row r="8676" spans="1:3" x14ac:dyDescent="0.25">
      <c r="A8676" s="15">
        <f>Sheet1!A8676</f>
        <v>0</v>
      </c>
      <c r="B8676">
        <f>Sheet1!B8676</f>
        <v>0</v>
      </c>
      <c r="C8676">
        <f>IF(Sheet1!B8676&gt;0,1,0)</f>
        <v>0</v>
      </c>
    </row>
    <row r="8677" spans="1:3" x14ac:dyDescent="0.25">
      <c r="A8677" s="15">
        <f>Sheet1!A8677</f>
        <v>0</v>
      </c>
      <c r="B8677">
        <f>Sheet1!B8677</f>
        <v>0.95</v>
      </c>
      <c r="C8677">
        <f>IF(Sheet1!B8677&gt;0,1,0)</f>
        <v>1</v>
      </c>
    </row>
    <row r="8678" spans="1:3" x14ac:dyDescent="0.25">
      <c r="A8678" s="15">
        <f>Sheet1!A8678</f>
        <v>0</v>
      </c>
      <c r="B8678">
        <f>Sheet1!B8678</f>
        <v>0</v>
      </c>
      <c r="C8678">
        <f>IF(Sheet1!B8678&gt;0,1,0)</f>
        <v>0</v>
      </c>
    </row>
    <row r="8679" spans="1:3" x14ac:dyDescent="0.25">
      <c r="A8679" s="15">
        <f>Sheet1!A8679</f>
        <v>0</v>
      </c>
      <c r="B8679">
        <f>Sheet1!B8679</f>
        <v>0</v>
      </c>
      <c r="C8679">
        <f>IF(Sheet1!B8679&gt;0,1,0)</f>
        <v>0</v>
      </c>
    </row>
    <row r="8680" spans="1:3" x14ac:dyDescent="0.25">
      <c r="A8680" s="15">
        <f>Sheet1!A8680</f>
        <v>0</v>
      </c>
      <c r="B8680">
        <f>Sheet1!B8680</f>
        <v>0</v>
      </c>
      <c r="C8680">
        <f>IF(Sheet1!B8680&gt;0,1,0)</f>
        <v>0</v>
      </c>
    </row>
    <row r="8681" spans="1:3" x14ac:dyDescent="0.25">
      <c r="A8681" s="15">
        <f>Sheet1!A8681</f>
        <v>0</v>
      </c>
      <c r="B8681">
        <f>Sheet1!B8681</f>
        <v>1.54</v>
      </c>
      <c r="C8681">
        <f>IF(Sheet1!B8681&gt;0,1,0)</f>
        <v>1</v>
      </c>
    </row>
    <row r="8682" spans="1:3" x14ac:dyDescent="0.25">
      <c r="A8682" s="15">
        <f>Sheet1!A8682</f>
        <v>0</v>
      </c>
      <c r="B8682">
        <f>Sheet1!B8682</f>
        <v>0</v>
      </c>
      <c r="C8682">
        <f>IF(Sheet1!B8682&gt;0,1,0)</f>
        <v>0</v>
      </c>
    </row>
    <row r="8683" spans="1:3" x14ac:dyDescent="0.25">
      <c r="A8683" s="15">
        <f>Sheet1!A8683</f>
        <v>0</v>
      </c>
      <c r="B8683">
        <f>Sheet1!B8683</f>
        <v>0</v>
      </c>
      <c r="C8683">
        <f>IF(Sheet1!B8683&gt;0,1,0)</f>
        <v>0</v>
      </c>
    </row>
    <row r="8684" spans="1:3" x14ac:dyDescent="0.25">
      <c r="A8684" s="15">
        <f>Sheet1!A8684</f>
        <v>0</v>
      </c>
      <c r="B8684">
        <f>Sheet1!B8684</f>
        <v>0</v>
      </c>
      <c r="C8684">
        <f>IF(Sheet1!B8684&gt;0,1,0)</f>
        <v>0</v>
      </c>
    </row>
    <row r="8685" spans="1:3" x14ac:dyDescent="0.25">
      <c r="A8685" s="15">
        <f>Sheet1!A8685</f>
        <v>0</v>
      </c>
      <c r="B8685">
        <f>Sheet1!B8685</f>
        <v>0.73</v>
      </c>
      <c r="C8685">
        <f>IF(Sheet1!B8685&gt;0,1,0)</f>
        <v>1</v>
      </c>
    </row>
    <row r="8686" spans="1:3" x14ac:dyDescent="0.25">
      <c r="A8686" s="15">
        <f>Sheet1!A8686</f>
        <v>0</v>
      </c>
      <c r="B8686">
        <f>Sheet1!B8686</f>
        <v>0.97</v>
      </c>
      <c r="C8686">
        <f>IF(Sheet1!B8686&gt;0,1,0)</f>
        <v>1</v>
      </c>
    </row>
    <row r="8687" spans="1:3" x14ac:dyDescent="0.25">
      <c r="A8687" s="15">
        <f>Sheet1!A8687</f>
        <v>0</v>
      </c>
      <c r="B8687">
        <f>Sheet1!B8687</f>
        <v>0.81</v>
      </c>
      <c r="C8687">
        <f>IF(Sheet1!B8687&gt;0,1,0)</f>
        <v>1</v>
      </c>
    </row>
    <row r="8688" spans="1:3" x14ac:dyDescent="0.25">
      <c r="A8688" s="15">
        <f>Sheet1!A8688</f>
        <v>0</v>
      </c>
      <c r="B8688">
        <f>Sheet1!B8688</f>
        <v>1.1200000000000001</v>
      </c>
      <c r="C8688">
        <f>IF(Sheet1!B8688&gt;0,1,0)</f>
        <v>1</v>
      </c>
    </row>
    <row r="8689" spans="1:3" x14ac:dyDescent="0.25">
      <c r="A8689" s="15">
        <f>Sheet1!A8689</f>
        <v>0</v>
      </c>
      <c r="B8689">
        <f>Sheet1!B8689</f>
        <v>0.51</v>
      </c>
      <c r="C8689">
        <f>IF(Sheet1!B8689&gt;0,1,0)</f>
        <v>1</v>
      </c>
    </row>
    <row r="8690" spans="1:3" x14ac:dyDescent="0.25">
      <c r="A8690" s="15">
        <f>Sheet1!A8690</f>
        <v>0</v>
      </c>
      <c r="B8690">
        <f>Sheet1!B8690</f>
        <v>1.1200000000000001</v>
      </c>
      <c r="C8690">
        <f>IF(Sheet1!B8690&gt;0,1,0)</f>
        <v>1</v>
      </c>
    </row>
    <row r="8691" spans="1:3" x14ac:dyDescent="0.25">
      <c r="A8691" s="15">
        <f>Sheet1!A8691</f>
        <v>0</v>
      </c>
      <c r="B8691">
        <f>Sheet1!B8691</f>
        <v>1.1299999999999999</v>
      </c>
      <c r="C8691">
        <f>IF(Sheet1!B8691&gt;0,1,0)</f>
        <v>1</v>
      </c>
    </row>
    <row r="8692" spans="1:3" x14ac:dyDescent="0.25">
      <c r="A8692" s="15">
        <f>Sheet1!A8692</f>
        <v>0</v>
      </c>
      <c r="B8692">
        <f>Sheet1!B8692</f>
        <v>1.05</v>
      </c>
      <c r="C8692">
        <f>IF(Sheet1!B8692&gt;0,1,0)</f>
        <v>1</v>
      </c>
    </row>
    <row r="8693" spans="1:3" x14ac:dyDescent="0.25">
      <c r="A8693" s="15">
        <f>Sheet1!A8693</f>
        <v>0</v>
      </c>
      <c r="B8693">
        <f>Sheet1!B8693</f>
        <v>1.1000000000000001</v>
      </c>
      <c r="C8693">
        <f>IF(Sheet1!B8693&gt;0,1,0)</f>
        <v>1</v>
      </c>
    </row>
    <row r="8694" spans="1:3" x14ac:dyDescent="0.25">
      <c r="A8694" s="15">
        <f>Sheet1!A8694</f>
        <v>0</v>
      </c>
      <c r="B8694">
        <f>Sheet1!B8694</f>
        <v>0</v>
      </c>
      <c r="C8694">
        <f>IF(Sheet1!B8694&gt;0,1,0)</f>
        <v>0</v>
      </c>
    </row>
    <row r="8695" spans="1:3" x14ac:dyDescent="0.25">
      <c r="A8695" s="15">
        <f>Sheet1!A8695</f>
        <v>0</v>
      </c>
      <c r="B8695">
        <f>Sheet1!B8695</f>
        <v>0</v>
      </c>
      <c r="C8695">
        <f>IF(Sheet1!B8695&gt;0,1,0)</f>
        <v>0</v>
      </c>
    </row>
    <row r="8696" spans="1:3" x14ac:dyDescent="0.25">
      <c r="A8696" s="15">
        <f>Sheet1!A8696</f>
        <v>0</v>
      </c>
      <c r="B8696">
        <f>Sheet1!B8696</f>
        <v>0.38</v>
      </c>
      <c r="C8696">
        <f>IF(Sheet1!B8696&gt;0,1,0)</f>
        <v>1</v>
      </c>
    </row>
    <row r="8697" spans="1:3" x14ac:dyDescent="0.25">
      <c r="A8697" s="15">
        <f>Sheet1!A8697</f>
        <v>0</v>
      </c>
      <c r="B8697">
        <f>Sheet1!B8697</f>
        <v>0.72</v>
      </c>
      <c r="C8697">
        <f>IF(Sheet1!B8697&gt;0,1,0)</f>
        <v>1</v>
      </c>
    </row>
    <row r="8698" spans="1:3" x14ac:dyDescent="0.25">
      <c r="A8698" s="15">
        <f>Sheet1!A8698</f>
        <v>0</v>
      </c>
      <c r="B8698">
        <f>Sheet1!B8698</f>
        <v>0</v>
      </c>
      <c r="C8698">
        <f>IF(Sheet1!B8698&gt;0,1,0)</f>
        <v>0</v>
      </c>
    </row>
    <row r="8699" spans="1:3" x14ac:dyDescent="0.25">
      <c r="A8699" s="15">
        <f>Sheet1!A8699</f>
        <v>0</v>
      </c>
      <c r="B8699">
        <f>Sheet1!B8699</f>
        <v>0</v>
      </c>
      <c r="C8699">
        <f>IF(Sheet1!B8699&gt;0,1,0)</f>
        <v>0</v>
      </c>
    </row>
    <row r="8700" spans="1:3" x14ac:dyDescent="0.25">
      <c r="A8700" s="15">
        <f>Sheet1!A8700</f>
        <v>0</v>
      </c>
      <c r="B8700">
        <f>Sheet1!B8700</f>
        <v>0</v>
      </c>
      <c r="C8700">
        <f>IF(Sheet1!B8700&gt;0,1,0)</f>
        <v>0</v>
      </c>
    </row>
    <row r="8701" spans="1:3" x14ac:dyDescent="0.25">
      <c r="A8701" s="15">
        <f>Sheet1!A8701</f>
        <v>0</v>
      </c>
      <c r="B8701">
        <f>Sheet1!B8701</f>
        <v>2.39</v>
      </c>
      <c r="C8701">
        <f>IF(Sheet1!B8701&gt;0,1,0)</f>
        <v>1</v>
      </c>
    </row>
    <row r="8702" spans="1:3" x14ac:dyDescent="0.25">
      <c r="A8702" s="15">
        <f>Sheet1!A8702</f>
        <v>0</v>
      </c>
      <c r="B8702">
        <f>Sheet1!B8702</f>
        <v>0.96</v>
      </c>
      <c r="C8702">
        <f>IF(Sheet1!B8702&gt;0,1,0)</f>
        <v>1</v>
      </c>
    </row>
    <row r="8703" spans="1:3" x14ac:dyDescent="0.25">
      <c r="A8703" s="15">
        <f>Sheet1!A8703</f>
        <v>0</v>
      </c>
      <c r="B8703">
        <f>Sheet1!B8703</f>
        <v>0.69</v>
      </c>
      <c r="C8703">
        <f>IF(Sheet1!B8703&gt;0,1,0)</f>
        <v>1</v>
      </c>
    </row>
    <row r="8704" spans="1:3" x14ac:dyDescent="0.25">
      <c r="A8704" s="15">
        <f>Sheet1!A8704</f>
        <v>0</v>
      </c>
      <c r="B8704">
        <f>Sheet1!B8704</f>
        <v>0</v>
      </c>
      <c r="C8704">
        <f>IF(Sheet1!B8704&gt;0,1,0)</f>
        <v>0</v>
      </c>
    </row>
    <row r="8705" spans="1:3" x14ac:dyDescent="0.25">
      <c r="A8705" s="15">
        <f>Sheet1!A8705</f>
        <v>0</v>
      </c>
      <c r="B8705">
        <f>Sheet1!B8705</f>
        <v>0</v>
      </c>
      <c r="C8705">
        <f>IF(Sheet1!B8705&gt;0,1,0)</f>
        <v>0</v>
      </c>
    </row>
    <row r="8706" spans="1:3" x14ac:dyDescent="0.25">
      <c r="A8706" s="15">
        <f>Sheet1!A8706</f>
        <v>0</v>
      </c>
      <c r="B8706">
        <f>Sheet1!B8706</f>
        <v>0</v>
      </c>
      <c r="C8706">
        <f>IF(Sheet1!B8706&gt;0,1,0)</f>
        <v>0</v>
      </c>
    </row>
    <row r="8707" spans="1:3" x14ac:dyDescent="0.25">
      <c r="A8707" s="15">
        <f>Sheet1!A8707</f>
        <v>0</v>
      </c>
      <c r="B8707">
        <f>Sheet1!B8707</f>
        <v>1.23</v>
      </c>
      <c r="C8707">
        <f>IF(Sheet1!B8707&gt;0,1,0)</f>
        <v>1</v>
      </c>
    </row>
    <row r="8708" spans="1:3" x14ac:dyDescent="0.25">
      <c r="A8708" s="15">
        <f>Sheet1!A8708</f>
        <v>0</v>
      </c>
      <c r="B8708">
        <f>Sheet1!B8708</f>
        <v>0</v>
      </c>
      <c r="C8708">
        <f>IF(Sheet1!B8708&gt;0,1,0)</f>
        <v>0</v>
      </c>
    </row>
    <row r="8709" spans="1:3" x14ac:dyDescent="0.25">
      <c r="A8709" s="15">
        <f>Sheet1!A8709</f>
        <v>0</v>
      </c>
      <c r="B8709">
        <f>Sheet1!B8709</f>
        <v>0</v>
      </c>
      <c r="C8709">
        <f>IF(Sheet1!B8709&gt;0,1,0)</f>
        <v>0</v>
      </c>
    </row>
    <row r="8710" spans="1:3" x14ac:dyDescent="0.25">
      <c r="A8710" s="15">
        <f>Sheet1!A8710</f>
        <v>0</v>
      </c>
      <c r="B8710">
        <f>Sheet1!B8710</f>
        <v>1.56</v>
      </c>
      <c r="C8710">
        <f>IF(Sheet1!B8710&gt;0,1,0)</f>
        <v>1</v>
      </c>
    </row>
    <row r="8711" spans="1:3" x14ac:dyDescent="0.25">
      <c r="A8711" s="15">
        <f>Sheet1!A8711</f>
        <v>0</v>
      </c>
      <c r="B8711">
        <f>Sheet1!B8711</f>
        <v>0.59</v>
      </c>
      <c r="C8711">
        <f>IF(Sheet1!B8711&gt;0,1,0)</f>
        <v>1</v>
      </c>
    </row>
    <row r="8712" spans="1:3" x14ac:dyDescent="0.25">
      <c r="A8712" s="15">
        <f>Sheet1!A8712</f>
        <v>0</v>
      </c>
      <c r="B8712">
        <f>Sheet1!B8712</f>
        <v>0.7</v>
      </c>
      <c r="C8712">
        <f>IF(Sheet1!B8712&gt;0,1,0)</f>
        <v>1</v>
      </c>
    </row>
    <row r="8713" spans="1:3" x14ac:dyDescent="0.25">
      <c r="A8713" s="15">
        <f>Sheet1!A8713</f>
        <v>0</v>
      </c>
      <c r="B8713">
        <f>Sheet1!B8713</f>
        <v>0.86</v>
      </c>
      <c r="C8713">
        <f>IF(Sheet1!B8713&gt;0,1,0)</f>
        <v>1</v>
      </c>
    </row>
    <row r="8714" spans="1:3" x14ac:dyDescent="0.25">
      <c r="A8714" s="15">
        <f>Sheet1!A8714</f>
        <v>0</v>
      </c>
      <c r="B8714">
        <f>Sheet1!B8714</f>
        <v>0.7</v>
      </c>
      <c r="C8714">
        <f>IF(Sheet1!B8714&gt;0,1,0)</f>
        <v>1</v>
      </c>
    </row>
    <row r="8715" spans="1:3" x14ac:dyDescent="0.25">
      <c r="A8715" s="15">
        <f>Sheet1!A8715</f>
        <v>0</v>
      </c>
      <c r="B8715">
        <f>Sheet1!B8715</f>
        <v>0.77</v>
      </c>
      <c r="C8715">
        <f>IF(Sheet1!B8715&gt;0,1,0)</f>
        <v>1</v>
      </c>
    </row>
    <row r="8716" spans="1:3" x14ac:dyDescent="0.25">
      <c r="A8716" s="15">
        <f>Sheet1!A8716</f>
        <v>0</v>
      </c>
      <c r="B8716">
        <f>Sheet1!B8716</f>
        <v>1.35</v>
      </c>
      <c r="C8716">
        <f>IF(Sheet1!B8716&gt;0,1,0)</f>
        <v>1</v>
      </c>
    </row>
    <row r="8717" spans="1:3" x14ac:dyDescent="0.25">
      <c r="A8717" s="15">
        <f>Sheet1!A8717</f>
        <v>0</v>
      </c>
      <c r="B8717">
        <f>Sheet1!B8717</f>
        <v>0.71</v>
      </c>
      <c r="C8717">
        <f>IF(Sheet1!B8717&gt;0,1,0)</f>
        <v>1</v>
      </c>
    </row>
    <row r="8718" spans="1:3" x14ac:dyDescent="0.25">
      <c r="A8718" s="15">
        <f>Sheet1!A8718</f>
        <v>0</v>
      </c>
      <c r="B8718">
        <f>Sheet1!B8718</f>
        <v>0.96</v>
      </c>
      <c r="C8718">
        <f>IF(Sheet1!B8718&gt;0,1,0)</f>
        <v>1</v>
      </c>
    </row>
    <row r="8719" spans="1:3" x14ac:dyDescent="0.25">
      <c r="A8719" s="15">
        <f>Sheet1!A8719</f>
        <v>0</v>
      </c>
      <c r="B8719">
        <f>Sheet1!B8719</f>
        <v>0.78</v>
      </c>
      <c r="C8719">
        <f>IF(Sheet1!B8719&gt;0,1,0)</f>
        <v>1</v>
      </c>
    </row>
    <row r="8720" spans="1:3" x14ac:dyDescent="0.25">
      <c r="A8720" s="15">
        <f>Sheet1!A8720</f>
        <v>0</v>
      </c>
      <c r="B8720">
        <f>Sheet1!B8720</f>
        <v>0.41</v>
      </c>
      <c r="C8720">
        <f>IF(Sheet1!B8720&gt;0,1,0)</f>
        <v>1</v>
      </c>
    </row>
    <row r="8721" spans="1:3" x14ac:dyDescent="0.25">
      <c r="A8721" s="15">
        <f>Sheet1!A8721</f>
        <v>0</v>
      </c>
      <c r="B8721">
        <f>Sheet1!B8721</f>
        <v>0.93</v>
      </c>
      <c r="C8721">
        <f>IF(Sheet1!B8721&gt;0,1,0)</f>
        <v>1</v>
      </c>
    </row>
    <row r="8722" spans="1:3" x14ac:dyDescent="0.25">
      <c r="A8722" s="15">
        <f>Sheet1!A8722</f>
        <v>0</v>
      </c>
      <c r="B8722">
        <f>Sheet1!B8722</f>
        <v>0.64</v>
      </c>
      <c r="C8722">
        <f>IF(Sheet1!B8722&gt;0,1,0)</f>
        <v>1</v>
      </c>
    </row>
    <row r="8723" spans="1:3" x14ac:dyDescent="0.25">
      <c r="A8723" s="15">
        <f>Sheet1!A8723</f>
        <v>0</v>
      </c>
      <c r="B8723">
        <f>Sheet1!B8723</f>
        <v>1.21</v>
      </c>
      <c r="C8723">
        <f>IF(Sheet1!B8723&gt;0,1,0)</f>
        <v>1</v>
      </c>
    </row>
    <row r="8724" spans="1:3" x14ac:dyDescent="0.25">
      <c r="A8724" s="15">
        <f>Sheet1!A8724</f>
        <v>0</v>
      </c>
      <c r="B8724">
        <f>Sheet1!B8724</f>
        <v>0</v>
      </c>
      <c r="C8724">
        <f>IF(Sheet1!B8724&gt;0,1,0)</f>
        <v>0</v>
      </c>
    </row>
    <row r="8725" spans="1:3" x14ac:dyDescent="0.25">
      <c r="A8725" s="15">
        <f>Sheet1!A8725</f>
        <v>0</v>
      </c>
      <c r="B8725">
        <f>Sheet1!B8725</f>
        <v>0</v>
      </c>
      <c r="C8725">
        <f>IF(Sheet1!B8725&gt;0,1,0)</f>
        <v>0</v>
      </c>
    </row>
    <row r="8726" spans="1:3" x14ac:dyDescent="0.25">
      <c r="A8726" s="15">
        <f>Sheet1!A8726</f>
        <v>0</v>
      </c>
      <c r="B8726">
        <f>Sheet1!B8726</f>
        <v>1.29</v>
      </c>
      <c r="C8726">
        <f>IF(Sheet1!B8726&gt;0,1,0)</f>
        <v>1</v>
      </c>
    </row>
    <row r="8727" spans="1:3" x14ac:dyDescent="0.25">
      <c r="A8727" s="15">
        <f>Sheet1!A8727</f>
        <v>0</v>
      </c>
      <c r="B8727">
        <f>Sheet1!B8727</f>
        <v>1.69</v>
      </c>
      <c r="C8727">
        <f>IF(Sheet1!B8727&gt;0,1,0)</f>
        <v>1</v>
      </c>
    </row>
    <row r="8728" spans="1:3" x14ac:dyDescent="0.25">
      <c r="A8728" s="15">
        <f>Sheet1!A8728</f>
        <v>0</v>
      </c>
      <c r="B8728">
        <f>Sheet1!B8728</f>
        <v>0</v>
      </c>
      <c r="C8728">
        <f>IF(Sheet1!B8728&gt;0,1,0)</f>
        <v>0</v>
      </c>
    </row>
    <row r="8729" spans="1:3" x14ac:dyDescent="0.25">
      <c r="A8729" s="15">
        <f>Sheet1!A8729</f>
        <v>0</v>
      </c>
      <c r="B8729">
        <f>Sheet1!B8729</f>
        <v>0</v>
      </c>
      <c r="C8729">
        <f>IF(Sheet1!B8729&gt;0,1,0)</f>
        <v>0</v>
      </c>
    </row>
    <row r="8730" spans="1:3" x14ac:dyDescent="0.25">
      <c r="A8730" s="15">
        <f>Sheet1!A8730</f>
        <v>0</v>
      </c>
      <c r="B8730">
        <f>Sheet1!B8730</f>
        <v>0</v>
      </c>
      <c r="C8730">
        <f>IF(Sheet1!B8730&gt;0,1,0)</f>
        <v>0</v>
      </c>
    </row>
    <row r="8731" spans="1:3" x14ac:dyDescent="0.25">
      <c r="A8731" s="15">
        <f>Sheet1!A8731</f>
        <v>0</v>
      </c>
      <c r="B8731">
        <f>Sheet1!B8731</f>
        <v>0.83</v>
      </c>
      <c r="C8731">
        <f>IF(Sheet1!B8731&gt;0,1,0)</f>
        <v>1</v>
      </c>
    </row>
    <row r="8732" spans="1:3" x14ac:dyDescent="0.25">
      <c r="A8732" s="15">
        <f>Sheet1!A8732</f>
        <v>0</v>
      </c>
      <c r="B8732">
        <f>Sheet1!B8732</f>
        <v>0</v>
      </c>
      <c r="C8732">
        <f>IF(Sheet1!B8732&gt;0,1,0)</f>
        <v>0</v>
      </c>
    </row>
    <row r="8733" spans="1:3" x14ac:dyDescent="0.25">
      <c r="A8733" s="15">
        <f>Sheet1!A8733</f>
        <v>0</v>
      </c>
      <c r="B8733">
        <f>Sheet1!B8733</f>
        <v>0</v>
      </c>
      <c r="C8733">
        <f>IF(Sheet1!B8733&gt;0,1,0)</f>
        <v>0</v>
      </c>
    </row>
    <row r="8734" spans="1:3" x14ac:dyDescent="0.25">
      <c r="A8734" s="15">
        <f>Sheet1!A8734</f>
        <v>0</v>
      </c>
      <c r="B8734">
        <f>Sheet1!B8734</f>
        <v>0</v>
      </c>
      <c r="C8734">
        <f>IF(Sheet1!B8734&gt;0,1,0)</f>
        <v>0</v>
      </c>
    </row>
    <row r="8735" spans="1:3" x14ac:dyDescent="0.25">
      <c r="A8735" s="15">
        <f>Sheet1!A8735</f>
        <v>0</v>
      </c>
      <c r="B8735">
        <f>Sheet1!B8735</f>
        <v>1.39</v>
      </c>
      <c r="C8735">
        <f>IF(Sheet1!B8735&gt;0,1,0)</f>
        <v>1</v>
      </c>
    </row>
    <row r="8736" spans="1:3" x14ac:dyDescent="0.25">
      <c r="A8736" s="15">
        <f>Sheet1!A8736</f>
        <v>0</v>
      </c>
      <c r="B8736">
        <f>Sheet1!B8736</f>
        <v>1.24</v>
      </c>
      <c r="C8736">
        <f>IF(Sheet1!B8736&gt;0,1,0)</f>
        <v>1</v>
      </c>
    </row>
    <row r="8737" spans="1:3" x14ac:dyDescent="0.25">
      <c r="A8737" s="15">
        <f>Sheet1!A8737</f>
        <v>0</v>
      </c>
      <c r="B8737">
        <f>Sheet1!B8737</f>
        <v>1.49</v>
      </c>
      <c r="C8737">
        <f>IF(Sheet1!B8737&gt;0,1,0)</f>
        <v>1</v>
      </c>
    </row>
    <row r="8738" spans="1:3" x14ac:dyDescent="0.25">
      <c r="A8738" s="15">
        <f>Sheet1!A8738</f>
        <v>0</v>
      </c>
      <c r="B8738">
        <f>Sheet1!B8738</f>
        <v>1.18</v>
      </c>
      <c r="C8738">
        <f>IF(Sheet1!B8738&gt;0,1,0)</f>
        <v>1</v>
      </c>
    </row>
    <row r="8739" spans="1:3" x14ac:dyDescent="0.25">
      <c r="A8739" s="15">
        <f>Sheet1!A8739</f>
        <v>0</v>
      </c>
      <c r="B8739">
        <f>Sheet1!B8739</f>
        <v>1.1100000000000001</v>
      </c>
      <c r="C8739">
        <f>IF(Sheet1!B8739&gt;0,1,0)</f>
        <v>1</v>
      </c>
    </row>
    <row r="8740" spans="1:3" x14ac:dyDescent="0.25">
      <c r="A8740" s="15">
        <f>Sheet1!A8740</f>
        <v>0</v>
      </c>
      <c r="B8740">
        <f>Sheet1!B8740</f>
        <v>1.41</v>
      </c>
      <c r="C8740">
        <f>IF(Sheet1!B8740&gt;0,1,0)</f>
        <v>1</v>
      </c>
    </row>
    <row r="8741" spans="1:3" x14ac:dyDescent="0.25">
      <c r="A8741" s="15">
        <f>Sheet1!A8741</f>
        <v>0</v>
      </c>
      <c r="B8741">
        <f>Sheet1!B8741</f>
        <v>1.07</v>
      </c>
      <c r="C8741">
        <f>IF(Sheet1!B8741&gt;0,1,0)</f>
        <v>1</v>
      </c>
    </row>
    <row r="8742" spans="1:3" x14ac:dyDescent="0.25">
      <c r="A8742" s="15">
        <f>Sheet1!A8742</f>
        <v>0</v>
      </c>
      <c r="B8742">
        <f>Sheet1!B8742</f>
        <v>1.48</v>
      </c>
      <c r="C8742">
        <f>IF(Sheet1!B8742&gt;0,1,0)</f>
        <v>1</v>
      </c>
    </row>
    <row r="8743" spans="1:3" x14ac:dyDescent="0.25">
      <c r="A8743" s="15">
        <f>Sheet1!A8743</f>
        <v>0</v>
      </c>
      <c r="B8743">
        <f>Sheet1!B8743</f>
        <v>1.29</v>
      </c>
      <c r="C8743">
        <f>IF(Sheet1!B8743&gt;0,1,0)</f>
        <v>1</v>
      </c>
    </row>
    <row r="8744" spans="1:3" x14ac:dyDescent="0.25">
      <c r="A8744" s="15">
        <f>Sheet1!A8744</f>
        <v>0</v>
      </c>
      <c r="B8744">
        <f>Sheet1!B8744</f>
        <v>0</v>
      </c>
      <c r="C8744">
        <f>IF(Sheet1!B8744&gt;0,1,0)</f>
        <v>0</v>
      </c>
    </row>
    <row r="8745" spans="1:3" x14ac:dyDescent="0.25">
      <c r="A8745" s="15">
        <f>Sheet1!A8745</f>
        <v>0</v>
      </c>
      <c r="B8745">
        <f>Sheet1!B8745</f>
        <v>0</v>
      </c>
      <c r="C8745">
        <f>IF(Sheet1!B8745&gt;0,1,0)</f>
        <v>0</v>
      </c>
    </row>
    <row r="8746" spans="1:3" x14ac:dyDescent="0.25">
      <c r="A8746" s="15">
        <f>Sheet1!A8746</f>
        <v>0</v>
      </c>
      <c r="B8746">
        <f>Sheet1!B8746</f>
        <v>0</v>
      </c>
      <c r="C8746">
        <f>IF(Sheet1!B8746&gt;0,1,0)</f>
        <v>0</v>
      </c>
    </row>
    <row r="8747" spans="1:3" x14ac:dyDescent="0.25">
      <c r="A8747" s="15">
        <f>Sheet1!A8747</f>
        <v>0</v>
      </c>
      <c r="B8747">
        <f>Sheet1!B8747</f>
        <v>1.41</v>
      </c>
      <c r="C8747">
        <f>IF(Sheet1!B8747&gt;0,1,0)</f>
        <v>1</v>
      </c>
    </row>
    <row r="8748" spans="1:3" x14ac:dyDescent="0.25">
      <c r="A8748" s="15">
        <f>Sheet1!A8748</f>
        <v>0</v>
      </c>
      <c r="B8748">
        <f>Sheet1!B8748</f>
        <v>0</v>
      </c>
      <c r="C8748">
        <f>IF(Sheet1!B8748&gt;0,1,0)</f>
        <v>0</v>
      </c>
    </row>
    <row r="8749" spans="1:3" x14ac:dyDescent="0.25">
      <c r="A8749" s="15">
        <f>Sheet1!A8749</f>
        <v>0</v>
      </c>
      <c r="B8749">
        <f>Sheet1!B8749</f>
        <v>0</v>
      </c>
      <c r="C8749">
        <f>IF(Sheet1!B8749&gt;0,1,0)</f>
        <v>0</v>
      </c>
    </row>
    <row r="8750" spans="1:3" x14ac:dyDescent="0.25">
      <c r="A8750" s="15">
        <f>Sheet1!A8750</f>
        <v>0</v>
      </c>
      <c r="B8750">
        <f>Sheet1!B8750</f>
        <v>0.44</v>
      </c>
      <c r="C8750">
        <f>IF(Sheet1!B8750&gt;0,1,0)</f>
        <v>1</v>
      </c>
    </row>
    <row r="8751" spans="1:3" x14ac:dyDescent="0.25">
      <c r="A8751" s="15">
        <f>Sheet1!A8751</f>
        <v>0</v>
      </c>
      <c r="B8751">
        <f>Sheet1!B8751</f>
        <v>0.32</v>
      </c>
      <c r="C8751">
        <f>IF(Sheet1!B8751&gt;0,1,0)</f>
        <v>1</v>
      </c>
    </row>
    <row r="8752" spans="1:3" x14ac:dyDescent="0.25">
      <c r="A8752" s="15">
        <f>Sheet1!A8752</f>
        <v>0</v>
      </c>
      <c r="B8752">
        <f>Sheet1!B8752</f>
        <v>1.25</v>
      </c>
      <c r="C8752">
        <f>IF(Sheet1!B8752&gt;0,1,0)</f>
        <v>1</v>
      </c>
    </row>
    <row r="8753" spans="1:3" x14ac:dyDescent="0.25">
      <c r="A8753" s="15">
        <f>Sheet1!A8753</f>
        <v>0</v>
      </c>
      <c r="B8753">
        <f>Sheet1!B8753</f>
        <v>0.89</v>
      </c>
      <c r="C8753">
        <f>IF(Sheet1!B8753&gt;0,1,0)</f>
        <v>1</v>
      </c>
    </row>
    <row r="8754" spans="1:3" x14ac:dyDescent="0.25">
      <c r="A8754" s="15">
        <f>Sheet1!A8754</f>
        <v>0</v>
      </c>
      <c r="B8754">
        <f>Sheet1!B8754</f>
        <v>0</v>
      </c>
      <c r="C8754">
        <f>IF(Sheet1!B8754&gt;0,1,0)</f>
        <v>0</v>
      </c>
    </row>
    <row r="8755" spans="1:3" x14ac:dyDescent="0.25">
      <c r="A8755" s="15">
        <f>Sheet1!A8755</f>
        <v>0</v>
      </c>
      <c r="B8755">
        <f>Sheet1!B8755</f>
        <v>0</v>
      </c>
      <c r="C8755">
        <f>IF(Sheet1!B8755&gt;0,1,0)</f>
        <v>0</v>
      </c>
    </row>
    <row r="8756" spans="1:3" x14ac:dyDescent="0.25">
      <c r="A8756" s="15">
        <f>Sheet1!A8756</f>
        <v>0</v>
      </c>
      <c r="B8756">
        <f>Sheet1!B8756</f>
        <v>0</v>
      </c>
      <c r="C8756">
        <f>IF(Sheet1!B8756&gt;0,1,0)</f>
        <v>0</v>
      </c>
    </row>
    <row r="8757" spans="1:3" x14ac:dyDescent="0.25">
      <c r="A8757" s="15">
        <f>Sheet1!A8757</f>
        <v>0</v>
      </c>
      <c r="B8757">
        <f>Sheet1!B8757</f>
        <v>0.7</v>
      </c>
      <c r="C8757">
        <f>IF(Sheet1!B8757&gt;0,1,0)</f>
        <v>1</v>
      </c>
    </row>
    <row r="8758" spans="1:3" x14ac:dyDescent="0.25">
      <c r="A8758" s="15">
        <f>Sheet1!A8758</f>
        <v>0</v>
      </c>
      <c r="B8758">
        <f>Sheet1!B8758</f>
        <v>0.96</v>
      </c>
      <c r="C8758">
        <f>IF(Sheet1!B8758&gt;0,1,0)</f>
        <v>1</v>
      </c>
    </row>
    <row r="8759" spans="1:3" x14ac:dyDescent="0.25">
      <c r="A8759" s="15">
        <f>Sheet1!A8759</f>
        <v>0</v>
      </c>
      <c r="B8759">
        <f>Sheet1!B8759</f>
        <v>0.93</v>
      </c>
      <c r="C8759">
        <f>IF(Sheet1!B8759&gt;0,1,0)</f>
        <v>1</v>
      </c>
    </row>
    <row r="8760" spans="1:3" x14ac:dyDescent="0.25">
      <c r="A8760" s="15">
        <f>Sheet1!A8760</f>
        <v>0</v>
      </c>
      <c r="B8760">
        <f>Sheet1!B8760</f>
        <v>0.69</v>
      </c>
      <c r="C8760">
        <f>IF(Sheet1!B8760&gt;0,1,0)</f>
        <v>1</v>
      </c>
    </row>
    <row r="8761" spans="1:3" x14ac:dyDescent="0.25">
      <c r="A8761" s="15">
        <f>Sheet1!A8761</f>
        <v>0</v>
      </c>
      <c r="B8761">
        <f>Sheet1!B8761</f>
        <v>1.06</v>
      </c>
      <c r="C8761">
        <f>IF(Sheet1!B8761&gt;0,1,0)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Weekdays</vt:lpstr>
      <vt:lpstr>Weekends</vt:lpstr>
      <vt:lpstr>Sheet1</vt:lpstr>
      <vt:lpstr>Sheet2</vt:lpstr>
      <vt:lpstr>National Status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Al-Shamri [pmhaas]</dc:creator>
  <cp:lastModifiedBy>KADHIM ZAHER SADOON KADHIM</cp:lastModifiedBy>
  <dcterms:created xsi:type="dcterms:W3CDTF">2018-11-26T23:57:01Z</dcterms:created>
  <dcterms:modified xsi:type="dcterms:W3CDTF">2026-04-07T13:41:39Z</dcterms:modified>
</cp:coreProperties>
</file>